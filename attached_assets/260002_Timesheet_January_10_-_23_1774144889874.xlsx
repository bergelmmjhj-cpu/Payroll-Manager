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tables/table1.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comments7.xml" ContentType="application/vnd.openxmlformats-officedocument.spreadsheetml.comments+xml"/>
  <Override PartName="/xl/threadedComments/threadedComment6.xml" ContentType="application/vnd.ms-excel.threadedcomments+xml"/>
  <Override PartName="/xl/tables/table2.xml" ContentType="application/vnd.openxmlformats-officedocument.spreadsheetml.table+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C:\Users\kirst\Dropbox\ADMIN\Timesheets\2025\1.Bi-Weekly\"/>
    </mc:Choice>
  </mc:AlternateContent>
  <xr:revisionPtr revIDLastSave="0" documentId="13_ncr:1_{5E73A7DE-178E-44DE-BD16-B4EBDCB942FD}" xr6:coauthVersionLast="47" xr6:coauthVersionMax="47" xr10:uidLastSave="{00000000-0000-0000-0000-000000000000}"/>
  <bookViews>
    <workbookView xWindow="28680" yWindow="-120" windowWidth="29040" windowHeight="15720" tabRatio="942" activeTab="6" xr2:uid="{00000000-000D-0000-FFFF-FFFF00000000}"/>
  </bookViews>
  <sheets>
    <sheet name="DRAFT" sheetId="142" r:id="rId1"/>
    <sheet name="MMJ" sheetId="3" r:id="rId2"/>
    <sheet name="SUBCON" sheetId="119" r:id="rId3"/>
    <sheet name="SUBCON (2)" sheetId="134" state="hidden" r:id="rId4"/>
    <sheet name="Tally" sheetId="76" r:id="rId5"/>
    <sheet name="Master List" sheetId="118" r:id="rId6"/>
    <sheet name="SUMMARY A-Z" sheetId="116" r:id="rId7"/>
    <sheet name="SUBCON (4)" sheetId="136" state="hidden" r:id="rId8"/>
    <sheet name="Summary Hotel" sheetId="107" r:id="rId9"/>
    <sheet name="SUBCON (3)" sheetId="135" state="hidden" r:id="rId10"/>
    <sheet name="Subcontractors" sheetId="141" r:id="rId11"/>
    <sheet name="GTA" sheetId="28" r:id="rId12"/>
    <sheet name="OUTSIDE GTA" sheetId="35" r:id="rId13"/>
    <sheet name="OTTAWA" sheetId="31" r:id="rId14"/>
    <sheet name="SUBCON - BC" sheetId="133" r:id="rId15"/>
    <sheet name="British Columbia" sheetId="131" r:id="rId16"/>
    <sheet name="COUNTER" sheetId="13" r:id="rId17"/>
    <sheet name="Interac Details" sheetId="120" r:id="rId18"/>
    <sheet name="PRINT (2)" sheetId="63" state="hidden" r:id="rId19"/>
    <sheet name="PRINT (3)" sheetId="64" state="hidden" r:id="rId20"/>
    <sheet name="Sheet1" sheetId="65" state="hidden" r:id="rId21"/>
    <sheet name="Payroll Instructions" sheetId="29" state="hidden" r:id="rId22"/>
    <sheet name="DRAFT SUM" sheetId="40" state="hidden" r:id="rId23"/>
    <sheet name="FOR CHEQUE" sheetId="36" state="hidden" r:id="rId24"/>
    <sheet name="NAMES" sheetId="22" state="hidden" r:id="rId25"/>
  </sheets>
  <externalReferences>
    <externalReference r:id="rId26"/>
    <externalReference r:id="rId27"/>
    <externalReference r:id="rId28"/>
  </externalReferences>
  <definedNames>
    <definedName name="_xlnm._FilterDatabase" localSheetId="0" hidden="1">DRAFT!$W$2:$Y$23</definedName>
    <definedName name="_xlnm._FilterDatabase" localSheetId="22" hidden="1">'DRAFT SUM'!$A$1:$F$231</definedName>
    <definedName name="_xlnm._FilterDatabase" localSheetId="23" hidden="1">'FOR CHEQUE'!$A$1:$B$1</definedName>
    <definedName name="_xlnm._FilterDatabase" localSheetId="17" hidden="1">'Interac Details'!$A$1:$B$142</definedName>
    <definedName name="_xlnm._FilterDatabase" localSheetId="5" hidden="1">'Master List'!$A$1:$F$67</definedName>
    <definedName name="_xlnm._FilterDatabase" localSheetId="24" hidden="1">NAMES!$B$1:$D$150</definedName>
    <definedName name="_xlnm._FilterDatabase" localSheetId="18" hidden="1">'PRINT (2)'!$B$1:$G$20</definedName>
    <definedName name="_xlnm._FilterDatabase" localSheetId="2" hidden="1">SUBCON!$A$434:$E$474</definedName>
    <definedName name="_xlnm._FilterDatabase" localSheetId="3" hidden="1">'SUBCON (2)'!$A$12:$E$19</definedName>
    <definedName name="_xlnm._FilterDatabase" localSheetId="9" hidden="1">'SUBCON (3)'!$A$1:$F$1028</definedName>
    <definedName name="_xlnm._FilterDatabase" localSheetId="7" hidden="1">'SUBCON (4)'!$A$1:$F$1</definedName>
    <definedName name="_xlnm._FilterDatabase" localSheetId="10" hidden="1">Subcontractors!$A$1:$A$1536</definedName>
    <definedName name="_xlnm._FilterDatabase" localSheetId="6" hidden="1">'SUMMARY A-Z'!$A$1:$H$5</definedName>
    <definedName name="_xlnm._FilterDatabase" localSheetId="8" hidden="1">'Summary Hotel'!$A$21:$G$34</definedName>
    <definedName name="_xlnm._FilterDatabase" localSheetId="4" hidden="1">Tally!$A$1:$F$44</definedName>
    <definedName name="ID" localSheetId="10">Subcontractors!$A$1</definedName>
    <definedName name="ID">#REF!</definedName>
    <definedName name="InteracEmail">#REF!</definedName>
    <definedName name="Name" localSheetId="10">Table4[[#Headers],[Name]]</definedName>
    <definedName name="Name">#REF!</definedName>
    <definedName name="PhoneNumber" localSheetId="10">Table4[[#Headers],[Phone Number]]</definedName>
    <definedName name="PhoneNumber">#REF!</definedName>
    <definedName name="PhysicalAddress" localSheetId="10">Table4[[#Headers],[Physical Address]]</definedName>
    <definedName name="PhysicalAddress">#REF!</definedName>
    <definedName name="_xlnm.Print_Area" localSheetId="5">'Master List'!$A$1:$F$67</definedName>
    <definedName name="_xlnm.Print_Area" localSheetId="1">MMJ!$A$1:$F$10</definedName>
    <definedName name="_xlnm.Print_Area" localSheetId="18">'PRINT (2)'!$A$1:$G$20</definedName>
    <definedName name="_xlnm.Print_Area" localSheetId="19">'PRINT (3)'!$A$1:$E$117</definedName>
    <definedName name="_xlnm.Print_Area" localSheetId="2">SUBCON!$A$1:$E$1054</definedName>
    <definedName name="_xlnm.Print_Area" localSheetId="14">'SUBCON - BC'!$A$1:$E$53</definedName>
    <definedName name="_xlnm.Print_Area" localSheetId="3">'SUBCON (2)'!$A$1:$E$936</definedName>
    <definedName name="_xlnm.Print_Area" localSheetId="9">'SUBCON (3)'!$A$1:$E$928</definedName>
    <definedName name="_xlnm.Print_Area" localSheetId="7">'SUBCON (4)'!$A$1:$E$906</definedName>
    <definedName name="_xlnm.Print_Area" localSheetId="6">'SUMMARY A-Z'!$A$1:$H$7</definedName>
    <definedName name="_xlnm.Print_Area" localSheetId="8">'Summary Hotel'!$A$1:$G$193</definedName>
    <definedName name="Worker_Name" localSheetId="10">Table4[[#Headers],[Name]]</definedName>
    <definedName name="Worker_Name">#REF!</definedName>
    <definedName name="WorkerAlias" localSheetId="10">Table4[[#Headers],[Alias]]</definedName>
    <definedName name="WorkerAlias">#REF!</definedName>
    <definedName name="WorkerComment" localSheetId="10">Subcontractors!$G$1</definedName>
    <definedName name="WorkerComment">#REF!</definedName>
    <definedName name="WorkerName" localSheetId="10">Table4[[#Headers],[Name]]</definedName>
    <definedName name="WorkerNam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16" l="1"/>
  <c r="B10" i="133"/>
  <c r="J19" i="131"/>
  <c r="K19" i="131"/>
  <c r="B11" i="133" s="1"/>
  <c r="G26" i="119"/>
  <c r="H4" i="116"/>
  <c r="H2" i="116"/>
  <c r="B2" i="116"/>
  <c r="A1" i="118" l="1"/>
  <c r="B4" i="35" l="1"/>
  <c r="B5" i="35"/>
  <c r="B6" i="35"/>
  <c r="B7" i="35"/>
  <c r="B8" i="35"/>
  <c r="B9" i="35"/>
  <c r="B10" i="35"/>
  <c r="B11" i="35"/>
  <c r="B12" i="35"/>
  <c r="B13" i="35"/>
  <c r="B14" i="35"/>
  <c r="B15" i="35"/>
  <c r="B16" i="35"/>
  <c r="B3" i="35"/>
  <c r="B2" i="35"/>
  <c r="I19" i="131"/>
  <c r="I18" i="131"/>
  <c r="A561" i="119" l="1"/>
  <c r="A560" i="119"/>
  <c r="A3" i="107" l="1"/>
  <c r="A158" i="107" s="1"/>
  <c r="A1" i="116"/>
  <c r="A1" i="119"/>
  <c r="A46" i="107" l="1"/>
  <c r="A164" i="107"/>
  <c r="A52" i="107"/>
  <c r="A59" i="107"/>
  <c r="A67" i="107"/>
  <c r="A92" i="107"/>
  <c r="A21" i="107"/>
  <c r="A73" i="107"/>
  <c r="A38" i="107"/>
  <c r="A82" i="107"/>
  <c r="A100" i="107"/>
  <c r="A106" i="107"/>
  <c r="A112" i="107"/>
  <c r="A125" i="107"/>
  <c r="A133" i="107"/>
  <c r="E7" i="116"/>
  <c r="F8" i="116" s="1"/>
  <c r="D167" i="107" l="1"/>
  <c r="B165" i="35" l="1"/>
  <c r="B166" i="35"/>
  <c r="B167" i="35"/>
  <c r="B168" i="35"/>
  <c r="B169" i="35"/>
  <c r="B170" i="35"/>
  <c r="B171" i="35"/>
  <c r="B172" i="35"/>
  <c r="B173" i="35"/>
  <c r="B174" i="35"/>
  <c r="B175" i="35"/>
  <c r="B176" i="35"/>
  <c r="B177" i="35"/>
  <c r="B178" i="35"/>
  <c r="B164" i="35"/>
  <c r="AD3" i="131"/>
  <c r="C179" i="35"/>
  <c r="H6" i="116"/>
  <c r="CC21" i="28" l="1"/>
  <c r="B737" i="119" s="1" a="1"/>
  <c r="B737" i="119" s="1"/>
  <c r="E737" i="119" s="1"/>
  <c r="G114" i="107" l="1"/>
  <c r="G115" i="107"/>
  <c r="G116" i="107"/>
  <c r="G117" i="107"/>
  <c r="G118" i="107"/>
  <c r="G119" i="107"/>
  <c r="G120" i="107"/>
  <c r="G121" i="107"/>
  <c r="G113" i="107"/>
  <c r="E19" i="133" l="1"/>
  <c r="L19" i="131" l="1"/>
  <c r="B12" i="133" s="1"/>
  <c r="D36" i="131"/>
  <c r="E36" i="131"/>
  <c r="F36" i="131"/>
  <c r="G36" i="131"/>
  <c r="E23" i="133" s="1"/>
  <c r="H36" i="131"/>
  <c r="I36" i="131"/>
  <c r="J36" i="131"/>
  <c r="K36" i="131"/>
  <c r="L36" i="131"/>
  <c r="M36" i="131"/>
  <c r="N36" i="131"/>
  <c r="O36" i="131"/>
  <c r="P36" i="131"/>
  <c r="Q36" i="131"/>
  <c r="R36" i="131"/>
  <c r="S36" i="131"/>
  <c r="C36" i="131"/>
  <c r="M38" i="131"/>
  <c r="E29" i="133" s="1"/>
  <c r="N38" i="131" l="1"/>
  <c r="L38" i="131"/>
  <c r="K38" i="131"/>
  <c r="J38" i="131"/>
  <c r="I38" i="131"/>
  <c r="H38" i="131"/>
  <c r="E24" i="133" s="1"/>
  <c r="G38" i="131"/>
  <c r="E22" i="133" s="1"/>
  <c r="F38" i="131"/>
  <c r="E21" i="133" s="1"/>
  <c r="E38" i="131"/>
  <c r="D38" i="131"/>
  <c r="C38" i="131"/>
  <c r="N37" i="131"/>
  <c r="B30" i="133" s="1" a="1"/>
  <c r="B30" i="133" s="1"/>
  <c r="E30" i="133" s="1"/>
  <c r="M37" i="131"/>
  <c r="L37" i="131"/>
  <c r="B28" i="133" s="1" a="1"/>
  <c r="B28" i="133" s="1"/>
  <c r="E28" i="133" s="1"/>
  <c r="K37" i="131"/>
  <c r="E27" i="133" s="1"/>
  <c r="J37" i="131"/>
  <c r="I37" i="131"/>
  <c r="H37" i="131"/>
  <c r="G37" i="131"/>
  <c r="F37" i="131"/>
  <c r="E37" i="131"/>
  <c r="D37" i="131"/>
  <c r="B20" i="133" s="1" a="1"/>
  <c r="B20" i="133" s="1"/>
  <c r="E20" i="133" s="1"/>
  <c r="C37" i="131"/>
  <c r="AA16" i="131"/>
  <c r="AA15" i="131"/>
  <c r="AA14" i="131"/>
  <c r="AA13" i="131"/>
  <c r="AA12" i="131"/>
  <c r="AA11" i="131"/>
  <c r="AA10" i="131"/>
  <c r="AA9" i="131"/>
  <c r="AA8" i="131"/>
  <c r="AA7" i="131"/>
  <c r="AA6" i="131"/>
  <c r="AA5" i="131"/>
  <c r="AA4" i="131"/>
  <c r="AA3" i="131"/>
  <c r="Z2" i="133" a="1"/>
  <c r="Z2" i="133" s="1"/>
  <c r="Z1" i="133"/>
  <c r="E26" i="133" l="1"/>
  <c r="E25" i="133"/>
  <c r="E273" i="28"/>
  <c r="B481" i="119" s="1" a="1"/>
  <c r="B481" i="119" s="1"/>
  <c r="E481" i="119" s="1"/>
  <c r="BB273" i="28"/>
  <c r="B530" i="119" s="1" a="1"/>
  <c r="B530" i="119" s="1"/>
  <c r="W273" i="28"/>
  <c r="B499" i="119" s="1" a="1"/>
  <c r="B499" i="119" s="1"/>
  <c r="BJ21" i="28" l="1"/>
  <c r="B718" i="119" s="1" a="1"/>
  <c r="B718" i="119" s="1"/>
  <c r="E718" i="119" s="1"/>
  <c r="M21" i="28"/>
  <c r="B669" i="119" s="1" a="1"/>
  <c r="B669" i="119" s="1"/>
  <c r="E669" i="119" s="1"/>
  <c r="BM273" i="28" l="1"/>
  <c r="B541" i="119" s="1" a="1"/>
  <c r="B541" i="119" s="1"/>
  <c r="BL273" i="28"/>
  <c r="B540" i="119" s="1" a="1"/>
  <c r="B540" i="119" s="1"/>
  <c r="BK273" i="28"/>
  <c r="B539" i="119" s="1" a="1"/>
  <c r="B539" i="119" s="1"/>
  <c r="BJ273" i="28"/>
  <c r="B538" i="119" s="1" a="1"/>
  <c r="B538" i="119" s="1"/>
  <c r="BI273" i="28"/>
  <c r="B537" i="119" s="1" a="1"/>
  <c r="B537" i="119" s="1"/>
  <c r="BH273" i="28"/>
  <c r="B536" i="119" s="1" a="1"/>
  <c r="B536" i="119" s="1"/>
  <c r="BG273" i="28"/>
  <c r="B535" i="119" s="1" a="1"/>
  <c r="B535" i="119" s="1"/>
  <c r="BF273" i="28"/>
  <c r="B534" i="119" s="1" a="1"/>
  <c r="B534" i="119" s="1"/>
  <c r="BE273" i="28"/>
  <c r="B533" i="119" s="1" a="1"/>
  <c r="B533" i="119" s="1"/>
  <c r="BD273" i="28"/>
  <c r="B532" i="119" s="1" a="1"/>
  <c r="B532" i="119" s="1"/>
  <c r="BC273" i="28"/>
  <c r="B531" i="119" s="1" a="1"/>
  <c r="B531" i="119" s="1"/>
  <c r="BA273" i="28"/>
  <c r="B529" i="119" s="1" a="1"/>
  <c r="B529" i="119" s="1"/>
  <c r="AZ273" i="28"/>
  <c r="AY273" i="28"/>
  <c r="B527" i="119" s="1" a="1"/>
  <c r="B527" i="119" s="1"/>
  <c r="AX273" i="28"/>
  <c r="B526" i="119" s="1" a="1"/>
  <c r="B526" i="119" s="1"/>
  <c r="AW273" i="28"/>
  <c r="B525" i="119" s="1" a="1"/>
  <c r="B525" i="119" s="1"/>
  <c r="AV273" i="28"/>
  <c r="B524" i="119" s="1" a="1"/>
  <c r="B524" i="119" s="1"/>
  <c r="AU273" i="28"/>
  <c r="B523" i="119" s="1" a="1"/>
  <c r="B523" i="119" s="1"/>
  <c r="AT273" i="28"/>
  <c r="B522" i="119" s="1" a="1"/>
  <c r="B522" i="119" s="1"/>
  <c r="AS273" i="28"/>
  <c r="B521" i="119" s="1" a="1"/>
  <c r="B521" i="119" s="1"/>
  <c r="AR273" i="28"/>
  <c r="B520" i="119" s="1" a="1"/>
  <c r="B520" i="119" s="1"/>
  <c r="AQ273" i="28"/>
  <c r="B519" i="119" s="1" a="1"/>
  <c r="B519" i="119" s="1"/>
  <c r="AP273" i="28"/>
  <c r="B518" i="119" s="1" a="1"/>
  <c r="B518" i="119" s="1"/>
  <c r="AO273" i="28"/>
  <c r="B517" i="119" s="1" a="1"/>
  <c r="B517" i="119" s="1"/>
  <c r="AN273" i="28"/>
  <c r="B516" i="119" s="1" a="1"/>
  <c r="B516" i="119" s="1"/>
  <c r="AM273" i="28"/>
  <c r="B515" i="119" s="1" a="1"/>
  <c r="B515" i="119" s="1"/>
  <c r="AL273" i="28"/>
  <c r="B514" i="119" s="1" a="1"/>
  <c r="B514" i="119" s="1"/>
  <c r="AK273" i="28"/>
  <c r="B513" i="119" s="1" a="1"/>
  <c r="B513" i="119" s="1"/>
  <c r="AJ273" i="28"/>
  <c r="B512" i="119" s="1" a="1"/>
  <c r="B512" i="119" s="1"/>
  <c r="AI273" i="28"/>
  <c r="B511" i="119" s="1" a="1"/>
  <c r="B511" i="119" s="1"/>
  <c r="AH273" i="28"/>
  <c r="B510" i="119" s="1" a="1"/>
  <c r="B510" i="119" s="1"/>
  <c r="AG273" i="28"/>
  <c r="B509" i="119" s="1" a="1"/>
  <c r="B509" i="119" s="1"/>
  <c r="E509" i="119" s="1"/>
  <c r="AF273" i="28"/>
  <c r="B508" i="119" s="1" a="1"/>
  <c r="B508" i="119" s="1"/>
  <c r="E508" i="119" s="1"/>
  <c r="AE273" i="28"/>
  <c r="B507" i="119" s="1" a="1"/>
  <c r="B507" i="119" s="1"/>
  <c r="E507" i="119" s="1"/>
  <c r="AD273" i="28"/>
  <c r="B506" i="119" s="1" a="1"/>
  <c r="B506" i="119" s="1"/>
  <c r="AC273" i="28"/>
  <c r="AB273" i="28"/>
  <c r="AA273" i="28"/>
  <c r="Z273" i="28"/>
  <c r="Y273" i="28"/>
  <c r="X273" i="28"/>
  <c r="V273" i="28"/>
  <c r="B498" i="119" s="1" a="1"/>
  <c r="B498" i="119" s="1"/>
  <c r="U273" i="28"/>
  <c r="B497" i="119" s="1" a="1"/>
  <c r="B497" i="119" s="1"/>
  <c r="T273" i="28"/>
  <c r="B496" i="119" s="1" a="1"/>
  <c r="B496" i="119" s="1"/>
  <c r="S273" i="28"/>
  <c r="B495" i="119" s="1" a="1"/>
  <c r="B495" i="119" s="1"/>
  <c r="R273" i="28"/>
  <c r="B494" i="119" s="1" a="1"/>
  <c r="B494" i="119" s="1"/>
  <c r="Q273" i="28"/>
  <c r="B493" i="119" s="1" a="1"/>
  <c r="B493" i="119" s="1"/>
  <c r="P273" i="28"/>
  <c r="B492" i="119" s="1" a="1"/>
  <c r="B492" i="119" s="1"/>
  <c r="O273" i="28"/>
  <c r="B491" i="119" s="1" a="1"/>
  <c r="B491" i="119" s="1"/>
  <c r="N273" i="28"/>
  <c r="B490" i="119" s="1" a="1"/>
  <c r="B490" i="119" s="1"/>
  <c r="M273" i="28"/>
  <c r="B489" i="119" s="1" a="1"/>
  <c r="B489" i="119" s="1"/>
  <c r="L273" i="28"/>
  <c r="B488" i="119" s="1" a="1"/>
  <c r="B488" i="119" s="1"/>
  <c r="K273" i="28"/>
  <c r="B487" i="119" s="1" a="1"/>
  <c r="B487" i="119" s="1"/>
  <c r="J273" i="28"/>
  <c r="B486" i="119" s="1" a="1"/>
  <c r="B486" i="119" s="1"/>
  <c r="I273" i="28"/>
  <c r="B485" i="119" s="1" a="1"/>
  <c r="B485" i="119" s="1"/>
  <c r="H273" i="28"/>
  <c r="B484" i="119" s="1" a="1"/>
  <c r="B484" i="119" s="1"/>
  <c r="E484" i="119" s="1"/>
  <c r="G273" i="28"/>
  <c r="B483" i="119" s="1" a="1"/>
  <c r="B483" i="119" s="1"/>
  <c r="E483" i="119" s="1"/>
  <c r="F273" i="28"/>
  <c r="B482" i="119" s="1" a="1"/>
  <c r="B482" i="119" s="1"/>
  <c r="E482" i="119" s="1"/>
  <c r="D273" i="28"/>
  <c r="B480" i="119" s="1" a="1"/>
  <c r="B480" i="119" s="1"/>
  <c r="E480" i="119" s="1"/>
  <c r="B501" i="119" l="1" a="1"/>
  <c r="B501" i="119" s="1"/>
  <c r="B503" i="119" a="1"/>
  <c r="B503" i="119" s="1"/>
  <c r="B502" i="119" a="1"/>
  <c r="B502" i="119" s="1"/>
  <c r="E502" i="119" s="1"/>
  <c r="B505" i="119" a="1"/>
  <c r="B505" i="119" s="1"/>
  <c r="B500" i="119" a="1"/>
  <c r="B500" i="119" s="1"/>
  <c r="B504" i="119" a="1"/>
  <c r="B504" i="119" s="1"/>
  <c r="E529" i="119"/>
  <c r="B528" i="119" a="1"/>
  <c r="B528" i="119" s="1"/>
  <c r="J21" i="28" l="1"/>
  <c r="B666" i="119" s="1" a="1"/>
  <c r="B666" i="119" s="1"/>
  <c r="E666" i="119" s="1"/>
  <c r="E21" i="28"/>
  <c r="B661" i="119" s="1" a="1"/>
  <c r="B661" i="119" s="1"/>
  <c r="E661" i="119" s="1"/>
  <c r="DW21" i="28"/>
  <c r="B783" i="119" s="1" a="1"/>
  <c r="B783" i="119" s="1"/>
  <c r="E783" i="119" s="1"/>
  <c r="DQ21" i="28"/>
  <c r="B777" i="119" s="1" a="1"/>
  <c r="B777" i="119" s="1"/>
  <c r="E777" i="119" s="1"/>
  <c r="AG21" i="28"/>
  <c r="B689" i="119" s="1" a="1"/>
  <c r="B689" i="119" s="1"/>
  <c r="E689" i="119" s="1"/>
  <c r="G87" i="107" l="1"/>
  <c r="G86" i="107"/>
  <c r="G85" i="107"/>
  <c r="G84" i="107"/>
  <c r="G152" i="107"/>
  <c r="G151" i="107"/>
  <c r="G150" i="107"/>
  <c r="G149" i="107"/>
  <c r="G148" i="107"/>
  <c r="G147" i="107"/>
  <c r="G146" i="107"/>
  <c r="G145" i="107"/>
  <c r="G144" i="107"/>
  <c r="G143" i="107"/>
  <c r="G142" i="107"/>
  <c r="G141" i="107"/>
  <c r="G140" i="107"/>
  <c r="G139" i="107"/>
  <c r="G138" i="107"/>
  <c r="G137" i="107"/>
  <c r="G136" i="107"/>
  <c r="G135" i="107"/>
  <c r="G134" i="107"/>
  <c r="E67" i="118"/>
  <c r="E777" i="136" l="1"/>
  <c r="B806" i="136"/>
  <c r="E806" i="136" s="1"/>
  <c r="E367" i="136"/>
  <c r="E366" i="136"/>
  <c r="E365" i="136"/>
  <c r="B338" i="136"/>
  <c r="E338" i="136" s="1"/>
  <c r="G153" i="107"/>
  <c r="D155" i="107"/>
  <c r="H155" i="107" s="1"/>
  <c r="G178" i="107"/>
  <c r="D291" i="28"/>
  <c r="B830" i="135"/>
  <c r="E830" i="135" s="1"/>
  <c r="E387" i="135"/>
  <c r="E386" i="135"/>
  <c r="E385" i="135"/>
  <c r="B358" i="135"/>
  <c r="E358" i="135" s="1"/>
  <c r="B963" i="119"/>
  <c r="E963" i="119" s="1"/>
  <c r="C4" i="76"/>
  <c r="B904" i="136" l="1"/>
  <c r="E904" i="136" s="1"/>
  <c r="B547" i="119"/>
  <c r="E547" i="119" s="1"/>
  <c r="B386" i="136"/>
  <c r="B965" i="119"/>
  <c r="B406" i="135"/>
  <c r="B538" i="135"/>
  <c r="C107" i="35" l="1"/>
  <c r="L107" i="35"/>
  <c r="D53" i="35"/>
  <c r="W53" i="35"/>
  <c r="U53" i="35"/>
  <c r="F53" i="35"/>
  <c r="B818" i="119" l="1"/>
  <c r="E818" i="119" s="1"/>
  <c r="B28" i="135"/>
  <c r="E28" i="135" s="1"/>
  <c r="B827" i="119"/>
  <c r="E827" i="119" s="1"/>
  <c r="B78" i="135"/>
  <c r="E78" i="135" s="1"/>
  <c r="B100" i="119"/>
  <c r="E100" i="119" s="1"/>
  <c r="B799" i="135"/>
  <c r="E799" i="135" s="1"/>
  <c r="B120" i="119"/>
  <c r="E120" i="119" s="1"/>
  <c r="B801" i="135"/>
  <c r="E801" i="135" s="1"/>
  <c r="B122" i="119"/>
  <c r="E122" i="119" s="1"/>
  <c r="B889" i="135"/>
  <c r="E889" i="135" s="1"/>
  <c r="B121" i="119"/>
  <c r="E121" i="119" s="1"/>
  <c r="B818" i="135"/>
  <c r="V255" i="28"/>
  <c r="I39" i="28"/>
  <c r="B454" i="119" l="1" a="1"/>
  <c r="B454" i="119" s="1"/>
  <c r="B573" i="119"/>
  <c r="E573" i="119" s="1"/>
  <c r="B548" i="136"/>
  <c r="E548" i="136" s="1"/>
  <c r="B536" i="136"/>
  <c r="E536" i="136" s="1"/>
  <c r="E818" i="135"/>
  <c r="B554" i="135"/>
  <c r="E554" i="135" s="1"/>
  <c r="B524" i="136"/>
  <c r="E524" i="136" s="1"/>
  <c r="E485" i="119"/>
  <c r="B645" i="135"/>
  <c r="E645" i="135" s="1"/>
  <c r="B601" i="135"/>
  <c r="E601" i="135" s="1"/>
  <c r="CW21" i="28"/>
  <c r="B757" i="119" s="1" a="1"/>
  <c r="B757" i="119" s="1"/>
  <c r="E757" i="119" s="1"/>
  <c r="BZ21" i="28"/>
  <c r="B734" i="119" s="1" a="1"/>
  <c r="B734" i="119" s="1"/>
  <c r="E734" i="119" s="1"/>
  <c r="B766" i="136" l="1"/>
  <c r="E766" i="136" s="1"/>
  <c r="B771" i="136"/>
  <c r="E771" i="136" s="1"/>
  <c r="B792" i="135"/>
  <c r="E792" i="135" s="1"/>
  <c r="B787" i="135"/>
  <c r="E787" i="135" s="1"/>
  <c r="E934" i="134"/>
  <c r="B836" i="134"/>
  <c r="B807" i="134"/>
  <c r="E807" i="134" s="1"/>
  <c r="B806" i="134"/>
  <c r="E806" i="134" s="1"/>
  <c r="B805" i="134"/>
  <c r="E805" i="134" s="1"/>
  <c r="B804" i="134"/>
  <c r="E804" i="134" s="1"/>
  <c r="B803" i="134"/>
  <c r="E803" i="134" s="1"/>
  <c r="B802" i="134"/>
  <c r="E802" i="134" s="1"/>
  <c r="B801" i="134"/>
  <c r="E801" i="134" s="1"/>
  <c r="B800" i="134"/>
  <c r="E800" i="134" s="1"/>
  <c r="B799" i="134"/>
  <c r="E799" i="134" s="1"/>
  <c r="B798" i="134"/>
  <c r="E798" i="134" s="1"/>
  <c r="B797" i="134"/>
  <c r="E797" i="134" s="1"/>
  <c r="B796" i="134"/>
  <c r="E796" i="134" s="1"/>
  <c r="B793" i="134"/>
  <c r="E793" i="134" s="1"/>
  <c r="B792" i="134"/>
  <c r="E792" i="134" s="1"/>
  <c r="B791" i="134"/>
  <c r="E384" i="134"/>
  <c r="E383" i="134"/>
  <c r="E382" i="134"/>
  <c r="B354" i="134"/>
  <c r="E354" i="134" s="1"/>
  <c r="E791" i="134" l="1"/>
  <c r="E836" i="134"/>
  <c r="D107" i="35"/>
  <c r="E107" i="35"/>
  <c r="F107" i="35"/>
  <c r="G107" i="35"/>
  <c r="H107" i="35"/>
  <c r="I107" i="35"/>
  <c r="J107" i="35"/>
  <c r="K107" i="35"/>
  <c r="M107" i="35"/>
  <c r="N107" i="35"/>
  <c r="O107" i="35"/>
  <c r="P107" i="35"/>
  <c r="Q107" i="35"/>
  <c r="R107" i="35"/>
  <c r="S107" i="35"/>
  <c r="T107" i="35"/>
  <c r="U107" i="35"/>
  <c r="AC107" i="35"/>
  <c r="AB107" i="35"/>
  <c r="AA107" i="35"/>
  <c r="X107" i="35"/>
  <c r="W107" i="35"/>
  <c r="V107" i="35"/>
  <c r="V21" i="28"/>
  <c r="B678" i="119" s="1" a="1"/>
  <c r="B678" i="119" s="1"/>
  <c r="E678" i="119" s="1"/>
  <c r="E39" i="28"/>
  <c r="O71" i="35"/>
  <c r="K255" i="28"/>
  <c r="A22" i="35"/>
  <c r="A23" i="35"/>
  <c r="A24" i="35"/>
  <c r="A25" i="35"/>
  <c r="A26" i="35"/>
  <c r="A27" i="35"/>
  <c r="A28" i="35"/>
  <c r="A29" i="35"/>
  <c r="A30" i="35"/>
  <c r="A31" i="35"/>
  <c r="A32" i="35"/>
  <c r="A33" i="35"/>
  <c r="A34" i="35"/>
  <c r="A21" i="35"/>
  <c r="BX21" i="28"/>
  <c r="B732" i="119" s="1" a="1"/>
  <c r="B732" i="119" s="1"/>
  <c r="E732" i="119" s="1"/>
  <c r="BQ21" i="28"/>
  <c r="B725" i="119" s="1" a="1"/>
  <c r="B725" i="119" s="1"/>
  <c r="E725" i="119" s="1"/>
  <c r="F21" i="28"/>
  <c r="B662" i="119" s="1" a="1"/>
  <c r="B662" i="119" s="1"/>
  <c r="E662" i="119" s="1"/>
  <c r="DJ21" i="28"/>
  <c r="B770" i="119" s="1" a="1"/>
  <c r="B770" i="119" s="1"/>
  <c r="E770" i="119" s="1"/>
  <c r="P21" i="28"/>
  <c r="B672" i="119" s="1" a="1"/>
  <c r="B672" i="119" s="1"/>
  <c r="E672" i="119" s="1"/>
  <c r="CV21" i="28"/>
  <c r="B756" i="119" s="1" a="1"/>
  <c r="B756" i="119" s="1"/>
  <c r="E756" i="119" s="1"/>
  <c r="CQ21" i="28"/>
  <c r="B751" i="119" s="1" a="1"/>
  <c r="B751" i="119" s="1"/>
  <c r="E751" i="119" s="1"/>
  <c r="I21" i="28"/>
  <c r="B665" i="119" s="1" a="1"/>
  <c r="B665" i="119" s="1"/>
  <c r="E665" i="119" s="1"/>
  <c r="CH21" i="28"/>
  <c r="B742" i="119" s="1" a="1"/>
  <c r="B742" i="119" s="1"/>
  <c r="E742" i="119" s="1"/>
  <c r="CS21" i="28"/>
  <c r="B753" i="119" s="1" a="1"/>
  <c r="B753" i="119" s="1"/>
  <c r="E753" i="119" s="1"/>
  <c r="B82" i="119" l="1" a="1"/>
  <c r="B82" i="119" s="1"/>
  <c r="E82" i="119" s="1"/>
  <c r="B443" i="119" a="1"/>
  <c r="B443" i="119" s="1"/>
  <c r="B546" i="134"/>
  <c r="E546" i="134" s="1"/>
  <c r="B644" i="136"/>
  <c r="E644" i="136" s="1"/>
  <c r="B826" i="119"/>
  <c r="E826" i="119" s="1"/>
  <c r="B76" i="135"/>
  <c r="E76" i="135" s="1"/>
  <c r="B834" i="119"/>
  <c r="E834" i="119" s="1"/>
  <c r="B120" i="135"/>
  <c r="E120" i="135" s="1"/>
  <c r="B830" i="119"/>
  <c r="E830" i="119" s="1"/>
  <c r="B84" i="135"/>
  <c r="E84" i="135" s="1"/>
  <c r="B825" i="119"/>
  <c r="E825" i="119" s="1"/>
  <c r="B75" i="135"/>
  <c r="E75" i="135" s="1"/>
  <c r="B821" i="119"/>
  <c r="E821" i="119" s="1"/>
  <c r="B71" i="135"/>
  <c r="E71" i="135" s="1"/>
  <c r="B831" i="119"/>
  <c r="E831" i="119" s="1"/>
  <c r="B93" i="135"/>
  <c r="B833" i="119"/>
  <c r="E833" i="119" s="1"/>
  <c r="B118" i="135"/>
  <c r="E118" i="135" s="1"/>
  <c r="B829" i="119"/>
  <c r="E829" i="119" s="1"/>
  <c r="B81" i="135"/>
  <c r="E81" i="135" s="1"/>
  <c r="B824" i="119"/>
  <c r="E824" i="119" s="1"/>
  <c r="B74" i="135"/>
  <c r="E74" i="135" s="1"/>
  <c r="B820" i="119"/>
  <c r="E820" i="119" s="1"/>
  <c r="B64" i="135"/>
  <c r="B835" i="119"/>
  <c r="E835" i="119" s="1"/>
  <c r="B121" i="135"/>
  <c r="E121" i="135" s="1"/>
  <c r="B822" i="119"/>
  <c r="B72" i="135"/>
  <c r="E72" i="135" s="1"/>
  <c r="B836" i="119"/>
  <c r="E836" i="119" s="1"/>
  <c r="B122" i="135"/>
  <c r="E122" i="135" s="1"/>
  <c r="B832" i="119"/>
  <c r="E832" i="119" s="1"/>
  <c r="B100" i="135"/>
  <c r="E100" i="135" s="1"/>
  <c r="B828" i="119"/>
  <c r="E828" i="119" s="1"/>
  <c r="B80" i="135"/>
  <c r="E80" i="135" s="1"/>
  <c r="B823" i="119"/>
  <c r="B73" i="135"/>
  <c r="E73" i="135" s="1"/>
  <c r="B819" i="119"/>
  <c r="E819" i="119" s="1"/>
  <c r="B49" i="135"/>
  <c r="E49" i="135" s="1"/>
  <c r="B72" i="136"/>
  <c r="E72" i="136" s="1"/>
  <c r="B86" i="135"/>
  <c r="E86" i="135" s="1"/>
  <c r="B445" i="135"/>
  <c r="E445" i="135" s="1"/>
  <c r="B425" i="136"/>
  <c r="E425" i="136" s="1"/>
  <c r="B723" i="135"/>
  <c r="E723" i="135" s="1"/>
  <c r="B704" i="136"/>
  <c r="E704" i="136" s="1"/>
  <c r="B755" i="135"/>
  <c r="E755" i="135" s="1"/>
  <c r="B720" i="136"/>
  <c r="E720" i="136" s="1"/>
  <c r="B676" i="135"/>
  <c r="E676" i="135" s="1"/>
  <c r="B651" i="136"/>
  <c r="E651" i="136" s="1"/>
  <c r="B750" i="135"/>
  <c r="E750" i="135" s="1"/>
  <c r="B731" i="136"/>
  <c r="E731" i="136" s="1"/>
  <c r="B689" i="135"/>
  <c r="E689" i="135" s="1"/>
  <c r="B670" i="136"/>
  <c r="E670" i="136" s="1"/>
  <c r="B680" i="135"/>
  <c r="E680" i="135" s="1"/>
  <c r="B653" i="136"/>
  <c r="E653" i="136" s="1"/>
  <c r="B683" i="135"/>
  <c r="E683" i="135" s="1"/>
  <c r="B664" i="136"/>
  <c r="E664" i="136" s="1"/>
  <c r="B728" i="135"/>
  <c r="E728" i="135" s="1"/>
  <c r="B692" i="136"/>
  <c r="E692" i="136" s="1"/>
  <c r="B784" i="135"/>
  <c r="E784" i="135" s="1"/>
  <c r="B722" i="136"/>
  <c r="E722" i="136" s="1"/>
  <c r="B687" i="135"/>
  <c r="E687" i="135" s="1"/>
  <c r="B668" i="136"/>
  <c r="E668" i="136" s="1"/>
  <c r="B670" i="134"/>
  <c r="E670" i="134" s="1"/>
  <c r="B665" i="135"/>
  <c r="E665" i="135" s="1"/>
  <c r="Z107" i="35"/>
  <c r="B107" i="35" s="1"/>
  <c r="C9" i="76" s="1"/>
  <c r="B86" i="134"/>
  <c r="E86" i="134" s="1"/>
  <c r="B445" i="134"/>
  <c r="E445" i="134" s="1"/>
  <c r="B731" i="134"/>
  <c r="E731" i="134" s="1"/>
  <c r="B647" i="134"/>
  <c r="E647" i="134" s="1"/>
  <c r="B757" i="134"/>
  <c r="E757" i="134" s="1"/>
  <c r="B698" i="134"/>
  <c r="E698" i="134" s="1"/>
  <c r="B648" i="134"/>
  <c r="E648" i="134" s="1"/>
  <c r="B692" i="134"/>
  <c r="E692" i="134" s="1"/>
  <c r="B681" i="134"/>
  <c r="E681" i="134" s="1"/>
  <c r="B700" i="134"/>
  <c r="E700" i="134" s="1"/>
  <c r="B696" i="134"/>
  <c r="E696" i="134" s="1"/>
  <c r="B699" i="134"/>
  <c r="B22" i="131"/>
  <c r="B41" i="131" s="1"/>
  <c r="B60" i="131" s="1"/>
  <c r="B79" i="131" s="1"/>
  <c r="B23" i="131"/>
  <c r="B42" i="131" s="1"/>
  <c r="B61" i="131" s="1"/>
  <c r="B80" i="131" s="1"/>
  <c r="B24" i="131"/>
  <c r="B43" i="131" s="1"/>
  <c r="B62" i="131" s="1"/>
  <c r="B81" i="131" s="1"/>
  <c r="B25" i="131"/>
  <c r="B44" i="131" s="1"/>
  <c r="B63" i="131" s="1"/>
  <c r="B82" i="131" s="1"/>
  <c r="B26" i="131"/>
  <c r="B45" i="131" s="1"/>
  <c r="B64" i="131" s="1"/>
  <c r="B83" i="131" s="1"/>
  <c r="B27" i="131"/>
  <c r="B46" i="131" s="1"/>
  <c r="B65" i="131" s="1"/>
  <c r="B84" i="131" s="1"/>
  <c r="B28" i="131"/>
  <c r="B47" i="131" s="1"/>
  <c r="B66" i="131" s="1"/>
  <c r="B85" i="131" s="1"/>
  <c r="B29" i="131"/>
  <c r="B48" i="131" s="1"/>
  <c r="B67" i="131" s="1"/>
  <c r="B86" i="131" s="1"/>
  <c r="B30" i="131"/>
  <c r="B49" i="131" s="1"/>
  <c r="B68" i="131" s="1"/>
  <c r="B87" i="131" s="1"/>
  <c r="B31" i="131"/>
  <c r="B50" i="131" s="1"/>
  <c r="B69" i="131" s="1"/>
  <c r="B88" i="131" s="1"/>
  <c r="B32" i="131"/>
  <c r="B51" i="131" s="1"/>
  <c r="B70" i="131" s="1"/>
  <c r="B89" i="131" s="1"/>
  <c r="B33" i="131"/>
  <c r="B52" i="131" s="1"/>
  <c r="B71" i="131" s="1"/>
  <c r="B90" i="131" s="1"/>
  <c r="B34" i="131"/>
  <c r="B53" i="131" s="1"/>
  <c r="B72" i="131" s="1"/>
  <c r="B91" i="131" s="1"/>
  <c r="B35" i="131"/>
  <c r="B54" i="131" s="1"/>
  <c r="B73" i="131" s="1"/>
  <c r="B92" i="131" s="1"/>
  <c r="B21" i="131"/>
  <c r="B40" i="131" s="1"/>
  <c r="B59" i="131" s="1"/>
  <c r="B78" i="131" s="1"/>
  <c r="D180" i="107"/>
  <c r="H180" i="107" s="1"/>
  <c r="G10" i="107"/>
  <c r="E64" i="135" l="1"/>
  <c r="E93" i="135"/>
  <c r="E699" i="134"/>
  <c r="BG21" i="28"/>
  <c r="B715" i="119" s="1" a="1"/>
  <c r="B715" i="119" s="1"/>
  <c r="E715" i="119" s="1"/>
  <c r="B791" i="135" l="1"/>
  <c r="E791" i="135" s="1"/>
  <c r="B770" i="136"/>
  <c r="E770" i="136" s="1"/>
  <c r="B747" i="134"/>
  <c r="E747" i="134" s="1"/>
  <c r="D35" i="35"/>
  <c r="E35" i="35"/>
  <c r="F35" i="35"/>
  <c r="G35" i="35"/>
  <c r="B49" i="134" s="1"/>
  <c r="E49" i="134" s="1"/>
  <c r="D17" i="35"/>
  <c r="C17" i="35"/>
  <c r="H17" i="35"/>
  <c r="I17" i="35"/>
  <c r="J17" i="35"/>
  <c r="K17" i="35"/>
  <c r="L17" i="35"/>
  <c r="M17" i="35"/>
  <c r="N17" i="35"/>
  <c r="O17" i="35"/>
  <c r="P17" i="35"/>
  <c r="Q17" i="35"/>
  <c r="F17" i="35"/>
  <c r="G17" i="35"/>
  <c r="H35" i="35"/>
  <c r="I35" i="35"/>
  <c r="J35" i="35"/>
  <c r="K35" i="35"/>
  <c r="C35" i="35"/>
  <c r="B25" i="134" l="1"/>
  <c r="E25" i="134" s="1"/>
  <c r="B26" i="119"/>
  <c r="E26" i="119" s="1"/>
  <c r="B28" i="134"/>
  <c r="B25" i="119"/>
  <c r="B26" i="134"/>
  <c r="E26" i="134" s="1"/>
  <c r="B25" i="136"/>
  <c r="B26" i="135"/>
  <c r="B27" i="134"/>
  <c r="E27" i="134" s="1"/>
  <c r="B26" i="136"/>
  <c r="E26" i="136" s="1"/>
  <c r="B27" i="135"/>
  <c r="E27" i="135" s="1"/>
  <c r="B52" i="134"/>
  <c r="E52" i="134" s="1"/>
  <c r="B49" i="136"/>
  <c r="E49" i="136" s="1"/>
  <c r="B52" i="135"/>
  <c r="E52" i="135" s="1"/>
  <c r="B54" i="134"/>
  <c r="E54" i="134" s="1"/>
  <c r="B51" i="136"/>
  <c r="E51" i="136" s="1"/>
  <c r="B54" i="135"/>
  <c r="E54" i="135" s="1"/>
  <c r="B53" i="134"/>
  <c r="E53" i="134" s="1"/>
  <c r="B50" i="136"/>
  <c r="E50" i="136" s="1"/>
  <c r="B53" i="135"/>
  <c r="E53" i="135" s="1"/>
  <c r="B56" i="134"/>
  <c r="E56" i="134" s="1"/>
  <c r="B53" i="136"/>
  <c r="E53" i="136" s="1"/>
  <c r="B56" i="135"/>
  <c r="E56" i="135" s="1"/>
  <c r="B51" i="134"/>
  <c r="E51" i="134" s="1"/>
  <c r="B48" i="136"/>
  <c r="E48" i="136" s="1"/>
  <c r="B51" i="135"/>
  <c r="E51" i="135" s="1"/>
  <c r="B48" i="134"/>
  <c r="E48" i="134" s="1"/>
  <c r="B46" i="136"/>
  <c r="B48" i="135"/>
  <c r="B55" i="134"/>
  <c r="E55" i="134" s="1"/>
  <c r="B52" i="136"/>
  <c r="E52" i="136" s="1"/>
  <c r="B55" i="135"/>
  <c r="E55" i="135" s="1"/>
  <c r="B50" i="134"/>
  <c r="E50" i="134" s="1"/>
  <c r="B47" i="136"/>
  <c r="E47" i="136" s="1"/>
  <c r="B50" i="135"/>
  <c r="E50" i="135" s="1"/>
  <c r="E28" i="134"/>
  <c r="U71" i="35"/>
  <c r="B30" i="134" l="1"/>
  <c r="B88" i="119" a="1"/>
  <c r="B88" i="119" s="1"/>
  <c r="E88" i="119" s="1"/>
  <c r="B70" i="136"/>
  <c r="E70" i="136" s="1"/>
  <c r="B83" i="135"/>
  <c r="E83" i="135" s="1"/>
  <c r="E26" i="135"/>
  <c r="E25" i="136"/>
  <c r="B28" i="136"/>
  <c r="B58" i="134"/>
  <c r="E48" i="135"/>
  <c r="B58" i="135"/>
  <c r="E46" i="136"/>
  <c r="B55" i="136"/>
  <c r="B83" i="134"/>
  <c r="E83" i="134" s="1"/>
  <c r="E36" i="133"/>
  <c r="Q55" i="131"/>
  <c r="BK21" i="28"/>
  <c r="B719" i="119" s="1" a="1"/>
  <c r="B719" i="119" s="1"/>
  <c r="E719" i="119" s="1"/>
  <c r="K21" i="28"/>
  <c r="B34" i="35"/>
  <c r="B70" i="35" s="1"/>
  <c r="B88" i="35" s="1"/>
  <c r="B33" i="35"/>
  <c r="B69" i="35" s="1"/>
  <c r="B87" i="35" s="1"/>
  <c r="B32" i="35"/>
  <c r="B68" i="35" s="1"/>
  <c r="B86" i="35" s="1"/>
  <c r="B31" i="35"/>
  <c r="B67" i="35" s="1"/>
  <c r="B85" i="35" s="1"/>
  <c r="B30" i="35"/>
  <c r="B66" i="35" s="1"/>
  <c r="B84" i="35" s="1"/>
  <c r="B29" i="35"/>
  <c r="B65" i="35" s="1"/>
  <c r="B83" i="35" s="1"/>
  <c r="B28" i="35"/>
  <c r="B64" i="35" s="1"/>
  <c r="B82" i="35" s="1"/>
  <c r="B27" i="35"/>
  <c r="B63" i="35" s="1"/>
  <c r="B81" i="35" s="1"/>
  <c r="B26" i="35"/>
  <c r="B62" i="35" s="1"/>
  <c r="B80" i="35" s="1"/>
  <c r="B25" i="35"/>
  <c r="B61" i="35" s="1"/>
  <c r="B79" i="35" s="1"/>
  <c r="B24" i="35"/>
  <c r="B60" i="35" s="1"/>
  <c r="B78" i="35" s="1"/>
  <c r="B23" i="35"/>
  <c r="B59" i="35" s="1"/>
  <c r="B77" i="35" s="1"/>
  <c r="B22" i="35"/>
  <c r="B58" i="35" s="1"/>
  <c r="B76" i="35" s="1"/>
  <c r="B21" i="35"/>
  <c r="B57" i="35" s="1"/>
  <c r="B75" i="35" s="1"/>
  <c r="B20" i="35"/>
  <c r="B56" i="35" s="1"/>
  <c r="B74" i="35" s="1"/>
  <c r="B35" i="31"/>
  <c r="B53" i="31" s="1"/>
  <c r="B34" i="31"/>
  <c r="B52" i="31" s="1"/>
  <c r="B33" i="31"/>
  <c r="B51" i="31" s="1"/>
  <c r="B32" i="31"/>
  <c r="B50" i="31" s="1"/>
  <c r="B31" i="31"/>
  <c r="B49" i="31" s="1"/>
  <c r="B30" i="31"/>
  <c r="B48" i="31" s="1"/>
  <c r="B29" i="31"/>
  <c r="B47" i="31" s="1"/>
  <c r="B28" i="31"/>
  <c r="B46" i="31" s="1"/>
  <c r="B27" i="31"/>
  <c r="B45" i="31" s="1"/>
  <c r="B26" i="31"/>
  <c r="B44" i="31" s="1"/>
  <c r="B25" i="31"/>
  <c r="B43" i="31" s="1"/>
  <c r="B24" i="31"/>
  <c r="B42" i="31" s="1"/>
  <c r="B23" i="31"/>
  <c r="B41" i="31" s="1"/>
  <c r="B22" i="31"/>
  <c r="B40" i="31" s="1"/>
  <c r="B21" i="31"/>
  <c r="B39" i="31" s="1"/>
  <c r="B25" i="28"/>
  <c r="B43" i="28" s="1"/>
  <c r="B61" i="28" s="1"/>
  <c r="B79" i="28" s="1"/>
  <c r="B97" i="28" s="1"/>
  <c r="B115" i="28" s="1"/>
  <c r="B133" i="28" s="1"/>
  <c r="B151" i="28" s="1"/>
  <c r="B169" i="28" s="1"/>
  <c r="B187" i="28" s="1"/>
  <c r="B205" i="28" s="1"/>
  <c r="B313" i="28" s="1"/>
  <c r="B331" i="28" s="1"/>
  <c r="B26" i="28"/>
  <c r="B44" i="28" s="1"/>
  <c r="B62" i="28" s="1"/>
  <c r="B80" i="28" s="1"/>
  <c r="B98" i="28" s="1"/>
  <c r="B116" i="28" s="1"/>
  <c r="B134" i="28" s="1"/>
  <c r="B152" i="28" s="1"/>
  <c r="B170" i="28" s="1"/>
  <c r="B188" i="28" s="1"/>
  <c r="B206" i="28" s="1"/>
  <c r="B314" i="28" s="1"/>
  <c r="B332" i="28" s="1"/>
  <c r="B27" i="28"/>
  <c r="B45" i="28" s="1"/>
  <c r="B63" i="28" s="1"/>
  <c r="B81" i="28" s="1"/>
  <c r="B99" i="28" s="1"/>
  <c r="B117" i="28" s="1"/>
  <c r="B135" i="28" s="1"/>
  <c r="B153" i="28" s="1"/>
  <c r="B171" i="28" s="1"/>
  <c r="B189" i="28" s="1"/>
  <c r="B207" i="28" s="1"/>
  <c r="B28" i="28"/>
  <c r="B46" i="28" s="1"/>
  <c r="B64" i="28" s="1"/>
  <c r="B82" i="28" s="1"/>
  <c r="B100" i="28" s="1"/>
  <c r="B118" i="28" s="1"/>
  <c r="B136" i="28" s="1"/>
  <c r="B154" i="28" s="1"/>
  <c r="B172" i="28" s="1"/>
  <c r="B190" i="28" s="1"/>
  <c r="B208" i="28" s="1"/>
  <c r="B316" i="28" s="1"/>
  <c r="B334" i="28" s="1"/>
  <c r="B29" i="28"/>
  <c r="B47" i="28" s="1"/>
  <c r="B65" i="28" s="1"/>
  <c r="B83" i="28" s="1"/>
  <c r="B101" i="28" s="1"/>
  <c r="B119" i="28" s="1"/>
  <c r="B137" i="28" s="1"/>
  <c r="B155" i="28" s="1"/>
  <c r="B173" i="28" s="1"/>
  <c r="B191" i="28" s="1"/>
  <c r="B209" i="28" s="1"/>
  <c r="B317" i="28" s="1"/>
  <c r="B335" i="28" s="1"/>
  <c r="B30" i="28"/>
  <c r="B48" i="28" s="1"/>
  <c r="B66" i="28" s="1"/>
  <c r="B84" i="28" s="1"/>
  <c r="B102" i="28" s="1"/>
  <c r="B120" i="28" s="1"/>
  <c r="B138" i="28" s="1"/>
  <c r="B156" i="28" s="1"/>
  <c r="B174" i="28" s="1"/>
  <c r="B192" i="28" s="1"/>
  <c r="B210" i="28" s="1"/>
  <c r="B31" i="28"/>
  <c r="B49" i="28" s="1"/>
  <c r="B67" i="28" s="1"/>
  <c r="B85" i="28" s="1"/>
  <c r="B103" i="28" s="1"/>
  <c r="B121" i="28" s="1"/>
  <c r="B139" i="28" s="1"/>
  <c r="B157" i="28" s="1"/>
  <c r="B175" i="28" s="1"/>
  <c r="B193" i="28" s="1"/>
  <c r="B211" i="28" s="1"/>
  <c r="B32" i="28"/>
  <c r="B50" i="28" s="1"/>
  <c r="B68" i="28" s="1"/>
  <c r="B86" i="28" s="1"/>
  <c r="B104" i="28" s="1"/>
  <c r="B122" i="28" s="1"/>
  <c r="B140" i="28" s="1"/>
  <c r="B158" i="28" s="1"/>
  <c r="B176" i="28" s="1"/>
  <c r="B194" i="28" s="1"/>
  <c r="B212" i="28" s="1"/>
  <c r="B320" i="28" s="1"/>
  <c r="B338" i="28" s="1"/>
  <c r="B33" i="28"/>
  <c r="B51" i="28" s="1"/>
  <c r="B69" i="28" s="1"/>
  <c r="B87" i="28" s="1"/>
  <c r="B105" i="28" s="1"/>
  <c r="B123" i="28" s="1"/>
  <c r="B141" i="28" s="1"/>
  <c r="B159" i="28" s="1"/>
  <c r="B177" i="28" s="1"/>
  <c r="B195" i="28" s="1"/>
  <c r="B213" i="28" s="1"/>
  <c r="B321" i="28" s="1"/>
  <c r="B339" i="28" s="1"/>
  <c r="B34" i="28"/>
  <c r="B52" i="28" s="1"/>
  <c r="B70" i="28" s="1"/>
  <c r="B88" i="28" s="1"/>
  <c r="B106" i="28" s="1"/>
  <c r="B124" i="28" s="1"/>
  <c r="B142" i="28" s="1"/>
  <c r="B160" i="28" s="1"/>
  <c r="B178" i="28" s="1"/>
  <c r="B196" i="28" s="1"/>
  <c r="B214" i="28" s="1"/>
  <c r="B322" i="28" s="1"/>
  <c r="B340" i="28" s="1"/>
  <c r="B35" i="28"/>
  <c r="B53" i="28" s="1"/>
  <c r="B71" i="28" s="1"/>
  <c r="B89" i="28" s="1"/>
  <c r="B107" i="28" s="1"/>
  <c r="B125" i="28" s="1"/>
  <c r="B143" i="28" s="1"/>
  <c r="B161" i="28" s="1"/>
  <c r="B179" i="28" s="1"/>
  <c r="B197" i="28" s="1"/>
  <c r="B215" i="28" s="1"/>
  <c r="B36" i="28"/>
  <c r="B54" i="28" s="1"/>
  <c r="B72" i="28" s="1"/>
  <c r="B90" i="28" s="1"/>
  <c r="B108" i="28" s="1"/>
  <c r="B126" i="28" s="1"/>
  <c r="B144" i="28" s="1"/>
  <c r="B162" i="28" s="1"/>
  <c r="B180" i="28" s="1"/>
  <c r="B198" i="28" s="1"/>
  <c r="B216" i="28" s="1"/>
  <c r="B324" i="28" s="1"/>
  <c r="B342" i="28" s="1"/>
  <c r="B37" i="28"/>
  <c r="B55" i="28" s="1"/>
  <c r="B73" i="28" s="1"/>
  <c r="B91" i="28" s="1"/>
  <c r="B109" i="28" s="1"/>
  <c r="B127" i="28" s="1"/>
  <c r="B145" i="28" s="1"/>
  <c r="B163" i="28" s="1"/>
  <c r="B181" i="28" s="1"/>
  <c r="B199" i="28" s="1"/>
  <c r="B217" i="28" s="1"/>
  <c r="B325" i="28" s="1"/>
  <c r="B343" i="28" s="1"/>
  <c r="B38" i="28"/>
  <c r="B56" i="28" s="1"/>
  <c r="B74" i="28" s="1"/>
  <c r="B92" i="28" s="1"/>
  <c r="B110" i="28" s="1"/>
  <c r="B128" i="28" s="1"/>
  <c r="B146" i="28" s="1"/>
  <c r="B164" i="28" s="1"/>
  <c r="B182" i="28" s="1"/>
  <c r="B200" i="28" s="1"/>
  <c r="B218" i="28" s="1"/>
  <c r="B24" i="28"/>
  <c r="B42" i="28" s="1"/>
  <c r="B60" i="28" s="1"/>
  <c r="B78" i="28" s="1"/>
  <c r="B96" i="28" s="1"/>
  <c r="B114" i="28" s="1"/>
  <c r="B132" i="28" s="1"/>
  <c r="B150" i="28" s="1"/>
  <c r="B168" i="28" s="1"/>
  <c r="B186" i="28" s="1"/>
  <c r="B204" i="28" s="1"/>
  <c r="B312" i="28" s="1"/>
  <c r="B330" i="28" s="1"/>
  <c r="D89" i="107"/>
  <c r="B667" i="119" l="1" a="1"/>
  <c r="B667" i="119" s="1"/>
  <c r="E667" i="119" s="1"/>
  <c r="B642" i="135"/>
  <c r="E642" i="135" s="1"/>
  <c r="B623" i="136"/>
  <c r="E623" i="136" s="1"/>
  <c r="B690" i="135"/>
  <c r="E690" i="135" s="1"/>
  <c r="B667" i="136"/>
  <c r="E667" i="136" s="1"/>
  <c r="B644" i="134"/>
  <c r="E644" i="134" s="1"/>
  <c r="B667" i="134"/>
  <c r="E667" i="134" s="1"/>
  <c r="B135" i="35"/>
  <c r="B99" i="35"/>
  <c r="B132" i="35"/>
  <c r="B96" i="35"/>
  <c r="B140" i="35"/>
  <c r="B104" i="35"/>
  <c r="B129" i="35"/>
  <c r="B93" i="35"/>
  <c r="B133" i="35"/>
  <c r="B97" i="35"/>
  <c r="B137" i="35"/>
  <c r="B101" i="35"/>
  <c r="B141" i="35"/>
  <c r="B105" i="35"/>
  <c r="B131" i="35"/>
  <c r="B95" i="35"/>
  <c r="B139" i="35"/>
  <c r="B103" i="35"/>
  <c r="B128" i="35"/>
  <c r="B146" i="35" s="1"/>
  <c r="B182" i="35" s="1"/>
  <c r="B200" i="35" s="1"/>
  <c r="B92" i="35"/>
  <c r="B136" i="35"/>
  <c r="B100" i="35"/>
  <c r="B130" i="35"/>
  <c r="B94" i="35"/>
  <c r="B134" i="35"/>
  <c r="B98" i="35"/>
  <c r="B138" i="35"/>
  <c r="B102" i="35"/>
  <c r="B142" i="35"/>
  <c r="B106" i="35"/>
  <c r="B230" i="28"/>
  <c r="B248" i="28" s="1"/>
  <c r="B266" i="28" s="1"/>
  <c r="B284" i="28" s="1"/>
  <c r="B302" i="28" s="1"/>
  <c r="B319" i="28"/>
  <c r="B337" i="28" s="1"/>
  <c r="B229" i="28"/>
  <c r="B247" i="28" s="1"/>
  <c r="B265" i="28" s="1"/>
  <c r="B283" i="28" s="1"/>
  <c r="B301" i="28" s="1"/>
  <c r="B315" i="28"/>
  <c r="B333" i="28" s="1"/>
  <c r="B225" i="28"/>
  <c r="B243" i="28" s="1"/>
  <c r="B261" i="28" s="1"/>
  <c r="B279" i="28" s="1"/>
  <c r="B297" i="28" s="1"/>
  <c r="B323" i="28"/>
  <c r="B341" i="28" s="1"/>
  <c r="B233" i="28"/>
  <c r="B251" i="28" s="1"/>
  <c r="B269" i="28" s="1"/>
  <c r="B287" i="28" s="1"/>
  <c r="B305" i="28" s="1"/>
  <c r="B318" i="28"/>
  <c r="B336" i="28" s="1"/>
  <c r="B228" i="28"/>
  <c r="B246" i="28" s="1"/>
  <c r="B264" i="28" s="1"/>
  <c r="B282" i="28" s="1"/>
  <c r="B300" i="28" s="1"/>
  <c r="B326" i="28"/>
  <c r="B344" i="28" s="1"/>
  <c r="B236" i="28"/>
  <c r="B254" i="28" s="1"/>
  <c r="B272" i="28" s="1"/>
  <c r="B290" i="28" s="1"/>
  <c r="B308" i="28" s="1"/>
  <c r="B222" i="28"/>
  <c r="B240" i="28" s="1"/>
  <c r="B258" i="28" s="1"/>
  <c r="B276" i="28" s="1"/>
  <c r="B294" i="28" s="1"/>
  <c r="B223" i="28"/>
  <c r="B241" i="28" s="1"/>
  <c r="B259" i="28" s="1"/>
  <c r="B277" i="28" s="1"/>
  <c r="B295" i="28" s="1"/>
  <c r="B231" i="28"/>
  <c r="B249" i="28" s="1"/>
  <c r="B267" i="28" s="1"/>
  <c r="B285" i="28" s="1"/>
  <c r="B303" i="28" s="1"/>
  <c r="B224" i="28"/>
  <c r="B242" i="28" s="1"/>
  <c r="B260" i="28" s="1"/>
  <c r="B278" i="28" s="1"/>
  <c r="B296" i="28" s="1"/>
  <c r="B232" i="28"/>
  <c r="B250" i="28" s="1"/>
  <c r="B268" i="28" s="1"/>
  <c r="B286" i="28" s="1"/>
  <c r="B304" i="28" s="1"/>
  <c r="B226" i="28"/>
  <c r="B244" i="28" s="1"/>
  <c r="B262" i="28" s="1"/>
  <c r="B280" i="28" s="1"/>
  <c r="B298" i="28" s="1"/>
  <c r="B234" i="28"/>
  <c r="B252" i="28" s="1"/>
  <c r="B270" i="28" s="1"/>
  <c r="B288" i="28" s="1"/>
  <c r="B306" i="28" s="1"/>
  <c r="B227" i="28"/>
  <c r="B245" i="28" s="1"/>
  <c r="B263" i="28" s="1"/>
  <c r="B281" i="28" s="1"/>
  <c r="B299" i="28" s="1"/>
  <c r="B235" i="28"/>
  <c r="B253" i="28" s="1"/>
  <c r="B271" i="28" s="1"/>
  <c r="B289" i="28" s="1"/>
  <c r="B307" i="28" s="1"/>
  <c r="G187" i="107"/>
  <c r="G186" i="107"/>
  <c r="G185" i="107"/>
  <c r="G184" i="107"/>
  <c r="AP129" i="28"/>
  <c r="B185" i="35" l="1"/>
  <c r="B203" i="35" s="1"/>
  <c r="B149" i="35"/>
  <c r="B183" i="35"/>
  <c r="B201" i="35" s="1"/>
  <c r="B147" i="35"/>
  <c r="B188" i="35"/>
  <c r="B206" i="35" s="1"/>
  <c r="B152" i="35"/>
  <c r="B193" i="35"/>
  <c r="B211" i="35" s="1"/>
  <c r="B157" i="35"/>
  <c r="B187" i="35"/>
  <c r="B205" i="35" s="1"/>
  <c r="B151" i="35"/>
  <c r="B189" i="35"/>
  <c r="B207" i="35" s="1"/>
  <c r="B153" i="35"/>
  <c r="B196" i="35"/>
  <c r="B214" i="35" s="1"/>
  <c r="B160" i="35"/>
  <c r="B190" i="35"/>
  <c r="B208" i="35" s="1"/>
  <c r="B154" i="35"/>
  <c r="B195" i="35"/>
  <c r="B213" i="35" s="1"/>
  <c r="B159" i="35"/>
  <c r="B194" i="35"/>
  <c r="B212" i="35" s="1"/>
  <c r="B158" i="35"/>
  <c r="B184" i="35"/>
  <c r="B202" i="35" s="1"/>
  <c r="B148" i="35"/>
  <c r="B192" i="35"/>
  <c r="B210" i="35" s="1"/>
  <c r="B156" i="35"/>
  <c r="B191" i="35"/>
  <c r="B209" i="35" s="1"/>
  <c r="B155" i="35"/>
  <c r="B186" i="35"/>
  <c r="B204" i="35" s="1"/>
  <c r="B150" i="35"/>
  <c r="D189" i="107"/>
  <c r="H189" i="107" s="1"/>
  <c r="DK21" i="28" l="1"/>
  <c r="B771" i="119" s="1" a="1"/>
  <c r="B771" i="119" s="1"/>
  <c r="E771" i="119" s="1"/>
  <c r="B714" i="136" l="1"/>
  <c r="E714" i="136" s="1"/>
  <c r="B741" i="134"/>
  <c r="E741" i="134" s="1"/>
  <c r="B733" i="135"/>
  <c r="E733" i="135" s="1"/>
  <c r="L71" i="35" l="1"/>
  <c r="B79" i="119" l="1" a="1"/>
  <c r="B79" i="119" s="1"/>
  <c r="E79" i="119" s="1"/>
  <c r="B85" i="134"/>
  <c r="E85" i="134" s="1"/>
  <c r="B85" i="135"/>
  <c r="E85" i="135" s="1"/>
  <c r="B71" i="136"/>
  <c r="E71" i="136" s="1"/>
  <c r="L57" i="28"/>
  <c r="I57" i="28"/>
  <c r="B567" i="136" l="1"/>
  <c r="E567" i="136" s="1"/>
  <c r="B562" i="136"/>
  <c r="E562" i="136" s="1"/>
  <c r="B583" i="134"/>
  <c r="E583" i="134" s="1"/>
  <c r="B581" i="135"/>
  <c r="E581" i="135" s="1"/>
  <c r="B588" i="134"/>
  <c r="E588" i="134" s="1"/>
  <c r="B586" i="135"/>
  <c r="E586" i="135" s="1"/>
  <c r="B600" i="119"/>
  <c r="E600" i="119" s="1"/>
  <c r="B605" i="119"/>
  <c r="E605" i="119" s="1"/>
  <c r="B4" i="22"/>
  <c r="B5" i="22" s="1"/>
  <c r="B6" i="22" s="1"/>
  <c r="B7" i="22" s="1"/>
  <c r="B8" i="22" s="1"/>
  <c r="B9" i="22" s="1"/>
  <c r="B10" i="22" s="1"/>
  <c r="B11" i="22" s="1"/>
  <c r="B12" i="22" s="1"/>
  <c r="B13" i="22" s="1"/>
  <c r="B14" i="22" s="1"/>
  <c r="B15" i="22" s="1"/>
  <c r="B16" i="22" s="1"/>
  <c r="B17" i="22" s="1"/>
  <c r="B18" i="22" s="1"/>
  <c r="B19" i="22" s="1"/>
  <c r="B20" i="22" s="1"/>
  <c r="B21" i="22" s="1"/>
  <c r="B22" i="22" s="1"/>
  <c r="B23" i="22" s="1"/>
  <c r="B24" i="22" s="1"/>
  <c r="B25" i="22" s="1"/>
  <c r="B26" i="22" s="1"/>
  <c r="B27" i="22" s="1"/>
  <c r="B28" i="22" s="1"/>
  <c r="B29" i="22" s="1"/>
  <c r="B30" i="22" s="1"/>
  <c r="B31" i="22" s="1"/>
  <c r="B32" i="22" s="1"/>
  <c r="B33" i="22" s="1"/>
  <c r="B34" i="22" s="1"/>
  <c r="B35" i="22" s="1"/>
  <c r="B36" i="22" s="1"/>
  <c r="B37" i="22" s="1"/>
  <c r="B38" i="22" s="1"/>
  <c r="B39" i="22" s="1"/>
  <c r="B40" i="22" s="1"/>
  <c r="B41" i="22" s="1"/>
  <c r="B42" i="22" s="1"/>
  <c r="B43" i="22" s="1"/>
  <c r="B44" i="22" s="1"/>
  <c r="B45" i="22" s="1"/>
  <c r="B46" i="22" s="1"/>
  <c r="B47" i="22" s="1"/>
  <c r="B48" i="22" s="1"/>
  <c r="B49" i="22" s="1"/>
  <c r="B50" i="22" s="1"/>
  <c r="B51" i="22" s="1"/>
  <c r="B52" i="22" s="1"/>
  <c r="B53" i="22" s="1"/>
  <c r="B54" i="22" s="1"/>
  <c r="B55" i="22" s="1"/>
  <c r="B56" i="22" s="1"/>
  <c r="B57" i="22" s="1"/>
  <c r="B58" i="22" s="1"/>
  <c r="B59" i="22" s="1"/>
  <c r="B60" i="22" s="1"/>
  <c r="B61" i="22" s="1"/>
  <c r="B62" i="22" s="1"/>
  <c r="B63" i="22" s="1"/>
  <c r="B64" i="22" s="1"/>
  <c r="B65" i="22" s="1"/>
  <c r="B66" i="22" s="1"/>
  <c r="B67" i="22" s="1"/>
  <c r="B68" i="22" s="1"/>
  <c r="B69" i="22" s="1"/>
  <c r="B70" i="22" s="1"/>
  <c r="B71" i="22" s="1"/>
  <c r="B72" i="22" s="1"/>
  <c r="B73" i="22" s="1"/>
  <c r="B74" i="22" s="1"/>
  <c r="B75" i="22" s="1"/>
  <c r="B76" i="22" s="1"/>
  <c r="B77" i="22" s="1"/>
  <c r="B78" i="22" s="1"/>
  <c r="B79" i="22" s="1"/>
  <c r="B80" i="22" s="1"/>
  <c r="B81" i="22" s="1"/>
  <c r="B82" i="22" s="1"/>
  <c r="B83" i="22" s="1"/>
  <c r="B84" i="22" s="1"/>
  <c r="B85" i="22" s="1"/>
  <c r="B86" i="22" s="1"/>
  <c r="B87" i="22" s="1"/>
  <c r="B88" i="22" s="1"/>
  <c r="B89" i="22" s="1"/>
  <c r="B90" i="22" s="1"/>
  <c r="B91" i="22" s="1"/>
  <c r="B92" i="22" s="1"/>
  <c r="B93" i="22" s="1"/>
  <c r="B94" i="22" s="1"/>
  <c r="B95" i="22" s="1"/>
  <c r="B96" i="22" s="1"/>
  <c r="B97" i="22" s="1"/>
  <c r="B98" i="22" s="1"/>
  <c r="B99" i="22" s="1"/>
  <c r="B100" i="22" s="1"/>
  <c r="B101" i="22" s="1"/>
  <c r="B102" i="22" s="1"/>
  <c r="B103" i="22" s="1"/>
  <c r="B104" i="22" s="1"/>
  <c r="B105" i="22" s="1"/>
  <c r="B106" i="22" s="1"/>
  <c r="B107" i="22" s="1"/>
  <c r="B108" i="22" s="1"/>
  <c r="B109" i="22" s="1"/>
  <c r="B110" i="22" s="1"/>
  <c r="B111" i="22" s="1"/>
  <c r="B112" i="22" s="1"/>
  <c r="B113" i="22" s="1"/>
  <c r="B114" i="22" s="1"/>
  <c r="B115" i="22" s="1"/>
  <c r="B116" i="22" s="1"/>
  <c r="B117" i="22" s="1"/>
  <c r="B118" i="22" s="1"/>
  <c r="B119" i="22" s="1"/>
  <c r="B120" i="22" s="1"/>
  <c r="B121" i="22" s="1"/>
  <c r="B122" i="22" s="1"/>
  <c r="B123" i="22" s="1"/>
  <c r="B124" i="22" s="1"/>
  <c r="B125" i="22" s="1"/>
  <c r="B126" i="22" s="1"/>
  <c r="B127" i="22" s="1"/>
  <c r="B128" i="22" s="1"/>
  <c r="B129" i="22" s="1"/>
  <c r="B130" i="22" s="1"/>
  <c r="B131" i="22" s="1"/>
  <c r="B132" i="22" s="1"/>
  <c r="B133" i="22" s="1"/>
  <c r="B134" i="22" s="1"/>
  <c r="B135" i="22" s="1"/>
  <c r="B136" i="22" s="1"/>
  <c r="B137" i="22" s="1"/>
  <c r="B138" i="22" s="1"/>
  <c r="B139" i="22" s="1"/>
  <c r="B140" i="22" s="1"/>
  <c r="B141" i="22" s="1"/>
  <c r="B142" i="22" s="1"/>
  <c r="B143" i="22" s="1"/>
  <c r="B144" i="22" s="1"/>
  <c r="B145" i="22" s="1"/>
  <c r="B146" i="22" s="1"/>
  <c r="B147" i="22" s="1"/>
  <c r="B148" i="22" s="1"/>
  <c r="B149" i="22" s="1"/>
  <c r="B150" i="22" s="1"/>
  <c r="E231" i="40"/>
  <c r="E230" i="40"/>
  <c r="E229" i="40"/>
  <c r="E228" i="40"/>
  <c r="E227" i="40"/>
  <c r="E226" i="40"/>
  <c r="E225" i="40"/>
  <c r="E224" i="40"/>
  <c r="E223" i="40"/>
  <c r="E222" i="40"/>
  <c r="E221" i="40"/>
  <c r="E220" i="40"/>
  <c r="E219" i="40"/>
  <c r="E218" i="40"/>
  <c r="E217" i="40"/>
  <c r="E216" i="40"/>
  <c r="E215" i="40"/>
  <c r="E214" i="40"/>
  <c r="E213" i="40"/>
  <c r="E212" i="40"/>
  <c r="E211" i="40"/>
  <c r="E210" i="40"/>
  <c r="E209" i="40"/>
  <c r="E208" i="40"/>
  <c r="E207" i="40"/>
  <c r="E206" i="40"/>
  <c r="E205" i="40"/>
  <c r="E204" i="40"/>
  <c r="E203" i="40"/>
  <c r="E202" i="40"/>
  <c r="E201" i="40"/>
  <c r="E200" i="40"/>
  <c r="E199" i="40"/>
  <c r="E198" i="40"/>
  <c r="E197" i="40"/>
  <c r="E196" i="40"/>
  <c r="E195" i="40"/>
  <c r="E194" i="40"/>
  <c r="E193" i="40"/>
  <c r="E192" i="40"/>
  <c r="E191" i="40"/>
  <c r="E190" i="40"/>
  <c r="E189" i="40"/>
  <c r="E188" i="40"/>
  <c r="E187" i="40"/>
  <c r="E186" i="40"/>
  <c r="E185" i="40"/>
  <c r="E184" i="40"/>
  <c r="E183" i="40"/>
  <c r="E182" i="40"/>
  <c r="E181" i="40"/>
  <c r="E180" i="40"/>
  <c r="E179" i="40"/>
  <c r="E178" i="40"/>
  <c r="E177" i="40"/>
  <c r="E176" i="40"/>
  <c r="E175" i="40"/>
  <c r="E174" i="40"/>
  <c r="E173" i="40"/>
  <c r="E172" i="40"/>
  <c r="E171" i="40"/>
  <c r="E170" i="40"/>
  <c r="E169" i="40"/>
  <c r="E168" i="40"/>
  <c r="E167" i="40"/>
  <c r="E166" i="40"/>
  <c r="E165" i="40"/>
  <c r="E164" i="40"/>
  <c r="E163" i="40"/>
  <c r="E162" i="40"/>
  <c r="E161" i="40"/>
  <c r="E160" i="40"/>
  <c r="E159" i="40"/>
  <c r="E158" i="40"/>
  <c r="E157" i="40"/>
  <c r="E156" i="40"/>
  <c r="E155" i="40"/>
  <c r="E154" i="40"/>
  <c r="E153" i="40"/>
  <c r="E152" i="40"/>
  <c r="E151" i="40"/>
  <c r="E150" i="40"/>
  <c r="E149" i="40"/>
  <c r="E148" i="40"/>
  <c r="E147" i="40"/>
  <c r="E146" i="40"/>
  <c r="E145" i="40"/>
  <c r="E144" i="40"/>
  <c r="E143" i="40"/>
  <c r="E142" i="40"/>
  <c r="E141" i="40"/>
  <c r="E140" i="40"/>
  <c r="E139" i="40"/>
  <c r="E138" i="40"/>
  <c r="E137" i="40"/>
  <c r="E136" i="40"/>
  <c r="E135" i="40"/>
  <c r="E134" i="40"/>
  <c r="E133" i="40"/>
  <c r="E132" i="40"/>
  <c r="E131" i="40"/>
  <c r="E130" i="40"/>
  <c r="E129" i="40"/>
  <c r="E128" i="40"/>
  <c r="E127" i="40"/>
  <c r="E126" i="40"/>
  <c r="E125" i="40"/>
  <c r="E124" i="40"/>
  <c r="E123" i="40"/>
  <c r="E122" i="40"/>
  <c r="E121" i="40"/>
  <c r="E120" i="40"/>
  <c r="E119" i="40"/>
  <c r="E118" i="40"/>
  <c r="E117" i="40"/>
  <c r="E116" i="40"/>
  <c r="E115" i="40"/>
  <c r="E114" i="40"/>
  <c r="E113" i="40"/>
  <c r="E112" i="40"/>
  <c r="E111" i="40"/>
  <c r="E110" i="40"/>
  <c r="E109" i="40"/>
  <c r="E108" i="40"/>
  <c r="E107" i="40"/>
  <c r="E106" i="40"/>
  <c r="E105" i="40"/>
  <c r="E104" i="40"/>
  <c r="E103" i="40"/>
  <c r="E102" i="40"/>
  <c r="E101" i="40"/>
  <c r="E100" i="40"/>
  <c r="E99" i="40"/>
  <c r="E98" i="40"/>
  <c r="E97" i="40"/>
  <c r="E96" i="40"/>
  <c r="E95" i="40"/>
  <c r="E94" i="40"/>
  <c r="E93" i="40"/>
  <c r="E92" i="40"/>
  <c r="E91" i="40"/>
  <c r="E90" i="40"/>
  <c r="E89" i="40"/>
  <c r="E88" i="40"/>
  <c r="E87" i="40"/>
  <c r="E86" i="40"/>
  <c r="E85" i="40"/>
  <c r="E84" i="40"/>
  <c r="E83" i="40"/>
  <c r="E82" i="40"/>
  <c r="E81" i="40"/>
  <c r="E80" i="40"/>
  <c r="E79" i="40"/>
  <c r="E78" i="40"/>
  <c r="E77" i="40"/>
  <c r="E76" i="40"/>
  <c r="E75" i="40"/>
  <c r="E74" i="40"/>
  <c r="E73" i="40"/>
  <c r="E72" i="40"/>
  <c r="E71" i="40"/>
  <c r="E70" i="40"/>
  <c r="E69" i="40"/>
  <c r="E68" i="40"/>
  <c r="E67" i="40"/>
  <c r="E66" i="40"/>
  <c r="E65" i="40"/>
  <c r="E64" i="40"/>
  <c r="E63" i="40"/>
  <c r="E62" i="40"/>
  <c r="E61" i="40"/>
  <c r="E60" i="40"/>
  <c r="E59" i="40"/>
  <c r="E58" i="40"/>
  <c r="E57" i="40"/>
  <c r="E56" i="40"/>
  <c r="E55" i="40"/>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3" i="40"/>
  <c r="A3" i="40"/>
  <c r="A4" i="40" s="1"/>
  <c r="A5" i="40" s="1"/>
  <c r="A6" i="40" s="1"/>
  <c r="A7" i="40" s="1"/>
  <c r="A8" i="40" s="1"/>
  <c r="A10" i="40" s="1"/>
  <c r="A11" i="40" s="1"/>
  <c r="A12" i="40" s="1"/>
  <c r="A13" i="40" s="1"/>
  <c r="A14" i="40" s="1"/>
  <c r="A15" i="40" s="1"/>
  <c r="A16" i="40" s="1"/>
  <c r="A17" i="40" s="1"/>
  <c r="A18" i="40" s="1"/>
  <c r="A19" i="40" s="1"/>
  <c r="A21" i="40" s="1"/>
  <c r="A22" i="40" s="1"/>
  <c r="A23" i="40" s="1"/>
  <c r="A24" i="40" s="1"/>
  <c r="A25" i="40" s="1"/>
  <c r="A26" i="40" s="1"/>
  <c r="A27" i="40" s="1"/>
  <c r="A28" i="40" s="1"/>
  <c r="A29" i="40" s="1"/>
  <c r="A31" i="40" s="1"/>
  <c r="A33" i="40" s="1"/>
  <c r="A34" i="40" s="1"/>
  <c r="A35" i="40" s="1"/>
  <c r="A37" i="40" s="1"/>
  <c r="A38" i="40" s="1"/>
  <c r="A39" i="40" s="1"/>
  <c r="A40" i="40" s="1"/>
  <c r="A41" i="40" s="1"/>
  <c r="A42" i="40" s="1"/>
  <c r="A43" i="40" s="1"/>
  <c r="A44" i="40" s="1"/>
  <c r="A45" i="40" s="1"/>
  <c r="A46" i="40" s="1"/>
  <c r="A47" i="40" s="1"/>
  <c r="A48" i="40" s="1"/>
  <c r="A50" i="40" s="1"/>
  <c r="A51" i="40" s="1"/>
  <c r="A52" i="40" s="1"/>
  <c r="A54" i="40" s="1"/>
  <c r="A55" i="40" s="1"/>
  <c r="A57" i="40" s="1"/>
  <c r="A58" i="40" s="1"/>
  <c r="A59" i="40" s="1"/>
  <c r="A60" i="40" s="1"/>
  <c r="A62" i="40" s="1"/>
  <c r="A63" i="40" s="1"/>
  <c r="A65" i="40" s="1"/>
  <c r="A66" i="40" s="1"/>
  <c r="A70" i="40" s="1"/>
  <c r="A71" i="40" s="1"/>
  <c r="A74" i="40" s="1"/>
  <c r="A75" i="40" s="1"/>
  <c r="A77" i="40" s="1"/>
  <c r="A78" i="40" s="1"/>
  <c r="A79" i="40" s="1"/>
  <c r="A80" i="40" s="1"/>
  <c r="A81" i="40" s="1"/>
  <c r="A82" i="40" s="1"/>
  <c r="A83" i="40" s="1"/>
  <c r="A85" i="40" s="1"/>
  <c r="A86" i="40" s="1"/>
  <c r="A87" i="40" s="1"/>
  <c r="A88" i="40" s="1"/>
  <c r="A89" i="40" s="1"/>
  <c r="A91" i="40" s="1"/>
  <c r="A92" i="40" s="1"/>
  <c r="A93" i="40" s="1"/>
  <c r="A94" i="40" s="1"/>
  <c r="A95" i="40" s="1"/>
  <c r="A96" i="40" s="1"/>
  <c r="A97" i="40" s="1"/>
  <c r="A98" i="40" s="1"/>
  <c r="A99" i="40" s="1"/>
  <c r="A101" i="40" s="1"/>
  <c r="A102" i="40" s="1"/>
  <c r="A103" i="40" s="1"/>
  <c r="A104" i="40" s="1"/>
  <c r="A105" i="40" s="1"/>
  <c r="A108" i="40" s="1"/>
  <c r="A110" i="40" s="1"/>
  <c r="A112" i="40" s="1"/>
  <c r="A113" i="40" s="1"/>
  <c r="A114" i="40" s="1"/>
  <c r="A115" i="40" s="1"/>
  <c r="A116" i="40" s="1"/>
  <c r="A117" i="40" s="1"/>
  <c r="A118" i="40" s="1"/>
  <c r="A119" i="40" s="1"/>
  <c r="A120" i="40" s="1"/>
  <c r="A121" i="40" s="1"/>
  <c r="A122" i="40" s="1"/>
  <c r="A123" i="40" s="1"/>
  <c r="A124" i="40" s="1"/>
  <c r="A125" i="40" s="1"/>
  <c r="A126" i="40" s="1"/>
  <c r="A127" i="40" s="1"/>
  <c r="A128" i="40" s="1"/>
  <c r="A130" i="40" s="1"/>
  <c r="A131" i="40" s="1"/>
  <c r="A132" i="40" s="1"/>
  <c r="A133" i="40" s="1"/>
  <c r="A134" i="40" s="1"/>
  <c r="A135" i="40" s="1"/>
  <c r="A136" i="40" s="1"/>
  <c r="A138" i="40" s="1"/>
  <c r="A140" i="40" s="1"/>
  <c r="A143" i="40" s="1"/>
  <c r="A144" i="40" s="1"/>
  <c r="A145" i="40" s="1"/>
  <c r="A146" i="40" s="1"/>
  <c r="A147" i="40" s="1"/>
  <c r="A148" i="40" s="1"/>
  <c r="A149" i="40" s="1"/>
  <c r="A152" i="40" s="1"/>
  <c r="A153" i="40" s="1"/>
  <c r="A154" i="40" s="1"/>
  <c r="A156" i="40" s="1"/>
  <c r="A157" i="40" s="1"/>
  <c r="A158" i="40" s="1"/>
  <c r="A159" i="40" s="1"/>
  <c r="A161" i="40" s="1"/>
  <c r="A163" i="40" s="1"/>
  <c r="A164" i="40" s="1"/>
  <c r="A168" i="40" s="1"/>
  <c r="A169" i="40" s="1"/>
  <c r="A170" i="40" s="1"/>
  <c r="A171" i="40" s="1"/>
  <c r="A174" i="40" s="1"/>
  <c r="A175" i="40" s="1"/>
  <c r="A176" i="40" s="1"/>
  <c r="A177" i="40" s="1"/>
  <c r="A178" i="40" s="1"/>
  <c r="A179" i="40" s="1"/>
  <c r="A180" i="40" s="1"/>
  <c r="A181" i="40" s="1"/>
  <c r="A182" i="40" s="1"/>
  <c r="A185" i="40" s="1"/>
  <c r="A186" i="40" s="1"/>
  <c r="A188" i="40" s="1"/>
  <c r="A189" i="40" s="1"/>
  <c r="A190" i="40" s="1"/>
  <c r="A191" i="40" s="1"/>
  <c r="A192" i="40" s="1"/>
  <c r="A193" i="40" s="1"/>
  <c r="A194" i="40" s="1"/>
  <c r="A195" i="40" s="1"/>
  <c r="A196" i="40" s="1"/>
  <c r="A197" i="40" s="1"/>
  <c r="A199" i="40" s="1"/>
  <c r="A202" i="40" s="1"/>
  <c r="A204" i="40" s="1"/>
  <c r="A206" i="40" s="1"/>
  <c r="A207" i="40" s="1"/>
  <c r="A209" i="40" s="1"/>
  <c r="A210" i="40" s="1"/>
  <c r="A211" i="40" s="1"/>
  <c r="A212" i="40" s="1"/>
  <c r="A213" i="40" s="1"/>
  <c r="A214" i="40" s="1"/>
  <c r="A216" i="40" s="1"/>
  <c r="A217" i="40" s="1"/>
  <c r="A218" i="40" s="1"/>
  <c r="A220" i="40" s="1"/>
  <c r="A221" i="40" s="1"/>
  <c r="A222" i="40" s="1"/>
  <c r="A223" i="40" s="1"/>
  <c r="A224" i="40" s="1"/>
  <c r="A226" i="40" s="1"/>
  <c r="A227" i="40" s="1"/>
  <c r="A229" i="40" s="1"/>
  <c r="A230" i="40" s="1"/>
  <c r="E2" i="40"/>
  <c r="C17" i="63"/>
  <c r="F17" i="63" s="1"/>
  <c r="C16" i="63"/>
  <c r="F16" i="63" s="1"/>
  <c r="C15" i="63"/>
  <c r="F15" i="63" s="1"/>
  <c r="C14" i="63"/>
  <c r="F14" i="63" s="1"/>
  <c r="C13" i="63"/>
  <c r="F13" i="63" s="1"/>
  <c r="C10" i="63"/>
  <c r="F10" i="63" s="1"/>
  <c r="C9" i="63"/>
  <c r="F9" i="63" s="1"/>
  <c r="C8" i="63"/>
  <c r="F8" i="63" s="1"/>
  <c r="C3" i="63"/>
  <c r="F3" i="63" s="1"/>
  <c r="A3" i="63"/>
  <c r="A4" i="63" s="1"/>
  <c r="A5" i="63" s="1"/>
  <c r="A6" i="63" s="1"/>
  <c r="A7" i="63" s="1"/>
  <c r="A8" i="63" s="1"/>
  <c r="A9" i="63" s="1"/>
  <c r="A10" i="63" s="1"/>
  <c r="A11" i="63" s="1"/>
  <c r="A12" i="63" s="1"/>
  <c r="A13" i="63" s="1"/>
  <c r="A14" i="63" s="1"/>
  <c r="A15" i="63" s="1"/>
  <c r="A16" i="63" s="1"/>
  <c r="A17" i="63" s="1"/>
  <c r="A18" i="63" s="1"/>
  <c r="C2" i="63"/>
  <c r="F2" i="63" s="1"/>
  <c r="F19" i="63" s="1"/>
  <c r="F20" i="63" s="1"/>
  <c r="A294" i="120"/>
  <c r="A293" i="120"/>
  <c r="A292" i="120"/>
  <c r="A291" i="120"/>
  <c r="A290" i="120"/>
  <c r="A289" i="120"/>
  <c r="A288" i="120"/>
  <c r="A287" i="120"/>
  <c r="A286" i="120"/>
  <c r="A285" i="120"/>
  <c r="A284" i="120"/>
  <c r="A283" i="120"/>
  <c r="A282" i="120"/>
  <c r="A281" i="120"/>
  <c r="A280" i="120"/>
  <c r="A279" i="120"/>
  <c r="A278" i="120"/>
  <c r="A277" i="120"/>
  <c r="A276" i="120"/>
  <c r="A275" i="120"/>
  <c r="A274" i="120"/>
  <c r="A273" i="120"/>
  <c r="A272" i="120"/>
  <c r="A271" i="120"/>
  <c r="A270" i="120"/>
  <c r="A269" i="120"/>
  <c r="A268" i="120"/>
  <c r="A267" i="120"/>
  <c r="A266" i="120"/>
  <c r="A265" i="120"/>
  <c r="A264" i="120"/>
  <c r="A263" i="120"/>
  <c r="A262" i="120"/>
  <c r="A261" i="120"/>
  <c r="A260" i="120"/>
  <c r="A259" i="120"/>
  <c r="A258" i="120"/>
  <c r="A257" i="120"/>
  <c r="A256" i="120"/>
  <c r="A255" i="120"/>
  <c r="A254" i="120"/>
  <c r="A253" i="120"/>
  <c r="A252" i="120"/>
  <c r="A251" i="120"/>
  <c r="A250" i="120"/>
  <c r="A249" i="120"/>
  <c r="A248" i="120"/>
  <c r="A247" i="120"/>
  <c r="A246" i="120"/>
  <c r="A245" i="120"/>
  <c r="A244" i="120"/>
  <c r="A243" i="120"/>
  <c r="A242" i="120"/>
  <c r="A241" i="120"/>
  <c r="A240" i="120"/>
  <c r="A239" i="120"/>
  <c r="A238" i="120"/>
  <c r="A237" i="120"/>
  <c r="A236" i="120"/>
  <c r="A235" i="120"/>
  <c r="A234" i="120"/>
  <c r="A233" i="120"/>
  <c r="A232" i="120"/>
  <c r="A231" i="120"/>
  <c r="A230" i="120"/>
  <c r="A229" i="120"/>
  <c r="A228" i="120"/>
  <c r="A227" i="120"/>
  <c r="A226" i="120"/>
  <c r="A225" i="120"/>
  <c r="A224" i="120"/>
  <c r="A223" i="120"/>
  <c r="A222" i="120"/>
  <c r="A221" i="120"/>
  <c r="A220" i="120"/>
  <c r="A219" i="120"/>
  <c r="A218" i="120"/>
  <c r="A217" i="120"/>
  <c r="A216" i="120"/>
  <c r="A215" i="120"/>
  <c r="A214" i="120"/>
  <c r="A213" i="120"/>
  <c r="A212" i="120"/>
  <c r="A211" i="120"/>
  <c r="A210" i="120"/>
  <c r="A209" i="120"/>
  <c r="A208" i="120"/>
  <c r="A206" i="120"/>
  <c r="A205" i="120"/>
  <c r="A204" i="120"/>
  <c r="A203" i="120"/>
  <c r="A201" i="120"/>
  <c r="B200" i="120"/>
  <c r="A200" i="120"/>
  <c r="B199" i="120"/>
  <c r="A199" i="120"/>
  <c r="A198" i="120"/>
  <c r="A197" i="120"/>
  <c r="A196" i="120"/>
  <c r="B195" i="120"/>
  <c r="A195" i="120"/>
  <c r="A194" i="120"/>
  <c r="A193" i="120"/>
  <c r="A184" i="120"/>
  <c r="A182" i="120"/>
  <c r="A180" i="120"/>
  <c r="X62" i="13"/>
  <c r="X61" i="13"/>
  <c r="X60" i="13"/>
  <c r="X57" i="13"/>
  <c r="Z57" i="13" s="1"/>
  <c r="X56" i="13"/>
  <c r="Z56" i="13" s="1"/>
  <c r="X55" i="13"/>
  <c r="Z55" i="13" s="1"/>
  <c r="X54" i="13"/>
  <c r="Z54" i="13" s="1"/>
  <c r="X53" i="13"/>
  <c r="Z53" i="13" s="1"/>
  <c r="X52" i="13"/>
  <c r="Z52" i="13" s="1"/>
  <c r="X51" i="13"/>
  <c r="Z51" i="13" s="1"/>
  <c r="X50" i="13"/>
  <c r="Z50" i="13" s="1"/>
  <c r="X49" i="13"/>
  <c r="Z49" i="13" s="1"/>
  <c r="X41" i="13"/>
  <c r="X40" i="13"/>
  <c r="X39" i="13"/>
  <c r="X38" i="13"/>
  <c r="X37" i="13"/>
  <c r="Z37" i="13" s="1"/>
  <c r="X36" i="13"/>
  <c r="Z36" i="13" s="1"/>
  <c r="X35" i="13"/>
  <c r="Z35" i="13" s="1"/>
  <c r="X34" i="13"/>
  <c r="Z34" i="13" s="1"/>
  <c r="X33" i="13"/>
  <c r="Z33" i="13" s="1"/>
  <c r="X32" i="13"/>
  <c r="Z32" i="13" s="1"/>
  <c r="X31" i="13"/>
  <c r="Z31" i="13" s="1"/>
  <c r="X30" i="13"/>
  <c r="Z30" i="13" s="1"/>
  <c r="X29" i="13"/>
  <c r="Z29" i="13" s="1"/>
  <c r="X28" i="13"/>
  <c r="Z28" i="13" s="1"/>
  <c r="Q20" i="13"/>
  <c r="P20" i="13"/>
  <c r="I20" i="13"/>
  <c r="H20" i="13"/>
  <c r="X19" i="13"/>
  <c r="O19" i="13"/>
  <c r="G19" i="13"/>
  <c r="X18" i="13"/>
  <c r="O18" i="13"/>
  <c r="G18" i="13"/>
  <c r="X17" i="13"/>
  <c r="O17" i="13"/>
  <c r="G17" i="13"/>
  <c r="X16" i="13"/>
  <c r="O16" i="13"/>
  <c r="G16" i="13"/>
  <c r="X15" i="13"/>
  <c r="O15" i="13"/>
  <c r="G15" i="13"/>
  <c r="X14" i="13"/>
  <c r="O14" i="13"/>
  <c r="G14" i="13"/>
  <c r="X13" i="13"/>
  <c r="O13" i="13"/>
  <c r="G13" i="13"/>
  <c r="X12" i="13"/>
  <c r="O12" i="13"/>
  <c r="G12" i="13"/>
  <c r="X11" i="13"/>
  <c r="O11" i="13"/>
  <c r="G11" i="13"/>
  <c r="X10" i="13"/>
  <c r="O10" i="13"/>
  <c r="G10" i="13"/>
  <c r="X9" i="13"/>
  <c r="O9" i="13"/>
  <c r="G9" i="13"/>
  <c r="X8" i="13"/>
  <c r="Y8" i="13" s="1"/>
  <c r="O8" i="13"/>
  <c r="G8" i="13"/>
  <c r="X7" i="13"/>
  <c r="Y7" i="13" s="1"/>
  <c r="O7" i="13"/>
  <c r="G7" i="13"/>
  <c r="X6" i="13"/>
  <c r="O6" i="13"/>
  <c r="G6" i="13"/>
  <c r="O95" i="131"/>
  <c r="N95" i="131"/>
  <c r="M95" i="131"/>
  <c r="L95" i="131"/>
  <c r="K95" i="131"/>
  <c r="J95" i="131"/>
  <c r="I95" i="131"/>
  <c r="H95" i="131"/>
  <c r="G95" i="131"/>
  <c r="F95" i="131"/>
  <c r="E95" i="131"/>
  <c r="D95" i="131"/>
  <c r="C95" i="131"/>
  <c r="B64" i="133" s="1"/>
  <c r="B66" i="133" s="1"/>
  <c r="O94" i="131"/>
  <c r="N94" i="131"/>
  <c r="M94" i="131"/>
  <c r="L94" i="131"/>
  <c r="K94" i="131"/>
  <c r="J94" i="131"/>
  <c r="I94" i="131"/>
  <c r="H94" i="131"/>
  <c r="G94" i="131"/>
  <c r="F94" i="131"/>
  <c r="E94" i="131"/>
  <c r="C94" i="131"/>
  <c r="Y93" i="131"/>
  <c r="X93" i="131"/>
  <c r="W93" i="131"/>
  <c r="D94" i="131" s="1"/>
  <c r="S93" i="131"/>
  <c r="R93" i="131"/>
  <c r="Q93" i="131"/>
  <c r="P93" i="131"/>
  <c r="O93" i="131"/>
  <c r="N93" i="131"/>
  <c r="M93" i="131"/>
  <c r="L93" i="131"/>
  <c r="K93" i="131"/>
  <c r="J93" i="131"/>
  <c r="I93" i="131"/>
  <c r="H93" i="131"/>
  <c r="G93" i="131"/>
  <c r="F93" i="131"/>
  <c r="E93" i="131"/>
  <c r="D93" i="131"/>
  <c r="C93" i="131"/>
  <c r="T92" i="131"/>
  <c r="T85" i="131"/>
  <c r="O76" i="131"/>
  <c r="N76" i="131"/>
  <c r="M76" i="131"/>
  <c r="L76" i="131"/>
  <c r="K76" i="131"/>
  <c r="J76" i="131"/>
  <c r="I76" i="131"/>
  <c r="H76" i="131"/>
  <c r="G76" i="131"/>
  <c r="F76" i="131"/>
  <c r="E76" i="131"/>
  <c r="D76" i="131"/>
  <c r="C76" i="131"/>
  <c r="O75" i="131"/>
  <c r="N75" i="131"/>
  <c r="M75" i="131"/>
  <c r="L75" i="131"/>
  <c r="K75" i="131"/>
  <c r="J75" i="131"/>
  <c r="I75" i="131"/>
  <c r="H75" i="131"/>
  <c r="G75" i="131"/>
  <c r="F75" i="131"/>
  <c r="B59" i="133" s="1"/>
  <c r="E59" i="133" s="1"/>
  <c r="E75" i="131"/>
  <c r="D75" i="131"/>
  <c r="C75" i="131"/>
  <c r="Y74" i="131"/>
  <c r="X74" i="131"/>
  <c r="W74" i="131"/>
  <c r="S74" i="131"/>
  <c r="R74" i="131"/>
  <c r="Q74" i="131"/>
  <c r="P74" i="131"/>
  <c r="O74" i="131"/>
  <c r="N74" i="131"/>
  <c r="M74" i="131"/>
  <c r="L74" i="131"/>
  <c r="K74" i="131"/>
  <c r="J74" i="131"/>
  <c r="I74" i="131"/>
  <c r="H74" i="131"/>
  <c r="G74" i="131"/>
  <c r="F74" i="131"/>
  <c r="E74" i="131"/>
  <c r="D74" i="131"/>
  <c r="C74" i="131"/>
  <c r="B56" i="133" s="1"/>
  <c r="T73" i="131"/>
  <c r="T66" i="131"/>
  <c r="S57" i="131"/>
  <c r="R57" i="131"/>
  <c r="B45" i="133" s="1"/>
  <c r="Q57" i="131"/>
  <c r="P57" i="131"/>
  <c r="E51" i="133" s="1"/>
  <c r="O57" i="131"/>
  <c r="N57" i="131"/>
  <c r="M57" i="131"/>
  <c r="L57" i="131"/>
  <c r="K57" i="131"/>
  <c r="J57" i="131"/>
  <c r="I57" i="131"/>
  <c r="H57" i="131"/>
  <c r="G57" i="131"/>
  <c r="F57" i="131"/>
  <c r="E57" i="131"/>
  <c r="D57" i="131"/>
  <c r="C57" i="131"/>
  <c r="S56" i="131"/>
  <c r="R56" i="131"/>
  <c r="Q56" i="131"/>
  <c r="P56" i="131"/>
  <c r="O56" i="131"/>
  <c r="N56" i="131"/>
  <c r="M56" i="131"/>
  <c r="L56" i="131"/>
  <c r="K56" i="131"/>
  <c r="J56" i="131"/>
  <c r="I56" i="131"/>
  <c r="H56" i="131"/>
  <c r="G56" i="131"/>
  <c r="F56" i="131"/>
  <c r="E56" i="131"/>
  <c r="D56" i="131"/>
  <c r="C56" i="131"/>
  <c r="Y55" i="131"/>
  <c r="X55" i="131"/>
  <c r="W55" i="131"/>
  <c r="S55" i="131"/>
  <c r="R55" i="131"/>
  <c r="E45" i="133" s="1"/>
  <c r="P55" i="131"/>
  <c r="O55" i="131"/>
  <c r="N55" i="131"/>
  <c r="M55" i="131"/>
  <c r="L55" i="131"/>
  <c r="K55" i="131"/>
  <c r="J55" i="131"/>
  <c r="I55" i="131"/>
  <c r="H55" i="131"/>
  <c r="G55" i="131"/>
  <c r="F55" i="131"/>
  <c r="E39" i="133" s="1"/>
  <c r="E55" i="131"/>
  <c r="E38" i="133" s="1"/>
  <c r="D55" i="131"/>
  <c r="C55" i="131"/>
  <c r="T54" i="131"/>
  <c r="T47" i="131"/>
  <c r="Y36" i="131"/>
  <c r="X36" i="131"/>
  <c r="W36" i="131"/>
  <c r="T35" i="131"/>
  <c r="T28" i="131"/>
  <c r="N19" i="131"/>
  <c r="M19" i="131"/>
  <c r="D19" i="131"/>
  <c r="F19" i="131"/>
  <c r="E19" i="131"/>
  <c r="H19" i="131"/>
  <c r="G19" i="131"/>
  <c r="C19" i="131"/>
  <c r="N18" i="131"/>
  <c r="M18" i="131"/>
  <c r="B13" i="133" s="1" a="1"/>
  <c r="B13" i="133" s="1"/>
  <c r="E13" i="133" s="1"/>
  <c r="D18" i="131"/>
  <c r="B4" i="133" s="1" a="1"/>
  <c r="B4" i="133" s="1"/>
  <c r="E4" i="133" s="1"/>
  <c r="L18" i="131"/>
  <c r="E12" i="133" s="1"/>
  <c r="K18" i="131"/>
  <c r="H18" i="131"/>
  <c r="G18" i="131"/>
  <c r="C18" i="131"/>
  <c r="B3" i="133" s="1" a="1"/>
  <c r="B3" i="133" s="1"/>
  <c r="Y17" i="131"/>
  <c r="J18" i="131" s="1"/>
  <c r="X17" i="131"/>
  <c r="F18" i="131" s="1"/>
  <c r="E6" i="133" s="1"/>
  <c r="W17" i="131"/>
  <c r="E18" i="131" s="1"/>
  <c r="E5" i="133" s="1"/>
  <c r="S17" i="131"/>
  <c r="R17" i="131"/>
  <c r="T16" i="131"/>
  <c r="T9" i="131"/>
  <c r="E58" i="133"/>
  <c r="E57" i="133"/>
  <c r="E49" i="133"/>
  <c r="E48" i="133"/>
  <c r="E47" i="133"/>
  <c r="E46" i="133"/>
  <c r="E44" i="133"/>
  <c r="E43" i="133"/>
  <c r="E42" i="133"/>
  <c r="E41" i="133"/>
  <c r="E40" i="133"/>
  <c r="E37" i="133"/>
  <c r="P54" i="31"/>
  <c r="O54" i="31"/>
  <c r="N54" i="31"/>
  <c r="M54" i="31"/>
  <c r="L54" i="31"/>
  <c r="K54" i="31"/>
  <c r="J54" i="31"/>
  <c r="I54" i="31"/>
  <c r="H54" i="31"/>
  <c r="G54" i="31"/>
  <c r="F54" i="31"/>
  <c r="E54" i="31"/>
  <c r="D54" i="31"/>
  <c r="C54" i="31"/>
  <c r="B54" i="31"/>
  <c r="C12" i="76" s="1"/>
  <c r="R92" i="31"/>
  <c r="Q92" i="31"/>
  <c r="P92" i="31"/>
  <c r="O92" i="31"/>
  <c r="N92" i="31"/>
  <c r="M92" i="31"/>
  <c r="L92" i="31"/>
  <c r="K92" i="31"/>
  <c r="J92" i="31"/>
  <c r="I92" i="31"/>
  <c r="H92" i="31"/>
  <c r="G92" i="31"/>
  <c r="F92" i="31"/>
  <c r="E92" i="31"/>
  <c r="D92" i="31"/>
  <c r="C92" i="31"/>
  <c r="C73" i="31"/>
  <c r="C74" i="31" s="1"/>
  <c r="P72" i="31"/>
  <c r="O72" i="31"/>
  <c r="N72" i="31"/>
  <c r="M72" i="31"/>
  <c r="L72" i="31"/>
  <c r="K72" i="31"/>
  <c r="J72" i="31"/>
  <c r="I72" i="31"/>
  <c r="H72" i="31"/>
  <c r="G72" i="31"/>
  <c r="F72" i="31"/>
  <c r="E72" i="31"/>
  <c r="D72" i="31"/>
  <c r="C72" i="31"/>
  <c r="B8" i="119" s="1"/>
  <c r="B10" i="119" s="1"/>
  <c r="CP37" i="31"/>
  <c r="CO37" i="31"/>
  <c r="CN37" i="31"/>
  <c r="CM37" i="31"/>
  <c r="CL37" i="31"/>
  <c r="CK37" i="31"/>
  <c r="CJ37" i="31"/>
  <c r="CI37" i="31"/>
  <c r="CH37" i="31"/>
  <c r="CG37" i="31"/>
  <c r="CF37" i="31"/>
  <c r="CE37" i="31"/>
  <c r="CD37" i="31"/>
  <c r="CC37" i="31"/>
  <c r="CB37" i="31"/>
  <c r="CA37" i="31"/>
  <c r="BZ37" i="31"/>
  <c r="BY37" i="31"/>
  <c r="BX37" i="31"/>
  <c r="BW37" i="31"/>
  <c r="BV37" i="31"/>
  <c r="BU37" i="31"/>
  <c r="BT37" i="31"/>
  <c r="BS37" i="31"/>
  <c r="BR37" i="31"/>
  <c r="BQ37" i="31"/>
  <c r="BP37" i="31"/>
  <c r="BO37" i="31"/>
  <c r="BN37" i="31"/>
  <c r="BM37" i="31"/>
  <c r="BL37" i="31"/>
  <c r="BK37" i="31"/>
  <c r="BJ37" i="31"/>
  <c r="BI37" i="31"/>
  <c r="BH37" i="31"/>
  <c r="BG37" i="31"/>
  <c r="BF37" i="31"/>
  <c r="BE37" i="31"/>
  <c r="BD37" i="31"/>
  <c r="BC37" i="31"/>
  <c r="BB37" i="31"/>
  <c r="BA37" i="31"/>
  <c r="AZ37" i="31"/>
  <c r="AY37" i="31"/>
  <c r="AX37" i="31"/>
  <c r="AW37" i="31"/>
  <c r="AV37" i="31"/>
  <c r="AU37" i="31"/>
  <c r="AT37" i="31"/>
  <c r="AS37" i="31"/>
  <c r="AR37" i="31"/>
  <c r="AQ37" i="31"/>
  <c r="AP37" i="31"/>
  <c r="AO37" i="31"/>
  <c r="AN37" i="31"/>
  <c r="AM37" i="31"/>
  <c r="AL37" i="31"/>
  <c r="AK37" i="31"/>
  <c r="AJ37" i="31"/>
  <c r="AI37" i="31"/>
  <c r="AH37" i="31"/>
  <c r="AG37" i="31"/>
  <c r="AF37" i="31"/>
  <c r="AE37" i="31"/>
  <c r="AD37" i="31"/>
  <c r="AC37" i="31"/>
  <c r="AB37" i="31"/>
  <c r="AA37" i="31"/>
  <c r="Z37" i="31"/>
  <c r="Y37" i="31"/>
  <c r="X37" i="31"/>
  <c r="W37" i="31"/>
  <c r="V37" i="31"/>
  <c r="U37" i="31"/>
  <c r="T37" i="31"/>
  <c r="S37" i="31"/>
  <c r="R37" i="31"/>
  <c r="Q37" i="31"/>
  <c r="P37" i="31"/>
  <c r="O37" i="31"/>
  <c r="N37" i="31"/>
  <c r="M37" i="31"/>
  <c r="L37" i="31"/>
  <c r="K37" i="31"/>
  <c r="J37" i="31"/>
  <c r="I37" i="31"/>
  <c r="H37" i="31"/>
  <c r="G37" i="31"/>
  <c r="F37" i="31"/>
  <c r="E37" i="31"/>
  <c r="D37" i="31"/>
  <c r="C37" i="31"/>
  <c r="CX36" i="31"/>
  <c r="CW36" i="31"/>
  <c r="CV36" i="31"/>
  <c r="CP36" i="31"/>
  <c r="CO36" i="31"/>
  <c r="CN36" i="31"/>
  <c r="CM36" i="31"/>
  <c r="CL36" i="31"/>
  <c r="CK36" i="31"/>
  <c r="CJ36" i="31"/>
  <c r="CI36" i="31"/>
  <c r="CH36" i="31"/>
  <c r="B339" i="119" s="1"/>
  <c r="E339" i="119" s="1"/>
  <c r="CG36" i="31"/>
  <c r="CF36" i="31"/>
  <c r="CE36" i="31"/>
  <c r="CD36" i="31"/>
  <c r="CC36" i="31"/>
  <c r="CB36" i="31"/>
  <c r="CA36" i="31"/>
  <c r="BZ36" i="31"/>
  <c r="BY36" i="31"/>
  <c r="BX36" i="31"/>
  <c r="BW36" i="31"/>
  <c r="BV36" i="31"/>
  <c r="BU36" i="31"/>
  <c r="BT36" i="31"/>
  <c r="BS36" i="31"/>
  <c r="BR36" i="31"/>
  <c r="BQ36" i="31"/>
  <c r="BP36" i="31"/>
  <c r="BO36" i="31"/>
  <c r="BN36" i="31"/>
  <c r="BM36" i="31"/>
  <c r="BL36" i="31"/>
  <c r="BK36" i="31"/>
  <c r="BJ36" i="31"/>
  <c r="BI36" i="31"/>
  <c r="BH36" i="31"/>
  <c r="BG36" i="31"/>
  <c r="BF36" i="31"/>
  <c r="BE36" i="31"/>
  <c r="BD36" i="31"/>
  <c r="BC36" i="31"/>
  <c r="BB36" i="31"/>
  <c r="BA36" i="31"/>
  <c r="AZ36" i="31"/>
  <c r="AY36" i="31"/>
  <c r="AX36" i="31"/>
  <c r="AW36" i="31"/>
  <c r="AV36" i="31"/>
  <c r="AU36" i="31"/>
  <c r="AT36" i="31"/>
  <c r="AS36" i="31"/>
  <c r="AR36" i="31"/>
  <c r="AQ36" i="31"/>
  <c r="AP36" i="31"/>
  <c r="AO36" i="31"/>
  <c r="AN36" i="31"/>
  <c r="AM36" i="31"/>
  <c r="AL36" i="31"/>
  <c r="B289" i="119" s="1"/>
  <c r="E289" i="119" s="1"/>
  <c r="AK36" i="31"/>
  <c r="AJ36" i="31"/>
  <c r="AI36" i="31"/>
  <c r="AH36" i="31"/>
  <c r="AG36" i="31"/>
  <c r="AF36" i="31"/>
  <c r="AE36" i="31"/>
  <c r="AD36" i="31"/>
  <c r="B324" i="119" s="1"/>
  <c r="E324" i="119" s="1"/>
  <c r="AC36" i="31"/>
  <c r="AB36" i="31"/>
  <c r="AA36" i="31"/>
  <c r="Z36" i="31"/>
  <c r="Y36" i="31"/>
  <c r="X36" i="31"/>
  <c r="W36" i="31"/>
  <c r="V36" i="31"/>
  <c r="B274" i="119" s="1"/>
  <c r="E274" i="119" s="1"/>
  <c r="U36" i="31"/>
  <c r="T36" i="31"/>
  <c r="S36" i="31"/>
  <c r="R36" i="31"/>
  <c r="Q36" i="31"/>
  <c r="P36" i="31"/>
  <c r="O36" i="31"/>
  <c r="N36" i="31"/>
  <c r="B266" i="119" s="1"/>
  <c r="E266" i="119" s="1"/>
  <c r="M36" i="31"/>
  <c r="L36" i="31"/>
  <c r="K36" i="31"/>
  <c r="J36" i="31"/>
  <c r="I36" i="31"/>
  <c r="H36" i="31"/>
  <c r="G36" i="31"/>
  <c r="F36" i="31"/>
  <c r="B258" i="119" s="1"/>
  <c r="E258" i="119" s="1"/>
  <c r="E36" i="31"/>
  <c r="D36" i="31"/>
  <c r="C36" i="31"/>
  <c r="B256" i="119" s="1"/>
  <c r="CR35" i="31"/>
  <c r="CR28" i="31"/>
  <c r="BR18" i="31"/>
  <c r="BQ18" i="31"/>
  <c r="BP18" i="31"/>
  <c r="BL18" i="31"/>
  <c r="BK18" i="31"/>
  <c r="BJ18" i="31"/>
  <c r="BI18" i="31"/>
  <c r="BH18" i="31"/>
  <c r="BG18" i="31"/>
  <c r="BF18" i="31"/>
  <c r="BE18" i="31"/>
  <c r="B191" i="119" s="1"/>
  <c r="E191" i="119" s="1"/>
  <c r="BD18" i="31"/>
  <c r="BC18" i="31"/>
  <c r="BB18" i="31"/>
  <c r="BA18" i="31"/>
  <c r="AZ18" i="31"/>
  <c r="AY18" i="31"/>
  <c r="AX18" i="31"/>
  <c r="AW18" i="31"/>
  <c r="B185" i="119" s="1"/>
  <c r="E185" i="119" s="1"/>
  <c r="AV18" i="31"/>
  <c r="AU18" i="31"/>
  <c r="AT18" i="31"/>
  <c r="AS18" i="31"/>
  <c r="AR18" i="31"/>
  <c r="AQ18" i="31"/>
  <c r="AP18" i="31"/>
  <c r="AO18" i="31"/>
  <c r="B174" i="119" s="1"/>
  <c r="E174" i="119" s="1"/>
  <c r="AN18" i="31"/>
  <c r="AM18" i="31"/>
  <c r="AL18" i="31"/>
  <c r="AK18" i="31"/>
  <c r="AJ18" i="31"/>
  <c r="AI18" i="31"/>
  <c r="AH18" i="31"/>
  <c r="AG18" i="31"/>
  <c r="B167" i="119" s="1"/>
  <c r="E167" i="119" s="1"/>
  <c r="AF18" i="31"/>
  <c r="AE18" i="31"/>
  <c r="AD18" i="31"/>
  <c r="B187" i="119" s="1"/>
  <c r="E187" i="119" s="1"/>
  <c r="AC18" i="31"/>
  <c r="AB18" i="31"/>
  <c r="AA18" i="31"/>
  <c r="Z18" i="31"/>
  <c r="Y18" i="31"/>
  <c r="B159" i="119" s="1"/>
  <c r="E159" i="119" s="1"/>
  <c r="X18" i="31"/>
  <c r="W18" i="31"/>
  <c r="V18" i="31"/>
  <c r="U18" i="31"/>
  <c r="T18" i="31"/>
  <c r="S18" i="31"/>
  <c r="R18" i="31"/>
  <c r="Q18" i="31"/>
  <c r="B152" i="119" s="1"/>
  <c r="E152" i="119" s="1"/>
  <c r="P18" i="31"/>
  <c r="O18" i="31"/>
  <c r="N18" i="31"/>
  <c r="M18" i="31"/>
  <c r="L18" i="31"/>
  <c r="K18" i="31"/>
  <c r="J18" i="31"/>
  <c r="I18" i="31"/>
  <c r="B144" i="119" s="1"/>
  <c r="E144" i="119" s="1"/>
  <c r="H18" i="31"/>
  <c r="G18" i="31"/>
  <c r="F18" i="31"/>
  <c r="E18" i="31"/>
  <c r="D18" i="31"/>
  <c r="C18" i="31"/>
  <c r="B139" i="119" s="1"/>
  <c r="BS17" i="31"/>
  <c r="BM17" i="31"/>
  <c r="BS16" i="31"/>
  <c r="BS15" i="31"/>
  <c r="BS14" i="31"/>
  <c r="BS13" i="31"/>
  <c r="BM13" i="31"/>
  <c r="BM12" i="31"/>
  <c r="X688" i="35"/>
  <c r="W688" i="35"/>
  <c r="V688" i="35"/>
  <c r="S688" i="35"/>
  <c r="R688" i="35"/>
  <c r="Q688" i="35"/>
  <c r="P688" i="35"/>
  <c r="O688" i="35"/>
  <c r="N688" i="35"/>
  <c r="M688" i="35"/>
  <c r="L688" i="35"/>
  <c r="K688" i="35"/>
  <c r="J688" i="35"/>
  <c r="I688" i="35"/>
  <c r="H688" i="35"/>
  <c r="G688" i="35"/>
  <c r="F688" i="35"/>
  <c r="E688" i="35"/>
  <c r="D688" i="35"/>
  <c r="C688" i="35"/>
  <c r="X670" i="35"/>
  <c r="W670" i="35"/>
  <c r="V670" i="35"/>
  <c r="S670" i="35"/>
  <c r="R670" i="35"/>
  <c r="Q670" i="35"/>
  <c r="P670" i="35"/>
  <c r="O670" i="35"/>
  <c r="N670" i="35"/>
  <c r="M670" i="35"/>
  <c r="L670" i="35"/>
  <c r="K670" i="35"/>
  <c r="J670" i="35"/>
  <c r="I670" i="35"/>
  <c r="H670" i="35"/>
  <c r="G670" i="35"/>
  <c r="F670" i="35"/>
  <c r="E670" i="35"/>
  <c r="D670" i="35"/>
  <c r="C670" i="35"/>
  <c r="X652" i="35"/>
  <c r="W652" i="35"/>
  <c r="V652" i="35"/>
  <c r="S652" i="35"/>
  <c r="R652" i="35"/>
  <c r="Q652" i="35"/>
  <c r="P652" i="35"/>
  <c r="O652" i="35"/>
  <c r="N652" i="35"/>
  <c r="M652" i="35"/>
  <c r="L652" i="35"/>
  <c r="K652" i="35"/>
  <c r="J652" i="35"/>
  <c r="I652" i="35"/>
  <c r="H652" i="35"/>
  <c r="G652" i="35"/>
  <c r="F652" i="35"/>
  <c r="E652" i="35"/>
  <c r="D652" i="35"/>
  <c r="C652" i="35"/>
  <c r="X634" i="35"/>
  <c r="W634" i="35"/>
  <c r="V634" i="35"/>
  <c r="S634" i="35"/>
  <c r="R634" i="35"/>
  <c r="Q634" i="35"/>
  <c r="P634" i="35"/>
  <c r="O634" i="35"/>
  <c r="N634" i="35"/>
  <c r="M634" i="35"/>
  <c r="L634" i="35"/>
  <c r="K634" i="35"/>
  <c r="J634" i="35"/>
  <c r="I634" i="35"/>
  <c r="H634" i="35"/>
  <c r="G634" i="35"/>
  <c r="F634" i="35"/>
  <c r="E634" i="35"/>
  <c r="D634" i="35"/>
  <c r="C634" i="35"/>
  <c r="X616" i="35"/>
  <c r="W616" i="35"/>
  <c r="V616" i="35"/>
  <c r="S616" i="35"/>
  <c r="R616" i="35"/>
  <c r="Q616" i="35"/>
  <c r="P616" i="35"/>
  <c r="O616" i="35"/>
  <c r="N616" i="35"/>
  <c r="M616" i="35"/>
  <c r="L616" i="35"/>
  <c r="K616" i="35"/>
  <c r="J616" i="35"/>
  <c r="I616" i="35"/>
  <c r="H616" i="35"/>
  <c r="G616" i="35"/>
  <c r="F616" i="35"/>
  <c r="E616" i="35"/>
  <c r="D616" i="35"/>
  <c r="C616" i="35"/>
  <c r="X598" i="35"/>
  <c r="W598" i="35"/>
  <c r="V598" i="35"/>
  <c r="S598" i="35"/>
  <c r="R598" i="35"/>
  <c r="Q598" i="35"/>
  <c r="P598" i="35"/>
  <c r="O598" i="35"/>
  <c r="N598" i="35"/>
  <c r="M598" i="35"/>
  <c r="L598" i="35"/>
  <c r="K598" i="35"/>
  <c r="J598" i="35"/>
  <c r="I598" i="35"/>
  <c r="H598" i="35"/>
  <c r="G598" i="35"/>
  <c r="F598" i="35"/>
  <c r="E598" i="35"/>
  <c r="D598" i="35"/>
  <c r="C598" i="35"/>
  <c r="X580" i="35"/>
  <c r="W580" i="35"/>
  <c r="V580" i="35"/>
  <c r="S580" i="35"/>
  <c r="R580" i="35"/>
  <c r="Q580" i="35"/>
  <c r="P580" i="35"/>
  <c r="O580" i="35"/>
  <c r="N580" i="35"/>
  <c r="M580" i="35"/>
  <c r="L580" i="35"/>
  <c r="K580" i="35"/>
  <c r="J580" i="35"/>
  <c r="I580" i="35"/>
  <c r="H580" i="35"/>
  <c r="G580" i="35"/>
  <c r="F580" i="35"/>
  <c r="E580" i="35"/>
  <c r="D580" i="35"/>
  <c r="C580" i="35"/>
  <c r="X562" i="35"/>
  <c r="W562" i="35"/>
  <c r="V562" i="35"/>
  <c r="S562" i="35"/>
  <c r="R562" i="35"/>
  <c r="Q562" i="35"/>
  <c r="P562" i="35"/>
  <c r="O562" i="35"/>
  <c r="N562" i="35"/>
  <c r="M562" i="35"/>
  <c r="L562" i="35"/>
  <c r="K562" i="35"/>
  <c r="J562" i="35"/>
  <c r="I562" i="35"/>
  <c r="H562" i="35"/>
  <c r="G562" i="35"/>
  <c r="F562" i="35"/>
  <c r="E562" i="35"/>
  <c r="D562" i="35"/>
  <c r="C562" i="35"/>
  <c r="X544" i="35"/>
  <c r="W544" i="35"/>
  <c r="V544" i="35"/>
  <c r="S544" i="35"/>
  <c r="R544" i="35"/>
  <c r="Q544" i="35"/>
  <c r="P544" i="35"/>
  <c r="O544" i="35"/>
  <c r="N544" i="35"/>
  <c r="M544" i="35"/>
  <c r="L544" i="35"/>
  <c r="K544" i="35"/>
  <c r="J544" i="35"/>
  <c r="I544" i="35"/>
  <c r="H544" i="35"/>
  <c r="G544" i="35"/>
  <c r="F544" i="35"/>
  <c r="C18" i="63" s="1"/>
  <c r="F18" i="63" s="1"/>
  <c r="E544" i="35"/>
  <c r="D544" i="35"/>
  <c r="C544" i="35"/>
  <c r="X526" i="35"/>
  <c r="W526" i="35"/>
  <c r="V526" i="35"/>
  <c r="S526" i="35"/>
  <c r="R526" i="35"/>
  <c r="Q526" i="35"/>
  <c r="P526" i="35"/>
  <c r="O526" i="35"/>
  <c r="N526" i="35"/>
  <c r="M526" i="35"/>
  <c r="L526" i="35"/>
  <c r="K526" i="35"/>
  <c r="J526" i="35"/>
  <c r="I526" i="35"/>
  <c r="H526" i="35"/>
  <c r="G526" i="35"/>
  <c r="F526" i="35"/>
  <c r="E526" i="35"/>
  <c r="D526" i="35"/>
  <c r="C526" i="35"/>
  <c r="X508" i="35"/>
  <c r="W508" i="35"/>
  <c r="V508" i="35"/>
  <c r="S508" i="35"/>
  <c r="R508" i="35"/>
  <c r="Q508" i="35"/>
  <c r="P508" i="35"/>
  <c r="O508" i="35"/>
  <c r="N508" i="35"/>
  <c r="M508" i="35"/>
  <c r="L508" i="35"/>
  <c r="K508" i="35"/>
  <c r="J508" i="35"/>
  <c r="I508" i="35"/>
  <c r="H508" i="35"/>
  <c r="G508" i="35"/>
  <c r="F508" i="35"/>
  <c r="E508" i="35"/>
  <c r="D508" i="35"/>
  <c r="C508" i="35"/>
  <c r="X490" i="35"/>
  <c r="W490" i="35"/>
  <c r="V490" i="35"/>
  <c r="S490" i="35"/>
  <c r="R490" i="35"/>
  <c r="Q490" i="35"/>
  <c r="P490" i="35"/>
  <c r="O490" i="35"/>
  <c r="N490" i="35"/>
  <c r="M490" i="35"/>
  <c r="L490" i="35"/>
  <c r="K490" i="35"/>
  <c r="J490" i="35"/>
  <c r="I490" i="35"/>
  <c r="H490" i="35"/>
  <c r="G490" i="35"/>
  <c r="F490" i="35"/>
  <c r="E490" i="35"/>
  <c r="D490" i="35"/>
  <c r="C490" i="35"/>
  <c r="X472" i="35"/>
  <c r="W472" i="35"/>
  <c r="V472" i="35"/>
  <c r="S472" i="35"/>
  <c r="R472" i="35"/>
  <c r="Q472" i="35"/>
  <c r="P472" i="35"/>
  <c r="O472" i="35"/>
  <c r="N472" i="35"/>
  <c r="M472" i="35"/>
  <c r="L472" i="35"/>
  <c r="K472" i="35"/>
  <c r="J472" i="35"/>
  <c r="I472" i="35"/>
  <c r="H472" i="35"/>
  <c r="G472" i="35"/>
  <c r="F472" i="35"/>
  <c r="E472" i="35"/>
  <c r="D472" i="35"/>
  <c r="C472" i="35"/>
  <c r="X454" i="35"/>
  <c r="W454" i="35"/>
  <c r="V454" i="35"/>
  <c r="S454" i="35"/>
  <c r="R454" i="35"/>
  <c r="Q454" i="35"/>
  <c r="P454" i="35"/>
  <c r="O454" i="35"/>
  <c r="N454" i="35"/>
  <c r="M454" i="35"/>
  <c r="L454" i="35"/>
  <c r="K454" i="35"/>
  <c r="J454" i="35"/>
  <c r="I454" i="35"/>
  <c r="H454" i="35"/>
  <c r="G454" i="35"/>
  <c r="F454" i="35"/>
  <c r="E454" i="35"/>
  <c r="D454" i="35"/>
  <c r="C454" i="35"/>
  <c r="X436" i="35"/>
  <c r="W436" i="35"/>
  <c r="V436" i="35"/>
  <c r="S436" i="35"/>
  <c r="R436" i="35"/>
  <c r="Q436" i="35"/>
  <c r="P436" i="35"/>
  <c r="O436" i="35"/>
  <c r="N436" i="35"/>
  <c r="M436" i="35"/>
  <c r="L436" i="35"/>
  <c r="K436" i="35"/>
  <c r="J436" i="35"/>
  <c r="I436" i="35"/>
  <c r="H436" i="35"/>
  <c r="G436" i="35"/>
  <c r="F436" i="35"/>
  <c r="E436" i="35"/>
  <c r="D436" i="35"/>
  <c r="C436" i="35"/>
  <c r="X418" i="35"/>
  <c r="W418" i="35"/>
  <c r="V418" i="35"/>
  <c r="S418" i="35"/>
  <c r="R418" i="35"/>
  <c r="Q418" i="35"/>
  <c r="P418" i="35"/>
  <c r="O418" i="35"/>
  <c r="N418" i="35"/>
  <c r="M418" i="35"/>
  <c r="L418" i="35"/>
  <c r="K418" i="35"/>
  <c r="J418" i="35"/>
  <c r="I418" i="35"/>
  <c r="H418" i="35"/>
  <c r="G418" i="35"/>
  <c r="F418" i="35"/>
  <c r="E418" i="35"/>
  <c r="D418" i="35"/>
  <c r="C418" i="35"/>
  <c r="X400" i="35"/>
  <c r="W400" i="35"/>
  <c r="V400" i="35"/>
  <c r="Q400" i="35"/>
  <c r="P400" i="35"/>
  <c r="O400" i="35"/>
  <c r="N400" i="35"/>
  <c r="M400" i="35"/>
  <c r="L400" i="35"/>
  <c r="K400" i="35"/>
  <c r="J400" i="35"/>
  <c r="I400" i="35"/>
  <c r="H400" i="35"/>
  <c r="G400" i="35"/>
  <c r="F400" i="35"/>
  <c r="E400" i="35"/>
  <c r="D400" i="35"/>
  <c r="C400" i="35"/>
  <c r="X382" i="35"/>
  <c r="W382" i="35"/>
  <c r="V382" i="35"/>
  <c r="N382" i="35"/>
  <c r="M382" i="35"/>
  <c r="L382" i="35"/>
  <c r="K382" i="35"/>
  <c r="J382" i="35"/>
  <c r="I382" i="35"/>
  <c r="H382" i="35"/>
  <c r="G382" i="35"/>
  <c r="F382" i="35"/>
  <c r="E382" i="35"/>
  <c r="D382" i="35"/>
  <c r="C382" i="35"/>
  <c r="X364" i="35"/>
  <c r="W364" i="35"/>
  <c r="V364" i="35"/>
  <c r="S364" i="35"/>
  <c r="R364" i="35"/>
  <c r="Q364" i="35"/>
  <c r="P364" i="35"/>
  <c r="O364" i="35"/>
  <c r="N364" i="35"/>
  <c r="M364" i="35"/>
  <c r="L364" i="35"/>
  <c r="K364" i="35"/>
  <c r="J364" i="35"/>
  <c r="I364" i="35"/>
  <c r="H364" i="35"/>
  <c r="G364" i="35"/>
  <c r="F364" i="35"/>
  <c r="E364" i="35"/>
  <c r="D364" i="35"/>
  <c r="C364" i="35"/>
  <c r="X143" i="35"/>
  <c r="W143" i="35"/>
  <c r="V143" i="35"/>
  <c r="S143" i="35"/>
  <c r="R143" i="35"/>
  <c r="Q143" i="35"/>
  <c r="P143" i="35"/>
  <c r="O143" i="35"/>
  <c r="N143" i="35"/>
  <c r="M143" i="35"/>
  <c r="L143" i="35"/>
  <c r="K143" i="35"/>
  <c r="J143" i="35"/>
  <c r="I143" i="35"/>
  <c r="H143" i="35"/>
  <c r="G143" i="35"/>
  <c r="F143" i="35"/>
  <c r="E143" i="35"/>
  <c r="D143" i="35"/>
  <c r="C143" i="35"/>
  <c r="X125" i="35"/>
  <c r="W125" i="35"/>
  <c r="V125" i="35"/>
  <c r="S125" i="35"/>
  <c r="R125" i="35"/>
  <c r="Q125" i="35"/>
  <c r="P125" i="35"/>
  <c r="O125" i="35"/>
  <c r="N125" i="35"/>
  <c r="M125" i="35"/>
  <c r="L125" i="35"/>
  <c r="K125" i="35"/>
  <c r="J125" i="35"/>
  <c r="I125" i="35"/>
  <c r="H125" i="35"/>
  <c r="G125" i="35"/>
  <c r="F125" i="35"/>
  <c r="E125" i="35"/>
  <c r="D125" i="35"/>
  <c r="C125" i="35"/>
  <c r="X215" i="35"/>
  <c r="W215" i="35"/>
  <c r="V215" i="35"/>
  <c r="S215" i="35"/>
  <c r="R215" i="35"/>
  <c r="Q215" i="35"/>
  <c r="P215" i="35"/>
  <c r="O215" i="35"/>
  <c r="N215" i="35"/>
  <c r="M215" i="35"/>
  <c r="L215" i="35"/>
  <c r="K215" i="35"/>
  <c r="J215" i="35"/>
  <c r="I215" i="35"/>
  <c r="H215" i="35"/>
  <c r="G215" i="35"/>
  <c r="F215" i="35"/>
  <c r="E215" i="35"/>
  <c r="D215" i="35"/>
  <c r="C215" i="35"/>
  <c r="X343" i="35"/>
  <c r="W343" i="35"/>
  <c r="V343" i="35"/>
  <c r="S343" i="35"/>
  <c r="R343" i="35"/>
  <c r="Q343" i="35"/>
  <c r="P343" i="35"/>
  <c r="O343" i="35"/>
  <c r="N343" i="35"/>
  <c r="M343" i="35"/>
  <c r="L343" i="35"/>
  <c r="K343" i="35"/>
  <c r="J343" i="35"/>
  <c r="I343" i="35"/>
  <c r="H343" i="35"/>
  <c r="G343" i="35"/>
  <c r="F343" i="35"/>
  <c r="E343" i="35"/>
  <c r="D343" i="35"/>
  <c r="C343" i="35"/>
  <c r="X325" i="35"/>
  <c r="W325" i="35"/>
  <c r="V325" i="35"/>
  <c r="P325" i="35"/>
  <c r="O325" i="35"/>
  <c r="N325" i="35"/>
  <c r="M325" i="35"/>
  <c r="L325" i="35"/>
  <c r="K325" i="35"/>
  <c r="J325" i="35"/>
  <c r="I325" i="35"/>
  <c r="H325" i="35"/>
  <c r="G325" i="35"/>
  <c r="F325" i="35"/>
  <c r="E325" i="35"/>
  <c r="D325" i="35"/>
  <c r="C325" i="35"/>
  <c r="X179" i="35"/>
  <c r="W179" i="35"/>
  <c r="V179" i="35"/>
  <c r="P179" i="35"/>
  <c r="O179" i="35"/>
  <c r="N179" i="35"/>
  <c r="M179" i="35"/>
  <c r="L179" i="35"/>
  <c r="K179" i="35"/>
  <c r="J179" i="35"/>
  <c r="I179" i="35"/>
  <c r="H179" i="35"/>
  <c r="G179" i="35"/>
  <c r="F179" i="35"/>
  <c r="E179" i="35"/>
  <c r="D179" i="35"/>
  <c r="X306" i="35"/>
  <c r="W306" i="35"/>
  <c r="V306" i="35"/>
  <c r="S306" i="35"/>
  <c r="R306" i="35"/>
  <c r="Q306" i="35"/>
  <c r="P306" i="35"/>
  <c r="O306" i="35"/>
  <c r="N306" i="35"/>
  <c r="M306" i="35"/>
  <c r="L306" i="35"/>
  <c r="K306" i="35"/>
  <c r="J306" i="35"/>
  <c r="I306" i="35"/>
  <c r="H306" i="35"/>
  <c r="G306" i="35"/>
  <c r="F306" i="35"/>
  <c r="E306" i="35"/>
  <c r="D306" i="35"/>
  <c r="C306" i="35"/>
  <c r="X197" i="35"/>
  <c r="W197" i="35"/>
  <c r="V197" i="35"/>
  <c r="S197" i="35"/>
  <c r="R197" i="35"/>
  <c r="Q197" i="35"/>
  <c r="P197" i="35"/>
  <c r="O197" i="35"/>
  <c r="N197" i="35"/>
  <c r="M197" i="35"/>
  <c r="L197" i="35"/>
  <c r="K197" i="35"/>
  <c r="J197" i="35"/>
  <c r="I197" i="35"/>
  <c r="H197" i="35"/>
  <c r="G197" i="35"/>
  <c r="F197" i="35"/>
  <c r="E197" i="35"/>
  <c r="D197" i="35"/>
  <c r="C197" i="35"/>
  <c r="X288" i="35"/>
  <c r="W288" i="35"/>
  <c r="V288" i="35"/>
  <c r="S288" i="35"/>
  <c r="R288" i="35"/>
  <c r="Q288" i="35"/>
  <c r="P288" i="35"/>
  <c r="O288" i="35"/>
  <c r="N288" i="35"/>
  <c r="M288" i="35"/>
  <c r="L288" i="35"/>
  <c r="K288" i="35"/>
  <c r="J288" i="35"/>
  <c r="I288" i="35"/>
  <c r="H288" i="35"/>
  <c r="G288" i="35"/>
  <c r="F288" i="35"/>
  <c r="E288" i="35"/>
  <c r="D288" i="35"/>
  <c r="C288" i="35"/>
  <c r="X270" i="35"/>
  <c r="W270" i="35"/>
  <c r="V270" i="35"/>
  <c r="S270" i="35"/>
  <c r="R270" i="35"/>
  <c r="Q270" i="35"/>
  <c r="P270" i="35"/>
  <c r="O270" i="35"/>
  <c r="N270" i="35"/>
  <c r="M270" i="35"/>
  <c r="L270" i="35"/>
  <c r="K270" i="35"/>
  <c r="J270" i="35"/>
  <c r="I270" i="35"/>
  <c r="H270" i="35"/>
  <c r="G270" i="35"/>
  <c r="F270" i="35"/>
  <c r="E270" i="35"/>
  <c r="D270" i="35"/>
  <c r="C270" i="35"/>
  <c r="X252" i="35"/>
  <c r="W252" i="35"/>
  <c r="V252" i="35"/>
  <c r="S252" i="35"/>
  <c r="R252" i="35"/>
  <c r="Q252" i="35"/>
  <c r="P252" i="35"/>
  <c r="O252" i="35"/>
  <c r="N252" i="35"/>
  <c r="M252" i="35"/>
  <c r="L252" i="35"/>
  <c r="K252" i="35"/>
  <c r="J252" i="35"/>
  <c r="I252" i="35"/>
  <c r="H252" i="35"/>
  <c r="G252" i="35"/>
  <c r="F252" i="35"/>
  <c r="E252" i="35"/>
  <c r="D252" i="35"/>
  <c r="C252" i="35"/>
  <c r="X161" i="35"/>
  <c r="W161" i="35"/>
  <c r="V161" i="35"/>
  <c r="S161" i="35"/>
  <c r="R161" i="35"/>
  <c r="Q161" i="35"/>
  <c r="P161" i="35"/>
  <c r="O161" i="35"/>
  <c r="N161" i="35"/>
  <c r="M161" i="35"/>
  <c r="L161" i="35"/>
  <c r="K161" i="35"/>
  <c r="J161" i="35"/>
  <c r="I161" i="35"/>
  <c r="H161" i="35"/>
  <c r="G161" i="35"/>
  <c r="F161" i="35"/>
  <c r="E161" i="35"/>
  <c r="D161" i="35"/>
  <c r="C161" i="35"/>
  <c r="AA89" i="35"/>
  <c r="Z89" i="35"/>
  <c r="Y89" i="35"/>
  <c r="V89" i="35"/>
  <c r="U89" i="35"/>
  <c r="T89" i="35"/>
  <c r="S89" i="35"/>
  <c r="R89" i="35"/>
  <c r="Q89" i="35"/>
  <c r="P89" i="35"/>
  <c r="O89" i="35"/>
  <c r="N89" i="35"/>
  <c r="M89" i="35"/>
  <c r="L89" i="35"/>
  <c r="K89" i="35"/>
  <c r="J89" i="35"/>
  <c r="I89" i="35"/>
  <c r="H89" i="35"/>
  <c r="G89" i="35"/>
  <c r="F89" i="35"/>
  <c r="E89" i="35"/>
  <c r="D89" i="35"/>
  <c r="C89" i="35"/>
  <c r="AA71" i="35"/>
  <c r="Z71" i="35"/>
  <c r="V71" i="35"/>
  <c r="T71" i="35"/>
  <c r="S71" i="35"/>
  <c r="R71" i="35"/>
  <c r="D71" i="35"/>
  <c r="Q71" i="35"/>
  <c r="B84" i="119" s="1" a="1"/>
  <c r="B84" i="119" s="1"/>
  <c r="E84" i="119" s="1"/>
  <c r="P71" i="35"/>
  <c r="B83" i="119" s="1" a="1"/>
  <c r="B83" i="119" s="1"/>
  <c r="E83" i="119" s="1"/>
  <c r="N71" i="35"/>
  <c r="B81" i="119" s="1" a="1"/>
  <c r="B81" i="119" s="1"/>
  <c r="E81" i="119" s="1"/>
  <c r="M71" i="35"/>
  <c r="B80" i="119" s="1" a="1"/>
  <c r="B80" i="119" s="1"/>
  <c r="E80" i="119" s="1"/>
  <c r="I71" i="35"/>
  <c r="K71" i="35"/>
  <c r="J71" i="35"/>
  <c r="H71" i="35"/>
  <c r="G71" i="35"/>
  <c r="F71" i="35"/>
  <c r="E71" i="35"/>
  <c r="C71" i="35"/>
  <c r="B70" i="119" s="1" a="1"/>
  <c r="B70" i="119" s="1"/>
  <c r="E70" i="119" s="1"/>
  <c r="AI53" i="35"/>
  <c r="AH53" i="35"/>
  <c r="AG53" i="35"/>
  <c r="AD53" i="35"/>
  <c r="AC53" i="35"/>
  <c r="AB53" i="35"/>
  <c r="AA53" i="35"/>
  <c r="Z53" i="35"/>
  <c r="Y53" i="35"/>
  <c r="X53" i="35"/>
  <c r="V53" i="35"/>
  <c r="T53" i="35"/>
  <c r="S53" i="35"/>
  <c r="R53" i="35"/>
  <c r="Q53" i="35"/>
  <c r="P53" i="35"/>
  <c r="O53" i="35"/>
  <c r="N53" i="35"/>
  <c r="M53" i="35"/>
  <c r="L53" i="35"/>
  <c r="K53" i="35"/>
  <c r="J53" i="35"/>
  <c r="B800" i="135" s="1"/>
  <c r="E800" i="135" s="1"/>
  <c r="I53" i="35"/>
  <c r="H53" i="35"/>
  <c r="G53" i="35"/>
  <c r="E53" i="35"/>
  <c r="C53" i="35"/>
  <c r="X35" i="35"/>
  <c r="W35" i="35"/>
  <c r="V35" i="35"/>
  <c r="S35" i="35"/>
  <c r="R35" i="35"/>
  <c r="Q35" i="35"/>
  <c r="P35" i="35"/>
  <c r="O35" i="35"/>
  <c r="N35" i="35"/>
  <c r="M35" i="35"/>
  <c r="L35" i="35"/>
  <c r="B56" i="119"/>
  <c r="E56" i="119" s="1"/>
  <c r="B52" i="119"/>
  <c r="E52" i="119" s="1"/>
  <c r="B51" i="119"/>
  <c r="E51" i="119" s="1"/>
  <c r="B50" i="119"/>
  <c r="E50" i="119" s="1"/>
  <c r="B48" i="119"/>
  <c r="Y17" i="35"/>
  <c r="X17" i="35"/>
  <c r="W17" i="35"/>
  <c r="T17" i="35"/>
  <c r="S17" i="35"/>
  <c r="R17" i="35"/>
  <c r="AI233" i="35"/>
  <c r="AF233" i="35"/>
  <c r="AE233" i="35"/>
  <c r="AD233" i="35"/>
  <c r="Z233" i="35"/>
  <c r="Y233" i="35"/>
  <c r="X233" i="35"/>
  <c r="W233" i="35"/>
  <c r="V233" i="35"/>
  <c r="U233" i="35"/>
  <c r="T233" i="35"/>
  <c r="S233" i="35"/>
  <c r="R233" i="35"/>
  <c r="Q233" i="35"/>
  <c r="P233" i="35"/>
  <c r="O233" i="35"/>
  <c r="N233" i="35"/>
  <c r="M233" i="35"/>
  <c r="L233" i="35"/>
  <c r="K233" i="35"/>
  <c r="J233" i="35"/>
  <c r="I233" i="35"/>
  <c r="H233" i="35"/>
  <c r="G233" i="35"/>
  <c r="F233" i="35"/>
  <c r="E233" i="35"/>
  <c r="D233" i="35"/>
  <c r="C233" i="35"/>
  <c r="R674" i="28"/>
  <c r="Q674" i="28"/>
  <c r="P674" i="28"/>
  <c r="M674" i="28"/>
  <c r="K674" i="28"/>
  <c r="J674" i="28"/>
  <c r="I674" i="28"/>
  <c r="H674" i="28"/>
  <c r="G674" i="28"/>
  <c r="F674" i="28"/>
  <c r="E674" i="28"/>
  <c r="D674" i="28"/>
  <c r="C674" i="28"/>
  <c r="U656" i="28"/>
  <c r="T656" i="28"/>
  <c r="S656" i="28"/>
  <c r="P656" i="28"/>
  <c r="O656" i="28"/>
  <c r="N656" i="28"/>
  <c r="M656" i="28"/>
  <c r="L656" i="28"/>
  <c r="K656" i="28"/>
  <c r="J656" i="28"/>
  <c r="I656" i="28"/>
  <c r="H656" i="28"/>
  <c r="G656" i="28"/>
  <c r="F656" i="28"/>
  <c r="E656" i="28"/>
  <c r="D656" i="28"/>
  <c r="C656" i="28"/>
  <c r="X638" i="28"/>
  <c r="W638" i="28"/>
  <c r="V638" i="28"/>
  <c r="S638" i="28"/>
  <c r="R638" i="28"/>
  <c r="Q638" i="28"/>
  <c r="P638" i="28"/>
  <c r="O638" i="28"/>
  <c r="N638" i="28"/>
  <c r="M638" i="28"/>
  <c r="L638" i="28"/>
  <c r="K638" i="28"/>
  <c r="J638" i="28"/>
  <c r="I638" i="28"/>
  <c r="H638" i="28"/>
  <c r="G638" i="28"/>
  <c r="F638" i="28"/>
  <c r="E638" i="28"/>
  <c r="D638" i="28"/>
  <c r="C638" i="28"/>
  <c r="W620" i="28"/>
  <c r="V620" i="28"/>
  <c r="U620" i="28"/>
  <c r="R620" i="28"/>
  <c r="Q620" i="28"/>
  <c r="P620" i="28"/>
  <c r="O620" i="28"/>
  <c r="N620" i="28"/>
  <c r="M620" i="28"/>
  <c r="L620" i="28"/>
  <c r="K620" i="28"/>
  <c r="J620" i="28"/>
  <c r="I620" i="28"/>
  <c r="H620" i="28"/>
  <c r="G620" i="28"/>
  <c r="F620" i="28"/>
  <c r="E620" i="28"/>
  <c r="D620" i="28"/>
  <c r="C620" i="28"/>
  <c r="W602" i="28"/>
  <c r="V602" i="28"/>
  <c r="U602" i="28"/>
  <c r="R602" i="28"/>
  <c r="Q602" i="28"/>
  <c r="P602" i="28"/>
  <c r="O602" i="28"/>
  <c r="N602" i="28"/>
  <c r="M602" i="28"/>
  <c r="L602" i="28"/>
  <c r="K602" i="28"/>
  <c r="J602" i="28"/>
  <c r="I602" i="28"/>
  <c r="H602" i="28"/>
  <c r="G602" i="28"/>
  <c r="F602" i="28"/>
  <c r="E602" i="28"/>
  <c r="D602" i="28"/>
  <c r="C602" i="28"/>
  <c r="Z584" i="28"/>
  <c r="Y584" i="28"/>
  <c r="X584" i="28"/>
  <c r="U584" i="28"/>
  <c r="T584" i="28"/>
  <c r="R584" i="28"/>
  <c r="Q584" i="28"/>
  <c r="P584" i="28"/>
  <c r="O584" i="28"/>
  <c r="N584" i="28"/>
  <c r="M584" i="28"/>
  <c r="L584" i="28"/>
  <c r="K584" i="28"/>
  <c r="J584" i="28"/>
  <c r="I584" i="28"/>
  <c r="H584" i="28"/>
  <c r="G584" i="28"/>
  <c r="F584" i="28"/>
  <c r="E584" i="28"/>
  <c r="D584" i="28"/>
  <c r="C584" i="28"/>
  <c r="Z566" i="28"/>
  <c r="Y566" i="28"/>
  <c r="X566" i="28"/>
  <c r="U566" i="28"/>
  <c r="T566" i="28"/>
  <c r="S566" i="28"/>
  <c r="R566" i="28"/>
  <c r="Q566" i="28"/>
  <c r="P566" i="28"/>
  <c r="O566" i="28"/>
  <c r="N566" i="28"/>
  <c r="M566" i="28"/>
  <c r="L566" i="28"/>
  <c r="K566" i="28"/>
  <c r="J566" i="28"/>
  <c r="I566" i="28"/>
  <c r="H566" i="28"/>
  <c r="G566" i="28"/>
  <c r="F566" i="28"/>
  <c r="E566" i="28"/>
  <c r="D566" i="28"/>
  <c r="C566" i="28"/>
  <c r="R548" i="28"/>
  <c r="Q548" i="28"/>
  <c r="P548" i="28"/>
  <c r="M548" i="28"/>
  <c r="L548" i="28"/>
  <c r="K548" i="28"/>
  <c r="J548" i="28"/>
  <c r="I548" i="28"/>
  <c r="H548" i="28"/>
  <c r="G548" i="28"/>
  <c r="F548" i="28"/>
  <c r="E548" i="28"/>
  <c r="D548" i="28"/>
  <c r="C548" i="28"/>
  <c r="R530" i="28"/>
  <c r="Q530" i="28"/>
  <c r="P530" i="28"/>
  <c r="M530" i="28"/>
  <c r="L530" i="28"/>
  <c r="K530" i="28"/>
  <c r="J530" i="28"/>
  <c r="I530" i="28"/>
  <c r="H530" i="28"/>
  <c r="G530" i="28"/>
  <c r="F530" i="28"/>
  <c r="E530" i="28"/>
  <c r="D530" i="28"/>
  <c r="C530" i="28"/>
  <c r="R511" i="28"/>
  <c r="Q511" i="28"/>
  <c r="P511" i="28"/>
  <c r="M511" i="28"/>
  <c r="L511" i="28"/>
  <c r="K511" i="28"/>
  <c r="J511" i="28"/>
  <c r="I511" i="28"/>
  <c r="H511" i="28"/>
  <c r="G511" i="28"/>
  <c r="F511" i="28"/>
  <c r="E511" i="28"/>
  <c r="D511" i="28"/>
  <c r="C511" i="28"/>
  <c r="R493" i="28"/>
  <c r="Q493" i="28"/>
  <c r="P493" i="28"/>
  <c r="M493" i="28"/>
  <c r="L493" i="28"/>
  <c r="K493" i="28"/>
  <c r="J493" i="28"/>
  <c r="I493" i="28"/>
  <c r="H493" i="28"/>
  <c r="G493" i="28"/>
  <c r="F493" i="28"/>
  <c r="E493" i="28"/>
  <c r="D493" i="28"/>
  <c r="C493" i="28"/>
  <c r="P475" i="28"/>
  <c r="O475" i="28"/>
  <c r="N475" i="28"/>
  <c r="J475" i="28"/>
  <c r="I475" i="28"/>
  <c r="H475" i="28"/>
  <c r="G475" i="28"/>
  <c r="F475" i="28"/>
  <c r="E475" i="28"/>
  <c r="D475" i="28"/>
  <c r="C475" i="28"/>
  <c r="Q457" i="28"/>
  <c r="P457" i="28"/>
  <c r="O457" i="28"/>
  <c r="L457" i="28"/>
  <c r="J457" i="28"/>
  <c r="G457" i="28"/>
  <c r="F457" i="28"/>
  <c r="E457" i="28"/>
  <c r="Z456" i="28"/>
  <c r="Y456" i="28"/>
  <c r="X456" i="28"/>
  <c r="U456" i="28"/>
  <c r="T456" i="28"/>
  <c r="S456" i="28"/>
  <c r="R456" i="28"/>
  <c r="Q456" i="28"/>
  <c r="P456" i="28"/>
  <c r="O456" i="28"/>
  <c r="N456" i="28"/>
  <c r="M456" i="28"/>
  <c r="L456" i="28"/>
  <c r="K456" i="28"/>
  <c r="J456" i="28"/>
  <c r="I456" i="28"/>
  <c r="H456" i="28"/>
  <c r="G456" i="28"/>
  <c r="F456" i="28"/>
  <c r="E456" i="28"/>
  <c r="D456" i="28"/>
  <c r="C456" i="28"/>
  <c r="R309" i="28"/>
  <c r="Q309" i="28"/>
  <c r="P309" i="28"/>
  <c r="M309" i="28"/>
  <c r="K309" i="28"/>
  <c r="J309" i="28"/>
  <c r="I309" i="28"/>
  <c r="H309" i="28"/>
  <c r="G309" i="28"/>
  <c r="F309" i="28"/>
  <c r="E309" i="28"/>
  <c r="D309" i="28"/>
  <c r="C309" i="28"/>
  <c r="R436" i="28"/>
  <c r="Q436" i="28"/>
  <c r="P436" i="28"/>
  <c r="M436" i="28"/>
  <c r="K436" i="28"/>
  <c r="J436" i="28"/>
  <c r="I436" i="28"/>
  <c r="H436" i="28"/>
  <c r="G436" i="28"/>
  <c r="F436" i="28"/>
  <c r="E436" i="28"/>
  <c r="D436" i="28"/>
  <c r="C436" i="28"/>
  <c r="R418" i="28"/>
  <c r="Q418" i="28"/>
  <c r="P418" i="28"/>
  <c r="M418" i="28"/>
  <c r="L418" i="28"/>
  <c r="K418" i="28"/>
  <c r="J418" i="28"/>
  <c r="I418" i="28"/>
  <c r="H418" i="28"/>
  <c r="G418" i="28"/>
  <c r="F418" i="28"/>
  <c r="E418" i="28"/>
  <c r="D418" i="28"/>
  <c r="C418" i="28"/>
  <c r="P399" i="28"/>
  <c r="O399" i="28"/>
  <c r="N399" i="28"/>
  <c r="K399" i="28"/>
  <c r="J399" i="28"/>
  <c r="I399" i="28"/>
  <c r="H399" i="28"/>
  <c r="G399" i="28"/>
  <c r="F399" i="28"/>
  <c r="E399" i="28"/>
  <c r="D399" i="28"/>
  <c r="C399" i="28"/>
  <c r="Q291" i="28"/>
  <c r="P291" i="28"/>
  <c r="O291" i="28"/>
  <c r="L291" i="28"/>
  <c r="K291" i="28"/>
  <c r="J291" i="28"/>
  <c r="I291" i="28"/>
  <c r="H291" i="28"/>
  <c r="G291" i="28"/>
  <c r="F291" i="28"/>
  <c r="E291" i="28"/>
  <c r="C291" i="28"/>
  <c r="BS273" i="28"/>
  <c r="BR273" i="28"/>
  <c r="BQ273" i="28"/>
  <c r="BN273" i="28"/>
  <c r="C273" i="28"/>
  <c r="B479" i="119" s="1" a="1"/>
  <c r="B479" i="119" s="1"/>
  <c r="AX255" i="28"/>
  <c r="AW255" i="28"/>
  <c r="AV255" i="28"/>
  <c r="AP255" i="28"/>
  <c r="AO255" i="28"/>
  <c r="AN255" i="28"/>
  <c r="AM255" i="28"/>
  <c r="AL255" i="28"/>
  <c r="AK255" i="28"/>
  <c r="AJ255" i="28"/>
  <c r="AI255" i="28"/>
  <c r="AH255" i="28"/>
  <c r="AG255" i="28"/>
  <c r="AF255" i="28"/>
  <c r="AE255" i="28"/>
  <c r="AD255" i="28"/>
  <c r="AC255" i="28"/>
  <c r="AB255" i="28"/>
  <c r="AA255" i="28"/>
  <c r="Z255" i="28"/>
  <c r="Y255" i="28"/>
  <c r="X255" i="28"/>
  <c r="W255" i="28"/>
  <c r="U255" i="28"/>
  <c r="T255" i="28"/>
  <c r="S255" i="28"/>
  <c r="R255" i="28"/>
  <c r="Q255" i="28"/>
  <c r="P255" i="28"/>
  <c r="O255" i="28"/>
  <c r="N255" i="28"/>
  <c r="M255" i="28"/>
  <c r="L255" i="28"/>
  <c r="J255" i="28"/>
  <c r="I255" i="28"/>
  <c r="H255" i="28"/>
  <c r="G255" i="28"/>
  <c r="F255" i="28"/>
  <c r="E255" i="28"/>
  <c r="D255" i="28"/>
  <c r="C255" i="28"/>
  <c r="Q237" i="28"/>
  <c r="P237" i="28"/>
  <c r="O237" i="28"/>
  <c r="L237" i="28"/>
  <c r="K237" i="28"/>
  <c r="J237" i="28"/>
  <c r="I237" i="28"/>
  <c r="H237" i="28"/>
  <c r="G237" i="28"/>
  <c r="F237" i="28"/>
  <c r="E237" i="28"/>
  <c r="D237" i="28"/>
  <c r="C237" i="28"/>
  <c r="S381" i="28"/>
  <c r="R381" i="28"/>
  <c r="Q381" i="28"/>
  <c r="N381" i="28"/>
  <c r="M381" i="28"/>
  <c r="L381" i="28"/>
  <c r="K381" i="28"/>
  <c r="J381" i="28"/>
  <c r="I381" i="28"/>
  <c r="H381" i="28"/>
  <c r="G381" i="28"/>
  <c r="F381" i="28"/>
  <c r="E381" i="28"/>
  <c r="D381" i="28"/>
  <c r="C381" i="28"/>
  <c r="S363" i="28"/>
  <c r="R363" i="28"/>
  <c r="Q363" i="28"/>
  <c r="N363" i="28"/>
  <c r="M363" i="28"/>
  <c r="L363" i="28"/>
  <c r="K363" i="28"/>
  <c r="J363" i="28"/>
  <c r="I363" i="28"/>
  <c r="H363" i="28"/>
  <c r="G363" i="28"/>
  <c r="F363" i="28"/>
  <c r="E363" i="28"/>
  <c r="D363" i="28"/>
  <c r="C363" i="28"/>
  <c r="R345" i="28"/>
  <c r="Q345" i="28"/>
  <c r="P345" i="28"/>
  <c r="M345" i="28"/>
  <c r="K345" i="28"/>
  <c r="J345" i="28"/>
  <c r="I345" i="28"/>
  <c r="H345" i="28"/>
  <c r="G345" i="28"/>
  <c r="F345" i="28"/>
  <c r="E345" i="28"/>
  <c r="D345" i="28"/>
  <c r="C345" i="28"/>
  <c r="R327" i="28"/>
  <c r="Q327" i="28"/>
  <c r="P327" i="28"/>
  <c r="M327" i="28"/>
  <c r="K327" i="28"/>
  <c r="J327" i="28"/>
  <c r="I327" i="28"/>
  <c r="H327" i="28"/>
  <c r="G327" i="28"/>
  <c r="F327" i="28"/>
  <c r="E327" i="28"/>
  <c r="D327" i="28"/>
  <c r="C327" i="28"/>
  <c r="T219" i="28"/>
  <c r="R219" i="28"/>
  <c r="Q219" i="28"/>
  <c r="P219" i="28"/>
  <c r="M219" i="28"/>
  <c r="K219" i="28"/>
  <c r="J219" i="28"/>
  <c r="I219" i="28"/>
  <c r="H219" i="28"/>
  <c r="G219" i="28"/>
  <c r="F219" i="28"/>
  <c r="E219" i="28"/>
  <c r="D219" i="28"/>
  <c r="C219" i="28"/>
  <c r="C7" i="3" s="1"/>
  <c r="W201" i="28"/>
  <c r="V201" i="28"/>
  <c r="U201" i="28"/>
  <c r="R201" i="28"/>
  <c r="Q201" i="28"/>
  <c r="P201" i="28"/>
  <c r="O201" i="28"/>
  <c r="N201" i="28"/>
  <c r="M201" i="28"/>
  <c r="L201" i="28"/>
  <c r="K201" i="28"/>
  <c r="J201" i="28"/>
  <c r="I201" i="28"/>
  <c r="H201" i="28"/>
  <c r="G201" i="28"/>
  <c r="F201" i="28"/>
  <c r="E201" i="28"/>
  <c r="D201" i="28"/>
  <c r="C201" i="28"/>
  <c r="Z183" i="28"/>
  <c r="Y183" i="28"/>
  <c r="X183" i="28"/>
  <c r="U183" i="28"/>
  <c r="T183" i="28"/>
  <c r="S183" i="28"/>
  <c r="R183" i="28"/>
  <c r="Q183" i="28"/>
  <c r="P183" i="28"/>
  <c r="O183" i="28"/>
  <c r="N183" i="28"/>
  <c r="M183" i="28"/>
  <c r="L183" i="28"/>
  <c r="K183" i="28"/>
  <c r="J183" i="28"/>
  <c r="I183" i="28"/>
  <c r="H183" i="28"/>
  <c r="G183" i="28"/>
  <c r="F183" i="28"/>
  <c r="E183" i="28"/>
  <c r="D183" i="28"/>
  <c r="C183" i="28"/>
  <c r="W165" i="28"/>
  <c r="V165" i="28"/>
  <c r="U165" i="28"/>
  <c r="R165" i="28"/>
  <c r="Q165" i="28"/>
  <c r="P165" i="28"/>
  <c r="O165" i="28"/>
  <c r="N165" i="28"/>
  <c r="M165" i="28"/>
  <c r="L165" i="28"/>
  <c r="K165" i="28"/>
  <c r="J165" i="28"/>
  <c r="I165" i="28"/>
  <c r="H165" i="28"/>
  <c r="G165" i="28"/>
  <c r="F165" i="28"/>
  <c r="E165" i="28"/>
  <c r="D165" i="28"/>
  <c r="C165" i="28"/>
  <c r="R147" i="28"/>
  <c r="Q147" i="28"/>
  <c r="N147" i="28"/>
  <c r="M147" i="28"/>
  <c r="L147" i="28"/>
  <c r="K147" i="28"/>
  <c r="J147" i="28"/>
  <c r="I147" i="28"/>
  <c r="H147" i="28"/>
  <c r="G147" i="28"/>
  <c r="F147" i="28"/>
  <c r="E147" i="28"/>
  <c r="D147" i="28"/>
  <c r="C147" i="28"/>
  <c r="AR129" i="28"/>
  <c r="AQ129" i="28"/>
  <c r="AH129" i="28"/>
  <c r="AG129" i="28"/>
  <c r="AF129" i="28"/>
  <c r="AE129" i="28"/>
  <c r="AD129" i="28"/>
  <c r="AC129" i="28"/>
  <c r="AB129" i="28"/>
  <c r="AA129" i="28"/>
  <c r="Z129" i="28"/>
  <c r="Y129" i="28"/>
  <c r="X129" i="28"/>
  <c r="W129" i="28"/>
  <c r="V129" i="28"/>
  <c r="U129" i="28"/>
  <c r="T129" i="28"/>
  <c r="S129" i="28"/>
  <c r="R129" i="28"/>
  <c r="Q129" i="28"/>
  <c r="P129" i="28"/>
  <c r="O129" i="28"/>
  <c r="N129" i="28"/>
  <c r="M129" i="28"/>
  <c r="L129" i="28"/>
  <c r="K129" i="28"/>
  <c r="J129" i="28"/>
  <c r="I129" i="28"/>
  <c r="H129" i="28"/>
  <c r="G129" i="28"/>
  <c r="F129" i="28"/>
  <c r="E129" i="28"/>
  <c r="D129" i="28"/>
  <c r="C129" i="28"/>
  <c r="P111" i="28"/>
  <c r="O111" i="28"/>
  <c r="N111" i="28"/>
  <c r="K111" i="28"/>
  <c r="J111" i="28"/>
  <c r="I111" i="28"/>
  <c r="H111" i="28"/>
  <c r="G111" i="28"/>
  <c r="F111" i="28"/>
  <c r="E111" i="28"/>
  <c r="D111" i="28"/>
  <c r="C111" i="28"/>
  <c r="P93" i="28"/>
  <c r="O93" i="28"/>
  <c r="N93" i="28"/>
  <c r="K93" i="28"/>
  <c r="J93" i="28"/>
  <c r="I93" i="28"/>
  <c r="H93" i="28"/>
  <c r="G93" i="28"/>
  <c r="F93" i="28"/>
  <c r="E93" i="28"/>
  <c r="D93" i="28"/>
  <c r="C93" i="28"/>
  <c r="P75" i="28"/>
  <c r="O75" i="28"/>
  <c r="N75" i="28"/>
  <c r="K75" i="28"/>
  <c r="J75" i="28"/>
  <c r="H75" i="28"/>
  <c r="G75" i="28"/>
  <c r="F75" i="28"/>
  <c r="E75" i="28"/>
  <c r="D75" i="28"/>
  <c r="C75" i="28"/>
  <c r="AZ57" i="28"/>
  <c r="AY57" i="28"/>
  <c r="AX57" i="28"/>
  <c r="AU57" i="28"/>
  <c r="AT57" i="28"/>
  <c r="AS57" i="28"/>
  <c r="AR57" i="28"/>
  <c r="AQ57" i="28"/>
  <c r="AP57" i="28"/>
  <c r="AO57" i="28"/>
  <c r="AN57" i="28"/>
  <c r="AM57" i="28"/>
  <c r="AL57" i="28"/>
  <c r="AK57" i="28"/>
  <c r="AJ57" i="28"/>
  <c r="AI57" i="28"/>
  <c r="AH57" i="28"/>
  <c r="AG57" i="28"/>
  <c r="AF57" i="28"/>
  <c r="AE57" i="28"/>
  <c r="AD57" i="28"/>
  <c r="AC57" i="28"/>
  <c r="AB57" i="28"/>
  <c r="AA57" i="28"/>
  <c r="Z57" i="28"/>
  <c r="Y57" i="28"/>
  <c r="X57" i="28"/>
  <c r="W57" i="28"/>
  <c r="V57" i="28"/>
  <c r="U57" i="28"/>
  <c r="T57" i="28"/>
  <c r="S57" i="28"/>
  <c r="R57" i="28"/>
  <c r="Q57" i="28"/>
  <c r="P57" i="28"/>
  <c r="O57" i="28"/>
  <c r="N57" i="28"/>
  <c r="M57" i="28"/>
  <c r="K57" i="28"/>
  <c r="J57" i="28"/>
  <c r="H57" i="28"/>
  <c r="G57" i="28"/>
  <c r="F57" i="28"/>
  <c r="E57" i="28"/>
  <c r="D57" i="28"/>
  <c r="C57" i="28"/>
  <c r="X39" i="28"/>
  <c r="W39" i="28"/>
  <c r="V39" i="28"/>
  <c r="R39" i="28"/>
  <c r="Q39" i="28"/>
  <c r="P39" i="28"/>
  <c r="O39" i="28"/>
  <c r="N39" i="28"/>
  <c r="M39" i="28"/>
  <c r="L39" i="28"/>
  <c r="K39" i="28"/>
  <c r="J39" i="28"/>
  <c r="H39" i="28"/>
  <c r="G39" i="28"/>
  <c r="F39" i="28"/>
  <c r="D39" i="28"/>
  <c r="B561" i="119" s="1"/>
  <c r="C39" i="28"/>
  <c r="B560" i="119" s="1"/>
  <c r="EV21" i="28"/>
  <c r="EU21" i="28"/>
  <c r="ET21" i="28"/>
  <c r="EO21" i="28"/>
  <c r="B801" i="119" s="1" a="1"/>
  <c r="B801" i="119" s="1"/>
  <c r="E801" i="119" s="1"/>
  <c r="EN21" i="28"/>
  <c r="B800" i="119" s="1" a="1"/>
  <c r="B800" i="119" s="1"/>
  <c r="E800" i="119" s="1"/>
  <c r="EM21" i="28"/>
  <c r="B799" i="119" s="1" a="1"/>
  <c r="B799" i="119" s="1"/>
  <c r="E799" i="119" s="1"/>
  <c r="EL21" i="28"/>
  <c r="B798" i="119" s="1" a="1"/>
  <c r="B798" i="119" s="1"/>
  <c r="E798" i="119" s="1"/>
  <c r="EK21" i="28"/>
  <c r="B797" i="119" s="1" a="1"/>
  <c r="B797" i="119" s="1"/>
  <c r="E797" i="119" s="1"/>
  <c r="EJ21" i="28"/>
  <c r="B796" i="119" s="1" a="1"/>
  <c r="B796" i="119" s="1"/>
  <c r="E796" i="119" s="1"/>
  <c r="EI21" i="28"/>
  <c r="B795" i="119" s="1" a="1"/>
  <c r="B795" i="119" s="1"/>
  <c r="E795" i="119" s="1"/>
  <c r="EH21" i="28"/>
  <c r="B794" i="119" s="1" a="1"/>
  <c r="B794" i="119" s="1"/>
  <c r="E794" i="119" s="1"/>
  <c r="EG21" i="28"/>
  <c r="B793" i="119" s="1" a="1"/>
  <c r="B793" i="119" s="1"/>
  <c r="E793" i="119" s="1"/>
  <c r="EF21" i="28"/>
  <c r="B792" i="119" s="1" a="1"/>
  <c r="B792" i="119" s="1"/>
  <c r="E792" i="119" s="1"/>
  <c r="EE21" i="28"/>
  <c r="B791" i="119" s="1" a="1"/>
  <c r="B791" i="119" s="1"/>
  <c r="E791" i="119" s="1"/>
  <c r="ED21" i="28"/>
  <c r="B790" i="119" s="1" a="1"/>
  <c r="B790" i="119" s="1"/>
  <c r="E790" i="119" s="1"/>
  <c r="EC21" i="28"/>
  <c r="B789" i="119" s="1" a="1"/>
  <c r="B789" i="119" s="1"/>
  <c r="E789" i="119" s="1"/>
  <c r="EB21" i="28"/>
  <c r="B788" i="119" s="1" a="1"/>
  <c r="B788" i="119" s="1"/>
  <c r="E788" i="119" s="1"/>
  <c r="EA21" i="28"/>
  <c r="B787" i="119" s="1" a="1"/>
  <c r="B787" i="119" s="1"/>
  <c r="E787" i="119" s="1"/>
  <c r="DZ21" i="28"/>
  <c r="B786" i="119" s="1" a="1"/>
  <c r="B786" i="119" s="1"/>
  <c r="E786" i="119" s="1"/>
  <c r="DY21" i="28"/>
  <c r="B785" i="119" s="1" a="1"/>
  <c r="B785" i="119" s="1"/>
  <c r="E785" i="119" s="1"/>
  <c r="DX21" i="28"/>
  <c r="B784" i="119" s="1" a="1"/>
  <c r="B784" i="119" s="1"/>
  <c r="E784" i="119" s="1"/>
  <c r="DV21" i="28"/>
  <c r="B782" i="119" s="1" a="1"/>
  <c r="B782" i="119" s="1"/>
  <c r="E782" i="119" s="1"/>
  <c r="DU21" i="28"/>
  <c r="B781" i="119" s="1" a="1"/>
  <c r="B781" i="119" s="1"/>
  <c r="E781" i="119" s="1"/>
  <c r="DT21" i="28"/>
  <c r="B780" i="119" s="1" a="1"/>
  <c r="B780" i="119" s="1"/>
  <c r="E780" i="119" s="1"/>
  <c r="DS21" i="28"/>
  <c r="B779" i="119" s="1" a="1"/>
  <c r="B779" i="119" s="1"/>
  <c r="E779" i="119" s="1"/>
  <c r="DR21" i="28"/>
  <c r="B778" i="119" s="1" a="1"/>
  <c r="B778" i="119" s="1"/>
  <c r="E778" i="119" s="1"/>
  <c r="DP21" i="28"/>
  <c r="B776" i="119" s="1" a="1"/>
  <c r="B776" i="119" s="1"/>
  <c r="E776" i="119" s="1"/>
  <c r="DO21" i="28"/>
  <c r="B775" i="119" s="1" a="1"/>
  <c r="B775" i="119" s="1"/>
  <c r="E775" i="119" s="1"/>
  <c r="DN21" i="28"/>
  <c r="B774" i="119" s="1" a="1"/>
  <c r="B774" i="119" s="1"/>
  <c r="E774" i="119" s="1"/>
  <c r="DM21" i="28"/>
  <c r="B773" i="119" s="1" a="1"/>
  <c r="B773" i="119" s="1"/>
  <c r="E773" i="119" s="1"/>
  <c r="DL21" i="28"/>
  <c r="B772" i="119" s="1" a="1"/>
  <c r="B772" i="119" s="1"/>
  <c r="E772" i="119" s="1"/>
  <c r="DI21" i="28"/>
  <c r="B769" i="119" s="1" a="1"/>
  <c r="B769" i="119" s="1"/>
  <c r="E769" i="119" s="1"/>
  <c r="DH21" i="28"/>
  <c r="B768" i="119" s="1" a="1"/>
  <c r="B768" i="119" s="1"/>
  <c r="E768" i="119" s="1"/>
  <c r="DG21" i="28"/>
  <c r="B767" i="119" s="1" a="1"/>
  <c r="B767" i="119" s="1"/>
  <c r="E767" i="119" s="1"/>
  <c r="DF21" i="28"/>
  <c r="B766" i="119" s="1" a="1"/>
  <c r="B766" i="119" s="1"/>
  <c r="E766" i="119" s="1"/>
  <c r="DE21" i="28"/>
  <c r="B765" i="119" s="1" a="1"/>
  <c r="B765" i="119" s="1"/>
  <c r="E765" i="119" s="1"/>
  <c r="DD21" i="28"/>
  <c r="B764" i="119" s="1" a="1"/>
  <c r="B764" i="119" s="1"/>
  <c r="E764" i="119" s="1"/>
  <c r="DC21" i="28"/>
  <c r="B763" i="119" s="1" a="1"/>
  <c r="B763" i="119" s="1"/>
  <c r="E763" i="119" s="1"/>
  <c r="DB21" i="28"/>
  <c r="B762" i="119" s="1" a="1"/>
  <c r="B762" i="119" s="1"/>
  <c r="E762" i="119" s="1"/>
  <c r="DA21" i="28"/>
  <c r="B761" i="119" s="1" a="1"/>
  <c r="B761" i="119" s="1"/>
  <c r="E761" i="119" s="1"/>
  <c r="CZ21" i="28"/>
  <c r="B760" i="119" s="1" a="1"/>
  <c r="B760" i="119" s="1"/>
  <c r="E760" i="119" s="1"/>
  <c r="CY21" i="28"/>
  <c r="B759" i="119" s="1" a="1"/>
  <c r="B759" i="119" s="1"/>
  <c r="E759" i="119" s="1"/>
  <c r="CX21" i="28"/>
  <c r="B758" i="119" s="1" a="1"/>
  <c r="B758" i="119" s="1"/>
  <c r="E758" i="119" s="1"/>
  <c r="CU21" i="28"/>
  <c r="B755" i="119" s="1" a="1"/>
  <c r="B755" i="119" s="1"/>
  <c r="E755" i="119" s="1"/>
  <c r="CT21" i="28"/>
  <c r="B754" i="119" s="1" a="1"/>
  <c r="B754" i="119" s="1"/>
  <c r="E754" i="119" s="1"/>
  <c r="CR21" i="28"/>
  <c r="B752" i="119" s="1" a="1"/>
  <c r="B752" i="119" s="1"/>
  <c r="E752" i="119" s="1"/>
  <c r="CP21" i="28"/>
  <c r="B750" i="119" s="1" a="1"/>
  <c r="B750" i="119" s="1"/>
  <c r="E750" i="119" s="1"/>
  <c r="CO21" i="28"/>
  <c r="B749" i="119" s="1" a="1"/>
  <c r="B749" i="119" s="1"/>
  <c r="E749" i="119" s="1"/>
  <c r="CN21" i="28"/>
  <c r="B748" i="119" s="1" a="1"/>
  <c r="B748" i="119" s="1"/>
  <c r="E748" i="119" s="1"/>
  <c r="CM21" i="28"/>
  <c r="B747" i="119" s="1" a="1"/>
  <c r="B747" i="119" s="1"/>
  <c r="E747" i="119" s="1"/>
  <c r="CL21" i="28"/>
  <c r="B746" i="119" s="1" a="1"/>
  <c r="B746" i="119" s="1"/>
  <c r="E746" i="119" s="1"/>
  <c r="CK21" i="28"/>
  <c r="B745" i="119" s="1" a="1"/>
  <c r="B745" i="119" s="1"/>
  <c r="E745" i="119" s="1"/>
  <c r="CJ21" i="28"/>
  <c r="B744" i="119" s="1" a="1"/>
  <c r="B744" i="119" s="1"/>
  <c r="E744" i="119" s="1"/>
  <c r="CI21" i="28"/>
  <c r="B743" i="119" s="1" a="1"/>
  <c r="B743" i="119" s="1"/>
  <c r="E743" i="119" s="1"/>
  <c r="CG21" i="28"/>
  <c r="B741" i="119" s="1" a="1"/>
  <c r="B741" i="119" s="1"/>
  <c r="E741" i="119" s="1"/>
  <c r="CF21" i="28"/>
  <c r="B740" i="119" s="1" a="1"/>
  <c r="B740" i="119" s="1"/>
  <c r="E740" i="119" s="1"/>
  <c r="CE21" i="28"/>
  <c r="B739" i="119" s="1" a="1"/>
  <c r="B739" i="119" s="1"/>
  <c r="E739" i="119" s="1"/>
  <c r="CD21" i="28"/>
  <c r="B738" i="119" s="1" a="1"/>
  <c r="B738" i="119" s="1"/>
  <c r="E738" i="119" s="1"/>
  <c r="CB21" i="28"/>
  <c r="B736" i="119" s="1" a="1"/>
  <c r="B736" i="119" s="1"/>
  <c r="E736" i="119" s="1"/>
  <c r="CA21" i="28"/>
  <c r="B735" i="119" s="1" a="1"/>
  <c r="B735" i="119" s="1"/>
  <c r="E735" i="119" s="1"/>
  <c r="BY21" i="28"/>
  <c r="B733" i="119" s="1" a="1"/>
  <c r="B733" i="119" s="1"/>
  <c r="E733" i="119" s="1"/>
  <c r="BW21" i="28"/>
  <c r="B731" i="119" s="1" a="1"/>
  <c r="B731" i="119" s="1"/>
  <c r="E731" i="119" s="1"/>
  <c r="BV21" i="28"/>
  <c r="B730" i="119" s="1" a="1"/>
  <c r="B730" i="119" s="1"/>
  <c r="E730" i="119" s="1"/>
  <c r="BU21" i="28"/>
  <c r="B729" i="119" s="1" a="1"/>
  <c r="B729" i="119" s="1"/>
  <c r="E729" i="119" s="1"/>
  <c r="BT21" i="28"/>
  <c r="B728" i="119" s="1" a="1"/>
  <c r="B728" i="119" s="1"/>
  <c r="E728" i="119" s="1"/>
  <c r="BS21" i="28"/>
  <c r="B727" i="119" s="1" a="1"/>
  <c r="B727" i="119" s="1"/>
  <c r="E727" i="119" s="1"/>
  <c r="BR21" i="28"/>
  <c r="B726" i="119" s="1" a="1"/>
  <c r="B726" i="119" s="1"/>
  <c r="E726" i="119" s="1"/>
  <c r="BP21" i="28"/>
  <c r="B724" i="119" s="1" a="1"/>
  <c r="B724" i="119" s="1"/>
  <c r="E724" i="119" s="1"/>
  <c r="BO21" i="28"/>
  <c r="B723" i="119" s="1" a="1"/>
  <c r="B723" i="119" s="1"/>
  <c r="E723" i="119" s="1"/>
  <c r="BN21" i="28"/>
  <c r="B722" i="119" s="1" a="1"/>
  <c r="B722" i="119" s="1"/>
  <c r="E722" i="119" s="1"/>
  <c r="BM21" i="28"/>
  <c r="B721" i="119" s="1" a="1"/>
  <c r="B721" i="119" s="1"/>
  <c r="E721" i="119" s="1"/>
  <c r="BL21" i="28"/>
  <c r="B720" i="119" s="1" a="1"/>
  <c r="B720" i="119" s="1"/>
  <c r="E720" i="119" s="1"/>
  <c r="BI21" i="28"/>
  <c r="B717" i="119" s="1" a="1"/>
  <c r="B717" i="119" s="1"/>
  <c r="E717" i="119" s="1"/>
  <c r="BH21" i="28"/>
  <c r="B716" i="119" s="1" a="1"/>
  <c r="B716" i="119" s="1"/>
  <c r="E716" i="119" s="1"/>
  <c r="BF21" i="28"/>
  <c r="B714" i="119" s="1" a="1"/>
  <c r="B714" i="119" s="1"/>
  <c r="E714" i="119" s="1"/>
  <c r="BE21" i="28"/>
  <c r="B713" i="119" s="1" a="1"/>
  <c r="B713" i="119" s="1"/>
  <c r="E713" i="119" s="1"/>
  <c r="BD21" i="28"/>
  <c r="B712" i="119" s="1" a="1"/>
  <c r="B712" i="119" s="1"/>
  <c r="E712" i="119" s="1"/>
  <c r="BC21" i="28"/>
  <c r="B711" i="119" s="1" a="1"/>
  <c r="B711" i="119" s="1"/>
  <c r="E711" i="119" s="1"/>
  <c r="BB21" i="28"/>
  <c r="B710" i="119" s="1" a="1"/>
  <c r="B710" i="119" s="1"/>
  <c r="E710" i="119" s="1"/>
  <c r="BA21" i="28"/>
  <c r="B709" i="119" s="1" a="1"/>
  <c r="B709" i="119" s="1"/>
  <c r="E709" i="119" s="1"/>
  <c r="AZ21" i="28"/>
  <c r="B708" i="119" s="1" a="1"/>
  <c r="B708" i="119" s="1"/>
  <c r="E708" i="119" s="1"/>
  <c r="AY21" i="28"/>
  <c r="B707" i="119" s="1" a="1"/>
  <c r="B707" i="119" s="1"/>
  <c r="E707" i="119" s="1"/>
  <c r="AX21" i="28"/>
  <c r="B706" i="119" s="1" a="1"/>
  <c r="B706" i="119" s="1"/>
  <c r="E706" i="119" s="1"/>
  <c r="AW21" i="28"/>
  <c r="B705" i="119" s="1" a="1"/>
  <c r="B705" i="119" s="1"/>
  <c r="E705" i="119" s="1"/>
  <c r="AV21" i="28"/>
  <c r="B704" i="119" s="1" a="1"/>
  <c r="B704" i="119" s="1"/>
  <c r="E704" i="119" s="1"/>
  <c r="AU21" i="28"/>
  <c r="B703" i="119" s="1" a="1"/>
  <c r="B703" i="119" s="1"/>
  <c r="E703" i="119" s="1"/>
  <c r="AT21" i="28"/>
  <c r="B702" i="119" s="1" a="1"/>
  <c r="B702" i="119" s="1"/>
  <c r="E702" i="119" s="1"/>
  <c r="AS21" i="28"/>
  <c r="B701" i="119" s="1" a="1"/>
  <c r="B701" i="119" s="1"/>
  <c r="E701" i="119" s="1"/>
  <c r="AR21" i="28"/>
  <c r="B700" i="119" s="1" a="1"/>
  <c r="B700" i="119" s="1"/>
  <c r="E700" i="119" s="1"/>
  <c r="AQ21" i="28"/>
  <c r="B699" i="119" s="1" a="1"/>
  <c r="B699" i="119" s="1"/>
  <c r="E699" i="119" s="1"/>
  <c r="AP21" i="28"/>
  <c r="B698" i="119" s="1" a="1"/>
  <c r="B698" i="119" s="1"/>
  <c r="E698" i="119" s="1"/>
  <c r="AO21" i="28"/>
  <c r="B697" i="119" s="1" a="1"/>
  <c r="B697" i="119" s="1"/>
  <c r="E697" i="119" s="1"/>
  <c r="AN21" i="28"/>
  <c r="B696" i="119" s="1" a="1"/>
  <c r="B696" i="119" s="1"/>
  <c r="E696" i="119" s="1"/>
  <c r="AM21" i="28"/>
  <c r="B695" i="119" s="1" a="1"/>
  <c r="B695" i="119" s="1"/>
  <c r="E695" i="119" s="1"/>
  <c r="AL21" i="28"/>
  <c r="B694" i="119" s="1" a="1"/>
  <c r="B694" i="119" s="1"/>
  <c r="E694" i="119" s="1"/>
  <c r="AK21" i="28"/>
  <c r="B693" i="119" s="1" a="1"/>
  <c r="B693" i="119" s="1"/>
  <c r="E693" i="119" s="1"/>
  <c r="AJ21" i="28"/>
  <c r="B692" i="119" s="1" a="1"/>
  <c r="B692" i="119" s="1"/>
  <c r="E692" i="119" s="1"/>
  <c r="AI21" i="28"/>
  <c r="B691" i="119" s="1" a="1"/>
  <c r="B691" i="119" s="1"/>
  <c r="E691" i="119" s="1"/>
  <c r="AH21" i="28"/>
  <c r="B690" i="119" s="1" a="1"/>
  <c r="B690" i="119" s="1"/>
  <c r="E690" i="119" s="1"/>
  <c r="AF21" i="28"/>
  <c r="B688" i="119" s="1" a="1"/>
  <c r="B688" i="119" s="1"/>
  <c r="E688" i="119" s="1"/>
  <c r="AE21" i="28"/>
  <c r="B687" i="119" s="1" a="1"/>
  <c r="B687" i="119" s="1"/>
  <c r="E687" i="119" s="1"/>
  <c r="AD21" i="28"/>
  <c r="B686" i="119" s="1" a="1"/>
  <c r="B686" i="119" s="1"/>
  <c r="E686" i="119" s="1"/>
  <c r="AC21" i="28"/>
  <c r="B685" i="119" s="1" a="1"/>
  <c r="B685" i="119" s="1"/>
  <c r="E685" i="119" s="1"/>
  <c r="AB21" i="28"/>
  <c r="B684" i="119" s="1" a="1"/>
  <c r="B684" i="119" s="1"/>
  <c r="E684" i="119" s="1"/>
  <c r="AA21" i="28"/>
  <c r="B683" i="119" s="1" a="1"/>
  <c r="B683" i="119" s="1"/>
  <c r="E683" i="119" s="1"/>
  <c r="Z21" i="28"/>
  <c r="B682" i="119" s="1" a="1"/>
  <c r="B682" i="119" s="1"/>
  <c r="E682" i="119" s="1"/>
  <c r="Y21" i="28"/>
  <c r="B681" i="119" s="1" a="1"/>
  <c r="B681" i="119" s="1"/>
  <c r="E681" i="119" s="1"/>
  <c r="X21" i="28"/>
  <c r="B680" i="119" s="1" a="1"/>
  <c r="B680" i="119" s="1"/>
  <c r="E680" i="119" s="1"/>
  <c r="W21" i="28"/>
  <c r="B679" i="119" s="1" a="1"/>
  <c r="B679" i="119" s="1"/>
  <c r="E679" i="119" s="1"/>
  <c r="U21" i="28"/>
  <c r="B677" i="119" s="1" a="1"/>
  <c r="B677" i="119" s="1"/>
  <c r="E677" i="119" s="1"/>
  <c r="T21" i="28"/>
  <c r="B676" i="119" s="1" a="1"/>
  <c r="B676" i="119" s="1"/>
  <c r="E676" i="119" s="1"/>
  <c r="S21" i="28"/>
  <c r="B675" i="119" s="1" a="1"/>
  <c r="B675" i="119" s="1"/>
  <c r="E675" i="119" s="1"/>
  <c r="R21" i="28"/>
  <c r="Q21" i="28"/>
  <c r="B673" i="119" s="1" a="1"/>
  <c r="B673" i="119" s="1"/>
  <c r="E673" i="119" s="1"/>
  <c r="O21" i="28"/>
  <c r="B671" i="119" s="1" a="1"/>
  <c r="B671" i="119" s="1"/>
  <c r="E671" i="119" s="1"/>
  <c r="N21" i="28"/>
  <c r="B670" i="119" s="1" a="1"/>
  <c r="B670" i="119" s="1"/>
  <c r="E670" i="119" s="1"/>
  <c r="L21" i="28"/>
  <c r="B668" i="119" s="1" a="1"/>
  <c r="B668" i="119" s="1"/>
  <c r="E668" i="119" s="1"/>
  <c r="H21" i="28"/>
  <c r="B664" i="119" s="1" a="1"/>
  <c r="B664" i="119" s="1"/>
  <c r="E664" i="119" s="1"/>
  <c r="G21" i="28"/>
  <c r="B663" i="119" s="1" a="1"/>
  <c r="B663" i="119" s="1"/>
  <c r="E663" i="119" s="1"/>
  <c r="D21" i="28"/>
  <c r="B660" i="119" s="1" a="1"/>
  <c r="B660" i="119" s="1"/>
  <c r="E660" i="119" s="1"/>
  <c r="C21" i="28"/>
  <c r="D174" i="107"/>
  <c r="G172" i="107"/>
  <c r="G171" i="107"/>
  <c r="H167" i="107"/>
  <c r="G165" i="107"/>
  <c r="D162" i="107"/>
  <c r="D129" i="107"/>
  <c r="D123" i="107"/>
  <c r="D110" i="107"/>
  <c r="H110" i="107" s="1"/>
  <c r="G107" i="107"/>
  <c r="D103" i="107"/>
  <c r="H103" i="107" s="1"/>
  <c r="D97" i="107"/>
  <c r="H97" i="107" s="1"/>
  <c r="H89" i="107"/>
  <c r="D78" i="107"/>
  <c r="H78" i="107" s="1"/>
  <c r="D70" i="107"/>
  <c r="H70" i="107" s="1"/>
  <c r="G68" i="107"/>
  <c r="D64" i="107"/>
  <c r="H64" i="107" s="1"/>
  <c r="G61" i="107"/>
  <c r="G60" i="107"/>
  <c r="D56" i="107"/>
  <c r="H56" i="107" s="1"/>
  <c r="G54" i="107"/>
  <c r="G53" i="107"/>
  <c r="D50" i="107"/>
  <c r="H50" i="107" s="1"/>
  <c r="D43" i="107"/>
  <c r="D36" i="107"/>
  <c r="H36" i="107" s="1"/>
  <c r="G34" i="107"/>
  <c r="G33" i="107"/>
  <c r="G32" i="107"/>
  <c r="G31" i="107"/>
  <c r="G30" i="107"/>
  <c r="G29" i="107"/>
  <c r="G28" i="107"/>
  <c r="G27" i="107"/>
  <c r="G26" i="107"/>
  <c r="G25" i="107"/>
  <c r="G24" i="107"/>
  <c r="G23" i="107"/>
  <c r="G22" i="107"/>
  <c r="D19" i="107"/>
  <c r="H19" i="107" s="1"/>
  <c r="G17" i="107"/>
  <c r="G16" i="107"/>
  <c r="G15" i="107"/>
  <c r="G14" i="107"/>
  <c r="G13" i="107"/>
  <c r="G12" i="107"/>
  <c r="G11" i="107"/>
  <c r="G9" i="107"/>
  <c r="G8" i="107"/>
  <c r="G7" i="107"/>
  <c r="G6" i="107"/>
  <c r="G5" i="107"/>
  <c r="G4" i="107"/>
  <c r="F44" i="76"/>
  <c r="D44" i="76"/>
  <c r="F30" i="76"/>
  <c r="D30" i="76"/>
  <c r="C3" i="76"/>
  <c r="E956" i="119"/>
  <c r="B865" i="119"/>
  <c r="E865" i="119" s="1"/>
  <c r="E388" i="119"/>
  <c r="E387" i="119"/>
  <c r="E386" i="119"/>
  <c r="B358" i="119"/>
  <c r="E358" i="119" s="1"/>
  <c r="B328" i="119"/>
  <c r="E328" i="119" s="1"/>
  <c r="B326" i="119"/>
  <c r="E326" i="119" s="1"/>
  <c r="B319" i="119"/>
  <c r="E319" i="119" s="1"/>
  <c r="B318" i="119"/>
  <c r="E318" i="119" s="1"/>
  <c r="B310" i="119"/>
  <c r="E310" i="119" s="1"/>
  <c r="B304" i="119"/>
  <c r="E304" i="119" s="1"/>
  <c r="B288" i="119"/>
  <c r="E288" i="119" s="1"/>
  <c r="B281" i="119"/>
  <c r="E281" i="119" s="1"/>
  <c r="B275" i="119"/>
  <c r="E275" i="119" s="1"/>
  <c r="B273" i="119"/>
  <c r="E273" i="119" s="1"/>
  <c r="B263" i="119"/>
  <c r="E263" i="119" s="1"/>
  <c r="B192" i="119"/>
  <c r="E192" i="119" s="1"/>
  <c r="B189" i="119"/>
  <c r="E189" i="119" s="1"/>
  <c r="B170" i="119"/>
  <c r="E170" i="119" s="1"/>
  <c r="B155" i="119"/>
  <c r="E155" i="119" s="1"/>
  <c r="B153" i="119"/>
  <c r="E153" i="119" s="1"/>
  <c r="B140" i="119"/>
  <c r="E140" i="119" s="1"/>
  <c r="B55" i="119"/>
  <c r="E55" i="119" s="1"/>
  <c r="B54" i="119"/>
  <c r="E54" i="119" s="1"/>
  <c r="B53" i="119"/>
  <c r="E53" i="119" s="1"/>
  <c r="B43" i="119"/>
  <c r="E43" i="119" s="1"/>
  <c r="E27" i="119"/>
  <c r="G10" i="3"/>
  <c r="N4" i="3"/>
  <c r="K4" i="3" s="1"/>
  <c r="H4" i="3"/>
  <c r="J4" i="3" s="1"/>
  <c r="F4" i="3"/>
  <c r="E56" i="133" l="1"/>
  <c r="E10" i="133"/>
  <c r="E479" i="119"/>
  <c r="B543" i="119"/>
  <c r="E9" i="133"/>
  <c r="E11" i="133"/>
  <c r="Q21" i="13"/>
  <c r="E3" i="133"/>
  <c r="E7" i="133"/>
  <c r="H123" i="107"/>
  <c r="D191" i="107"/>
  <c r="I66" i="118" s="1" a="1"/>
  <c r="I66" i="118" s="1"/>
  <c r="T19" i="131"/>
  <c r="B2" i="76" s="1"/>
  <c r="B674" i="119" a="1"/>
  <c r="B674" i="119" s="1"/>
  <c r="E674" i="119" s="1"/>
  <c r="B21" i="28"/>
  <c r="E8" i="133"/>
  <c r="I21" i="13"/>
  <c r="AA30" i="13"/>
  <c r="AA32" i="13"/>
  <c r="AA28" i="13"/>
  <c r="AA34" i="13"/>
  <c r="B393" i="136"/>
  <c r="E393" i="136" s="1"/>
  <c r="B413" i="135"/>
  <c r="E413" i="135" s="1"/>
  <c r="B397" i="136"/>
  <c r="E397" i="136" s="1"/>
  <c r="B417" i="135"/>
  <c r="E417" i="135" s="1"/>
  <c r="B426" i="134"/>
  <c r="E426" i="134" s="1"/>
  <c r="B408" i="136"/>
  <c r="E408" i="136" s="1"/>
  <c r="B428" i="135"/>
  <c r="E428" i="135" s="1"/>
  <c r="B404" i="136"/>
  <c r="E404" i="136" s="1"/>
  <c r="B424" i="135"/>
  <c r="E424" i="135" s="1"/>
  <c r="B391" i="136"/>
  <c r="E391" i="136" s="1"/>
  <c r="B411" i="135"/>
  <c r="E411" i="135" s="1"/>
  <c r="B78" i="134"/>
  <c r="E78" i="134" s="1"/>
  <c r="B77" i="119" a="1"/>
  <c r="B77" i="119" s="1"/>
  <c r="E77" i="119" s="1"/>
  <c r="B830" i="136"/>
  <c r="E830" i="136" s="1"/>
  <c r="B854" i="135"/>
  <c r="E854" i="135" s="1"/>
  <c r="B834" i="136"/>
  <c r="E834" i="136" s="1"/>
  <c r="B858" i="135"/>
  <c r="E858" i="135" s="1"/>
  <c r="B838" i="136"/>
  <c r="E838" i="136" s="1"/>
  <c r="B862" i="135"/>
  <c r="E862" i="135" s="1"/>
  <c r="B841" i="136"/>
  <c r="E841" i="136" s="1"/>
  <c r="B865" i="135"/>
  <c r="E865" i="135" s="1"/>
  <c r="B846" i="136"/>
  <c r="E846" i="136" s="1"/>
  <c r="B870" i="135"/>
  <c r="E870" i="135" s="1"/>
  <c r="B815" i="136"/>
  <c r="E815" i="136" s="1"/>
  <c r="B839" i="135"/>
  <c r="E839" i="135" s="1"/>
  <c r="B849" i="134"/>
  <c r="E849" i="134" s="1"/>
  <c r="B819" i="136"/>
  <c r="E819" i="136" s="1"/>
  <c r="B843" i="135"/>
  <c r="E843" i="135" s="1"/>
  <c r="B812" i="136"/>
  <c r="E812" i="136" s="1"/>
  <c r="B836" i="135"/>
  <c r="E836" i="135" s="1"/>
  <c r="B614" i="136"/>
  <c r="E614" i="136" s="1"/>
  <c r="B633" i="135"/>
  <c r="E633" i="135" s="1"/>
  <c r="B34" i="136"/>
  <c r="E34" i="136" s="1"/>
  <c r="B36" i="135"/>
  <c r="E36" i="135" s="1"/>
  <c r="B19" i="136"/>
  <c r="E19" i="136" s="1"/>
  <c r="B19" i="135"/>
  <c r="E19" i="135" s="1"/>
  <c r="B14" i="134"/>
  <c r="E14" i="134" s="1"/>
  <c r="B14" i="136"/>
  <c r="E14" i="136" s="1"/>
  <c r="B14" i="135"/>
  <c r="E14" i="135" s="1"/>
  <c r="B793" i="136"/>
  <c r="E793" i="136" s="1"/>
  <c r="B817" i="135"/>
  <c r="B58" i="136"/>
  <c r="B61" i="135"/>
  <c r="B94" i="134"/>
  <c r="E94" i="134" s="1"/>
  <c r="B79" i="136"/>
  <c r="B94" i="135"/>
  <c r="B119" i="136"/>
  <c r="E119" i="136" s="1"/>
  <c r="B139" i="135"/>
  <c r="E139" i="135" s="1"/>
  <c r="B135" i="134"/>
  <c r="E135" i="134" s="1"/>
  <c r="B122" i="136"/>
  <c r="E122" i="136" s="1"/>
  <c r="B142" i="135"/>
  <c r="E142" i="135" s="1"/>
  <c r="B138" i="134"/>
  <c r="E138" i="134" s="1"/>
  <c r="B126" i="136"/>
  <c r="E126" i="136" s="1"/>
  <c r="B146" i="135"/>
  <c r="E146" i="135" s="1"/>
  <c r="B142" i="134"/>
  <c r="E142" i="134" s="1"/>
  <c r="B148" i="119"/>
  <c r="E148" i="119" s="1"/>
  <c r="B128" i="136"/>
  <c r="E128" i="136" s="1"/>
  <c r="B148" i="135"/>
  <c r="E148" i="135" s="1"/>
  <c r="B144" i="134"/>
  <c r="E144" i="134" s="1"/>
  <c r="B154" i="119"/>
  <c r="E154" i="119" s="1"/>
  <c r="B134" i="136"/>
  <c r="E134" i="136" s="1"/>
  <c r="B154" i="135"/>
  <c r="E154" i="135" s="1"/>
  <c r="B150" i="134"/>
  <c r="E150" i="134" s="1"/>
  <c r="B137" i="136"/>
  <c r="E137" i="136" s="1"/>
  <c r="B157" i="135"/>
  <c r="E157" i="135" s="1"/>
  <c r="B153" i="134"/>
  <c r="E153" i="134" s="1"/>
  <c r="B162" i="119"/>
  <c r="E162" i="119" s="1"/>
  <c r="B142" i="136"/>
  <c r="E142" i="136" s="1"/>
  <c r="B162" i="135"/>
  <c r="E162" i="135" s="1"/>
  <c r="B158" i="134"/>
  <c r="E158" i="134" s="1"/>
  <c r="B168" i="119"/>
  <c r="E168" i="119" s="1"/>
  <c r="B148" i="136"/>
  <c r="E148" i="136" s="1"/>
  <c r="B168" i="135"/>
  <c r="E168" i="135" s="1"/>
  <c r="B164" i="134"/>
  <c r="E164" i="134" s="1"/>
  <c r="B171" i="119"/>
  <c r="E171" i="119" s="1"/>
  <c r="B151" i="136"/>
  <c r="E151" i="136" s="1"/>
  <c r="B171" i="135"/>
  <c r="E171" i="135" s="1"/>
  <c r="B167" i="134"/>
  <c r="E167" i="134" s="1"/>
  <c r="B165" i="119"/>
  <c r="E165" i="119" s="1"/>
  <c r="B145" i="136"/>
  <c r="E145" i="136" s="1"/>
  <c r="B165" i="135"/>
  <c r="E165" i="135" s="1"/>
  <c r="B161" i="134"/>
  <c r="E161" i="134" s="1"/>
  <c r="B155" i="136"/>
  <c r="E155" i="136" s="1"/>
  <c r="B175" i="135"/>
  <c r="E175" i="135" s="1"/>
  <c r="B171" i="134"/>
  <c r="E171" i="134" s="1"/>
  <c r="B182" i="119"/>
  <c r="E182" i="119" s="1"/>
  <c r="B162" i="136"/>
  <c r="E162" i="136" s="1"/>
  <c r="B182" i="135"/>
  <c r="E182" i="135" s="1"/>
  <c r="B178" i="134"/>
  <c r="E178" i="134" s="1"/>
  <c r="B188" i="119"/>
  <c r="E188" i="119" s="1"/>
  <c r="B168" i="136"/>
  <c r="E168" i="136" s="1"/>
  <c r="B188" i="135"/>
  <c r="E188" i="135" s="1"/>
  <c r="B184" i="134"/>
  <c r="E184" i="134" s="1"/>
  <c r="B173" i="136"/>
  <c r="E173" i="136" s="1"/>
  <c r="B193" i="135"/>
  <c r="E193" i="135" s="1"/>
  <c r="B189" i="134"/>
  <c r="E189" i="134" s="1"/>
  <c r="B194" i="119"/>
  <c r="E194" i="119" s="1"/>
  <c r="B174" i="136"/>
  <c r="E174" i="136" s="1"/>
  <c r="B194" i="135"/>
  <c r="E194" i="135" s="1"/>
  <c r="B190" i="134"/>
  <c r="E190" i="134" s="1"/>
  <c r="B180" i="119"/>
  <c r="E180" i="119" s="1"/>
  <c r="B160" i="136"/>
  <c r="E160" i="136" s="1"/>
  <c r="B180" i="135"/>
  <c r="E180" i="135" s="1"/>
  <c r="B176" i="134"/>
  <c r="E176" i="134" s="1"/>
  <c r="B333" i="119"/>
  <c r="E333" i="119" s="1"/>
  <c r="B313" i="136"/>
  <c r="E313" i="136" s="1"/>
  <c r="B333" i="135"/>
  <c r="E333" i="135" s="1"/>
  <c r="B329" i="134"/>
  <c r="E329" i="134" s="1"/>
  <c r="B251" i="136"/>
  <c r="E251" i="136" s="1"/>
  <c r="B271" i="135"/>
  <c r="E271" i="135" s="1"/>
  <c r="B267" i="134"/>
  <c r="E267" i="134" s="1"/>
  <c r="B262" i="119"/>
  <c r="E262" i="119" s="1"/>
  <c r="B242" i="136"/>
  <c r="E242" i="136" s="1"/>
  <c r="B262" i="135"/>
  <c r="E262" i="135" s="1"/>
  <c r="B258" i="134"/>
  <c r="E258" i="134" s="1"/>
  <c r="B265" i="119"/>
  <c r="E265" i="119" s="1"/>
  <c r="B245" i="136"/>
  <c r="E245" i="136" s="1"/>
  <c r="B265" i="135"/>
  <c r="E265" i="135" s="1"/>
  <c r="B261" i="134"/>
  <c r="E261" i="134" s="1"/>
  <c r="B253" i="136"/>
  <c r="E253" i="136" s="1"/>
  <c r="B273" i="135"/>
  <c r="E273" i="135" s="1"/>
  <c r="B269" i="134"/>
  <c r="E269" i="134" s="1"/>
  <c r="B277" i="119"/>
  <c r="E277" i="119" s="1"/>
  <c r="B257" i="136"/>
  <c r="E257" i="136" s="1"/>
  <c r="B277" i="135"/>
  <c r="E277" i="135" s="1"/>
  <c r="B273" i="134"/>
  <c r="E273" i="134" s="1"/>
  <c r="B261" i="136"/>
  <c r="E261" i="136" s="1"/>
  <c r="B281" i="135"/>
  <c r="E281" i="135" s="1"/>
  <c r="B277" i="134"/>
  <c r="E277" i="134" s="1"/>
  <c r="B284" i="119"/>
  <c r="E284" i="119" s="1"/>
  <c r="B264" i="136"/>
  <c r="E264" i="136" s="1"/>
  <c r="B284" i="135"/>
  <c r="E284" i="135" s="1"/>
  <c r="B280" i="134"/>
  <c r="E280" i="134" s="1"/>
  <c r="B287" i="119"/>
  <c r="E287" i="119" s="1"/>
  <c r="B267" i="136"/>
  <c r="E267" i="136" s="1"/>
  <c r="B287" i="135"/>
  <c r="E287" i="135" s="1"/>
  <c r="B283" i="134"/>
  <c r="E283" i="134" s="1"/>
  <c r="B291" i="119"/>
  <c r="E291" i="119" s="1"/>
  <c r="B271" i="136"/>
  <c r="E271" i="136" s="1"/>
  <c r="B291" i="135"/>
  <c r="E291" i="135" s="1"/>
  <c r="B287" i="134"/>
  <c r="E287" i="134" s="1"/>
  <c r="B297" i="119"/>
  <c r="E297" i="119" s="1"/>
  <c r="B277" i="136"/>
  <c r="E277" i="136" s="1"/>
  <c r="B297" i="135"/>
  <c r="E297" i="135" s="1"/>
  <c r="B293" i="134"/>
  <c r="E293" i="134" s="1"/>
  <c r="B300" i="119"/>
  <c r="E300" i="119" s="1"/>
  <c r="B280" i="136"/>
  <c r="E280" i="136" s="1"/>
  <c r="B300" i="135"/>
  <c r="E300" i="135" s="1"/>
  <c r="B296" i="134"/>
  <c r="E296" i="134" s="1"/>
  <c r="B303" i="119"/>
  <c r="E303" i="119" s="1"/>
  <c r="B283" i="136"/>
  <c r="E283" i="136" s="1"/>
  <c r="B303" i="135"/>
  <c r="E303" i="135" s="1"/>
  <c r="B299" i="134"/>
  <c r="E299" i="134" s="1"/>
  <c r="B306" i="119"/>
  <c r="E306" i="119" s="1"/>
  <c r="B286" i="136"/>
  <c r="E286" i="136" s="1"/>
  <c r="B306" i="135"/>
  <c r="E306" i="135" s="1"/>
  <c r="B302" i="134"/>
  <c r="E302" i="134" s="1"/>
  <c r="B290" i="136"/>
  <c r="E290" i="136" s="1"/>
  <c r="B310" i="135"/>
  <c r="E310" i="135" s="1"/>
  <c r="B306" i="134"/>
  <c r="E306" i="134" s="1"/>
  <c r="B314" i="119"/>
  <c r="E314" i="119" s="1"/>
  <c r="B294" i="136"/>
  <c r="E294" i="136" s="1"/>
  <c r="B314" i="135"/>
  <c r="E314" i="135" s="1"/>
  <c r="B310" i="134"/>
  <c r="E310" i="134" s="1"/>
  <c r="B298" i="136"/>
  <c r="E298" i="136" s="1"/>
  <c r="B318" i="135"/>
  <c r="E318" i="135" s="1"/>
  <c r="B314" i="134"/>
  <c r="E314" i="134" s="1"/>
  <c r="B303" i="136"/>
  <c r="E303" i="136" s="1"/>
  <c r="B323" i="135"/>
  <c r="E323" i="135" s="1"/>
  <c r="B319" i="134"/>
  <c r="E319" i="134" s="1"/>
  <c r="B306" i="136"/>
  <c r="E306" i="136" s="1"/>
  <c r="B326" i="135"/>
  <c r="E326" i="135" s="1"/>
  <c r="B322" i="134"/>
  <c r="E322" i="134" s="1"/>
  <c r="B331" i="119"/>
  <c r="E331" i="119" s="1"/>
  <c r="B311" i="136"/>
  <c r="E311" i="136" s="1"/>
  <c r="B331" i="135"/>
  <c r="E331" i="135" s="1"/>
  <c r="B327" i="134"/>
  <c r="E327" i="134" s="1"/>
  <c r="B337" i="119"/>
  <c r="E337" i="119" s="1"/>
  <c r="B317" i="136"/>
  <c r="E317" i="136" s="1"/>
  <c r="B337" i="135"/>
  <c r="E337" i="135" s="1"/>
  <c r="B333" i="134"/>
  <c r="E333" i="134" s="1"/>
  <c r="B341" i="119"/>
  <c r="E341" i="119" s="1"/>
  <c r="B321" i="136"/>
  <c r="E321" i="136" s="1"/>
  <c r="B341" i="135"/>
  <c r="E341" i="135" s="1"/>
  <c r="B337" i="134"/>
  <c r="E337" i="134" s="1"/>
  <c r="B345" i="119"/>
  <c r="E345" i="119" s="1"/>
  <c r="B325" i="136"/>
  <c r="E325" i="136" s="1"/>
  <c r="B345" i="135"/>
  <c r="E345" i="135" s="1"/>
  <c r="B341" i="134"/>
  <c r="E341" i="134" s="1"/>
  <c r="B112" i="136"/>
  <c r="E112" i="136" s="1"/>
  <c r="B132" i="135"/>
  <c r="E132" i="135" s="1"/>
  <c r="B128" i="134"/>
  <c r="E128" i="134" s="1"/>
  <c r="B392" i="136"/>
  <c r="E392" i="136" s="1"/>
  <c r="B412" i="135"/>
  <c r="E412" i="135" s="1"/>
  <c r="B400" i="136"/>
  <c r="E400" i="136" s="1"/>
  <c r="B420" i="135"/>
  <c r="E420" i="135" s="1"/>
  <c r="B407" i="136"/>
  <c r="E407" i="136" s="1"/>
  <c r="B427" i="135"/>
  <c r="E427" i="135" s="1"/>
  <c r="B833" i="136"/>
  <c r="E833" i="136" s="1"/>
  <c r="B857" i="135"/>
  <c r="E857" i="135" s="1"/>
  <c r="B842" i="136"/>
  <c r="E842" i="136" s="1"/>
  <c r="B866" i="135"/>
  <c r="E866" i="135" s="1"/>
  <c r="B818" i="136"/>
  <c r="E818" i="136" s="1"/>
  <c r="B842" i="135"/>
  <c r="E842" i="135" s="1"/>
  <c r="B613" i="136"/>
  <c r="E613" i="136" s="1"/>
  <c r="B632" i="135"/>
  <c r="E632" i="135" s="1"/>
  <c r="B33" i="136"/>
  <c r="E33" i="136" s="1"/>
  <c r="B35" i="135"/>
  <c r="E35" i="135" s="1"/>
  <c r="B16" i="134"/>
  <c r="E16" i="134" s="1"/>
  <c r="B16" i="136"/>
  <c r="E16" i="136" s="1"/>
  <c r="B16" i="135"/>
  <c r="E16" i="135" s="1"/>
  <c r="B20" i="136"/>
  <c r="E20" i="136" s="1"/>
  <c r="B20" i="135"/>
  <c r="E20" i="135" s="1"/>
  <c r="B59" i="136"/>
  <c r="E59" i="136" s="1"/>
  <c r="B62" i="135"/>
  <c r="E62" i="135" s="1"/>
  <c r="B145" i="119"/>
  <c r="E145" i="119" s="1"/>
  <c r="B125" i="136"/>
  <c r="E125" i="136" s="1"/>
  <c r="B145" i="135"/>
  <c r="E145" i="135" s="1"/>
  <c r="B141" i="134"/>
  <c r="E141" i="134" s="1"/>
  <c r="B158" i="119"/>
  <c r="E158" i="119" s="1"/>
  <c r="B138" i="136"/>
  <c r="E138" i="136" s="1"/>
  <c r="B158" i="135"/>
  <c r="E158" i="135" s="1"/>
  <c r="B154" i="134"/>
  <c r="E154" i="134" s="1"/>
  <c r="B141" i="136"/>
  <c r="E141" i="136" s="1"/>
  <c r="B161" i="135"/>
  <c r="E161" i="135" s="1"/>
  <c r="B157" i="134"/>
  <c r="E157" i="134" s="1"/>
  <c r="B144" i="136"/>
  <c r="E144" i="136" s="1"/>
  <c r="B164" i="135"/>
  <c r="E164" i="135" s="1"/>
  <c r="B160" i="134"/>
  <c r="E160" i="134" s="1"/>
  <c r="B176" i="119"/>
  <c r="E176" i="119" s="1"/>
  <c r="B156" i="136"/>
  <c r="E156" i="136" s="1"/>
  <c r="B176" i="135"/>
  <c r="E176" i="135" s="1"/>
  <c r="B172" i="134"/>
  <c r="E172" i="134" s="1"/>
  <c r="B166" i="136"/>
  <c r="E166" i="136" s="1"/>
  <c r="B186" i="135"/>
  <c r="E186" i="135" s="1"/>
  <c r="B182" i="134"/>
  <c r="E182" i="134" s="1"/>
  <c r="B164" i="136"/>
  <c r="E164" i="136" s="1"/>
  <c r="B184" i="135"/>
  <c r="E184" i="135" s="1"/>
  <c r="B180" i="134"/>
  <c r="E180" i="134" s="1"/>
  <c r="B261" i="119"/>
  <c r="E261" i="119" s="1"/>
  <c r="B241" i="136"/>
  <c r="E241" i="136" s="1"/>
  <c r="B261" i="135"/>
  <c r="E261" i="135" s="1"/>
  <c r="B257" i="134"/>
  <c r="E257" i="134" s="1"/>
  <c r="B270" i="119"/>
  <c r="E270" i="119" s="1"/>
  <c r="B250" i="136"/>
  <c r="E250" i="136" s="1"/>
  <c r="B270" i="135"/>
  <c r="E270" i="135" s="1"/>
  <c r="B266" i="134"/>
  <c r="E266" i="134" s="1"/>
  <c r="B283" i="119"/>
  <c r="E283" i="119" s="1"/>
  <c r="B263" i="136"/>
  <c r="E263" i="136" s="1"/>
  <c r="B283" i="135"/>
  <c r="E283" i="135" s="1"/>
  <c r="B279" i="134"/>
  <c r="E279" i="134" s="1"/>
  <c r="B270" i="136"/>
  <c r="E270" i="136" s="1"/>
  <c r="B290" i="135"/>
  <c r="E290" i="135" s="1"/>
  <c r="B286" i="134"/>
  <c r="E286" i="134" s="1"/>
  <c r="B273" i="136"/>
  <c r="E273" i="136" s="1"/>
  <c r="B293" i="135"/>
  <c r="E293" i="135" s="1"/>
  <c r="B289" i="134"/>
  <c r="E289" i="134" s="1"/>
  <c r="B305" i="119"/>
  <c r="E305" i="119" s="1"/>
  <c r="B285" i="136"/>
  <c r="E285" i="136" s="1"/>
  <c r="B305" i="135"/>
  <c r="E305" i="135" s="1"/>
  <c r="B301" i="134"/>
  <c r="E301" i="134" s="1"/>
  <c r="B313" i="119"/>
  <c r="E313" i="119" s="1"/>
  <c r="B293" i="136"/>
  <c r="E293" i="136" s="1"/>
  <c r="B313" i="135"/>
  <c r="E313" i="135" s="1"/>
  <c r="B309" i="134"/>
  <c r="E309" i="134" s="1"/>
  <c r="B327" i="119"/>
  <c r="E327" i="119" s="1"/>
  <c r="B307" i="136"/>
  <c r="E307" i="136" s="1"/>
  <c r="B327" i="135"/>
  <c r="E327" i="135" s="1"/>
  <c r="B323" i="134"/>
  <c r="E323" i="134" s="1"/>
  <c r="B336" i="119"/>
  <c r="E336" i="119" s="1"/>
  <c r="B316" i="136"/>
  <c r="E316" i="136" s="1"/>
  <c r="B336" i="135"/>
  <c r="E336" i="135" s="1"/>
  <c r="B332" i="134"/>
  <c r="E332" i="134" s="1"/>
  <c r="B344" i="119"/>
  <c r="E344" i="119" s="1"/>
  <c r="B324" i="136"/>
  <c r="E324" i="136" s="1"/>
  <c r="B344" i="135"/>
  <c r="E344" i="135" s="1"/>
  <c r="B340" i="134"/>
  <c r="E340" i="134" s="1"/>
  <c r="B111" i="136"/>
  <c r="E111" i="136" s="1"/>
  <c r="B131" i="135"/>
  <c r="E131" i="135" s="1"/>
  <c r="B127" i="134"/>
  <c r="E127" i="134" s="1"/>
  <c r="B389" i="136"/>
  <c r="B409" i="135"/>
  <c r="B395" i="136"/>
  <c r="E395" i="136" s="1"/>
  <c r="B415" i="135"/>
  <c r="E415" i="135" s="1"/>
  <c r="B398" i="136"/>
  <c r="E398" i="136" s="1"/>
  <c r="B418" i="135"/>
  <c r="E418" i="135" s="1"/>
  <c r="B402" i="136"/>
  <c r="E402" i="136" s="1"/>
  <c r="B422" i="135"/>
  <c r="E422" i="135" s="1"/>
  <c r="B405" i="136"/>
  <c r="E405" i="136" s="1"/>
  <c r="B425" i="135"/>
  <c r="E425" i="135" s="1"/>
  <c r="B74" i="134"/>
  <c r="E74" i="134" s="1"/>
  <c r="B73" i="119" a="1"/>
  <c r="B73" i="119" s="1"/>
  <c r="E73" i="119" s="1"/>
  <c r="B831" i="136"/>
  <c r="E831" i="136" s="1"/>
  <c r="B855" i="135"/>
  <c r="E855" i="135" s="1"/>
  <c r="B835" i="136"/>
  <c r="E835" i="136" s="1"/>
  <c r="B859" i="135"/>
  <c r="E859" i="135" s="1"/>
  <c r="B839" i="136"/>
  <c r="E839" i="136" s="1"/>
  <c r="B863" i="135"/>
  <c r="E863" i="135" s="1"/>
  <c r="B843" i="136"/>
  <c r="E843" i="136" s="1"/>
  <c r="B867" i="135"/>
  <c r="E867" i="135" s="1"/>
  <c r="B847" i="136"/>
  <c r="E847" i="136" s="1"/>
  <c r="B871" i="135"/>
  <c r="E871" i="135" s="1"/>
  <c r="B811" i="136"/>
  <c r="B835" i="135"/>
  <c r="B816" i="136"/>
  <c r="E816" i="136" s="1"/>
  <c r="B840" i="135"/>
  <c r="E840" i="135" s="1"/>
  <c r="B820" i="136"/>
  <c r="E820" i="136" s="1"/>
  <c r="B844" i="135"/>
  <c r="E844" i="135" s="1"/>
  <c r="B823" i="136"/>
  <c r="E823" i="136" s="1"/>
  <c r="B847" i="135"/>
  <c r="E847" i="135" s="1"/>
  <c r="B612" i="136"/>
  <c r="B631" i="135"/>
  <c r="B615" i="136"/>
  <c r="E615" i="136" s="1"/>
  <c r="B634" i="135"/>
  <c r="E634" i="135" s="1"/>
  <c r="B31" i="136"/>
  <c r="B33" i="135"/>
  <c r="B35" i="136"/>
  <c r="E35" i="136" s="1"/>
  <c r="B37" i="135"/>
  <c r="E37" i="135" s="1"/>
  <c r="B40" i="136"/>
  <c r="B42" i="135"/>
  <c r="B13" i="136"/>
  <c r="B13" i="135"/>
  <c r="B15" i="136"/>
  <c r="E15" i="136" s="1"/>
  <c r="B15" i="135"/>
  <c r="E15" i="135" s="1"/>
  <c r="B563" i="134"/>
  <c r="E563" i="134" s="1"/>
  <c r="B542" i="136"/>
  <c r="B561" i="135"/>
  <c r="B60" i="136"/>
  <c r="E60" i="136" s="1"/>
  <c r="B63" i="135"/>
  <c r="E63" i="135" s="1"/>
  <c r="B138" i="119"/>
  <c r="E138" i="119" s="1"/>
  <c r="B118" i="136"/>
  <c r="B138" i="135"/>
  <c r="B134" i="134"/>
  <c r="B143" i="119"/>
  <c r="E143" i="119" s="1"/>
  <c r="B123" i="136"/>
  <c r="E123" i="136" s="1"/>
  <c r="B143" i="135"/>
  <c r="E143" i="135" s="1"/>
  <c r="B139" i="134"/>
  <c r="E139" i="134" s="1"/>
  <c r="B147" i="119"/>
  <c r="E147" i="119" s="1"/>
  <c r="B127" i="136"/>
  <c r="E127" i="136" s="1"/>
  <c r="B147" i="135"/>
  <c r="E147" i="135" s="1"/>
  <c r="B143" i="134"/>
  <c r="E143" i="134" s="1"/>
  <c r="B199" i="119"/>
  <c r="E199" i="119" s="1"/>
  <c r="B179" i="136"/>
  <c r="E179" i="136" s="1"/>
  <c r="B199" i="135"/>
  <c r="E199" i="135" s="1"/>
  <c r="B195" i="134"/>
  <c r="E195" i="134" s="1"/>
  <c r="B151" i="119"/>
  <c r="E151" i="119" s="1"/>
  <c r="B131" i="136"/>
  <c r="E131" i="136" s="1"/>
  <c r="B151" i="135"/>
  <c r="E151" i="135" s="1"/>
  <c r="B147" i="134"/>
  <c r="E147" i="134" s="1"/>
  <c r="B160" i="119"/>
  <c r="E160" i="119" s="1"/>
  <c r="B140" i="136"/>
  <c r="E140" i="136" s="1"/>
  <c r="B160" i="135"/>
  <c r="E160" i="135" s="1"/>
  <c r="B156" i="134"/>
  <c r="E156" i="134" s="1"/>
  <c r="B163" i="119"/>
  <c r="E163" i="119" s="1"/>
  <c r="B143" i="136"/>
  <c r="E143" i="136" s="1"/>
  <c r="B163" i="135"/>
  <c r="E163" i="135" s="1"/>
  <c r="B159" i="134"/>
  <c r="E159" i="134" s="1"/>
  <c r="B169" i="119"/>
  <c r="E169" i="119" s="1"/>
  <c r="B149" i="136"/>
  <c r="E149" i="136" s="1"/>
  <c r="B169" i="135"/>
  <c r="E169" i="135" s="1"/>
  <c r="B165" i="134"/>
  <c r="E165" i="134" s="1"/>
  <c r="B166" i="119"/>
  <c r="E166" i="119" s="1"/>
  <c r="B146" i="136"/>
  <c r="E146" i="136" s="1"/>
  <c r="B166" i="135"/>
  <c r="E166" i="135" s="1"/>
  <c r="B162" i="134"/>
  <c r="E162" i="134" s="1"/>
  <c r="B173" i="119"/>
  <c r="E173" i="119" s="1"/>
  <c r="B153" i="136"/>
  <c r="E153" i="136" s="1"/>
  <c r="B173" i="135"/>
  <c r="E173" i="135" s="1"/>
  <c r="B169" i="134"/>
  <c r="E169" i="134" s="1"/>
  <c r="B177" i="119"/>
  <c r="E177" i="119" s="1"/>
  <c r="B157" i="136"/>
  <c r="E157" i="136" s="1"/>
  <c r="B177" i="135"/>
  <c r="E177" i="135" s="1"/>
  <c r="B173" i="134"/>
  <c r="E173" i="134" s="1"/>
  <c r="B183" i="119"/>
  <c r="E183" i="119" s="1"/>
  <c r="B163" i="136"/>
  <c r="E163" i="136" s="1"/>
  <c r="B183" i="135"/>
  <c r="E183" i="135" s="1"/>
  <c r="B179" i="134"/>
  <c r="E179" i="134" s="1"/>
  <c r="B169" i="136"/>
  <c r="E169" i="136" s="1"/>
  <c r="B189" i="135"/>
  <c r="E189" i="135" s="1"/>
  <c r="B185" i="134"/>
  <c r="E185" i="134" s="1"/>
  <c r="B195" i="119"/>
  <c r="E195" i="119" s="1"/>
  <c r="B175" i="136"/>
  <c r="E175" i="136" s="1"/>
  <c r="B195" i="135"/>
  <c r="E195" i="135" s="1"/>
  <c r="B191" i="134"/>
  <c r="E191" i="134" s="1"/>
  <c r="B159" i="136"/>
  <c r="E159" i="136" s="1"/>
  <c r="B179" i="135"/>
  <c r="E179" i="135" s="1"/>
  <c r="B175" i="134"/>
  <c r="E175" i="134" s="1"/>
  <c r="B198" i="119"/>
  <c r="E198" i="119" s="1"/>
  <c r="B178" i="136"/>
  <c r="E178" i="136" s="1"/>
  <c r="B198" i="135"/>
  <c r="E198" i="135" s="1"/>
  <c r="B194" i="134"/>
  <c r="E194" i="134" s="1"/>
  <c r="B257" i="119"/>
  <c r="E257" i="119" s="1"/>
  <c r="B237" i="136"/>
  <c r="E237" i="136" s="1"/>
  <c r="B257" i="135"/>
  <c r="E257" i="135" s="1"/>
  <c r="B253" i="134"/>
  <c r="E253" i="134" s="1"/>
  <c r="B259" i="119"/>
  <c r="E259" i="119" s="1"/>
  <c r="B239" i="136"/>
  <c r="E239" i="136" s="1"/>
  <c r="B259" i="135"/>
  <c r="E259" i="135" s="1"/>
  <c r="B255" i="134"/>
  <c r="E255" i="134" s="1"/>
  <c r="B243" i="136"/>
  <c r="E243" i="136" s="1"/>
  <c r="B263" i="135"/>
  <c r="E263" i="135" s="1"/>
  <c r="B259" i="134"/>
  <c r="E259" i="134" s="1"/>
  <c r="B267" i="119"/>
  <c r="E267" i="119" s="1"/>
  <c r="B247" i="136"/>
  <c r="E247" i="136" s="1"/>
  <c r="B267" i="135"/>
  <c r="E267" i="135" s="1"/>
  <c r="B263" i="134"/>
  <c r="E263" i="134" s="1"/>
  <c r="B255" i="136"/>
  <c r="E255" i="136" s="1"/>
  <c r="B275" i="135"/>
  <c r="E275" i="135" s="1"/>
  <c r="B271" i="134"/>
  <c r="E271" i="134" s="1"/>
  <c r="B258" i="136"/>
  <c r="E258" i="136" s="1"/>
  <c r="B278" i="135"/>
  <c r="E278" i="135" s="1"/>
  <c r="B274" i="134"/>
  <c r="E274" i="134" s="1"/>
  <c r="B282" i="119"/>
  <c r="E282" i="119" s="1"/>
  <c r="B262" i="136"/>
  <c r="E262" i="136" s="1"/>
  <c r="B282" i="135"/>
  <c r="E282" i="135" s="1"/>
  <c r="B278" i="134"/>
  <c r="E278" i="134" s="1"/>
  <c r="B265" i="136"/>
  <c r="E265" i="136" s="1"/>
  <c r="B285" i="135"/>
  <c r="E285" i="135" s="1"/>
  <c r="B281" i="134"/>
  <c r="E281" i="134" s="1"/>
  <c r="B268" i="136"/>
  <c r="E268" i="136" s="1"/>
  <c r="B288" i="135"/>
  <c r="E288" i="135" s="1"/>
  <c r="B284" i="134"/>
  <c r="E284" i="134" s="1"/>
  <c r="B292" i="119"/>
  <c r="E292" i="119" s="1"/>
  <c r="B272" i="136"/>
  <c r="E272" i="136" s="1"/>
  <c r="B292" i="135"/>
  <c r="E292" i="135" s="1"/>
  <c r="B288" i="134"/>
  <c r="E288" i="134" s="1"/>
  <c r="B298" i="119"/>
  <c r="E298" i="119" s="1"/>
  <c r="B278" i="136"/>
  <c r="E278" i="136" s="1"/>
  <c r="B298" i="135"/>
  <c r="E298" i="135" s="1"/>
  <c r="B294" i="134"/>
  <c r="E294" i="134" s="1"/>
  <c r="B299" i="119"/>
  <c r="E299" i="119" s="1"/>
  <c r="B279" i="136"/>
  <c r="E279" i="136" s="1"/>
  <c r="B299" i="135"/>
  <c r="E299" i="135" s="1"/>
  <c r="B295" i="134"/>
  <c r="E295" i="134" s="1"/>
  <c r="B284" i="136"/>
  <c r="E284" i="136" s="1"/>
  <c r="B304" i="135"/>
  <c r="E304" i="135" s="1"/>
  <c r="B300" i="134"/>
  <c r="E300" i="134" s="1"/>
  <c r="B307" i="119"/>
  <c r="E307" i="119" s="1"/>
  <c r="B287" i="136"/>
  <c r="E287" i="136" s="1"/>
  <c r="B307" i="135"/>
  <c r="E307" i="135" s="1"/>
  <c r="B303" i="134"/>
  <c r="E303" i="134" s="1"/>
  <c r="B311" i="119"/>
  <c r="E311" i="119" s="1"/>
  <c r="B291" i="136"/>
  <c r="E291" i="136" s="1"/>
  <c r="B311" i="135"/>
  <c r="E311" i="135" s="1"/>
  <c r="B307" i="134"/>
  <c r="E307" i="134" s="1"/>
  <c r="B316" i="119"/>
  <c r="E316" i="119" s="1"/>
  <c r="B296" i="136"/>
  <c r="E296" i="136" s="1"/>
  <c r="B316" i="135"/>
  <c r="E316" i="135" s="1"/>
  <c r="B312" i="134"/>
  <c r="E312" i="134" s="1"/>
  <c r="B299" i="136"/>
  <c r="E299" i="136" s="1"/>
  <c r="B319" i="135"/>
  <c r="E319" i="135" s="1"/>
  <c r="B315" i="134"/>
  <c r="E315" i="134" s="1"/>
  <c r="B305" i="136"/>
  <c r="E305" i="136" s="1"/>
  <c r="B325" i="135"/>
  <c r="E325" i="135" s="1"/>
  <c r="B321" i="134"/>
  <c r="E321" i="134" s="1"/>
  <c r="B308" i="136"/>
  <c r="E308" i="136" s="1"/>
  <c r="B328" i="135"/>
  <c r="E328" i="135" s="1"/>
  <c r="B324" i="134"/>
  <c r="E324" i="134" s="1"/>
  <c r="B334" i="119"/>
  <c r="E334" i="119" s="1"/>
  <c r="B314" i="136"/>
  <c r="E314" i="136" s="1"/>
  <c r="B334" i="135"/>
  <c r="E334" i="135" s="1"/>
  <c r="B330" i="134"/>
  <c r="E330" i="134" s="1"/>
  <c r="B338" i="119"/>
  <c r="E338" i="119" s="1"/>
  <c r="B318" i="136"/>
  <c r="E318" i="136" s="1"/>
  <c r="B338" i="135"/>
  <c r="E338" i="135" s="1"/>
  <c r="B334" i="134"/>
  <c r="E334" i="134" s="1"/>
  <c r="B342" i="119"/>
  <c r="E342" i="119" s="1"/>
  <c r="B322" i="136"/>
  <c r="E322" i="136" s="1"/>
  <c r="B342" i="135"/>
  <c r="E342" i="135" s="1"/>
  <c r="B338" i="134"/>
  <c r="E338" i="134" s="1"/>
  <c r="B326" i="136"/>
  <c r="E326" i="136" s="1"/>
  <c r="B346" i="135"/>
  <c r="E346" i="135" s="1"/>
  <c r="B342" i="134"/>
  <c r="E342" i="134" s="1"/>
  <c r="B113" i="136"/>
  <c r="E113" i="136" s="1"/>
  <c r="B133" i="135"/>
  <c r="E133" i="135" s="1"/>
  <c r="B129" i="134"/>
  <c r="E129" i="134" s="1"/>
  <c r="B396" i="136"/>
  <c r="E396" i="136" s="1"/>
  <c r="B416" i="135"/>
  <c r="E416" i="135" s="1"/>
  <c r="B401" i="136"/>
  <c r="E401" i="136" s="1"/>
  <c r="B421" i="135"/>
  <c r="E421" i="135" s="1"/>
  <c r="B71" i="134"/>
  <c r="E71" i="134" s="1"/>
  <c r="B75" i="119" a="1"/>
  <c r="B75" i="119" s="1"/>
  <c r="E75" i="119" s="1"/>
  <c r="B829" i="136"/>
  <c r="E829" i="136" s="1"/>
  <c r="B853" i="135"/>
  <c r="E853" i="135" s="1"/>
  <c r="B837" i="136"/>
  <c r="E837" i="136" s="1"/>
  <c r="B861" i="135"/>
  <c r="E861" i="135" s="1"/>
  <c r="B845" i="136"/>
  <c r="E845" i="136" s="1"/>
  <c r="B869" i="135"/>
  <c r="E869" i="135" s="1"/>
  <c r="B814" i="136"/>
  <c r="E814" i="136" s="1"/>
  <c r="B838" i="135"/>
  <c r="E838" i="135" s="1"/>
  <c r="B822" i="136"/>
  <c r="E822" i="136" s="1"/>
  <c r="B846" i="135"/>
  <c r="E846" i="135" s="1"/>
  <c r="B805" i="136"/>
  <c r="B829" i="135"/>
  <c r="B61" i="136"/>
  <c r="E61" i="136" s="1"/>
  <c r="B65" i="135"/>
  <c r="E65" i="135" s="1"/>
  <c r="B121" i="136"/>
  <c r="E121" i="136" s="1"/>
  <c r="B141" i="135"/>
  <c r="E141" i="135" s="1"/>
  <c r="B137" i="134"/>
  <c r="E137" i="134" s="1"/>
  <c r="B150" i="119"/>
  <c r="E150" i="119" s="1"/>
  <c r="B130" i="136"/>
  <c r="E130" i="136" s="1"/>
  <c r="B150" i="135"/>
  <c r="E150" i="135" s="1"/>
  <c r="B146" i="134"/>
  <c r="E146" i="134" s="1"/>
  <c r="B156" i="119"/>
  <c r="E156" i="119" s="1"/>
  <c r="B136" i="136"/>
  <c r="E136" i="136" s="1"/>
  <c r="B156" i="135"/>
  <c r="E156" i="135" s="1"/>
  <c r="B152" i="134"/>
  <c r="E152" i="134" s="1"/>
  <c r="B167" i="136"/>
  <c r="E167" i="136" s="1"/>
  <c r="B187" i="135"/>
  <c r="E187" i="135" s="1"/>
  <c r="B183" i="134"/>
  <c r="E183" i="134" s="1"/>
  <c r="B172" i="119"/>
  <c r="E172" i="119" s="1"/>
  <c r="B152" i="136"/>
  <c r="E152" i="136" s="1"/>
  <c r="B172" i="135"/>
  <c r="E172" i="135" s="1"/>
  <c r="B168" i="134"/>
  <c r="E168" i="134" s="1"/>
  <c r="B161" i="136"/>
  <c r="E161" i="136" s="1"/>
  <c r="B181" i="135"/>
  <c r="E181" i="135" s="1"/>
  <c r="B177" i="134"/>
  <c r="E177" i="134" s="1"/>
  <c r="B190" i="119"/>
  <c r="E190" i="119" s="1"/>
  <c r="B170" i="136"/>
  <c r="E170" i="136" s="1"/>
  <c r="B190" i="135"/>
  <c r="E190" i="135" s="1"/>
  <c r="B186" i="134"/>
  <c r="E186" i="134" s="1"/>
  <c r="B197" i="119"/>
  <c r="E197" i="119" s="1"/>
  <c r="B177" i="136"/>
  <c r="E177" i="136" s="1"/>
  <c r="B197" i="135"/>
  <c r="E197" i="135" s="1"/>
  <c r="B193" i="134"/>
  <c r="E193" i="134" s="1"/>
  <c r="B236" i="136"/>
  <c r="B256" i="135"/>
  <c r="B252" i="134"/>
  <c r="B249" i="136"/>
  <c r="E249" i="136" s="1"/>
  <c r="B269" i="135"/>
  <c r="E269" i="135" s="1"/>
  <c r="B265" i="134"/>
  <c r="E265" i="134" s="1"/>
  <c r="B244" i="136"/>
  <c r="E244" i="136" s="1"/>
  <c r="B264" i="135"/>
  <c r="E264" i="135" s="1"/>
  <c r="B260" i="134"/>
  <c r="E260" i="134" s="1"/>
  <c r="B276" i="119"/>
  <c r="E276" i="119" s="1"/>
  <c r="B256" i="136"/>
  <c r="E256" i="136" s="1"/>
  <c r="B276" i="135"/>
  <c r="E276" i="135" s="1"/>
  <c r="B272" i="134"/>
  <c r="E272" i="134" s="1"/>
  <c r="B280" i="119"/>
  <c r="E280" i="119" s="1"/>
  <c r="B260" i="136"/>
  <c r="E260" i="136" s="1"/>
  <c r="B280" i="135"/>
  <c r="E280" i="135" s="1"/>
  <c r="B276" i="134"/>
  <c r="E276" i="134" s="1"/>
  <c r="B286" i="119"/>
  <c r="E286" i="119" s="1"/>
  <c r="B266" i="136"/>
  <c r="E266" i="136" s="1"/>
  <c r="B286" i="135"/>
  <c r="E286" i="135" s="1"/>
  <c r="B282" i="134"/>
  <c r="E282" i="134" s="1"/>
  <c r="B295" i="119"/>
  <c r="E295" i="119" s="1"/>
  <c r="B275" i="136"/>
  <c r="E275" i="136" s="1"/>
  <c r="B295" i="135"/>
  <c r="E295" i="135" s="1"/>
  <c r="B291" i="134"/>
  <c r="E291" i="134" s="1"/>
  <c r="B302" i="119"/>
  <c r="E302" i="119" s="1"/>
  <c r="B282" i="136"/>
  <c r="E282" i="136" s="1"/>
  <c r="B302" i="135"/>
  <c r="E302" i="135" s="1"/>
  <c r="B298" i="134"/>
  <c r="E298" i="134" s="1"/>
  <c r="B309" i="119"/>
  <c r="E309" i="119" s="1"/>
  <c r="B289" i="136"/>
  <c r="E289" i="136" s="1"/>
  <c r="B309" i="135"/>
  <c r="E309" i="135" s="1"/>
  <c r="B305" i="134"/>
  <c r="E305" i="134" s="1"/>
  <c r="B317" i="119"/>
  <c r="E317" i="119" s="1"/>
  <c r="B297" i="136"/>
  <c r="E297" i="136" s="1"/>
  <c r="B317" i="135"/>
  <c r="E317" i="135" s="1"/>
  <c r="B313" i="134"/>
  <c r="E313" i="134" s="1"/>
  <c r="B322" i="119"/>
  <c r="E322" i="119" s="1"/>
  <c r="B302" i="136"/>
  <c r="E302" i="136" s="1"/>
  <c r="B322" i="135"/>
  <c r="E322" i="135" s="1"/>
  <c r="B318" i="134"/>
  <c r="E318" i="134" s="1"/>
  <c r="B330" i="119"/>
  <c r="E330" i="119" s="1"/>
  <c r="B310" i="136"/>
  <c r="E310" i="136" s="1"/>
  <c r="B330" i="135"/>
  <c r="E330" i="135" s="1"/>
  <c r="B326" i="134"/>
  <c r="E326" i="134" s="1"/>
  <c r="B340" i="119"/>
  <c r="E340" i="119" s="1"/>
  <c r="B320" i="136"/>
  <c r="E320" i="136" s="1"/>
  <c r="B340" i="135"/>
  <c r="E340" i="135" s="1"/>
  <c r="B336" i="134"/>
  <c r="E336" i="134" s="1"/>
  <c r="B290" i="119"/>
  <c r="E290" i="119" s="1"/>
  <c r="B164" i="119"/>
  <c r="E164" i="119" s="1"/>
  <c r="B390" i="136"/>
  <c r="E390" i="136" s="1"/>
  <c r="B410" i="135"/>
  <c r="E410" i="135" s="1"/>
  <c r="B394" i="136"/>
  <c r="E394" i="136" s="1"/>
  <c r="B414" i="135"/>
  <c r="E414" i="135" s="1"/>
  <c r="B399" i="136"/>
  <c r="E399" i="136" s="1"/>
  <c r="B419" i="135"/>
  <c r="E419" i="135" s="1"/>
  <c r="B403" i="136"/>
  <c r="E403" i="136" s="1"/>
  <c r="B423" i="135"/>
  <c r="E423" i="135" s="1"/>
  <c r="B406" i="136"/>
  <c r="E406" i="136" s="1"/>
  <c r="B426" i="135"/>
  <c r="E426" i="135" s="1"/>
  <c r="B87" i="119" a="1"/>
  <c r="B87" i="119" s="1"/>
  <c r="E87" i="119" s="1"/>
  <c r="B69" i="136"/>
  <c r="E69" i="136" s="1"/>
  <c r="B82" i="135"/>
  <c r="E82" i="135" s="1"/>
  <c r="B828" i="136"/>
  <c r="B852" i="135"/>
  <c r="B832" i="136"/>
  <c r="E832" i="136" s="1"/>
  <c r="B856" i="135"/>
  <c r="E856" i="135" s="1"/>
  <c r="B836" i="136"/>
  <c r="E836" i="136" s="1"/>
  <c r="B860" i="135"/>
  <c r="E860" i="135" s="1"/>
  <c r="B840" i="136"/>
  <c r="E840" i="136" s="1"/>
  <c r="B864" i="135"/>
  <c r="E864" i="135" s="1"/>
  <c r="B874" i="134"/>
  <c r="E874" i="134" s="1"/>
  <c r="B844" i="136"/>
  <c r="E844" i="136" s="1"/>
  <c r="B868" i="135"/>
  <c r="E868" i="135" s="1"/>
  <c r="B813" i="136"/>
  <c r="E813" i="136" s="1"/>
  <c r="B837" i="135"/>
  <c r="E837" i="135" s="1"/>
  <c r="B817" i="136"/>
  <c r="E817" i="136" s="1"/>
  <c r="B841" i="135"/>
  <c r="E841" i="135" s="1"/>
  <c r="B851" i="134"/>
  <c r="E851" i="134" s="1"/>
  <c r="B821" i="136"/>
  <c r="E821" i="136" s="1"/>
  <c r="B845" i="135"/>
  <c r="E845" i="135" s="1"/>
  <c r="B616" i="136"/>
  <c r="E616" i="136" s="1"/>
  <c r="B635" i="135"/>
  <c r="E635" i="135" s="1"/>
  <c r="B32" i="136"/>
  <c r="E32" i="136" s="1"/>
  <c r="B34" i="135"/>
  <c r="E34" i="135" s="1"/>
  <c r="B43" i="134"/>
  <c r="E43" i="134" s="1"/>
  <c r="B41" i="136"/>
  <c r="E41" i="136" s="1"/>
  <c r="B43" i="135"/>
  <c r="E43" i="135" s="1"/>
  <c r="B17" i="136"/>
  <c r="E17" i="136" s="1"/>
  <c r="B17" i="135"/>
  <c r="E17" i="135" s="1"/>
  <c r="B18" i="136"/>
  <c r="E18" i="136" s="1"/>
  <c r="B18" i="135"/>
  <c r="E18" i="135" s="1"/>
  <c r="B799" i="136"/>
  <c r="B823" i="135"/>
  <c r="B120" i="136"/>
  <c r="E120" i="136" s="1"/>
  <c r="B140" i="135"/>
  <c r="E140" i="135" s="1"/>
  <c r="B136" i="134"/>
  <c r="E136" i="134" s="1"/>
  <c r="B124" i="136"/>
  <c r="E124" i="136" s="1"/>
  <c r="B144" i="135"/>
  <c r="E144" i="135" s="1"/>
  <c r="B140" i="134"/>
  <c r="E140" i="134" s="1"/>
  <c r="B149" i="119"/>
  <c r="E149" i="119" s="1"/>
  <c r="B129" i="136"/>
  <c r="E129" i="136" s="1"/>
  <c r="B149" i="135"/>
  <c r="E149" i="135" s="1"/>
  <c r="B145" i="134"/>
  <c r="E145" i="134" s="1"/>
  <c r="B132" i="136"/>
  <c r="E132" i="136" s="1"/>
  <c r="B152" i="135"/>
  <c r="E152" i="135" s="1"/>
  <c r="B148" i="134"/>
  <c r="E148" i="134" s="1"/>
  <c r="B135" i="136"/>
  <c r="E135" i="136" s="1"/>
  <c r="B155" i="135"/>
  <c r="E155" i="135" s="1"/>
  <c r="B151" i="134"/>
  <c r="E151" i="134" s="1"/>
  <c r="B139" i="136"/>
  <c r="E139" i="136" s="1"/>
  <c r="B159" i="135"/>
  <c r="E159" i="135" s="1"/>
  <c r="B155" i="134"/>
  <c r="E155" i="134" s="1"/>
  <c r="B133" i="136"/>
  <c r="E133" i="136" s="1"/>
  <c r="B153" i="135"/>
  <c r="E153" i="135" s="1"/>
  <c r="B149" i="134"/>
  <c r="E149" i="134" s="1"/>
  <c r="B147" i="136"/>
  <c r="E147" i="136" s="1"/>
  <c r="B167" i="135"/>
  <c r="E167" i="135" s="1"/>
  <c r="B163" i="134"/>
  <c r="E163" i="134" s="1"/>
  <c r="B150" i="136"/>
  <c r="E150" i="136" s="1"/>
  <c r="B170" i="135"/>
  <c r="E170" i="135" s="1"/>
  <c r="B166" i="134"/>
  <c r="E166" i="134" s="1"/>
  <c r="B154" i="136"/>
  <c r="E154" i="136" s="1"/>
  <c r="B174" i="135"/>
  <c r="E174" i="135" s="1"/>
  <c r="B170" i="134"/>
  <c r="E170" i="134" s="1"/>
  <c r="B178" i="119"/>
  <c r="E178" i="119" s="1"/>
  <c r="B158" i="136"/>
  <c r="E158" i="136" s="1"/>
  <c r="B178" i="135"/>
  <c r="E178" i="135" s="1"/>
  <c r="B174" i="134"/>
  <c r="E174" i="134" s="1"/>
  <c r="B165" i="136"/>
  <c r="E165" i="136" s="1"/>
  <c r="B185" i="135"/>
  <c r="E185" i="135" s="1"/>
  <c r="B181" i="134"/>
  <c r="E181" i="134" s="1"/>
  <c r="B172" i="136"/>
  <c r="E172" i="136" s="1"/>
  <c r="B192" i="135"/>
  <c r="E192" i="135" s="1"/>
  <c r="B188" i="134"/>
  <c r="E188" i="134" s="1"/>
  <c r="B171" i="136"/>
  <c r="E171" i="136" s="1"/>
  <c r="B191" i="135"/>
  <c r="E191" i="135" s="1"/>
  <c r="B187" i="134"/>
  <c r="E187" i="134" s="1"/>
  <c r="B196" i="119"/>
  <c r="E196" i="119" s="1"/>
  <c r="B176" i="136"/>
  <c r="E176" i="136" s="1"/>
  <c r="B196" i="135"/>
  <c r="E196" i="135" s="1"/>
  <c r="B192" i="134"/>
  <c r="E192" i="134" s="1"/>
  <c r="B238" i="136"/>
  <c r="E238" i="136" s="1"/>
  <c r="B258" i="135"/>
  <c r="E258" i="135" s="1"/>
  <c r="B254" i="134"/>
  <c r="E254" i="134" s="1"/>
  <c r="B260" i="119"/>
  <c r="E260" i="119" s="1"/>
  <c r="B240" i="136"/>
  <c r="E240" i="136" s="1"/>
  <c r="B260" i="135"/>
  <c r="E260" i="135" s="1"/>
  <c r="B256" i="134"/>
  <c r="E256" i="134" s="1"/>
  <c r="B246" i="136"/>
  <c r="E246" i="136" s="1"/>
  <c r="B266" i="135"/>
  <c r="E266" i="135" s="1"/>
  <c r="B262" i="134"/>
  <c r="E262" i="134" s="1"/>
  <c r="B268" i="119"/>
  <c r="E268" i="119" s="1"/>
  <c r="B248" i="136"/>
  <c r="E248" i="136" s="1"/>
  <c r="B268" i="135"/>
  <c r="E268" i="135" s="1"/>
  <c r="B264" i="134"/>
  <c r="E264" i="134" s="1"/>
  <c r="B254" i="136"/>
  <c r="E254" i="136" s="1"/>
  <c r="B274" i="135"/>
  <c r="E274" i="135" s="1"/>
  <c r="B270" i="134"/>
  <c r="E270" i="134" s="1"/>
  <c r="B279" i="119"/>
  <c r="E279" i="119" s="1"/>
  <c r="B259" i="136"/>
  <c r="E259" i="136" s="1"/>
  <c r="B279" i="135"/>
  <c r="E279" i="135" s="1"/>
  <c r="B275" i="134"/>
  <c r="E275" i="134" s="1"/>
  <c r="B304" i="136"/>
  <c r="E304" i="136" s="1"/>
  <c r="B324" i="135"/>
  <c r="E324" i="135" s="1"/>
  <c r="B320" i="134"/>
  <c r="E320" i="134" s="1"/>
  <c r="B295" i="136"/>
  <c r="E295" i="136" s="1"/>
  <c r="B315" i="135"/>
  <c r="E315" i="135" s="1"/>
  <c r="B311" i="134"/>
  <c r="E311" i="134" s="1"/>
  <c r="B269" i="136"/>
  <c r="E269" i="136" s="1"/>
  <c r="B289" i="135"/>
  <c r="E289" i="135" s="1"/>
  <c r="B285" i="134"/>
  <c r="E285" i="134" s="1"/>
  <c r="B294" i="119"/>
  <c r="E294" i="119" s="1"/>
  <c r="B274" i="136"/>
  <c r="E274" i="136" s="1"/>
  <c r="B294" i="135"/>
  <c r="E294" i="135" s="1"/>
  <c r="B290" i="134"/>
  <c r="E290" i="134" s="1"/>
  <c r="B296" i="119"/>
  <c r="E296" i="119" s="1"/>
  <c r="B276" i="136"/>
  <c r="E276" i="136" s="1"/>
  <c r="B296" i="135"/>
  <c r="E296" i="135" s="1"/>
  <c r="B292" i="134"/>
  <c r="E292" i="134" s="1"/>
  <c r="B301" i="119"/>
  <c r="E301" i="119" s="1"/>
  <c r="B281" i="136"/>
  <c r="E281" i="136" s="1"/>
  <c r="B301" i="135"/>
  <c r="E301" i="135" s="1"/>
  <c r="B297" i="134"/>
  <c r="E297" i="134" s="1"/>
  <c r="B272" i="119"/>
  <c r="E272" i="119" s="1"/>
  <c r="B252" i="136"/>
  <c r="E252" i="136" s="1"/>
  <c r="B272" i="135"/>
  <c r="E272" i="135" s="1"/>
  <c r="B268" i="134"/>
  <c r="E268" i="134" s="1"/>
  <c r="B308" i="119"/>
  <c r="E308" i="119" s="1"/>
  <c r="B288" i="136"/>
  <c r="E288" i="136" s="1"/>
  <c r="B308" i="135"/>
  <c r="E308" i="135" s="1"/>
  <c r="B304" i="134"/>
  <c r="E304" i="134" s="1"/>
  <c r="B312" i="119"/>
  <c r="E312" i="119" s="1"/>
  <c r="B292" i="136"/>
  <c r="E292" i="136" s="1"/>
  <c r="B312" i="135"/>
  <c r="E312" i="135" s="1"/>
  <c r="B308" i="134"/>
  <c r="E308" i="134" s="1"/>
  <c r="B332" i="119"/>
  <c r="E332" i="119" s="1"/>
  <c r="B312" i="136"/>
  <c r="E312" i="136" s="1"/>
  <c r="B332" i="135"/>
  <c r="E332" i="135" s="1"/>
  <c r="B328" i="134"/>
  <c r="E328" i="134" s="1"/>
  <c r="B321" i="119"/>
  <c r="E321" i="119" s="1"/>
  <c r="B301" i="136"/>
  <c r="E301" i="136" s="1"/>
  <c r="B321" i="135"/>
  <c r="E321" i="135" s="1"/>
  <c r="B317" i="134"/>
  <c r="E317" i="134" s="1"/>
  <c r="B300" i="136"/>
  <c r="E300" i="136" s="1"/>
  <c r="B320" i="135"/>
  <c r="E320" i="135" s="1"/>
  <c r="B316" i="134"/>
  <c r="E316" i="134" s="1"/>
  <c r="B329" i="119"/>
  <c r="E329" i="119" s="1"/>
  <c r="B309" i="136"/>
  <c r="E309" i="136" s="1"/>
  <c r="B329" i="135"/>
  <c r="E329" i="135" s="1"/>
  <c r="B325" i="134"/>
  <c r="E325" i="134" s="1"/>
  <c r="B335" i="119"/>
  <c r="E335" i="119" s="1"/>
  <c r="B315" i="136"/>
  <c r="E315" i="136" s="1"/>
  <c r="B335" i="135"/>
  <c r="E335" i="135" s="1"/>
  <c r="B331" i="134"/>
  <c r="E331" i="134" s="1"/>
  <c r="B319" i="136"/>
  <c r="E319" i="136" s="1"/>
  <c r="B339" i="135"/>
  <c r="E339" i="135" s="1"/>
  <c r="B335" i="134"/>
  <c r="E335" i="134" s="1"/>
  <c r="B343" i="119"/>
  <c r="E343" i="119" s="1"/>
  <c r="B323" i="136"/>
  <c r="E323" i="136" s="1"/>
  <c r="B343" i="135"/>
  <c r="E343" i="135" s="1"/>
  <c r="B339" i="134"/>
  <c r="E339" i="134" s="1"/>
  <c r="B8" i="136"/>
  <c r="B8" i="135"/>
  <c r="B8" i="134"/>
  <c r="B110" i="136"/>
  <c r="B130" i="135"/>
  <c r="B126" i="134"/>
  <c r="V93" i="131"/>
  <c r="B81" i="134"/>
  <c r="E81" i="134" s="1"/>
  <c r="B72" i="119" a="1"/>
  <c r="B72" i="119" s="1"/>
  <c r="E72" i="119" s="1"/>
  <c r="B76" i="134"/>
  <c r="E76" i="134" s="1"/>
  <c r="B76" i="119" a="1"/>
  <c r="B76" i="119" s="1"/>
  <c r="E76" i="119" s="1"/>
  <c r="B85" i="119" a="1"/>
  <c r="B85" i="119" s="1"/>
  <c r="E85" i="119" s="1"/>
  <c r="B86" i="119" a="1"/>
  <c r="B86" i="119" s="1"/>
  <c r="E86" i="119" s="1"/>
  <c r="B80" i="134"/>
  <c r="E80" i="134" s="1"/>
  <c r="B78" i="119" a="1"/>
  <c r="B78" i="119" s="1"/>
  <c r="E78" i="119" s="1"/>
  <c r="B72" i="134"/>
  <c r="E72" i="134" s="1"/>
  <c r="B74" i="119" a="1"/>
  <c r="B74" i="119" s="1"/>
  <c r="E74" i="119" s="1"/>
  <c r="B84" i="134"/>
  <c r="E84" i="134" s="1"/>
  <c r="B71" i="119" a="1"/>
  <c r="B71" i="119" s="1"/>
  <c r="E71" i="119" s="1"/>
  <c r="B647" i="136"/>
  <c r="E647" i="136" s="1"/>
  <c r="B533" i="136"/>
  <c r="E533" i="136" s="1"/>
  <c r="B560" i="136"/>
  <c r="E560" i="136" s="1"/>
  <c r="B568" i="136"/>
  <c r="E568" i="136" s="1"/>
  <c r="B564" i="136"/>
  <c r="E564" i="136" s="1"/>
  <c r="B573" i="136"/>
  <c r="E573" i="136" s="1"/>
  <c r="B584" i="136"/>
  <c r="E584" i="136" s="1"/>
  <c r="B207" i="119" a="1"/>
  <c r="B207" i="119" s="1"/>
  <c r="E207" i="119" s="1"/>
  <c r="B227" i="119" a="1"/>
  <c r="B227" i="119" s="1"/>
  <c r="E227" i="119" s="1"/>
  <c r="B225" i="136"/>
  <c r="E225" i="136" s="1"/>
  <c r="B551" i="136"/>
  <c r="E551" i="136" s="1"/>
  <c r="B853" i="136"/>
  <c r="E853" i="136" s="1"/>
  <c r="B858" i="136"/>
  <c r="E858" i="136" s="1"/>
  <c r="B857" i="136"/>
  <c r="E857" i="136" s="1"/>
  <c r="B331" i="136"/>
  <c r="E331" i="136" s="1"/>
  <c r="B334" i="136"/>
  <c r="E334" i="136" s="1"/>
  <c r="B452" i="119" a="1"/>
  <c r="B452" i="119" s="1"/>
  <c r="E452" i="119" s="1"/>
  <c r="B461" i="119" a="1"/>
  <c r="B461" i="119" s="1"/>
  <c r="E461" i="119" s="1"/>
  <c r="B473" i="119" a="1"/>
  <c r="B473" i="119" s="1"/>
  <c r="E473" i="119" s="1"/>
  <c r="B754" i="136"/>
  <c r="E754" i="136" s="1"/>
  <c r="B527" i="136"/>
  <c r="E527" i="136" s="1"/>
  <c r="B578" i="136"/>
  <c r="E578" i="136" s="1"/>
  <c r="B585" i="136"/>
  <c r="E585" i="136" s="1"/>
  <c r="B582" i="136"/>
  <c r="E582" i="136" s="1"/>
  <c r="B561" i="136"/>
  <c r="E561" i="136" s="1"/>
  <c r="B594" i="136"/>
  <c r="E594" i="136" s="1"/>
  <c r="B569" i="136"/>
  <c r="E569" i="136" s="1"/>
  <c r="B576" i="136"/>
  <c r="E576" i="136" s="1"/>
  <c r="B599" i="136"/>
  <c r="E599" i="136" s="1"/>
  <c r="B208" i="119" a="1"/>
  <c r="B208" i="119" s="1"/>
  <c r="E208" i="119" s="1"/>
  <c r="B222" i="136"/>
  <c r="E222" i="136" s="1"/>
  <c r="B230" i="136"/>
  <c r="E230" i="136" s="1"/>
  <c r="B854" i="136"/>
  <c r="E854" i="136" s="1"/>
  <c r="B859" i="136"/>
  <c r="E859" i="136" s="1"/>
  <c r="B861" i="136"/>
  <c r="E861" i="136" s="1"/>
  <c r="B336" i="136"/>
  <c r="E336" i="136" s="1"/>
  <c r="B440" i="119" a="1"/>
  <c r="B440" i="119" s="1"/>
  <c r="E440" i="119" s="1"/>
  <c r="B449" i="119" a="1"/>
  <c r="B449" i="119" s="1"/>
  <c r="E449" i="119" s="1"/>
  <c r="B458" i="119" a="1"/>
  <c r="B458" i="119" s="1"/>
  <c r="E458" i="119" s="1"/>
  <c r="B466" i="119" a="1"/>
  <c r="B466" i="119" s="1"/>
  <c r="E466" i="119" s="1"/>
  <c r="B474" i="119" a="1"/>
  <c r="B474" i="119" s="1"/>
  <c r="E474" i="119" s="1"/>
  <c r="B605" i="136"/>
  <c r="E605" i="136" s="1"/>
  <c r="B891" i="136"/>
  <c r="E891" i="136" s="1"/>
  <c r="B873" i="136"/>
  <c r="E873" i="136" s="1"/>
  <c r="B654" i="136"/>
  <c r="E654" i="136" s="1"/>
  <c r="B531" i="136"/>
  <c r="E531" i="136" s="1"/>
  <c r="B529" i="136"/>
  <c r="E529" i="136" s="1"/>
  <c r="B556" i="136"/>
  <c r="E556" i="136" s="1"/>
  <c r="B581" i="136"/>
  <c r="E581" i="136" s="1"/>
  <c r="B557" i="136"/>
  <c r="E557" i="136" s="1"/>
  <c r="B572" i="136"/>
  <c r="E572" i="136" s="1"/>
  <c r="B587" i="136"/>
  <c r="E587" i="136" s="1"/>
  <c r="B565" i="136"/>
  <c r="E565" i="136" s="1"/>
  <c r="B785" i="136"/>
  <c r="E785" i="136" s="1"/>
  <c r="B784" i="136"/>
  <c r="E784" i="136" s="1"/>
  <c r="B348" i="136"/>
  <c r="E348" i="136" s="1"/>
  <c r="B229" i="136"/>
  <c r="E229" i="136" s="1"/>
  <c r="B883" i="136"/>
  <c r="E883" i="136" s="1"/>
  <c r="B435" i="119" a="1"/>
  <c r="B435" i="119" s="1"/>
  <c r="E435" i="119" s="1"/>
  <c r="B439" i="119" a="1"/>
  <c r="B439" i="119" s="1"/>
  <c r="E439" i="119" s="1"/>
  <c r="B444" i="119" a="1"/>
  <c r="B444" i="119" s="1"/>
  <c r="E444" i="119" s="1"/>
  <c r="B465" i="119" a="1"/>
  <c r="B465" i="119" s="1"/>
  <c r="E465" i="119" s="1"/>
  <c r="B469" i="119" a="1"/>
  <c r="B469" i="119" s="1"/>
  <c r="E469" i="119" s="1"/>
  <c r="B604" i="136"/>
  <c r="E604" i="136" s="1"/>
  <c r="B357" i="136"/>
  <c r="E357" i="136" s="1"/>
  <c r="B776" i="136"/>
  <c r="E776" i="136" s="1"/>
  <c r="B683" i="136"/>
  <c r="E683" i="136" s="1"/>
  <c r="B557" i="134"/>
  <c r="E557" i="134" s="1"/>
  <c r="B522" i="136"/>
  <c r="E522" i="136" s="1"/>
  <c r="B563" i="136"/>
  <c r="E563" i="136" s="1"/>
  <c r="B597" i="136"/>
  <c r="E597" i="136" s="1"/>
  <c r="B786" i="136"/>
  <c r="E786" i="136" s="1"/>
  <c r="B626" i="136"/>
  <c r="E626" i="136" s="1"/>
  <c r="B349" i="136"/>
  <c r="E349" i="136" s="1"/>
  <c r="B204" i="119" a="1"/>
  <c r="B204" i="119" s="1"/>
  <c r="E204" i="119" s="1"/>
  <c r="B534" i="136"/>
  <c r="E534" i="136" s="1"/>
  <c r="B523" i="136"/>
  <c r="E523" i="136" s="1"/>
  <c r="B559" i="136"/>
  <c r="E559" i="136" s="1"/>
  <c r="B589" i="136"/>
  <c r="E589" i="136" s="1"/>
  <c r="B575" i="136"/>
  <c r="E575" i="136" s="1"/>
  <c r="B583" i="136"/>
  <c r="E583" i="136" s="1"/>
  <c r="B593" i="136"/>
  <c r="E593" i="136" s="1"/>
  <c r="B782" i="136"/>
  <c r="E782" i="136" s="1"/>
  <c r="B787" i="136"/>
  <c r="E787" i="136" s="1"/>
  <c r="B346" i="136"/>
  <c r="E346" i="136" s="1"/>
  <c r="B209" i="119" a="1"/>
  <c r="B209" i="119" s="1"/>
  <c r="E209" i="119" s="1"/>
  <c r="B217" i="119" a="1"/>
  <c r="B217" i="119" s="1"/>
  <c r="E217" i="119" s="1"/>
  <c r="B225" i="119" a="1"/>
  <c r="B225" i="119" s="1"/>
  <c r="E225" i="119" s="1"/>
  <c r="B233" i="119" a="1"/>
  <c r="B233" i="119" s="1"/>
  <c r="E233" i="119" s="1"/>
  <c r="B221" i="136"/>
  <c r="E221" i="136" s="1"/>
  <c r="B231" i="136"/>
  <c r="E231" i="136" s="1"/>
  <c r="B860" i="136"/>
  <c r="E860" i="136" s="1"/>
  <c r="B865" i="136"/>
  <c r="E865" i="136" s="1"/>
  <c r="B867" i="136"/>
  <c r="E867" i="136" s="1"/>
  <c r="B881" i="136"/>
  <c r="E881" i="136" s="1"/>
  <c r="B333" i="136"/>
  <c r="E333" i="136" s="1"/>
  <c r="B340" i="136"/>
  <c r="E340" i="136" s="1"/>
  <c r="B441" i="119" a="1"/>
  <c r="B441" i="119" s="1"/>
  <c r="E441" i="119" s="1"/>
  <c r="B459" i="119" a="1"/>
  <c r="B459" i="119" s="1"/>
  <c r="E459" i="119" s="1"/>
  <c r="B510" i="136"/>
  <c r="E510" i="136" s="1"/>
  <c r="B874" i="136"/>
  <c r="E874" i="136" s="1"/>
  <c r="B547" i="134"/>
  <c r="E547" i="134" s="1"/>
  <c r="B532" i="136"/>
  <c r="E532" i="136" s="1"/>
  <c r="B558" i="136"/>
  <c r="E558" i="136" s="1"/>
  <c r="B566" i="136"/>
  <c r="E566" i="136" s="1"/>
  <c r="B591" i="136"/>
  <c r="E591" i="136" s="1"/>
  <c r="B590" i="136"/>
  <c r="E590" i="136" s="1"/>
  <c r="B596" i="136"/>
  <c r="E596" i="136" s="1"/>
  <c r="B574" i="136"/>
  <c r="E574" i="136" s="1"/>
  <c r="B586" i="136"/>
  <c r="E586" i="136" s="1"/>
  <c r="B579" i="136"/>
  <c r="E579" i="136" s="1"/>
  <c r="B783" i="136"/>
  <c r="E783" i="136" s="1"/>
  <c r="B788" i="136"/>
  <c r="E788" i="136" s="1"/>
  <c r="B206" i="119" a="1"/>
  <c r="B206" i="119" s="1"/>
  <c r="E206" i="119" s="1"/>
  <c r="B210" i="119" a="1"/>
  <c r="B210" i="119" s="1"/>
  <c r="E210" i="119" s="1"/>
  <c r="B214" i="119" a="1"/>
  <c r="B214" i="119" s="1"/>
  <c r="E214" i="119" s="1"/>
  <c r="B218" i="119" a="1"/>
  <c r="B218" i="119" s="1"/>
  <c r="E218" i="119" s="1"/>
  <c r="B222" i="119" a="1"/>
  <c r="B222" i="119" s="1"/>
  <c r="E222" i="119" s="1"/>
  <c r="B226" i="119" a="1"/>
  <c r="B226" i="119" s="1"/>
  <c r="E226" i="119" s="1"/>
  <c r="B230" i="119" a="1"/>
  <c r="B230" i="119" s="1"/>
  <c r="E230" i="119" s="1"/>
  <c r="B234" i="119" a="1"/>
  <c r="B234" i="119" s="1"/>
  <c r="E234" i="119" s="1"/>
  <c r="B220" i="136"/>
  <c r="E220" i="136" s="1"/>
  <c r="B224" i="136"/>
  <c r="E224" i="136" s="1"/>
  <c r="B227" i="136"/>
  <c r="E227" i="136" s="1"/>
  <c r="B550" i="136"/>
  <c r="E550" i="136" s="1"/>
  <c r="B856" i="136"/>
  <c r="E856" i="136" s="1"/>
  <c r="B862" i="136"/>
  <c r="E862" i="136" s="1"/>
  <c r="B866" i="136"/>
  <c r="E866" i="136" s="1"/>
  <c r="B868" i="136"/>
  <c r="E868" i="136" s="1"/>
  <c r="B882" i="136"/>
  <c r="E882" i="136" s="1"/>
  <c r="B774" i="136"/>
  <c r="E774" i="136" s="1"/>
  <c r="B442" i="119" a="1"/>
  <c r="B442" i="119" s="1"/>
  <c r="E442" i="119" s="1"/>
  <c r="B451" i="119" a="1"/>
  <c r="B451" i="119" s="1"/>
  <c r="E451" i="119" s="1"/>
  <c r="B460" i="119" a="1"/>
  <c r="B460" i="119" s="1"/>
  <c r="E460" i="119" s="1"/>
  <c r="B468" i="119" a="1"/>
  <c r="B468" i="119" s="1"/>
  <c r="E468" i="119" s="1"/>
  <c r="B511" i="136"/>
  <c r="E511" i="136" s="1"/>
  <c r="B607" i="136"/>
  <c r="E607" i="136" s="1"/>
  <c r="B898" i="136"/>
  <c r="E898" i="136" s="1"/>
  <c r="B753" i="136"/>
  <c r="E753" i="136" s="1"/>
  <c r="B757" i="136"/>
  <c r="E757" i="136" s="1"/>
  <c r="B893" i="136"/>
  <c r="E893" i="136" s="1"/>
  <c r="E537" i="119"/>
  <c r="E520" i="119"/>
  <c r="E528" i="119"/>
  <c r="E533" i="119"/>
  <c r="E517" i="119"/>
  <c r="E521" i="119"/>
  <c r="E530" i="119"/>
  <c r="E518" i="119"/>
  <c r="E523" i="119"/>
  <c r="E527" i="119"/>
  <c r="E532" i="119"/>
  <c r="B453" i="136"/>
  <c r="E453" i="136" s="1"/>
  <c r="B465" i="136"/>
  <c r="E465" i="136" s="1"/>
  <c r="B476" i="136"/>
  <c r="E476" i="136" s="1"/>
  <c r="B480" i="136"/>
  <c r="E480" i="136" s="1"/>
  <c r="B454" i="136"/>
  <c r="E454" i="136" s="1"/>
  <c r="E492" i="119"/>
  <c r="B466" i="136"/>
  <c r="E466" i="136" s="1"/>
  <c r="E501" i="119"/>
  <c r="B474" i="136"/>
  <c r="E474" i="136" s="1"/>
  <c r="B490" i="136"/>
  <c r="E490" i="136" s="1"/>
  <c r="B498" i="136"/>
  <c r="E498" i="136" s="1"/>
  <c r="B469" i="136"/>
  <c r="E469" i="136" s="1"/>
  <c r="B457" i="136"/>
  <c r="E457" i="136" s="1"/>
  <c r="B463" i="136"/>
  <c r="E463" i="136" s="1"/>
  <c r="E503" i="119"/>
  <c r="B471" i="136"/>
  <c r="E471" i="136" s="1"/>
  <c r="B478" i="136"/>
  <c r="E478" i="136" s="1"/>
  <c r="B487" i="136"/>
  <c r="E487" i="136" s="1"/>
  <c r="B491" i="136"/>
  <c r="E491" i="136" s="1"/>
  <c r="B495" i="136"/>
  <c r="E495" i="136" s="1"/>
  <c r="B499" i="136"/>
  <c r="E499" i="136" s="1"/>
  <c r="B473" i="136"/>
  <c r="E473" i="136" s="1"/>
  <c r="E511" i="119"/>
  <c r="B489" i="136"/>
  <c r="E489" i="136" s="1"/>
  <c r="E490" i="119"/>
  <c r="B459" i="136"/>
  <c r="E459" i="136" s="1"/>
  <c r="E494" i="119"/>
  <c r="B468" i="136"/>
  <c r="E468" i="136" s="1"/>
  <c r="E510" i="119"/>
  <c r="B460" i="136"/>
  <c r="E460" i="136" s="1"/>
  <c r="B484" i="136"/>
  <c r="E484" i="136" s="1"/>
  <c r="B500" i="136"/>
  <c r="E500" i="136" s="1"/>
  <c r="B483" i="136"/>
  <c r="E483" i="136" s="1"/>
  <c r="B451" i="136"/>
  <c r="E451" i="136" s="1"/>
  <c r="B502" i="136"/>
  <c r="E502" i="136" s="1"/>
  <c r="B504" i="136"/>
  <c r="E504" i="136" s="1"/>
  <c r="B539" i="134"/>
  <c r="B541" i="134" s="1"/>
  <c r="B794" i="136"/>
  <c r="B794" i="135"/>
  <c r="E794" i="135" s="1"/>
  <c r="B773" i="136"/>
  <c r="E773" i="136" s="1"/>
  <c r="B93" i="134"/>
  <c r="E93" i="134" s="1"/>
  <c r="B25" i="135"/>
  <c r="B64" i="134"/>
  <c r="E64" i="134" s="1"/>
  <c r="B624" i="136"/>
  <c r="E624" i="136" s="1"/>
  <c r="B629" i="136"/>
  <c r="E629" i="136" s="1"/>
  <c r="B634" i="136"/>
  <c r="E634" i="136" s="1"/>
  <c r="B635" i="136"/>
  <c r="E635" i="136" s="1"/>
  <c r="B641" i="136"/>
  <c r="E641" i="136" s="1"/>
  <c r="B656" i="136"/>
  <c r="E656" i="136" s="1"/>
  <c r="B659" i="136"/>
  <c r="E659" i="136" s="1"/>
  <c r="B678" i="136"/>
  <c r="E678" i="136" s="1"/>
  <c r="B690" i="136"/>
  <c r="E690" i="136" s="1"/>
  <c r="B716" i="136"/>
  <c r="E716" i="136" s="1"/>
  <c r="B725" i="136"/>
  <c r="E725" i="136" s="1"/>
  <c r="B637" i="136"/>
  <c r="E637" i="136" s="1"/>
  <c r="B625" i="136"/>
  <c r="E625" i="136" s="1"/>
  <c r="B733" i="136"/>
  <c r="E733" i="136" s="1"/>
  <c r="B696" i="136"/>
  <c r="E696" i="136" s="1"/>
  <c r="B660" i="136"/>
  <c r="E660" i="136" s="1"/>
  <c r="B679" i="136"/>
  <c r="E679" i="136" s="1"/>
  <c r="B717" i="136"/>
  <c r="E717" i="136" s="1"/>
  <c r="B726" i="136"/>
  <c r="E726" i="136" s="1"/>
  <c r="B632" i="136"/>
  <c r="E632" i="136" s="1"/>
  <c r="B623" i="119"/>
  <c r="E623" i="119" s="1"/>
  <c r="B621" i="136"/>
  <c r="E621" i="136" s="1"/>
  <c r="B659" i="119" a="1"/>
  <c r="B659" i="119" s="1"/>
  <c r="B631" i="136"/>
  <c r="E631" i="136" s="1"/>
  <c r="B639" i="136"/>
  <c r="E639" i="136" s="1"/>
  <c r="B671" i="136"/>
  <c r="E671" i="136" s="1"/>
  <c r="B655" i="136"/>
  <c r="E655" i="136" s="1"/>
  <c r="B676" i="136"/>
  <c r="E676" i="136" s="1"/>
  <c r="B680" i="136"/>
  <c r="E680" i="136" s="1"/>
  <c r="B688" i="136"/>
  <c r="E688" i="136" s="1"/>
  <c r="B642" i="136"/>
  <c r="E642" i="136" s="1"/>
  <c r="B661" i="136"/>
  <c r="E661" i="136" s="1"/>
  <c r="B666" i="136"/>
  <c r="E666" i="136" s="1"/>
  <c r="B702" i="136"/>
  <c r="E702" i="136" s="1"/>
  <c r="B768" i="136"/>
  <c r="E768" i="136" s="1"/>
  <c r="B772" i="136"/>
  <c r="E772" i="136" s="1"/>
  <c r="B728" i="136"/>
  <c r="E728" i="136" s="1"/>
  <c r="B740" i="136"/>
  <c r="E740" i="136" s="1"/>
  <c r="B732" i="136"/>
  <c r="E732" i="136" s="1"/>
  <c r="B727" i="136"/>
  <c r="E727" i="136" s="1"/>
  <c r="B746" i="136"/>
  <c r="E746" i="136" s="1"/>
  <c r="B682" i="136"/>
  <c r="E682" i="136" s="1"/>
  <c r="B663" i="136"/>
  <c r="E663" i="136" s="1"/>
  <c r="B700" i="136"/>
  <c r="E700" i="136" s="1"/>
  <c r="B705" i="136"/>
  <c r="E705" i="136" s="1"/>
  <c r="B693" i="136"/>
  <c r="E693" i="136" s="1"/>
  <c r="B719" i="136"/>
  <c r="E719" i="136" s="1"/>
  <c r="B736" i="136"/>
  <c r="E736" i="136" s="1"/>
  <c r="B698" i="136"/>
  <c r="E698" i="136" s="1"/>
  <c r="B748" i="136"/>
  <c r="E748" i="136" s="1"/>
  <c r="B745" i="136"/>
  <c r="E745" i="136" s="1"/>
  <c r="B630" i="136"/>
  <c r="E630" i="136" s="1"/>
  <c r="B691" i="136"/>
  <c r="E691" i="136" s="1"/>
  <c r="B665" i="136"/>
  <c r="E665" i="136" s="1"/>
  <c r="B701" i="136"/>
  <c r="E701" i="136" s="1"/>
  <c r="B694" i="136"/>
  <c r="E694" i="136" s="1"/>
  <c r="B715" i="136"/>
  <c r="E715" i="136" s="1"/>
  <c r="B743" i="136"/>
  <c r="E743" i="136" s="1"/>
  <c r="B628" i="136"/>
  <c r="E628" i="136" s="1"/>
  <c r="B633" i="136"/>
  <c r="E633" i="136" s="1"/>
  <c r="B735" i="136"/>
  <c r="E735" i="136" s="1"/>
  <c r="B640" i="136"/>
  <c r="E640" i="136" s="1"/>
  <c r="B672" i="136"/>
  <c r="E672" i="136" s="1"/>
  <c r="B650" i="136"/>
  <c r="E650" i="136" s="1"/>
  <c r="B677" i="136"/>
  <c r="E677" i="136" s="1"/>
  <c r="B681" i="136"/>
  <c r="E681" i="136" s="1"/>
  <c r="B685" i="136"/>
  <c r="E685" i="136" s="1"/>
  <c r="B689" i="136"/>
  <c r="E689" i="136" s="1"/>
  <c r="B765" i="136"/>
  <c r="E765" i="136" s="1"/>
  <c r="B669" i="136"/>
  <c r="E669" i="136" s="1"/>
  <c r="B710" i="136"/>
  <c r="E710" i="136" s="1"/>
  <c r="B699" i="136"/>
  <c r="E699" i="136" s="1"/>
  <c r="B703" i="136"/>
  <c r="E703" i="136" s="1"/>
  <c r="B708" i="136"/>
  <c r="E708" i="136" s="1"/>
  <c r="B767" i="136"/>
  <c r="E767" i="136" s="1"/>
  <c r="B718" i="136"/>
  <c r="E718" i="136" s="1"/>
  <c r="B724" i="136"/>
  <c r="E724" i="136" s="1"/>
  <c r="B729" i="136"/>
  <c r="E729" i="136" s="1"/>
  <c r="B739" i="136"/>
  <c r="E739" i="136" s="1"/>
  <c r="B673" i="136"/>
  <c r="E673" i="136" s="1"/>
  <c r="B734" i="136"/>
  <c r="E734" i="136" s="1"/>
  <c r="B730" i="136"/>
  <c r="E730" i="136" s="1"/>
  <c r="B684" i="136"/>
  <c r="E684" i="136" s="1"/>
  <c r="B622" i="136"/>
  <c r="E622" i="136" s="1"/>
  <c r="B674" i="136"/>
  <c r="E674" i="136" s="1"/>
  <c r="B200" i="136"/>
  <c r="E200" i="136" s="1"/>
  <c r="B211" i="119" a="1"/>
  <c r="B211" i="119" s="1"/>
  <c r="E211" i="119" s="1"/>
  <c r="B184" i="136"/>
  <c r="E184" i="136" s="1"/>
  <c r="B219" i="119" a="1"/>
  <c r="B219" i="119" s="1"/>
  <c r="E219" i="119" s="1"/>
  <c r="B210" i="136"/>
  <c r="E210" i="136" s="1"/>
  <c r="B231" i="119" a="1"/>
  <c r="B231" i="119" s="1"/>
  <c r="E231" i="119" s="1"/>
  <c r="B416" i="136"/>
  <c r="E416" i="136" s="1"/>
  <c r="B448" i="119" a="1"/>
  <c r="B448" i="119" s="1"/>
  <c r="E448" i="119" s="1"/>
  <c r="B193" i="136"/>
  <c r="E193" i="136" s="1"/>
  <c r="B199" i="136"/>
  <c r="E199" i="136" s="1"/>
  <c r="B212" i="119" a="1"/>
  <c r="B212" i="119" s="1"/>
  <c r="E212" i="119" s="1"/>
  <c r="B196" i="136"/>
  <c r="E196" i="136" s="1"/>
  <c r="B216" i="119" a="1"/>
  <c r="B216" i="119" s="1"/>
  <c r="E216" i="119" s="1"/>
  <c r="B187" i="136"/>
  <c r="E187" i="136" s="1"/>
  <c r="B220" i="119" a="1"/>
  <c r="B220" i="119" s="1"/>
  <c r="E220" i="119" s="1"/>
  <c r="B198" i="136"/>
  <c r="E198" i="136" s="1"/>
  <c r="B224" i="119" a="1"/>
  <c r="B224" i="119" s="1"/>
  <c r="E224" i="119" s="1"/>
  <c r="B203" i="136"/>
  <c r="E203" i="136" s="1"/>
  <c r="B228" i="119" a="1"/>
  <c r="B228" i="119" s="1"/>
  <c r="E228" i="119" s="1"/>
  <c r="B211" i="136"/>
  <c r="E211" i="136" s="1"/>
  <c r="B232" i="119" a="1"/>
  <c r="B232" i="119" s="1"/>
  <c r="E232" i="119" s="1"/>
  <c r="B413" i="136"/>
  <c r="E413" i="136" s="1"/>
  <c r="B436" i="119" a="1"/>
  <c r="B436" i="119" s="1"/>
  <c r="E436" i="119" s="1"/>
  <c r="B423" i="136"/>
  <c r="E423" i="136" s="1"/>
  <c r="B445" i="119" a="1"/>
  <c r="B445" i="119" s="1"/>
  <c r="E445" i="119" s="1"/>
  <c r="B429" i="136"/>
  <c r="E429" i="136" s="1"/>
  <c r="B453" i="119" a="1"/>
  <c r="B453" i="119" s="1"/>
  <c r="E453" i="119" s="1"/>
  <c r="B436" i="136"/>
  <c r="E436" i="136" s="1"/>
  <c r="B462" i="119" a="1"/>
  <c r="B462" i="119" s="1"/>
  <c r="E462" i="119" s="1"/>
  <c r="B444" i="136"/>
  <c r="E444" i="136" s="1"/>
  <c r="B470" i="119" a="1"/>
  <c r="B470" i="119" s="1"/>
  <c r="E470" i="119" s="1"/>
  <c r="B195" i="136"/>
  <c r="E195" i="136" s="1"/>
  <c r="B215" i="119" a="1"/>
  <c r="B215" i="119" s="1"/>
  <c r="E215" i="119" s="1"/>
  <c r="B190" i="136"/>
  <c r="E190" i="136" s="1"/>
  <c r="B223" i="119" a="1"/>
  <c r="B223" i="119" s="1"/>
  <c r="E223" i="119" s="1"/>
  <c r="B215" i="136"/>
  <c r="E215" i="136" s="1"/>
  <c r="B235" i="119" a="1"/>
  <c r="B235" i="119" s="1"/>
  <c r="E235" i="119" s="1"/>
  <c r="B186" i="136"/>
  <c r="E186" i="136" s="1"/>
  <c r="B205" i="119" a="1"/>
  <c r="B205" i="119" s="1"/>
  <c r="E205" i="119" s="1"/>
  <c r="B208" i="136"/>
  <c r="E208" i="136" s="1"/>
  <c r="B213" i="119" a="1"/>
  <c r="B213" i="119" s="1"/>
  <c r="E213" i="119" s="1"/>
  <c r="B188" i="136"/>
  <c r="E188" i="136" s="1"/>
  <c r="B221" i="119" a="1"/>
  <c r="B221" i="119" s="1"/>
  <c r="E221" i="119" s="1"/>
  <c r="B204" i="136"/>
  <c r="E204" i="136" s="1"/>
  <c r="B229" i="119" a="1"/>
  <c r="B229" i="119" s="1"/>
  <c r="E229" i="119" s="1"/>
  <c r="B417" i="136"/>
  <c r="E417" i="136" s="1"/>
  <c r="B437" i="119" a="1"/>
  <c r="B437" i="119" s="1"/>
  <c r="E437" i="119" s="1"/>
  <c r="B414" i="136"/>
  <c r="E414" i="136" s="1"/>
  <c r="B446" i="119" a="1"/>
  <c r="B446" i="119" s="1"/>
  <c r="E446" i="119" s="1"/>
  <c r="B426" i="136"/>
  <c r="E426" i="136" s="1"/>
  <c r="B450" i="119" a="1"/>
  <c r="B450" i="119" s="1"/>
  <c r="E450" i="119" s="1"/>
  <c r="B428" i="136"/>
  <c r="E428" i="136" s="1"/>
  <c r="B455" i="119" a="1"/>
  <c r="B455" i="119" s="1"/>
  <c r="E455" i="119" s="1"/>
  <c r="B437" i="136"/>
  <c r="E437" i="136" s="1"/>
  <c r="B463" i="119" a="1"/>
  <c r="B463" i="119" s="1"/>
  <c r="E463" i="119" s="1"/>
  <c r="B525" i="136"/>
  <c r="E525" i="136" s="1"/>
  <c r="B467" i="119" a="1"/>
  <c r="B467" i="119" s="1"/>
  <c r="E467" i="119" s="1"/>
  <c r="B442" i="136"/>
  <c r="E442" i="136" s="1"/>
  <c r="B471" i="119" a="1"/>
  <c r="B471" i="119" s="1"/>
  <c r="E471" i="119" s="1"/>
  <c r="B432" i="136"/>
  <c r="E432" i="136" s="1"/>
  <c r="B457" i="119" a="1"/>
  <c r="B457" i="119" s="1"/>
  <c r="E457" i="119" s="1"/>
  <c r="B418" i="136"/>
  <c r="E418" i="136" s="1"/>
  <c r="B438" i="119" a="1"/>
  <c r="B438" i="119" s="1"/>
  <c r="E438" i="119" s="1"/>
  <c r="B415" i="136"/>
  <c r="E415" i="136" s="1"/>
  <c r="B447" i="119" a="1"/>
  <c r="B447" i="119" s="1"/>
  <c r="E447" i="119" s="1"/>
  <c r="B430" i="136"/>
  <c r="E430" i="136" s="1"/>
  <c r="B456" i="119" a="1"/>
  <c r="B456" i="119" s="1"/>
  <c r="E456" i="119" s="1"/>
  <c r="B438" i="136"/>
  <c r="E438" i="136" s="1"/>
  <c r="B464" i="119" a="1"/>
  <c r="B464" i="119" s="1"/>
  <c r="E464" i="119" s="1"/>
  <c r="B446" i="136"/>
  <c r="E446" i="136" s="1"/>
  <c r="B472" i="119" a="1"/>
  <c r="B472" i="119" s="1"/>
  <c r="E472" i="119" s="1"/>
  <c r="B73" i="136"/>
  <c r="E73" i="136" s="1"/>
  <c r="B87" i="135"/>
  <c r="E87" i="135" s="1"/>
  <c r="B77" i="135"/>
  <c r="E77" i="135" s="1"/>
  <c r="B67" i="136"/>
  <c r="E67" i="136" s="1"/>
  <c r="B68" i="136"/>
  <c r="E68" i="136" s="1"/>
  <c r="B79" i="135"/>
  <c r="E79" i="135" s="1"/>
  <c r="B74" i="136"/>
  <c r="E74" i="136" s="1"/>
  <c r="B88" i="135"/>
  <c r="E88" i="135" s="1"/>
  <c r="B70" i="134"/>
  <c r="E70" i="134" s="1"/>
  <c r="B66" i="136"/>
  <c r="B70" i="135"/>
  <c r="B643" i="119"/>
  <c r="E643" i="119" s="1"/>
  <c r="B384" i="135"/>
  <c r="B389" i="135" s="1"/>
  <c r="B364" i="136"/>
  <c r="B887" i="135"/>
  <c r="E887" i="135" s="1"/>
  <c r="B863" i="136"/>
  <c r="E863" i="136" s="1"/>
  <c r="B599" i="135"/>
  <c r="E599" i="135" s="1"/>
  <c r="B580" i="136"/>
  <c r="E580" i="136" s="1"/>
  <c r="B392" i="135"/>
  <c r="E392" i="135" s="1"/>
  <c r="B372" i="136"/>
  <c r="B888" i="135"/>
  <c r="E888" i="135" s="1"/>
  <c r="B864" i="136"/>
  <c r="E864" i="136" s="1"/>
  <c r="B3" i="135"/>
  <c r="B5" i="135" s="1"/>
  <c r="B3" i="136"/>
  <c r="B908" i="135"/>
  <c r="E908" i="135" s="1"/>
  <c r="B884" i="136"/>
  <c r="E884" i="136" s="1"/>
  <c r="B352" i="135"/>
  <c r="E352" i="135" s="1"/>
  <c r="B332" i="136"/>
  <c r="E332" i="136" s="1"/>
  <c r="B359" i="135"/>
  <c r="E359" i="135" s="1"/>
  <c r="B339" i="136"/>
  <c r="E339" i="136" s="1"/>
  <c r="B376" i="135"/>
  <c r="E376" i="135" s="1"/>
  <c r="B356" i="136"/>
  <c r="B379" i="135"/>
  <c r="E379" i="135" s="1"/>
  <c r="B359" i="136"/>
  <c r="E359" i="136" s="1"/>
  <c r="B774" i="135"/>
  <c r="E774" i="135" s="1"/>
  <c r="B755" i="136"/>
  <c r="E755" i="136" s="1"/>
  <c r="B779" i="135"/>
  <c r="E779" i="135" s="1"/>
  <c r="B760" i="136"/>
  <c r="E760" i="136" s="1"/>
  <c r="B611" i="135"/>
  <c r="E611" i="135" s="1"/>
  <c r="B592" i="136"/>
  <c r="E592" i="136" s="1"/>
  <c r="B596" i="135"/>
  <c r="E596" i="135" s="1"/>
  <c r="B577" i="136"/>
  <c r="E577" i="136" s="1"/>
  <c r="B614" i="135"/>
  <c r="E614" i="135" s="1"/>
  <c r="B595" i="136"/>
  <c r="E595" i="136" s="1"/>
  <c r="B589" i="135"/>
  <c r="E589" i="135" s="1"/>
  <c r="B570" i="136"/>
  <c r="E570" i="136" s="1"/>
  <c r="B607" i="135"/>
  <c r="E607" i="135" s="1"/>
  <c r="B588" i="136"/>
  <c r="E588" i="136" s="1"/>
  <c r="B393" i="135"/>
  <c r="E393" i="135" s="1"/>
  <c r="B373" i="136"/>
  <c r="E373" i="136" s="1"/>
  <c r="B214" i="135"/>
  <c r="E214" i="135" s="1"/>
  <c r="B194" i="136"/>
  <c r="E194" i="136" s="1"/>
  <c r="B233" i="135"/>
  <c r="E233" i="135" s="1"/>
  <c r="B213" i="136"/>
  <c r="E213" i="136" s="1"/>
  <c r="B879" i="135"/>
  <c r="E879" i="135" s="1"/>
  <c r="B855" i="136"/>
  <c r="E855" i="136" s="1"/>
  <c r="B357" i="135"/>
  <c r="E357" i="135" s="1"/>
  <c r="B337" i="136"/>
  <c r="E337" i="136" s="1"/>
  <c r="B625" i="135"/>
  <c r="E625" i="135" s="1"/>
  <c r="B606" i="136"/>
  <c r="E606" i="136" s="1"/>
  <c r="B775" i="135"/>
  <c r="E775" i="135" s="1"/>
  <c r="B756" i="136"/>
  <c r="E756" i="136" s="1"/>
  <c r="B777" i="135"/>
  <c r="E777" i="135" s="1"/>
  <c r="B758" i="136"/>
  <c r="E758" i="136" s="1"/>
  <c r="B916" i="135"/>
  <c r="E916" i="135" s="1"/>
  <c r="B892" i="136"/>
  <c r="E892" i="136" s="1"/>
  <c r="B395" i="135"/>
  <c r="E395" i="135" s="1"/>
  <c r="B375" i="136"/>
  <c r="E375" i="136" s="1"/>
  <c r="B221" i="135"/>
  <c r="E221" i="135" s="1"/>
  <c r="B201" i="136"/>
  <c r="E201" i="136" s="1"/>
  <c r="B400" i="135"/>
  <c r="B402" i="135" s="1"/>
  <c r="B380" i="136"/>
  <c r="B778" i="135"/>
  <c r="E778" i="135" s="1"/>
  <c r="B759" i="136"/>
  <c r="E759" i="136" s="1"/>
  <c r="B914" i="135"/>
  <c r="E914" i="135" s="1"/>
  <c r="B890" i="136"/>
  <c r="B590" i="135"/>
  <c r="E590" i="135" s="1"/>
  <c r="B571" i="136"/>
  <c r="E571" i="136" s="1"/>
  <c r="B617" i="135"/>
  <c r="E617" i="135" s="1"/>
  <c r="B598" i="136"/>
  <c r="E598" i="136" s="1"/>
  <c r="B367" i="135"/>
  <c r="E367" i="135" s="1"/>
  <c r="B347" i="136"/>
  <c r="E347" i="136" s="1"/>
  <c r="B394" i="135"/>
  <c r="E394" i="135" s="1"/>
  <c r="B374" i="136"/>
  <c r="E374" i="136" s="1"/>
  <c r="B217" i="135"/>
  <c r="E217" i="135" s="1"/>
  <c r="B197" i="136"/>
  <c r="E197" i="136" s="1"/>
  <c r="B225" i="135"/>
  <c r="E225" i="135" s="1"/>
  <c r="B205" i="136"/>
  <c r="E205" i="136" s="1"/>
  <c r="B234" i="135"/>
  <c r="E234" i="135" s="1"/>
  <c r="B214" i="136"/>
  <c r="E214" i="136" s="1"/>
  <c r="B355" i="135"/>
  <c r="E355" i="135" s="1"/>
  <c r="B335" i="136"/>
  <c r="E335" i="136" s="1"/>
  <c r="B361" i="135"/>
  <c r="E361" i="135" s="1"/>
  <c r="B341" i="136"/>
  <c r="E341" i="136" s="1"/>
  <c r="B378" i="135"/>
  <c r="E378" i="135" s="1"/>
  <c r="B358" i="136"/>
  <c r="E358" i="136" s="1"/>
  <c r="B899" i="135"/>
  <c r="E899" i="135" s="1"/>
  <c r="B875" i="136"/>
  <c r="E875" i="136" s="1"/>
  <c r="B101" i="135"/>
  <c r="E101" i="135" s="1"/>
  <c r="B85" i="136"/>
  <c r="E85" i="136" s="1"/>
  <c r="B119" i="134"/>
  <c r="E119" i="134" s="1"/>
  <c r="B103" i="136"/>
  <c r="E103" i="136" s="1"/>
  <c r="B123" i="135"/>
  <c r="E123" i="135" s="1"/>
  <c r="B102" i="135"/>
  <c r="E102" i="135" s="1"/>
  <c r="B86" i="136"/>
  <c r="E86" i="136" s="1"/>
  <c r="B105" i="135"/>
  <c r="E105" i="135" s="1"/>
  <c r="B89" i="136"/>
  <c r="E89" i="136" s="1"/>
  <c r="B95" i="136"/>
  <c r="E95" i="136" s="1"/>
  <c r="B111" i="135"/>
  <c r="E111" i="135" s="1"/>
  <c r="B100" i="136"/>
  <c r="E100" i="136" s="1"/>
  <c r="B116" i="135"/>
  <c r="E116" i="135" s="1"/>
  <c r="B125" i="135"/>
  <c r="E125" i="135" s="1"/>
  <c r="B105" i="136"/>
  <c r="E105" i="136" s="1"/>
  <c r="B84" i="136"/>
  <c r="B99" i="135"/>
  <c r="B110" i="135"/>
  <c r="E110" i="135" s="1"/>
  <c r="B94" i="136"/>
  <c r="E94" i="136" s="1"/>
  <c r="B87" i="136"/>
  <c r="E87" i="136" s="1"/>
  <c r="B103" i="135"/>
  <c r="E103" i="135" s="1"/>
  <c r="B91" i="136"/>
  <c r="E91" i="136" s="1"/>
  <c r="B107" i="135"/>
  <c r="E107" i="135" s="1"/>
  <c r="B92" i="136"/>
  <c r="E92" i="136" s="1"/>
  <c r="B108" i="135"/>
  <c r="E108" i="135" s="1"/>
  <c r="B96" i="136"/>
  <c r="E96" i="136" s="1"/>
  <c r="B112" i="135"/>
  <c r="E112" i="135" s="1"/>
  <c r="B117" i="135"/>
  <c r="E117" i="135" s="1"/>
  <c r="B101" i="136"/>
  <c r="E101" i="136" s="1"/>
  <c r="B104" i="136"/>
  <c r="E104" i="136" s="1"/>
  <c r="B124" i="135"/>
  <c r="E124" i="135" s="1"/>
  <c r="B106" i="135"/>
  <c r="E106" i="135" s="1"/>
  <c r="B90" i="136"/>
  <c r="E90" i="136" s="1"/>
  <c r="B99" i="136"/>
  <c r="E99" i="136" s="1"/>
  <c r="B115" i="135"/>
  <c r="E115" i="135" s="1"/>
  <c r="B88" i="136"/>
  <c r="E88" i="136" s="1"/>
  <c r="B104" i="135"/>
  <c r="E104" i="135" s="1"/>
  <c r="B113" i="135"/>
  <c r="E113" i="135" s="1"/>
  <c r="B97" i="136"/>
  <c r="E97" i="136" s="1"/>
  <c r="B109" i="135"/>
  <c r="E109" i="135" s="1"/>
  <c r="B93" i="136"/>
  <c r="E93" i="136" s="1"/>
  <c r="B114" i="135"/>
  <c r="E114" i="135" s="1"/>
  <c r="B98" i="136"/>
  <c r="E98" i="136" s="1"/>
  <c r="B118" i="134"/>
  <c r="E118" i="134" s="1"/>
  <c r="B102" i="136"/>
  <c r="E102" i="136" s="1"/>
  <c r="B119" i="135"/>
  <c r="E119" i="135" s="1"/>
  <c r="B529" i="135"/>
  <c r="E529" i="135" s="1"/>
  <c r="B901" i="136"/>
  <c r="E901" i="136" s="1"/>
  <c r="B532" i="135"/>
  <c r="E532" i="135" s="1"/>
  <c r="B512" i="136"/>
  <c r="E512" i="136" s="1"/>
  <c r="B567" i="135"/>
  <c r="E567" i="135" s="1"/>
  <c r="B535" i="136"/>
  <c r="E535" i="136" s="1"/>
  <c r="B481" i="135"/>
  <c r="E481" i="135" s="1"/>
  <c r="B461" i="136"/>
  <c r="E461" i="136" s="1"/>
  <c r="B513" i="135"/>
  <c r="E513" i="135" s="1"/>
  <c r="B493" i="136"/>
  <c r="E493" i="136" s="1"/>
  <c r="B521" i="135"/>
  <c r="E521" i="135" s="1"/>
  <c r="B501" i="136"/>
  <c r="E501" i="136" s="1"/>
  <c r="B475" i="135"/>
  <c r="E475" i="135" s="1"/>
  <c r="B455" i="136"/>
  <c r="E455" i="136" s="1"/>
  <c r="B482" i="135"/>
  <c r="E482" i="135" s="1"/>
  <c r="B462" i="136"/>
  <c r="E462" i="136" s="1"/>
  <c r="B490" i="135"/>
  <c r="E490" i="135" s="1"/>
  <c r="B470" i="136"/>
  <c r="E470" i="136" s="1"/>
  <c r="B497" i="135"/>
  <c r="E497" i="135" s="1"/>
  <c r="B477" i="136"/>
  <c r="E477" i="136" s="1"/>
  <c r="B501" i="135"/>
  <c r="E501" i="135" s="1"/>
  <c r="B481" i="136"/>
  <c r="E481" i="136" s="1"/>
  <c r="B506" i="135"/>
  <c r="E506" i="135" s="1"/>
  <c r="B486" i="136"/>
  <c r="E486" i="136" s="1"/>
  <c r="B514" i="135"/>
  <c r="E514" i="135" s="1"/>
  <c r="B494" i="136"/>
  <c r="E494" i="136" s="1"/>
  <c r="B517" i="135"/>
  <c r="E517" i="135" s="1"/>
  <c r="B497" i="136"/>
  <c r="E497" i="136" s="1"/>
  <c r="B472" i="135"/>
  <c r="E472" i="135" s="1"/>
  <c r="B452" i="136"/>
  <c r="E452" i="136" s="1"/>
  <c r="B478" i="135"/>
  <c r="E478" i="135" s="1"/>
  <c r="B458" i="136"/>
  <c r="E458" i="136" s="1"/>
  <c r="B487" i="135"/>
  <c r="E487" i="135" s="1"/>
  <c r="B467" i="136"/>
  <c r="E467" i="136" s="1"/>
  <c r="B495" i="135"/>
  <c r="E495" i="135" s="1"/>
  <c r="B475" i="136"/>
  <c r="E475" i="136" s="1"/>
  <c r="B502" i="135"/>
  <c r="E502" i="135" s="1"/>
  <c r="B482" i="136"/>
  <c r="E482" i="136" s="1"/>
  <c r="B505" i="135"/>
  <c r="E505" i="135" s="1"/>
  <c r="B485" i="136"/>
  <c r="E485" i="136" s="1"/>
  <c r="B476" i="135"/>
  <c r="E476" i="135" s="1"/>
  <c r="B456" i="136"/>
  <c r="E456" i="136" s="1"/>
  <c r="B484" i="135"/>
  <c r="E484" i="135" s="1"/>
  <c r="B464" i="136"/>
  <c r="E464" i="136" s="1"/>
  <c r="B492" i="135"/>
  <c r="E492" i="135" s="1"/>
  <c r="B472" i="136"/>
  <c r="E472" i="136" s="1"/>
  <c r="B499" i="135"/>
  <c r="E499" i="135" s="1"/>
  <c r="B479" i="136"/>
  <c r="E479" i="136" s="1"/>
  <c r="B508" i="135"/>
  <c r="E508" i="135" s="1"/>
  <c r="B488" i="136"/>
  <c r="E488" i="136" s="1"/>
  <c r="B512" i="135"/>
  <c r="E512" i="135" s="1"/>
  <c r="B492" i="136"/>
  <c r="E492" i="136" s="1"/>
  <c r="B516" i="135"/>
  <c r="E516" i="135" s="1"/>
  <c r="B496" i="136"/>
  <c r="E496" i="136" s="1"/>
  <c r="B523" i="135"/>
  <c r="E523" i="135" s="1"/>
  <c r="B503" i="136"/>
  <c r="E503" i="136" s="1"/>
  <c r="B439" i="135"/>
  <c r="E439" i="135" s="1"/>
  <c r="B419" i="136"/>
  <c r="E419" i="136" s="1"/>
  <c r="B455" i="135"/>
  <c r="E455" i="135" s="1"/>
  <c r="B435" i="136"/>
  <c r="E435" i="136" s="1"/>
  <c r="B459" i="135"/>
  <c r="E459" i="135" s="1"/>
  <c r="B439" i="136"/>
  <c r="E439" i="136" s="1"/>
  <c r="B463" i="135"/>
  <c r="E463" i="135" s="1"/>
  <c r="B443" i="136"/>
  <c r="E443" i="136" s="1"/>
  <c r="B441" i="135"/>
  <c r="E441" i="135" s="1"/>
  <c r="B421" i="136"/>
  <c r="E421" i="136" s="1"/>
  <c r="B453" i="135"/>
  <c r="E453" i="135" s="1"/>
  <c r="B433" i="136"/>
  <c r="E433" i="136" s="1"/>
  <c r="B440" i="135"/>
  <c r="E440" i="135" s="1"/>
  <c r="B420" i="136"/>
  <c r="E420" i="136" s="1"/>
  <c r="B465" i="135"/>
  <c r="E465" i="135" s="1"/>
  <c r="B445" i="136"/>
  <c r="E445" i="136" s="1"/>
  <c r="B543" i="135"/>
  <c r="E543" i="135" s="1"/>
  <c r="B509" i="136"/>
  <c r="B544" i="135"/>
  <c r="E544" i="135" s="1"/>
  <c r="B517" i="136"/>
  <c r="B451" i="135"/>
  <c r="E451" i="135" s="1"/>
  <c r="B431" i="136"/>
  <c r="E431" i="136" s="1"/>
  <c r="B442" i="135"/>
  <c r="E442" i="135" s="1"/>
  <c r="B422" i="136"/>
  <c r="E422" i="136" s="1"/>
  <c r="B460" i="135"/>
  <c r="E460" i="135" s="1"/>
  <c r="B440" i="136"/>
  <c r="E440" i="136" s="1"/>
  <c r="B444" i="135"/>
  <c r="E444" i="135" s="1"/>
  <c r="B424" i="136"/>
  <c r="E424" i="136" s="1"/>
  <c r="B447" i="135"/>
  <c r="E447" i="135" s="1"/>
  <c r="B427" i="136"/>
  <c r="E427" i="136" s="1"/>
  <c r="B454" i="135"/>
  <c r="E454" i="135" s="1"/>
  <c r="B434" i="136"/>
  <c r="E434" i="136" s="1"/>
  <c r="B461" i="135"/>
  <c r="E461" i="135" s="1"/>
  <c r="B441" i="136"/>
  <c r="E441" i="136" s="1"/>
  <c r="B796" i="135"/>
  <c r="E796" i="135" s="1"/>
  <c r="B775" i="136"/>
  <c r="E775" i="136" s="1"/>
  <c r="B568" i="135"/>
  <c r="E568" i="135" s="1"/>
  <c r="B549" i="136"/>
  <c r="B248" i="135"/>
  <c r="E248" i="135" s="1"/>
  <c r="B228" i="136"/>
  <c r="E228" i="136" s="1"/>
  <c r="B246" i="135"/>
  <c r="E246" i="135" s="1"/>
  <c r="B226" i="136"/>
  <c r="E226" i="136" s="1"/>
  <c r="B243" i="135"/>
  <c r="E243" i="135" s="1"/>
  <c r="B223" i="136"/>
  <c r="E223" i="136" s="1"/>
  <c r="B222" i="135"/>
  <c r="E222" i="135" s="1"/>
  <c r="B202" i="136"/>
  <c r="E202" i="136" s="1"/>
  <c r="B227" i="135"/>
  <c r="E227" i="135" s="1"/>
  <c r="B207" i="136"/>
  <c r="E207" i="136" s="1"/>
  <c r="B229" i="135"/>
  <c r="E229" i="135" s="1"/>
  <c r="B209" i="136"/>
  <c r="E209" i="136" s="1"/>
  <c r="B226" i="135"/>
  <c r="E226" i="135" s="1"/>
  <c r="B206" i="136"/>
  <c r="E206" i="136" s="1"/>
  <c r="B205" i="135"/>
  <c r="E205" i="135" s="1"/>
  <c r="B185" i="136"/>
  <c r="E185" i="136" s="1"/>
  <c r="B211" i="135"/>
  <c r="E211" i="135" s="1"/>
  <c r="B191" i="136"/>
  <c r="E191" i="136" s="1"/>
  <c r="B212" i="135"/>
  <c r="E212" i="135" s="1"/>
  <c r="B192" i="136"/>
  <c r="E192" i="136" s="1"/>
  <c r="B232" i="135"/>
  <c r="E232" i="135" s="1"/>
  <c r="B212" i="136"/>
  <c r="E212" i="136" s="1"/>
  <c r="B209" i="135"/>
  <c r="E209" i="135" s="1"/>
  <c r="B189" i="136"/>
  <c r="E189" i="136" s="1"/>
  <c r="B549" i="135"/>
  <c r="E549" i="135" s="1"/>
  <c r="B530" i="136"/>
  <c r="E530" i="136" s="1"/>
  <c r="B547" i="135"/>
  <c r="E547" i="135" s="1"/>
  <c r="B528" i="136"/>
  <c r="E528" i="136" s="1"/>
  <c r="B545" i="135"/>
  <c r="E545" i="135" s="1"/>
  <c r="B526" i="136"/>
  <c r="E526" i="136" s="1"/>
  <c r="B556" i="135"/>
  <c r="E556" i="135" s="1"/>
  <c r="B537" i="136"/>
  <c r="E537" i="136" s="1"/>
  <c r="B705" i="135"/>
  <c r="E705" i="135" s="1"/>
  <c r="B686" i="136"/>
  <c r="E686" i="136" s="1"/>
  <c r="B659" i="135"/>
  <c r="E659" i="135" s="1"/>
  <c r="B638" i="136"/>
  <c r="E638" i="136" s="1"/>
  <c r="B669" i="135"/>
  <c r="E669" i="135" s="1"/>
  <c r="B648" i="136"/>
  <c r="E648" i="136" s="1"/>
  <c r="B672" i="135"/>
  <c r="E672" i="135" s="1"/>
  <c r="B652" i="136"/>
  <c r="E652" i="136" s="1"/>
  <c r="B681" i="135"/>
  <c r="E681" i="135" s="1"/>
  <c r="B662" i="136"/>
  <c r="E662" i="136" s="1"/>
  <c r="B664" i="135"/>
  <c r="E664" i="135" s="1"/>
  <c r="B643" i="136"/>
  <c r="E643" i="136" s="1"/>
  <c r="B725" i="135"/>
  <c r="E725" i="135" s="1"/>
  <c r="B706" i="136"/>
  <c r="E706" i="136" s="1"/>
  <c r="B731" i="135"/>
  <c r="E731" i="135" s="1"/>
  <c r="B712" i="136"/>
  <c r="E712" i="136" s="1"/>
  <c r="B742" i="135"/>
  <c r="E742" i="135" s="1"/>
  <c r="B723" i="136"/>
  <c r="E723" i="136" s="1"/>
  <c r="B757" i="135"/>
  <c r="E757" i="135" s="1"/>
  <c r="B738" i="136"/>
  <c r="E738" i="136" s="1"/>
  <c r="B761" i="135"/>
  <c r="E761" i="135" s="1"/>
  <c r="B742" i="136"/>
  <c r="E742" i="136" s="1"/>
  <c r="B716" i="135"/>
  <c r="E716" i="135" s="1"/>
  <c r="B697" i="136"/>
  <c r="E697" i="136" s="1"/>
  <c r="B667" i="135"/>
  <c r="E667" i="135" s="1"/>
  <c r="B646" i="136"/>
  <c r="E646" i="136" s="1"/>
  <c r="B732" i="135"/>
  <c r="E732" i="135" s="1"/>
  <c r="B709" i="136"/>
  <c r="E709" i="136" s="1"/>
  <c r="B741" i="135"/>
  <c r="E741" i="135" s="1"/>
  <c r="B713" i="136"/>
  <c r="E713" i="136" s="1"/>
  <c r="B730" i="135"/>
  <c r="E730" i="135" s="1"/>
  <c r="B711" i="136"/>
  <c r="E711" i="136" s="1"/>
  <c r="B647" i="135"/>
  <c r="E647" i="135" s="1"/>
  <c r="B627" i="136"/>
  <c r="E627" i="136" s="1"/>
  <c r="B657" i="135"/>
  <c r="E657" i="135" s="1"/>
  <c r="B636" i="136"/>
  <c r="E636" i="136" s="1"/>
  <c r="B677" i="135"/>
  <c r="E677" i="135" s="1"/>
  <c r="B658" i="136"/>
  <c r="E658" i="136" s="1"/>
  <c r="B714" i="135"/>
  <c r="E714" i="135" s="1"/>
  <c r="B695" i="136"/>
  <c r="E695" i="136" s="1"/>
  <c r="B726" i="135"/>
  <c r="E726" i="135" s="1"/>
  <c r="B707" i="136"/>
  <c r="E707" i="136" s="1"/>
  <c r="B790" i="135"/>
  <c r="E790" i="135" s="1"/>
  <c r="B769" i="136"/>
  <c r="E769" i="136" s="1"/>
  <c r="B740" i="135"/>
  <c r="E740" i="135" s="1"/>
  <c r="B721" i="136"/>
  <c r="E721" i="136" s="1"/>
  <c r="B694" i="135"/>
  <c r="E694" i="135" s="1"/>
  <c r="B675" i="136"/>
  <c r="E675" i="136" s="1"/>
  <c r="B763" i="135"/>
  <c r="E763" i="135" s="1"/>
  <c r="B744" i="136"/>
  <c r="E744" i="136" s="1"/>
  <c r="B666" i="135"/>
  <c r="E666" i="135" s="1"/>
  <c r="B645" i="136"/>
  <c r="E645" i="136" s="1"/>
  <c r="B756" i="135"/>
  <c r="E756" i="135" s="1"/>
  <c r="B737" i="136"/>
  <c r="E737" i="136" s="1"/>
  <c r="B706" i="135"/>
  <c r="E706" i="135" s="1"/>
  <c r="B687" i="136"/>
  <c r="E687" i="136" s="1"/>
  <c r="B686" i="135"/>
  <c r="E686" i="135" s="1"/>
  <c r="B657" i="136"/>
  <c r="E657" i="136" s="1"/>
  <c r="B670" i="135"/>
  <c r="E670" i="135" s="1"/>
  <c r="B649" i="136"/>
  <c r="E649" i="136" s="1"/>
  <c r="B760" i="135"/>
  <c r="E760" i="135" s="1"/>
  <c r="B741" i="136"/>
  <c r="E741" i="136" s="1"/>
  <c r="B766" i="135"/>
  <c r="E766" i="135" s="1"/>
  <c r="B747" i="136"/>
  <c r="E747" i="136" s="1"/>
  <c r="H162" i="107"/>
  <c r="B645" i="134"/>
  <c r="E645" i="134" s="1"/>
  <c r="B643" i="135"/>
  <c r="E643" i="135" s="1"/>
  <c r="B658" i="134"/>
  <c r="E658" i="134" s="1"/>
  <c r="B656" i="135"/>
  <c r="E656" i="135" s="1"/>
  <c r="B684" i="134"/>
  <c r="E684" i="134" s="1"/>
  <c r="B675" i="135"/>
  <c r="E675" i="135" s="1"/>
  <c r="B687" i="134"/>
  <c r="E687" i="134" s="1"/>
  <c r="B678" i="135"/>
  <c r="E678" i="135" s="1"/>
  <c r="B710" i="134"/>
  <c r="E710" i="134" s="1"/>
  <c r="B701" i="135"/>
  <c r="E701" i="135" s="1"/>
  <c r="B718" i="134"/>
  <c r="E718" i="134" s="1"/>
  <c r="B709" i="135"/>
  <c r="E709" i="135" s="1"/>
  <c r="B727" i="134"/>
  <c r="E727" i="134" s="1"/>
  <c r="B719" i="135"/>
  <c r="E719" i="135" s="1"/>
  <c r="B732" i="134"/>
  <c r="E732" i="134" s="1"/>
  <c r="B724" i="135"/>
  <c r="E724" i="135" s="1"/>
  <c r="B743" i="134"/>
  <c r="E743" i="134" s="1"/>
  <c r="B735" i="135"/>
  <c r="E735" i="135" s="1"/>
  <c r="B660" i="134"/>
  <c r="E660" i="134" s="1"/>
  <c r="B658" i="135"/>
  <c r="E658" i="135" s="1"/>
  <c r="B553" i="134"/>
  <c r="E553" i="134" s="1"/>
  <c r="B550" i="135"/>
  <c r="E550" i="135" s="1"/>
  <c r="B581" i="134"/>
  <c r="E581" i="134" s="1"/>
  <c r="B579" i="135"/>
  <c r="E579" i="135" s="1"/>
  <c r="B578" i="134"/>
  <c r="E578" i="134" s="1"/>
  <c r="B576" i="135"/>
  <c r="E576" i="135" s="1"/>
  <c r="B593" i="134"/>
  <c r="E593" i="134" s="1"/>
  <c r="B591" i="135"/>
  <c r="E591" i="135" s="1"/>
  <c r="B605" i="134"/>
  <c r="E605" i="134" s="1"/>
  <c r="B603" i="135"/>
  <c r="E603" i="135" s="1"/>
  <c r="B365" i="134"/>
  <c r="E365" i="134" s="1"/>
  <c r="B368" i="135"/>
  <c r="E368" i="135" s="1"/>
  <c r="B231" i="134"/>
  <c r="E231" i="134" s="1"/>
  <c r="B235" i="135"/>
  <c r="E235" i="135" s="1"/>
  <c r="B241" i="134"/>
  <c r="E241" i="134" s="1"/>
  <c r="B245" i="135"/>
  <c r="E245" i="135" s="1"/>
  <c r="B572" i="134"/>
  <c r="E572" i="134" s="1"/>
  <c r="B570" i="135"/>
  <c r="E570" i="135" s="1"/>
  <c r="B883" i="134"/>
  <c r="E883" i="134" s="1"/>
  <c r="B877" i="135"/>
  <c r="B887" i="134"/>
  <c r="E887" i="134" s="1"/>
  <c r="B881" i="135"/>
  <c r="E881" i="135" s="1"/>
  <c r="B913" i="134"/>
  <c r="E913" i="134" s="1"/>
  <c r="B907" i="135"/>
  <c r="E907" i="135" s="1"/>
  <c r="B350" i="134"/>
  <c r="E350" i="134" s="1"/>
  <c r="B354" i="135"/>
  <c r="E354" i="135" s="1"/>
  <c r="B487" i="134"/>
  <c r="E487" i="134" s="1"/>
  <c r="B485" i="135"/>
  <c r="E485" i="135" s="1"/>
  <c r="B526" i="134"/>
  <c r="E526" i="134" s="1"/>
  <c r="B524" i="135"/>
  <c r="E524" i="135" s="1"/>
  <c r="B625" i="134"/>
  <c r="E625" i="134" s="1"/>
  <c r="B623" i="135"/>
  <c r="B652" i="134"/>
  <c r="E652" i="134" s="1"/>
  <c r="B650" i="135"/>
  <c r="E650" i="135" s="1"/>
  <c r="B759" i="134"/>
  <c r="E759" i="134" s="1"/>
  <c r="B752" i="135"/>
  <c r="E752" i="135" s="1"/>
  <c r="B679" i="134"/>
  <c r="E679" i="134" s="1"/>
  <c r="B715" i="135"/>
  <c r="E715" i="135" s="1"/>
  <c r="B685" i="134"/>
  <c r="E685" i="134" s="1"/>
  <c r="B729" i="135"/>
  <c r="E729" i="135" s="1"/>
  <c r="B688" i="134"/>
  <c r="E688" i="134" s="1"/>
  <c r="B679" i="135"/>
  <c r="E679" i="135" s="1"/>
  <c r="B707" i="134"/>
  <c r="E707" i="134" s="1"/>
  <c r="B698" i="135"/>
  <c r="E698" i="135" s="1"/>
  <c r="B711" i="134"/>
  <c r="E711" i="134" s="1"/>
  <c r="B702" i="135"/>
  <c r="E702" i="135" s="1"/>
  <c r="B719" i="134"/>
  <c r="E719" i="134" s="1"/>
  <c r="B710" i="135"/>
  <c r="E710" i="135" s="1"/>
  <c r="B693" i="134"/>
  <c r="E693" i="134" s="1"/>
  <c r="B684" i="135"/>
  <c r="E684" i="135" s="1"/>
  <c r="B728" i="134"/>
  <c r="E728" i="134" s="1"/>
  <c r="B720" i="135"/>
  <c r="E720" i="135" s="1"/>
  <c r="B722" i="134"/>
  <c r="E722" i="134" s="1"/>
  <c r="B713" i="135"/>
  <c r="E713" i="135" s="1"/>
  <c r="B744" i="134"/>
  <c r="E744" i="134" s="1"/>
  <c r="B736" i="135"/>
  <c r="E736" i="135" s="1"/>
  <c r="B752" i="134"/>
  <c r="E752" i="134" s="1"/>
  <c r="B745" i="135"/>
  <c r="E745" i="135" s="1"/>
  <c r="B742" i="134"/>
  <c r="E742" i="134" s="1"/>
  <c r="B734" i="135"/>
  <c r="E734" i="135" s="1"/>
  <c r="B654" i="134"/>
  <c r="E654" i="134" s="1"/>
  <c r="B652" i="135"/>
  <c r="E652" i="135" s="1"/>
  <c r="B769" i="134"/>
  <c r="E769" i="134" s="1"/>
  <c r="B762" i="135"/>
  <c r="E762" i="135" s="1"/>
  <c r="B549" i="134"/>
  <c r="E549" i="134" s="1"/>
  <c r="B546" i="135"/>
  <c r="E546" i="135" s="1"/>
  <c r="B544" i="134"/>
  <c r="E544" i="134" s="1"/>
  <c r="B541" i="135"/>
  <c r="B599" i="134"/>
  <c r="E599" i="134" s="1"/>
  <c r="B597" i="135"/>
  <c r="E597" i="135" s="1"/>
  <c r="B584" i="134"/>
  <c r="E584" i="134" s="1"/>
  <c r="B582" i="135"/>
  <c r="E582" i="135" s="1"/>
  <c r="B606" i="134"/>
  <c r="E606" i="134" s="1"/>
  <c r="B604" i="135"/>
  <c r="E604" i="135" s="1"/>
  <c r="B603" i="134"/>
  <c r="E603" i="134" s="1"/>
  <c r="B646" i="135"/>
  <c r="E646" i="135" s="1"/>
  <c r="B582" i="134"/>
  <c r="E582" i="134" s="1"/>
  <c r="B580" i="135"/>
  <c r="E580" i="135" s="1"/>
  <c r="B615" i="134"/>
  <c r="E615" i="134" s="1"/>
  <c r="B613" i="135"/>
  <c r="E613" i="135" s="1"/>
  <c r="B590" i="134"/>
  <c r="E590" i="134" s="1"/>
  <c r="B588" i="135"/>
  <c r="E588" i="135" s="1"/>
  <c r="B597" i="134"/>
  <c r="E597" i="134" s="1"/>
  <c r="B595" i="135"/>
  <c r="E595" i="135" s="1"/>
  <c r="B618" i="134"/>
  <c r="E618" i="134" s="1"/>
  <c r="B616" i="135"/>
  <c r="E616" i="135" s="1"/>
  <c r="B620" i="134"/>
  <c r="E620" i="134" s="1"/>
  <c r="B618" i="135"/>
  <c r="E618" i="135" s="1"/>
  <c r="B816" i="134"/>
  <c r="E816" i="134" s="1"/>
  <c r="B810" i="135"/>
  <c r="E810" i="135" s="1"/>
  <c r="B362" i="134"/>
  <c r="E362" i="134" s="1"/>
  <c r="B654" i="135"/>
  <c r="E654" i="135" s="1"/>
  <c r="B366" i="134"/>
  <c r="E366" i="134" s="1"/>
  <c r="B369" i="135"/>
  <c r="E369" i="135" s="1"/>
  <c r="B209" i="134"/>
  <c r="E209" i="134" s="1"/>
  <c r="B213" i="135"/>
  <c r="E213" i="135" s="1"/>
  <c r="B215" i="134"/>
  <c r="E215" i="134" s="1"/>
  <c r="B219" i="135"/>
  <c r="E219" i="135" s="1"/>
  <c r="B212" i="134"/>
  <c r="E212" i="134" s="1"/>
  <c r="B216" i="135"/>
  <c r="E216" i="135" s="1"/>
  <c r="B203" i="134"/>
  <c r="E203" i="134" s="1"/>
  <c r="B207" i="135"/>
  <c r="E207" i="135" s="1"/>
  <c r="B214" i="134"/>
  <c r="E214" i="134" s="1"/>
  <c r="B218" i="135"/>
  <c r="E218" i="135" s="1"/>
  <c r="B219" i="134"/>
  <c r="E219" i="134" s="1"/>
  <c r="B223" i="135"/>
  <c r="E223" i="135" s="1"/>
  <c r="B227" i="134"/>
  <c r="E227" i="134" s="1"/>
  <c r="B231" i="135"/>
  <c r="E231" i="135" s="1"/>
  <c r="B238" i="134"/>
  <c r="E238" i="134" s="1"/>
  <c r="B242" i="135"/>
  <c r="E242" i="135" s="1"/>
  <c r="B246" i="134"/>
  <c r="E246" i="134" s="1"/>
  <c r="B250" i="135"/>
  <c r="E250" i="135" s="1"/>
  <c r="B884" i="134"/>
  <c r="E884" i="134" s="1"/>
  <c r="B878" i="135"/>
  <c r="E878" i="135" s="1"/>
  <c r="B889" i="134"/>
  <c r="E889" i="134" s="1"/>
  <c r="B883" i="135"/>
  <c r="E883" i="135" s="1"/>
  <c r="B891" i="134"/>
  <c r="E891" i="134" s="1"/>
  <c r="B885" i="135"/>
  <c r="E885" i="135" s="1"/>
  <c r="B352" i="134"/>
  <c r="E352" i="134" s="1"/>
  <c r="B356" i="135"/>
  <c r="E356" i="135" s="1"/>
  <c r="B432" i="134"/>
  <c r="E432" i="134" s="1"/>
  <c r="B433" i="135"/>
  <c r="B443" i="134"/>
  <c r="E443" i="134" s="1"/>
  <c r="B443" i="135"/>
  <c r="E443" i="135" s="1"/>
  <c r="B449" i="134"/>
  <c r="E449" i="134" s="1"/>
  <c r="B449" i="135"/>
  <c r="E449" i="135" s="1"/>
  <c r="B456" i="134"/>
  <c r="E456" i="134" s="1"/>
  <c r="B456" i="135"/>
  <c r="E456" i="135" s="1"/>
  <c r="B464" i="134"/>
  <c r="E464" i="134" s="1"/>
  <c r="B464" i="135"/>
  <c r="E464" i="135" s="1"/>
  <c r="B472" i="134"/>
  <c r="E472" i="134" s="1"/>
  <c r="B471" i="135"/>
  <c r="B475" i="134"/>
  <c r="E475" i="134" s="1"/>
  <c r="B474" i="135"/>
  <c r="E474" i="135" s="1"/>
  <c r="B488" i="134"/>
  <c r="E488" i="134" s="1"/>
  <c r="B486" i="135"/>
  <c r="E486" i="135" s="1"/>
  <c r="B496" i="134"/>
  <c r="E496" i="134" s="1"/>
  <c r="B494" i="135"/>
  <c r="E494" i="135" s="1"/>
  <c r="B512" i="134"/>
  <c r="E512" i="134" s="1"/>
  <c r="B510" i="135"/>
  <c r="E510" i="135" s="1"/>
  <c r="B520" i="134"/>
  <c r="E520" i="134" s="1"/>
  <c r="B518" i="135"/>
  <c r="E518" i="135" s="1"/>
  <c r="B626" i="134"/>
  <c r="E626" i="134" s="1"/>
  <c r="B624" i="135"/>
  <c r="E624" i="135" s="1"/>
  <c r="B921" i="134"/>
  <c r="E921" i="134" s="1"/>
  <c r="B915" i="135"/>
  <c r="E915" i="135" s="1"/>
  <c r="B903" i="134"/>
  <c r="E903" i="134" s="1"/>
  <c r="B897" i="135"/>
  <c r="B664" i="134"/>
  <c r="E664" i="134" s="1"/>
  <c r="B662" i="135"/>
  <c r="E662" i="135" s="1"/>
  <c r="B691" i="134"/>
  <c r="E691" i="134" s="1"/>
  <c r="B682" i="135"/>
  <c r="E682" i="135" s="1"/>
  <c r="B746" i="134"/>
  <c r="E746" i="134" s="1"/>
  <c r="B738" i="135"/>
  <c r="E738" i="135" s="1"/>
  <c r="B751" i="134"/>
  <c r="E751" i="134" s="1"/>
  <c r="B744" i="135"/>
  <c r="E744" i="135" s="1"/>
  <c r="B725" i="134"/>
  <c r="E725" i="134" s="1"/>
  <c r="B717" i="135"/>
  <c r="E717" i="135" s="1"/>
  <c r="B555" i="134"/>
  <c r="E555" i="134" s="1"/>
  <c r="B552" i="135"/>
  <c r="E552" i="135" s="1"/>
  <c r="B602" i="134"/>
  <c r="E602" i="134" s="1"/>
  <c r="B600" i="135"/>
  <c r="E600" i="135" s="1"/>
  <c r="B585" i="134"/>
  <c r="E585" i="134" s="1"/>
  <c r="B583" i="135"/>
  <c r="E583" i="135" s="1"/>
  <c r="B608" i="134"/>
  <c r="E608" i="134" s="1"/>
  <c r="B606" i="135"/>
  <c r="E606" i="135" s="1"/>
  <c r="B586" i="134"/>
  <c r="E586" i="134" s="1"/>
  <c r="B584" i="135"/>
  <c r="E584" i="135" s="1"/>
  <c r="B814" i="134"/>
  <c r="E814" i="134" s="1"/>
  <c r="B808" i="135"/>
  <c r="E808" i="135" s="1"/>
  <c r="B200" i="134"/>
  <c r="E200" i="134" s="1"/>
  <c r="B204" i="135"/>
  <c r="B888" i="134"/>
  <c r="E888" i="134" s="1"/>
  <c r="B882" i="135"/>
  <c r="E882" i="135" s="1"/>
  <c r="B347" i="134"/>
  <c r="E347" i="134" s="1"/>
  <c r="B351" i="135"/>
  <c r="B452" i="134"/>
  <c r="E452" i="134" s="1"/>
  <c r="B452" i="135"/>
  <c r="E452" i="135" s="1"/>
  <c r="B474" i="134"/>
  <c r="E474" i="134" s="1"/>
  <c r="B473" i="135"/>
  <c r="E473" i="135" s="1"/>
  <c r="B491" i="134"/>
  <c r="E491" i="134" s="1"/>
  <c r="B489" i="135"/>
  <c r="E489" i="135" s="1"/>
  <c r="B374" i="134"/>
  <c r="E374" i="134" s="1"/>
  <c r="B377" i="135"/>
  <c r="E377" i="135" s="1"/>
  <c r="B780" i="134"/>
  <c r="E780" i="134" s="1"/>
  <c r="B773" i="135"/>
  <c r="E773" i="135" s="1"/>
  <c r="B642" i="134"/>
  <c r="E642" i="134" s="1"/>
  <c r="B640" i="135"/>
  <c r="B674" i="134"/>
  <c r="E674" i="134" s="1"/>
  <c r="B693" i="135"/>
  <c r="E693" i="135" s="1"/>
  <c r="B683" i="134"/>
  <c r="E683" i="134" s="1"/>
  <c r="B674" i="135"/>
  <c r="E674" i="135" s="1"/>
  <c r="B704" i="134"/>
  <c r="E704" i="134" s="1"/>
  <c r="B695" i="135"/>
  <c r="E695" i="135" s="1"/>
  <c r="B708" i="134"/>
  <c r="E708" i="134" s="1"/>
  <c r="B699" i="135"/>
  <c r="E699" i="135" s="1"/>
  <c r="B712" i="134"/>
  <c r="E712" i="134" s="1"/>
  <c r="B703" i="135"/>
  <c r="E703" i="135" s="1"/>
  <c r="B716" i="134"/>
  <c r="E716" i="134" s="1"/>
  <c r="B707" i="135"/>
  <c r="E707" i="135" s="1"/>
  <c r="B665" i="134"/>
  <c r="E665" i="134" s="1"/>
  <c r="B663" i="135"/>
  <c r="E663" i="135" s="1"/>
  <c r="B666" i="134"/>
  <c r="E666" i="134" s="1"/>
  <c r="B688" i="135"/>
  <c r="E688" i="135" s="1"/>
  <c r="B694" i="134"/>
  <c r="E694" i="134" s="1"/>
  <c r="B685" i="135"/>
  <c r="E685" i="135" s="1"/>
  <c r="B729" i="134"/>
  <c r="E729" i="134" s="1"/>
  <c r="B721" i="135"/>
  <c r="E721" i="135" s="1"/>
  <c r="B737" i="134"/>
  <c r="E737" i="134" s="1"/>
  <c r="B789" i="135"/>
  <c r="E789" i="135" s="1"/>
  <c r="B762" i="134"/>
  <c r="E762" i="134" s="1"/>
  <c r="B793" i="135"/>
  <c r="E793" i="135" s="1"/>
  <c r="B754" i="134"/>
  <c r="E754" i="134" s="1"/>
  <c r="B747" i="135"/>
  <c r="E747" i="135" s="1"/>
  <c r="B766" i="134"/>
  <c r="E766" i="134" s="1"/>
  <c r="B759" i="135"/>
  <c r="E759" i="135" s="1"/>
  <c r="B758" i="134"/>
  <c r="E758" i="134" s="1"/>
  <c r="B751" i="135"/>
  <c r="E751" i="135" s="1"/>
  <c r="B753" i="134"/>
  <c r="E753" i="134" s="1"/>
  <c r="B746" i="135"/>
  <c r="E746" i="135" s="1"/>
  <c r="B772" i="134"/>
  <c r="E772" i="134" s="1"/>
  <c r="B765" i="135"/>
  <c r="E765" i="135" s="1"/>
  <c r="B556" i="134"/>
  <c r="E556" i="134" s="1"/>
  <c r="B553" i="135"/>
  <c r="E553" i="135" s="1"/>
  <c r="B545" i="134"/>
  <c r="E545" i="134" s="1"/>
  <c r="B542" i="135"/>
  <c r="E542" i="135" s="1"/>
  <c r="B580" i="134"/>
  <c r="E580" i="134" s="1"/>
  <c r="B578" i="135"/>
  <c r="E578" i="135" s="1"/>
  <c r="B610" i="134"/>
  <c r="E610" i="134" s="1"/>
  <c r="B608" i="135"/>
  <c r="E608" i="135" s="1"/>
  <c r="B596" i="134"/>
  <c r="E596" i="134" s="1"/>
  <c r="B594" i="135"/>
  <c r="E594" i="135" s="1"/>
  <c r="B604" i="134"/>
  <c r="E604" i="134" s="1"/>
  <c r="B602" i="135"/>
  <c r="E602" i="135" s="1"/>
  <c r="B614" i="134"/>
  <c r="E614" i="134" s="1"/>
  <c r="B612" i="135"/>
  <c r="E612" i="135" s="1"/>
  <c r="B812" i="134"/>
  <c r="E812" i="134" s="1"/>
  <c r="B806" i="135"/>
  <c r="B817" i="134"/>
  <c r="E817" i="134" s="1"/>
  <c r="B811" i="135"/>
  <c r="E811" i="135" s="1"/>
  <c r="B363" i="134"/>
  <c r="E363" i="134" s="1"/>
  <c r="B366" i="135"/>
  <c r="B202" i="134"/>
  <c r="E202" i="134" s="1"/>
  <c r="B206" i="135"/>
  <c r="E206" i="135" s="1"/>
  <c r="B224" i="134"/>
  <c r="E224" i="134" s="1"/>
  <c r="B228" i="135"/>
  <c r="E228" i="135" s="1"/>
  <c r="B204" i="134"/>
  <c r="E204" i="134" s="1"/>
  <c r="B208" i="135"/>
  <c r="E208" i="135" s="1"/>
  <c r="B220" i="134"/>
  <c r="E220" i="134" s="1"/>
  <c r="B224" i="135"/>
  <c r="E224" i="135" s="1"/>
  <c r="B237" i="134"/>
  <c r="E237" i="134" s="1"/>
  <c r="B241" i="135"/>
  <c r="E241" i="135" s="1"/>
  <c r="B247" i="134"/>
  <c r="E247" i="134" s="1"/>
  <c r="B251" i="135"/>
  <c r="E251" i="135" s="1"/>
  <c r="B890" i="134"/>
  <c r="E890" i="134" s="1"/>
  <c r="B884" i="135"/>
  <c r="E884" i="135" s="1"/>
  <c r="B897" i="134"/>
  <c r="E897" i="134" s="1"/>
  <c r="B891" i="135"/>
  <c r="E891" i="135" s="1"/>
  <c r="B911" i="134"/>
  <c r="E911" i="134" s="1"/>
  <c r="B905" i="135"/>
  <c r="B349" i="134"/>
  <c r="E349" i="134" s="1"/>
  <c r="B353" i="135"/>
  <c r="E353" i="135" s="1"/>
  <c r="B356" i="134"/>
  <c r="E356" i="134" s="1"/>
  <c r="B360" i="135"/>
  <c r="E360" i="135" s="1"/>
  <c r="B436" i="134"/>
  <c r="E436" i="134" s="1"/>
  <c r="B437" i="135"/>
  <c r="E437" i="135" s="1"/>
  <c r="B433" i="134"/>
  <c r="E433" i="134" s="1"/>
  <c r="B434" i="135"/>
  <c r="E434" i="135" s="1"/>
  <c r="B446" i="134"/>
  <c r="E446" i="134" s="1"/>
  <c r="B446" i="135"/>
  <c r="E446" i="135" s="1"/>
  <c r="B448" i="134"/>
  <c r="E448" i="134" s="1"/>
  <c r="B448" i="135"/>
  <c r="E448" i="135" s="1"/>
  <c r="B457" i="134"/>
  <c r="E457" i="134" s="1"/>
  <c r="B457" i="135"/>
  <c r="E457" i="135" s="1"/>
  <c r="B465" i="134"/>
  <c r="E465" i="134" s="1"/>
  <c r="B555" i="135"/>
  <c r="E555" i="135" s="1"/>
  <c r="B462" i="134"/>
  <c r="E462" i="134" s="1"/>
  <c r="B462" i="135"/>
  <c r="E462" i="135" s="1"/>
  <c r="B479" i="134"/>
  <c r="E479" i="134" s="1"/>
  <c r="B477" i="135"/>
  <c r="E477" i="135" s="1"/>
  <c r="B485" i="134"/>
  <c r="E485" i="134" s="1"/>
  <c r="B483" i="135"/>
  <c r="E483" i="135" s="1"/>
  <c r="B493" i="134"/>
  <c r="E493" i="134" s="1"/>
  <c r="B491" i="135"/>
  <c r="E491" i="135" s="1"/>
  <c r="B500" i="134"/>
  <c r="E500" i="134" s="1"/>
  <c r="B498" i="135"/>
  <c r="E498" i="135" s="1"/>
  <c r="B509" i="134"/>
  <c r="E509" i="134" s="1"/>
  <c r="B507" i="135"/>
  <c r="E507" i="135" s="1"/>
  <c r="B513" i="134"/>
  <c r="E513" i="134" s="1"/>
  <c r="B511" i="135"/>
  <c r="E511" i="135" s="1"/>
  <c r="B517" i="134"/>
  <c r="E517" i="134" s="1"/>
  <c r="B515" i="135"/>
  <c r="E515" i="135" s="1"/>
  <c r="B521" i="134"/>
  <c r="E521" i="134" s="1"/>
  <c r="B519" i="135"/>
  <c r="E519" i="135" s="1"/>
  <c r="B524" i="134"/>
  <c r="E524" i="134" s="1"/>
  <c r="B522" i="135"/>
  <c r="E522" i="135" s="1"/>
  <c r="B532" i="134"/>
  <c r="E532" i="134" s="1"/>
  <c r="B530" i="135"/>
  <c r="E530" i="135" s="1"/>
  <c r="B904" i="134"/>
  <c r="E904" i="134" s="1"/>
  <c r="B898" i="135"/>
  <c r="E898" i="135" s="1"/>
  <c r="B651" i="134"/>
  <c r="E651" i="134" s="1"/>
  <c r="B649" i="135"/>
  <c r="E649" i="135" s="1"/>
  <c r="B657" i="134"/>
  <c r="E657" i="134" s="1"/>
  <c r="B655" i="135"/>
  <c r="E655" i="135" s="1"/>
  <c r="B682" i="134"/>
  <c r="E682" i="134" s="1"/>
  <c r="B673" i="135"/>
  <c r="E673" i="135" s="1"/>
  <c r="B706" i="134"/>
  <c r="E706" i="134" s="1"/>
  <c r="B697" i="135"/>
  <c r="E697" i="135" s="1"/>
  <c r="B721" i="134"/>
  <c r="E721" i="134" s="1"/>
  <c r="B712" i="135"/>
  <c r="E712" i="135" s="1"/>
  <c r="B702" i="134"/>
  <c r="E702" i="134" s="1"/>
  <c r="B785" i="135"/>
  <c r="B774" i="134"/>
  <c r="E774" i="134" s="1"/>
  <c r="B767" i="135"/>
  <c r="E767" i="135" s="1"/>
  <c r="B771" i="134"/>
  <c r="E771" i="134" s="1"/>
  <c r="B764" i="135"/>
  <c r="E764" i="135" s="1"/>
  <c r="B551" i="134"/>
  <c r="E551" i="134" s="1"/>
  <c r="B548" i="135"/>
  <c r="E548" i="135" s="1"/>
  <c r="B577" i="134"/>
  <c r="E577" i="134" s="1"/>
  <c r="B575" i="135"/>
  <c r="B589" i="134"/>
  <c r="E589" i="134" s="1"/>
  <c r="B587" i="135"/>
  <c r="E587" i="135" s="1"/>
  <c r="B594" i="134"/>
  <c r="E594" i="134" s="1"/>
  <c r="B592" i="135"/>
  <c r="E592" i="135" s="1"/>
  <c r="B815" i="134"/>
  <c r="E815" i="134" s="1"/>
  <c r="B809" i="135"/>
  <c r="E809" i="135" s="1"/>
  <c r="B216" i="134"/>
  <c r="E216" i="134" s="1"/>
  <c r="B220" i="135"/>
  <c r="E220" i="135" s="1"/>
  <c r="B211" i="134"/>
  <c r="E211" i="134" s="1"/>
  <c r="B215" i="135"/>
  <c r="E215" i="135" s="1"/>
  <c r="B206" i="134"/>
  <c r="E206" i="134" s="1"/>
  <c r="B210" i="135"/>
  <c r="E210" i="135" s="1"/>
  <c r="B226" i="134"/>
  <c r="E226" i="134" s="1"/>
  <c r="B230" i="135"/>
  <c r="E230" i="135" s="1"/>
  <c r="B245" i="134"/>
  <c r="E245" i="134" s="1"/>
  <c r="B249" i="135"/>
  <c r="E249" i="135" s="1"/>
  <c r="B435" i="134"/>
  <c r="E435" i="134" s="1"/>
  <c r="B436" i="135"/>
  <c r="E436" i="135" s="1"/>
  <c r="B495" i="134"/>
  <c r="E495" i="134" s="1"/>
  <c r="B493" i="135"/>
  <c r="E493" i="135" s="1"/>
  <c r="B498" i="134"/>
  <c r="E498" i="134" s="1"/>
  <c r="B496" i="135"/>
  <c r="E496" i="135" s="1"/>
  <c r="B502" i="134"/>
  <c r="E502" i="134" s="1"/>
  <c r="B500" i="135"/>
  <c r="E500" i="135" s="1"/>
  <c r="B511" i="134"/>
  <c r="E511" i="134" s="1"/>
  <c r="B509" i="135"/>
  <c r="E509" i="135" s="1"/>
  <c r="B931" i="134"/>
  <c r="E931" i="134" s="1"/>
  <c r="B797" i="135"/>
  <c r="E797" i="135" s="1"/>
  <c r="B646" i="134"/>
  <c r="E646" i="134" s="1"/>
  <c r="B644" i="135"/>
  <c r="E644" i="135" s="1"/>
  <c r="B653" i="134"/>
  <c r="E653" i="134" s="1"/>
  <c r="B651" i="135"/>
  <c r="E651" i="135" s="1"/>
  <c r="B662" i="134"/>
  <c r="E662" i="134" s="1"/>
  <c r="B660" i="135"/>
  <c r="E660" i="135" s="1"/>
  <c r="B643" i="134"/>
  <c r="E643" i="134" s="1"/>
  <c r="B641" i="135"/>
  <c r="E641" i="135" s="1"/>
  <c r="B650" i="134"/>
  <c r="E650" i="134" s="1"/>
  <c r="B648" i="135"/>
  <c r="E648" i="135" s="1"/>
  <c r="B655" i="134"/>
  <c r="E655" i="134" s="1"/>
  <c r="B653" i="135"/>
  <c r="E653" i="135" s="1"/>
  <c r="B761" i="134"/>
  <c r="E761" i="134" s="1"/>
  <c r="B754" i="135"/>
  <c r="E754" i="135" s="1"/>
  <c r="B663" i="134"/>
  <c r="E663" i="134" s="1"/>
  <c r="B661" i="135"/>
  <c r="E661" i="135" s="1"/>
  <c r="B675" i="134"/>
  <c r="E675" i="134" s="1"/>
  <c r="B711" i="135"/>
  <c r="E711" i="135" s="1"/>
  <c r="B678" i="134"/>
  <c r="E678" i="134" s="1"/>
  <c r="B671" i="135"/>
  <c r="E671" i="135" s="1"/>
  <c r="B705" i="134"/>
  <c r="E705" i="134" s="1"/>
  <c r="B696" i="135"/>
  <c r="E696" i="135" s="1"/>
  <c r="B709" i="134"/>
  <c r="E709" i="134" s="1"/>
  <c r="B700" i="135"/>
  <c r="E700" i="135" s="1"/>
  <c r="B713" i="134"/>
  <c r="E713" i="134" s="1"/>
  <c r="B704" i="135"/>
  <c r="E704" i="135" s="1"/>
  <c r="B717" i="134"/>
  <c r="E717" i="134" s="1"/>
  <c r="B708" i="135"/>
  <c r="E708" i="135" s="1"/>
  <c r="B720" i="134"/>
  <c r="E720" i="134" s="1"/>
  <c r="B786" i="135"/>
  <c r="E786" i="135" s="1"/>
  <c r="B668" i="134"/>
  <c r="E668" i="134" s="1"/>
  <c r="B691" i="135"/>
  <c r="E691" i="135" s="1"/>
  <c r="B695" i="134"/>
  <c r="E695" i="134" s="1"/>
  <c r="B739" i="135"/>
  <c r="E739" i="135" s="1"/>
  <c r="B726" i="134"/>
  <c r="E726" i="134" s="1"/>
  <c r="B718" i="135"/>
  <c r="E718" i="135" s="1"/>
  <c r="B730" i="134"/>
  <c r="E730" i="134" s="1"/>
  <c r="B722" i="135"/>
  <c r="E722" i="135" s="1"/>
  <c r="B735" i="134"/>
  <c r="E735" i="134" s="1"/>
  <c r="B727" i="135"/>
  <c r="E727" i="135" s="1"/>
  <c r="B736" i="134"/>
  <c r="E736" i="134" s="1"/>
  <c r="B788" i="135"/>
  <c r="E788" i="135" s="1"/>
  <c r="B745" i="134"/>
  <c r="E745" i="134" s="1"/>
  <c r="B737" i="135"/>
  <c r="E737" i="135" s="1"/>
  <c r="B750" i="134"/>
  <c r="E750" i="134" s="1"/>
  <c r="B743" i="135"/>
  <c r="E743" i="135" s="1"/>
  <c r="B755" i="134"/>
  <c r="E755" i="134" s="1"/>
  <c r="B748" i="135"/>
  <c r="E748" i="135" s="1"/>
  <c r="B765" i="134"/>
  <c r="E765" i="134" s="1"/>
  <c r="B758" i="135"/>
  <c r="E758" i="135" s="1"/>
  <c r="B701" i="134"/>
  <c r="E701" i="134" s="1"/>
  <c r="B692" i="135"/>
  <c r="E692" i="135" s="1"/>
  <c r="B760" i="134"/>
  <c r="E760" i="134" s="1"/>
  <c r="B753" i="135"/>
  <c r="E753" i="135" s="1"/>
  <c r="B756" i="134"/>
  <c r="E756" i="134" s="1"/>
  <c r="B749" i="135"/>
  <c r="E749" i="135" s="1"/>
  <c r="B673" i="134"/>
  <c r="E673" i="134" s="1"/>
  <c r="B668" i="135"/>
  <c r="E668" i="135" s="1"/>
  <c r="B554" i="134"/>
  <c r="E554" i="134" s="1"/>
  <c r="B551" i="135"/>
  <c r="E551" i="135" s="1"/>
  <c r="B579" i="134"/>
  <c r="E579" i="134" s="1"/>
  <c r="B577" i="135"/>
  <c r="E577" i="135" s="1"/>
  <c r="B587" i="134"/>
  <c r="E587" i="134" s="1"/>
  <c r="B585" i="135"/>
  <c r="E585" i="135" s="1"/>
  <c r="B612" i="134"/>
  <c r="E612" i="134" s="1"/>
  <c r="B610" i="135"/>
  <c r="E610" i="135" s="1"/>
  <c r="B611" i="134"/>
  <c r="E611" i="134" s="1"/>
  <c r="B609" i="135"/>
  <c r="E609" i="135" s="1"/>
  <c r="B617" i="134"/>
  <c r="E617" i="134" s="1"/>
  <c r="B615" i="135"/>
  <c r="E615" i="135" s="1"/>
  <c r="B595" i="134"/>
  <c r="E595" i="134" s="1"/>
  <c r="B593" i="135"/>
  <c r="E593" i="135" s="1"/>
  <c r="B607" i="134"/>
  <c r="E607" i="134" s="1"/>
  <c r="B605" i="135"/>
  <c r="E605" i="135" s="1"/>
  <c r="B600" i="134"/>
  <c r="E600" i="134" s="1"/>
  <c r="B598" i="135"/>
  <c r="E598" i="135" s="1"/>
  <c r="B813" i="134"/>
  <c r="E813" i="134" s="1"/>
  <c r="B807" i="135"/>
  <c r="E807" i="135" s="1"/>
  <c r="B818" i="134"/>
  <c r="E818" i="134" s="1"/>
  <c r="B812" i="135"/>
  <c r="E812" i="135" s="1"/>
  <c r="B236" i="134"/>
  <c r="E236" i="134" s="1"/>
  <c r="B240" i="135"/>
  <c r="B240" i="134"/>
  <c r="E240" i="134" s="1"/>
  <c r="B244" i="135"/>
  <c r="E244" i="135" s="1"/>
  <c r="B243" i="134"/>
  <c r="E243" i="134" s="1"/>
  <c r="B247" i="135"/>
  <c r="E247" i="135" s="1"/>
  <c r="B571" i="134"/>
  <c r="E571" i="134" s="1"/>
  <c r="B569" i="135"/>
  <c r="E569" i="135" s="1"/>
  <c r="B886" i="134"/>
  <c r="E886" i="134" s="1"/>
  <c r="B880" i="135"/>
  <c r="E880" i="135" s="1"/>
  <c r="B892" i="134"/>
  <c r="E892" i="134" s="1"/>
  <c r="B886" i="135"/>
  <c r="E886" i="135" s="1"/>
  <c r="B896" i="134"/>
  <c r="E896" i="134" s="1"/>
  <c r="B890" i="135"/>
  <c r="E890" i="135" s="1"/>
  <c r="B898" i="134"/>
  <c r="E898" i="134" s="1"/>
  <c r="B892" i="135"/>
  <c r="E892" i="135" s="1"/>
  <c r="B912" i="134"/>
  <c r="E912" i="134" s="1"/>
  <c r="B906" i="135"/>
  <c r="E906" i="135" s="1"/>
  <c r="B402" i="134"/>
  <c r="B404" i="134" s="1"/>
  <c r="B795" i="135"/>
  <c r="E795" i="135" s="1"/>
  <c r="B437" i="134"/>
  <c r="E437" i="134" s="1"/>
  <c r="B438" i="135"/>
  <c r="E438" i="135" s="1"/>
  <c r="B434" i="134"/>
  <c r="E434" i="134" s="1"/>
  <c r="B435" i="135"/>
  <c r="E435" i="135" s="1"/>
  <c r="B450" i="134"/>
  <c r="E450" i="134" s="1"/>
  <c r="B450" i="135"/>
  <c r="E450" i="135" s="1"/>
  <c r="B458" i="134"/>
  <c r="E458" i="134" s="1"/>
  <c r="B458" i="135"/>
  <c r="E458" i="135" s="1"/>
  <c r="B467" i="134"/>
  <c r="E467" i="134" s="1"/>
  <c r="B466" i="135"/>
  <c r="E466" i="135" s="1"/>
  <c r="B505" i="134"/>
  <c r="E505" i="134" s="1"/>
  <c r="B503" i="135"/>
  <c r="E503" i="135" s="1"/>
  <c r="B481" i="134"/>
  <c r="E481" i="134" s="1"/>
  <c r="B479" i="135"/>
  <c r="E479" i="135" s="1"/>
  <c r="B490" i="134"/>
  <c r="E490" i="134" s="1"/>
  <c r="B488" i="135"/>
  <c r="E488" i="135" s="1"/>
  <c r="B482" i="134"/>
  <c r="E482" i="134" s="1"/>
  <c r="B480" i="135"/>
  <c r="E480" i="135" s="1"/>
  <c r="B506" i="134"/>
  <c r="E506" i="134" s="1"/>
  <c r="B504" i="135"/>
  <c r="E504" i="135" s="1"/>
  <c r="B522" i="134"/>
  <c r="E522" i="134" s="1"/>
  <c r="B520" i="135"/>
  <c r="E520" i="135" s="1"/>
  <c r="B533" i="134"/>
  <c r="E533" i="134" s="1"/>
  <c r="B531" i="135"/>
  <c r="E531" i="135" s="1"/>
  <c r="B628" i="134"/>
  <c r="E628" i="134" s="1"/>
  <c r="B626" i="135"/>
  <c r="E626" i="135" s="1"/>
  <c r="B928" i="134"/>
  <c r="E928" i="134" s="1"/>
  <c r="B922" i="135"/>
  <c r="E922" i="135" s="1"/>
  <c r="B779" i="134"/>
  <c r="E779" i="134" s="1"/>
  <c r="B772" i="135"/>
  <c r="B783" i="134"/>
  <c r="E783" i="134" s="1"/>
  <c r="B776" i="135"/>
  <c r="E776" i="135" s="1"/>
  <c r="B923" i="134"/>
  <c r="E923" i="134" s="1"/>
  <c r="B917" i="135"/>
  <c r="E917" i="135" s="1"/>
  <c r="B119" i="119"/>
  <c r="E119" i="119" s="1"/>
  <c r="B63" i="119"/>
  <c r="E63" i="119" s="1"/>
  <c r="B63" i="134"/>
  <c r="E63" i="134" s="1"/>
  <c r="B897" i="119"/>
  <c r="E897" i="119" s="1"/>
  <c r="B868" i="134"/>
  <c r="E868" i="134" s="1"/>
  <c r="B852" i="119"/>
  <c r="E852" i="119" s="1"/>
  <c r="B823" i="134"/>
  <c r="B875" i="119"/>
  <c r="E875" i="119" s="1"/>
  <c r="B846" i="134"/>
  <c r="E846" i="134" s="1"/>
  <c r="B416" i="119"/>
  <c r="E416" i="119" s="1"/>
  <c r="B412" i="134"/>
  <c r="E412" i="134" s="1"/>
  <c r="B425" i="119"/>
  <c r="E425" i="119" s="1"/>
  <c r="B421" i="134"/>
  <c r="E421" i="134" s="1"/>
  <c r="B103" i="119"/>
  <c r="E103" i="119" s="1"/>
  <c r="B102" i="134"/>
  <c r="E102" i="134" s="1"/>
  <c r="B108" i="119"/>
  <c r="E108" i="119" s="1"/>
  <c r="B107" i="134"/>
  <c r="E107" i="134" s="1"/>
  <c r="B117" i="119"/>
  <c r="E117" i="119" s="1"/>
  <c r="B116" i="134"/>
  <c r="E116" i="134" s="1"/>
  <c r="B82" i="134"/>
  <c r="E82" i="134" s="1"/>
  <c r="B891" i="119"/>
  <c r="E891" i="119" s="1"/>
  <c r="B862" i="134"/>
  <c r="E862" i="134" s="1"/>
  <c r="B899" i="119"/>
  <c r="E899" i="119" s="1"/>
  <c r="B870" i="134"/>
  <c r="E870" i="134" s="1"/>
  <c r="B876" i="119"/>
  <c r="E876" i="119" s="1"/>
  <c r="B847" i="134"/>
  <c r="E847" i="134" s="1"/>
  <c r="B18" i="119"/>
  <c r="E18" i="119" s="1"/>
  <c r="B18" i="134"/>
  <c r="E18" i="134" s="1"/>
  <c r="B871" i="119"/>
  <c r="E871" i="119" s="1"/>
  <c r="B842" i="134"/>
  <c r="E842" i="134" s="1"/>
  <c r="B61" i="119"/>
  <c r="E61" i="119" s="1"/>
  <c r="B61" i="134"/>
  <c r="B898" i="119"/>
  <c r="E898" i="119" s="1"/>
  <c r="B869" i="134"/>
  <c r="E869" i="134" s="1"/>
  <c r="B418" i="119"/>
  <c r="E418" i="119" s="1"/>
  <c r="B414" i="134"/>
  <c r="E414" i="134" s="1"/>
  <c r="B423" i="119"/>
  <c r="E423" i="119" s="1"/>
  <c r="B419" i="134"/>
  <c r="E419" i="134" s="1"/>
  <c r="B104" i="119"/>
  <c r="E104" i="119" s="1"/>
  <c r="B103" i="134"/>
  <c r="E103" i="134" s="1"/>
  <c r="B109" i="119"/>
  <c r="E109" i="119" s="1"/>
  <c r="B108" i="134"/>
  <c r="E108" i="134" s="1"/>
  <c r="B892" i="119"/>
  <c r="E892" i="119" s="1"/>
  <c r="B863" i="134"/>
  <c r="E863" i="134" s="1"/>
  <c r="B901" i="119"/>
  <c r="E901" i="119" s="1"/>
  <c r="B872" i="134"/>
  <c r="E872" i="134" s="1"/>
  <c r="B877" i="119"/>
  <c r="E877" i="119" s="1"/>
  <c r="B848" i="134"/>
  <c r="E848" i="134" s="1"/>
  <c r="B651" i="119"/>
  <c r="E651" i="119" s="1"/>
  <c r="B634" i="134"/>
  <c r="E634" i="134" s="1"/>
  <c r="B20" i="119"/>
  <c r="E20" i="119" s="1"/>
  <c r="B20" i="134"/>
  <c r="E20" i="134" s="1"/>
  <c r="E539" i="134"/>
  <c r="B65" i="119"/>
  <c r="E65" i="119" s="1"/>
  <c r="B65" i="134"/>
  <c r="E65" i="134" s="1"/>
  <c r="B415" i="119"/>
  <c r="E415" i="119" s="1"/>
  <c r="B411" i="134"/>
  <c r="E411" i="134" s="1"/>
  <c r="B106" i="119"/>
  <c r="E106" i="119" s="1"/>
  <c r="B105" i="134"/>
  <c r="E105" i="134" s="1"/>
  <c r="B889" i="119"/>
  <c r="E889" i="119" s="1"/>
  <c r="B860" i="134"/>
  <c r="E860" i="134" s="1"/>
  <c r="B424" i="119"/>
  <c r="E424" i="119" s="1"/>
  <c r="B420" i="134"/>
  <c r="E420" i="134" s="1"/>
  <c r="B102" i="119"/>
  <c r="E102" i="119" s="1"/>
  <c r="B101" i="134"/>
  <c r="E101" i="134" s="1"/>
  <c r="B882" i="119"/>
  <c r="E882" i="119" s="1"/>
  <c r="B853" i="134"/>
  <c r="E853" i="134" s="1"/>
  <c r="B37" i="119"/>
  <c r="E37" i="119" s="1"/>
  <c r="B37" i="134"/>
  <c r="E37" i="134" s="1"/>
  <c r="B42" i="119"/>
  <c r="E42" i="119" s="1"/>
  <c r="B42" i="134"/>
  <c r="B419" i="119"/>
  <c r="E419" i="119" s="1"/>
  <c r="B415" i="134"/>
  <c r="E415" i="134" s="1"/>
  <c r="B426" i="119"/>
  <c r="E426" i="119" s="1"/>
  <c r="B422" i="134"/>
  <c r="E422" i="134" s="1"/>
  <c r="B101" i="119"/>
  <c r="E101" i="119" s="1"/>
  <c r="B100" i="134"/>
  <c r="E100" i="134" s="1"/>
  <c r="B110" i="119"/>
  <c r="E110" i="119" s="1"/>
  <c r="B109" i="134"/>
  <c r="E109" i="134" s="1"/>
  <c r="B893" i="119"/>
  <c r="E893" i="119" s="1"/>
  <c r="B864" i="134"/>
  <c r="E864" i="134" s="1"/>
  <c r="B900" i="119"/>
  <c r="E900" i="119" s="1"/>
  <c r="B871" i="134"/>
  <c r="E871" i="134" s="1"/>
  <c r="B652" i="119"/>
  <c r="E652" i="119" s="1"/>
  <c r="B635" i="134"/>
  <c r="E635" i="134" s="1"/>
  <c r="B115" i="119"/>
  <c r="E115" i="119" s="1"/>
  <c r="B114" i="134"/>
  <c r="E114" i="134" s="1"/>
  <c r="B905" i="119"/>
  <c r="E905" i="119" s="1"/>
  <c r="B876" i="134"/>
  <c r="E876" i="134" s="1"/>
  <c r="B19" i="119"/>
  <c r="E19" i="119" s="1"/>
  <c r="B19" i="134"/>
  <c r="E19" i="134" s="1"/>
  <c r="B105" i="119"/>
  <c r="E105" i="119" s="1"/>
  <c r="B104" i="134"/>
  <c r="E104" i="134" s="1"/>
  <c r="B88" i="134"/>
  <c r="E88" i="134" s="1"/>
  <c r="B411" i="119"/>
  <c r="E411" i="119" s="1"/>
  <c r="B407" i="134"/>
  <c r="C6" i="63"/>
  <c r="F6" i="63" s="1"/>
  <c r="B416" i="134"/>
  <c r="E416" i="134" s="1"/>
  <c r="B427" i="119"/>
  <c r="E427" i="119" s="1"/>
  <c r="B423" i="134"/>
  <c r="E423" i="134" s="1"/>
  <c r="B111" i="119"/>
  <c r="E111" i="119" s="1"/>
  <c r="B110" i="134"/>
  <c r="E110" i="134" s="1"/>
  <c r="B125" i="119"/>
  <c r="E125" i="119" s="1"/>
  <c r="B121" i="134"/>
  <c r="E121" i="134" s="1"/>
  <c r="B77" i="134"/>
  <c r="E77" i="134" s="1"/>
  <c r="B894" i="119"/>
  <c r="E894" i="119" s="1"/>
  <c r="B865" i="134"/>
  <c r="E865" i="134" s="1"/>
  <c r="B902" i="119"/>
  <c r="E902" i="119" s="1"/>
  <c r="B873" i="134"/>
  <c r="E873" i="134" s="1"/>
  <c r="B870" i="119"/>
  <c r="E870" i="119" s="1"/>
  <c r="B841" i="134"/>
  <c r="B879" i="119"/>
  <c r="E879" i="119" s="1"/>
  <c r="B850" i="134"/>
  <c r="E850" i="134" s="1"/>
  <c r="B653" i="119"/>
  <c r="E653" i="119" s="1"/>
  <c r="B636" i="134"/>
  <c r="E636" i="134" s="1"/>
  <c r="B33" i="119"/>
  <c r="E33" i="119" s="1"/>
  <c r="B33" i="134"/>
  <c r="B13" i="134"/>
  <c r="B853" i="119"/>
  <c r="E853" i="119" s="1"/>
  <c r="B824" i="134"/>
  <c r="E824" i="134" s="1"/>
  <c r="B874" i="119"/>
  <c r="E874" i="119" s="1"/>
  <c r="B845" i="134"/>
  <c r="E845" i="134" s="1"/>
  <c r="B36" i="119"/>
  <c r="E36" i="119" s="1"/>
  <c r="B36" i="134"/>
  <c r="E36" i="134" s="1"/>
  <c r="B116" i="119"/>
  <c r="E116" i="119" s="1"/>
  <c r="B115" i="134"/>
  <c r="E115" i="134" s="1"/>
  <c r="B890" i="119"/>
  <c r="E890" i="119" s="1"/>
  <c r="B861" i="134"/>
  <c r="E861" i="134" s="1"/>
  <c r="B650" i="119"/>
  <c r="E650" i="119" s="1"/>
  <c r="B633" i="134"/>
  <c r="B15" i="119"/>
  <c r="E15" i="119" s="1"/>
  <c r="B15" i="134"/>
  <c r="E15" i="134" s="1"/>
  <c r="B412" i="119"/>
  <c r="E412" i="119" s="1"/>
  <c r="B408" i="134"/>
  <c r="E408" i="134" s="1"/>
  <c r="B421" i="119"/>
  <c r="E421" i="119" s="1"/>
  <c r="B417" i="134"/>
  <c r="E417" i="134" s="1"/>
  <c r="B428" i="119"/>
  <c r="E428" i="119" s="1"/>
  <c r="B424" i="134"/>
  <c r="E424" i="134" s="1"/>
  <c r="B107" i="119"/>
  <c r="E107" i="119" s="1"/>
  <c r="B106" i="134"/>
  <c r="E106" i="134" s="1"/>
  <c r="B112" i="119"/>
  <c r="E112" i="119" s="1"/>
  <c r="B111" i="134"/>
  <c r="E111" i="134" s="1"/>
  <c r="B124" i="119"/>
  <c r="E124" i="119" s="1"/>
  <c r="B120" i="134"/>
  <c r="E120" i="134" s="1"/>
  <c r="B79" i="134"/>
  <c r="E79" i="134" s="1"/>
  <c r="B887" i="119"/>
  <c r="E887" i="119" s="1"/>
  <c r="B858" i="134"/>
  <c r="B895" i="119"/>
  <c r="E895" i="119" s="1"/>
  <c r="B866" i="134"/>
  <c r="E866" i="134" s="1"/>
  <c r="B872" i="119"/>
  <c r="E872" i="119" s="1"/>
  <c r="B843" i="134"/>
  <c r="E843" i="134" s="1"/>
  <c r="B654" i="119"/>
  <c r="E654" i="119" s="1"/>
  <c r="B637" i="134"/>
  <c r="E637" i="134" s="1"/>
  <c r="B34" i="119"/>
  <c r="E34" i="119" s="1"/>
  <c r="B34" i="134"/>
  <c r="E34" i="134" s="1"/>
  <c r="B17" i="119"/>
  <c r="E17" i="119" s="1"/>
  <c r="B17" i="134"/>
  <c r="E17" i="134" s="1"/>
  <c r="B858" i="119"/>
  <c r="B861" i="119" s="1"/>
  <c r="B829" i="134"/>
  <c r="B413" i="119"/>
  <c r="E413" i="119" s="1"/>
  <c r="B409" i="134"/>
  <c r="E409" i="134" s="1"/>
  <c r="B99" i="119"/>
  <c r="E99" i="119" s="1"/>
  <c r="B99" i="134"/>
  <c r="E99" i="134" s="1"/>
  <c r="B87" i="134"/>
  <c r="E87" i="134" s="1"/>
  <c r="B417" i="119"/>
  <c r="E417" i="119" s="1"/>
  <c r="B413" i="134"/>
  <c r="E413" i="134" s="1"/>
  <c r="B906" i="119"/>
  <c r="E906" i="119" s="1"/>
  <c r="B877" i="134"/>
  <c r="E877" i="134" s="1"/>
  <c r="B414" i="119"/>
  <c r="E414" i="119" s="1"/>
  <c r="B410" i="134"/>
  <c r="E410" i="134" s="1"/>
  <c r="B422" i="119"/>
  <c r="E422" i="119" s="1"/>
  <c r="B418" i="134"/>
  <c r="E418" i="134" s="1"/>
  <c r="B429" i="119"/>
  <c r="E429" i="119" s="1"/>
  <c r="B425" i="134"/>
  <c r="E425" i="134" s="1"/>
  <c r="B113" i="119"/>
  <c r="E113" i="119" s="1"/>
  <c r="B112" i="134"/>
  <c r="E112" i="134" s="1"/>
  <c r="B114" i="119"/>
  <c r="E114" i="119" s="1"/>
  <c r="B113" i="134"/>
  <c r="E113" i="134" s="1"/>
  <c r="B888" i="119"/>
  <c r="E888" i="119" s="1"/>
  <c r="B859" i="134"/>
  <c r="E859" i="134" s="1"/>
  <c r="B896" i="119"/>
  <c r="E896" i="119" s="1"/>
  <c r="B867" i="134"/>
  <c r="E867" i="134" s="1"/>
  <c r="B904" i="119"/>
  <c r="E904" i="119" s="1"/>
  <c r="B875" i="134"/>
  <c r="E875" i="134" s="1"/>
  <c r="B873" i="119"/>
  <c r="E873" i="119" s="1"/>
  <c r="B844" i="134"/>
  <c r="E844" i="134" s="1"/>
  <c r="B881" i="119"/>
  <c r="E881" i="119" s="1"/>
  <c r="B852" i="134"/>
  <c r="E852" i="134" s="1"/>
  <c r="B35" i="119"/>
  <c r="E35" i="119" s="1"/>
  <c r="B35" i="134"/>
  <c r="E35" i="134" s="1"/>
  <c r="B864" i="119"/>
  <c r="E864" i="119" s="1"/>
  <c r="B835" i="134"/>
  <c r="B62" i="119"/>
  <c r="E62" i="119" s="1"/>
  <c r="B62" i="134"/>
  <c r="E62" i="134" s="1"/>
  <c r="B118" i="119"/>
  <c r="E118" i="119" s="1"/>
  <c r="B117" i="134"/>
  <c r="B73" i="134"/>
  <c r="E73" i="134" s="1"/>
  <c r="B75" i="134"/>
  <c r="E75" i="134" s="1"/>
  <c r="B361" i="119"/>
  <c r="E361" i="119" s="1"/>
  <c r="B357" i="134"/>
  <c r="E357" i="134" s="1"/>
  <c r="B444" i="134"/>
  <c r="E444" i="134" s="1"/>
  <c r="E504" i="119"/>
  <c r="B494" i="134"/>
  <c r="E494" i="134" s="1"/>
  <c r="B218" i="134"/>
  <c r="E218" i="134" s="1"/>
  <c r="B243" i="119"/>
  <c r="E243" i="119" s="1"/>
  <c r="B239" i="134"/>
  <c r="E239" i="134" s="1"/>
  <c r="B922" i="119"/>
  <c r="E922" i="119" s="1"/>
  <c r="B893" i="134"/>
  <c r="E893" i="134" s="1"/>
  <c r="B439" i="134"/>
  <c r="E439" i="134" s="1"/>
  <c r="B476" i="134"/>
  <c r="E476" i="134" s="1"/>
  <c r="B483" i="134"/>
  <c r="E483" i="134" s="1"/>
  <c r="B523" i="134"/>
  <c r="E523" i="134" s="1"/>
  <c r="B618" i="119"/>
  <c r="E618" i="119" s="1"/>
  <c r="B601" i="134"/>
  <c r="E601" i="134" s="1"/>
  <c r="B393" i="119"/>
  <c r="E393" i="119" s="1"/>
  <c r="B389" i="134"/>
  <c r="B223" i="134"/>
  <c r="E223" i="134" s="1"/>
  <c r="B587" i="119"/>
  <c r="E587" i="119" s="1"/>
  <c r="B570" i="134"/>
  <c r="E570" i="134" s="1"/>
  <c r="B923" i="119"/>
  <c r="E923" i="119" s="1"/>
  <c r="B894" i="134"/>
  <c r="E894" i="134" s="1"/>
  <c r="B3" i="119"/>
  <c r="E3" i="119" s="1"/>
  <c r="B3" i="134"/>
  <c r="B352" i="119"/>
  <c r="E352" i="119" s="1"/>
  <c r="B348" i="134"/>
  <c r="E348" i="134" s="1"/>
  <c r="B359" i="119"/>
  <c r="E359" i="119" s="1"/>
  <c r="B355" i="134"/>
  <c r="E355" i="134" s="1"/>
  <c r="B442" i="134"/>
  <c r="E442" i="134" s="1"/>
  <c r="B441" i="134"/>
  <c r="E441" i="134" s="1"/>
  <c r="B453" i="134"/>
  <c r="E453" i="134" s="1"/>
  <c r="B460" i="134"/>
  <c r="E460" i="134" s="1"/>
  <c r="E486" i="119"/>
  <c r="B477" i="134"/>
  <c r="E477" i="134" s="1"/>
  <c r="E493" i="119"/>
  <c r="B484" i="134"/>
  <c r="E484" i="134" s="1"/>
  <c r="B492" i="134"/>
  <c r="E492" i="134" s="1"/>
  <c r="E512" i="119"/>
  <c r="B499" i="134"/>
  <c r="E499" i="134" s="1"/>
  <c r="B508" i="134"/>
  <c r="E508" i="134" s="1"/>
  <c r="B516" i="134"/>
  <c r="E516" i="134" s="1"/>
  <c r="B546" i="119"/>
  <c r="E546" i="119" s="1"/>
  <c r="B531" i="134"/>
  <c r="B377" i="119"/>
  <c r="E377" i="119" s="1"/>
  <c r="B373" i="134"/>
  <c r="B808" i="119"/>
  <c r="E808" i="119" s="1"/>
  <c r="B781" i="134"/>
  <c r="E781" i="134" s="1"/>
  <c r="B636" i="119"/>
  <c r="E636" i="119" s="1"/>
  <c r="B619" i="134"/>
  <c r="E619" i="134" s="1"/>
  <c r="B207" i="134"/>
  <c r="E207" i="134" s="1"/>
  <c r="B228" i="134"/>
  <c r="E228" i="134" s="1"/>
  <c r="B461" i="134"/>
  <c r="E461" i="134" s="1"/>
  <c r="E514" i="119"/>
  <c r="B501" i="134"/>
  <c r="E501" i="134" s="1"/>
  <c r="B401" i="119"/>
  <c r="B403" i="119" s="1"/>
  <c r="B16" i="76" s="1"/>
  <c r="B397" i="134"/>
  <c r="B459" i="134"/>
  <c r="E459" i="134" s="1"/>
  <c r="B507" i="134"/>
  <c r="E507" i="134" s="1"/>
  <c r="B515" i="134"/>
  <c r="E515" i="134" s="1"/>
  <c r="B566" i="119"/>
  <c r="E566" i="119" s="1"/>
  <c r="B550" i="134"/>
  <c r="E550" i="134" s="1"/>
  <c r="B630" i="119"/>
  <c r="E630" i="119" s="1"/>
  <c r="B613" i="134"/>
  <c r="E613" i="134" s="1"/>
  <c r="B615" i="119"/>
  <c r="E615" i="119" s="1"/>
  <c r="B598" i="134"/>
  <c r="E598" i="134" s="1"/>
  <c r="B633" i="119"/>
  <c r="E633" i="119" s="1"/>
  <c r="B616" i="134"/>
  <c r="E616" i="134" s="1"/>
  <c r="B626" i="119"/>
  <c r="E626" i="119" s="1"/>
  <c r="B609" i="134"/>
  <c r="E609" i="134" s="1"/>
  <c r="B394" i="119"/>
  <c r="E394" i="119" s="1"/>
  <c r="B390" i="134"/>
  <c r="E390" i="134" s="1"/>
  <c r="B225" i="134"/>
  <c r="E225" i="134" s="1"/>
  <c r="B222" i="134"/>
  <c r="E222" i="134" s="1"/>
  <c r="B210" i="134"/>
  <c r="E210" i="134" s="1"/>
  <c r="B229" i="134"/>
  <c r="E229" i="134" s="1"/>
  <c r="B914" i="119"/>
  <c r="E914" i="119" s="1"/>
  <c r="B885" i="134"/>
  <c r="E885" i="134" s="1"/>
  <c r="B440" i="134"/>
  <c r="E440" i="134" s="1"/>
  <c r="B466" i="134"/>
  <c r="E466" i="134" s="1"/>
  <c r="B809" i="119"/>
  <c r="E809" i="119" s="1"/>
  <c r="B782" i="134"/>
  <c r="E782" i="134" s="1"/>
  <c r="B575" i="119"/>
  <c r="E575" i="119" s="1"/>
  <c r="B558" i="134"/>
  <c r="E558" i="134" s="1"/>
  <c r="B609" i="119"/>
  <c r="E609" i="119" s="1"/>
  <c r="B592" i="134"/>
  <c r="E592" i="134" s="1"/>
  <c r="B395" i="119"/>
  <c r="E395" i="119" s="1"/>
  <c r="B391" i="134"/>
  <c r="E391" i="134" s="1"/>
  <c r="B447" i="134"/>
  <c r="E447" i="134" s="1"/>
  <c r="E495" i="119"/>
  <c r="B486" i="134"/>
  <c r="E486" i="134" s="1"/>
  <c r="B518" i="134"/>
  <c r="E518" i="134" s="1"/>
  <c r="B568" i="119"/>
  <c r="E568" i="119" s="1"/>
  <c r="B552" i="134"/>
  <c r="E552" i="134" s="1"/>
  <c r="B431" i="134"/>
  <c r="B451" i="134"/>
  <c r="E451" i="134" s="1"/>
  <c r="B463" i="134"/>
  <c r="E463" i="134" s="1"/>
  <c r="B519" i="134"/>
  <c r="E519" i="134" s="1"/>
  <c r="B785" i="134"/>
  <c r="E785" i="134" s="1"/>
  <c r="B795" i="134"/>
  <c r="E795" i="134" s="1"/>
  <c r="E823" i="119"/>
  <c r="B248" i="119"/>
  <c r="E248" i="119" s="1"/>
  <c r="B244" i="134"/>
  <c r="E244" i="134" s="1"/>
  <c r="B936" i="119"/>
  <c r="E936" i="119" s="1"/>
  <c r="B914" i="134"/>
  <c r="E914" i="134" s="1"/>
  <c r="E516" i="119"/>
  <c r="B503" i="134"/>
  <c r="E503" i="134" s="1"/>
  <c r="B380" i="119"/>
  <c r="E380" i="119" s="1"/>
  <c r="B376" i="134"/>
  <c r="E376" i="134" s="1"/>
  <c r="B813" i="119"/>
  <c r="E813" i="119" s="1"/>
  <c r="B786" i="134"/>
  <c r="E786" i="134" s="1"/>
  <c r="E564" i="119"/>
  <c r="B548" i="134"/>
  <c r="E548" i="134" s="1"/>
  <c r="B230" i="134"/>
  <c r="E230" i="134" s="1"/>
  <c r="B355" i="119"/>
  <c r="E355" i="119" s="1"/>
  <c r="B351" i="134"/>
  <c r="E351" i="134" s="1"/>
  <c r="B454" i="134"/>
  <c r="E454" i="134" s="1"/>
  <c r="E487" i="119"/>
  <c r="B478" i="134"/>
  <c r="E478" i="134" s="1"/>
  <c r="B510" i="134"/>
  <c r="E510" i="134" s="1"/>
  <c r="E539" i="119"/>
  <c r="B525" i="134"/>
  <c r="E525" i="134" s="1"/>
  <c r="B385" i="119"/>
  <c r="E385" i="119" s="1"/>
  <c r="B381" i="134"/>
  <c r="B438" i="134"/>
  <c r="E438" i="134" s="1"/>
  <c r="B455" i="134"/>
  <c r="E455" i="134" s="1"/>
  <c r="B942" i="119"/>
  <c r="E942" i="119" s="1"/>
  <c r="B920" i="134"/>
  <c r="B608" i="119"/>
  <c r="E608" i="119" s="1"/>
  <c r="B591" i="134"/>
  <c r="E591" i="134" s="1"/>
  <c r="B246" i="119"/>
  <c r="E246" i="119" s="1"/>
  <c r="B242" i="134"/>
  <c r="E242" i="134" s="1"/>
  <c r="B586" i="119"/>
  <c r="E586" i="119" s="1"/>
  <c r="B569" i="134"/>
  <c r="B357" i="119"/>
  <c r="E357" i="119" s="1"/>
  <c r="B353" i="134"/>
  <c r="E353" i="134" s="1"/>
  <c r="B473" i="134"/>
  <c r="E473" i="134" s="1"/>
  <c r="E489" i="119"/>
  <c r="B480" i="134"/>
  <c r="E480" i="134" s="1"/>
  <c r="E498" i="119"/>
  <c r="B489" i="134"/>
  <c r="E489" i="134" s="1"/>
  <c r="B497" i="134"/>
  <c r="E497" i="134" s="1"/>
  <c r="B504" i="134"/>
  <c r="E504" i="134" s="1"/>
  <c r="B644" i="119"/>
  <c r="E644" i="119" s="1"/>
  <c r="B627" i="134"/>
  <c r="E627" i="134" s="1"/>
  <c r="B811" i="119"/>
  <c r="E811" i="119" s="1"/>
  <c r="B784" i="134"/>
  <c r="E784" i="134" s="1"/>
  <c r="B794" i="134"/>
  <c r="B944" i="119"/>
  <c r="E944" i="119" s="1"/>
  <c r="B922" i="134"/>
  <c r="E922" i="134" s="1"/>
  <c r="B213" i="134"/>
  <c r="E213" i="134" s="1"/>
  <c r="B379" i="119"/>
  <c r="E379" i="119" s="1"/>
  <c r="B375" i="134"/>
  <c r="E375" i="134" s="1"/>
  <c r="B905" i="134"/>
  <c r="E905" i="134" s="1"/>
  <c r="B396" i="119"/>
  <c r="E396" i="119" s="1"/>
  <c r="B392" i="134"/>
  <c r="E392" i="134" s="1"/>
  <c r="B217" i="134"/>
  <c r="E217" i="134" s="1"/>
  <c r="B550" i="119"/>
  <c r="E550" i="119" s="1"/>
  <c r="B534" i="134"/>
  <c r="E534" i="134" s="1"/>
  <c r="B368" i="119"/>
  <c r="E368" i="119" s="1"/>
  <c r="B364" i="134"/>
  <c r="E364" i="134" s="1"/>
  <c r="B201" i="134"/>
  <c r="E201" i="134" s="1"/>
  <c r="B208" i="134"/>
  <c r="E208" i="134" s="1"/>
  <c r="B205" i="134"/>
  <c r="E205" i="134" s="1"/>
  <c r="B221" i="134"/>
  <c r="E221" i="134" s="1"/>
  <c r="B514" i="134"/>
  <c r="E514" i="134" s="1"/>
  <c r="B924" i="119"/>
  <c r="E924" i="119" s="1"/>
  <c r="B895" i="134"/>
  <c r="B714" i="134"/>
  <c r="E714" i="134" s="1"/>
  <c r="B689" i="134"/>
  <c r="E689" i="134" s="1"/>
  <c r="B715" i="134"/>
  <c r="E715" i="134" s="1"/>
  <c r="B661" i="134"/>
  <c r="E661" i="134" s="1"/>
  <c r="B676" i="134"/>
  <c r="E676" i="134" s="1"/>
  <c r="B680" i="134"/>
  <c r="E680" i="134" s="1"/>
  <c r="B690" i="134"/>
  <c r="E690" i="134" s="1"/>
  <c r="B669" i="134"/>
  <c r="E669" i="134" s="1"/>
  <c r="B733" i="134"/>
  <c r="E733" i="134" s="1"/>
  <c r="B739" i="134"/>
  <c r="E739" i="134" s="1"/>
  <c r="B749" i="134"/>
  <c r="E749" i="134" s="1"/>
  <c r="B764" i="134"/>
  <c r="E764" i="134" s="1"/>
  <c r="B768" i="134"/>
  <c r="E768" i="134" s="1"/>
  <c r="B724" i="134"/>
  <c r="E724" i="134" s="1"/>
  <c r="B672" i="134"/>
  <c r="E672" i="134" s="1"/>
  <c r="B697" i="134"/>
  <c r="E697" i="134" s="1"/>
  <c r="B763" i="134"/>
  <c r="E763" i="134" s="1"/>
  <c r="B649" i="134"/>
  <c r="E649" i="134" s="1"/>
  <c r="B659" i="134"/>
  <c r="E659" i="134" s="1"/>
  <c r="B686" i="134"/>
  <c r="E686" i="134" s="1"/>
  <c r="B723" i="134"/>
  <c r="E723" i="134" s="1"/>
  <c r="B734" i="134"/>
  <c r="E734" i="134" s="1"/>
  <c r="B740" i="134"/>
  <c r="E740" i="134" s="1"/>
  <c r="B748" i="134"/>
  <c r="E748" i="134" s="1"/>
  <c r="B703" i="134"/>
  <c r="E703" i="134" s="1"/>
  <c r="B770" i="134"/>
  <c r="E770" i="134" s="1"/>
  <c r="B671" i="134"/>
  <c r="E671" i="134" s="1"/>
  <c r="B738" i="134"/>
  <c r="E738" i="134" s="1"/>
  <c r="B656" i="134"/>
  <c r="E656" i="134" s="1"/>
  <c r="B677" i="134"/>
  <c r="E677" i="134" s="1"/>
  <c r="B767" i="134"/>
  <c r="E767" i="134" s="1"/>
  <c r="B773" i="134"/>
  <c r="E773" i="134" s="1"/>
  <c r="N291" i="28"/>
  <c r="B291" i="28" s="1"/>
  <c r="C41" i="76" s="1"/>
  <c r="V74" i="131"/>
  <c r="B74" i="131" s="1"/>
  <c r="E50" i="133"/>
  <c r="V36" i="131"/>
  <c r="B36" i="131" s="1"/>
  <c r="T37" i="131"/>
  <c r="V55" i="131"/>
  <c r="B55" i="131" s="1"/>
  <c r="B366" i="119"/>
  <c r="E366" i="119" s="1"/>
  <c r="E64" i="133"/>
  <c r="T38" i="131"/>
  <c r="B93" i="131"/>
  <c r="V17" i="131"/>
  <c r="B17" i="131" s="1"/>
  <c r="B32" i="133"/>
  <c r="B3" i="76" s="1"/>
  <c r="F3" i="76" s="1"/>
  <c r="B61" i="133"/>
  <c r="B53" i="133"/>
  <c r="B4" i="76" s="1"/>
  <c r="F4" i="76" s="1"/>
  <c r="U39" i="28"/>
  <c r="B39" i="28" s="1"/>
  <c r="C24" i="76" s="1"/>
  <c r="U454" i="35"/>
  <c r="B454" i="35" s="1"/>
  <c r="U343" i="35"/>
  <c r="B343" i="35" s="1"/>
  <c r="B123" i="119"/>
  <c r="E123" i="119" s="1"/>
  <c r="B420" i="119"/>
  <c r="E420" i="119" s="1"/>
  <c r="B93" i="119"/>
  <c r="E93" i="119" s="1"/>
  <c r="U400" i="35"/>
  <c r="B400" i="35" s="1"/>
  <c r="U436" i="35"/>
  <c r="B436" i="35" s="1"/>
  <c r="U688" i="35"/>
  <c r="B688" i="35" s="1"/>
  <c r="B878" i="119"/>
  <c r="E878" i="119" s="1"/>
  <c r="B94" i="119"/>
  <c r="E94" i="119" s="1"/>
  <c r="B16" i="119"/>
  <c r="E16" i="119" s="1"/>
  <c r="B903" i="119"/>
  <c r="E903" i="119" s="1"/>
  <c r="B880" i="119"/>
  <c r="E880" i="119" s="1"/>
  <c r="B64" i="119"/>
  <c r="E64" i="119" s="1"/>
  <c r="U179" i="35"/>
  <c r="B179" i="35" s="1"/>
  <c r="C34" i="76" s="1"/>
  <c r="U616" i="35"/>
  <c r="B616" i="35" s="1"/>
  <c r="BM5" i="31"/>
  <c r="B179" i="119"/>
  <c r="E179" i="119" s="1"/>
  <c r="B346" i="119"/>
  <c r="E346" i="119" s="1"/>
  <c r="B146" i="119"/>
  <c r="E146" i="119" s="1"/>
  <c r="B271" i="119"/>
  <c r="E271" i="119" s="1"/>
  <c r="B323" i="119"/>
  <c r="E323" i="119" s="1"/>
  <c r="CR37" i="31"/>
  <c r="B315" i="119"/>
  <c r="E315" i="119" s="1"/>
  <c r="B320" i="119"/>
  <c r="E320" i="119" s="1"/>
  <c r="B325" i="119"/>
  <c r="E325" i="119" s="1"/>
  <c r="B130" i="119"/>
  <c r="E130" i="119" s="1"/>
  <c r="B132" i="119"/>
  <c r="E132" i="119" s="1"/>
  <c r="B278" i="119"/>
  <c r="E278" i="119" s="1"/>
  <c r="B133" i="119"/>
  <c r="E133" i="119" s="1"/>
  <c r="B285" i="119"/>
  <c r="E285" i="119" s="1"/>
  <c r="B161" i="119"/>
  <c r="E161" i="119" s="1"/>
  <c r="B269" i="119"/>
  <c r="E269" i="119" s="1"/>
  <c r="B264" i="119"/>
  <c r="E264" i="119" s="1"/>
  <c r="B131" i="119"/>
  <c r="E131" i="119" s="1"/>
  <c r="W584" i="28"/>
  <c r="B584" i="28" s="1"/>
  <c r="O327" i="28"/>
  <c r="B327" i="28" s="1"/>
  <c r="O530" i="28"/>
  <c r="B530" i="28" s="1"/>
  <c r="AO129" i="28"/>
  <c r="O511" i="28"/>
  <c r="B511" i="28" s="1"/>
  <c r="R656" i="28"/>
  <c r="B656" i="28" s="1"/>
  <c r="H174" i="107"/>
  <c r="H66" i="118"/>
  <c r="D192" i="107"/>
  <c r="E28" i="119"/>
  <c r="E25" i="119"/>
  <c r="B49" i="119"/>
  <c r="E49" i="119" s="1"/>
  <c r="B293" i="119"/>
  <c r="E293" i="119" s="1"/>
  <c r="B555" i="119"/>
  <c r="B557" i="119" s="1"/>
  <c r="B17" i="76" s="1"/>
  <c r="B598" i="119"/>
  <c r="E598" i="119" s="1"/>
  <c r="B806" i="119"/>
  <c r="E806" i="119" s="1"/>
  <c r="B247" i="119"/>
  <c r="E247" i="119" s="1"/>
  <c r="E536" i="119"/>
  <c r="B950" i="119"/>
  <c r="E950" i="119" s="1"/>
  <c r="F946" i="119" s="1"/>
  <c r="G947" i="119" s="1"/>
  <c r="B249" i="119"/>
  <c r="E249" i="119" s="1"/>
  <c r="E454" i="119"/>
  <c r="E569" i="119"/>
  <c r="B635" i="119"/>
  <c r="E635" i="119" s="1"/>
  <c r="ES21" i="28"/>
  <c r="B563" i="119"/>
  <c r="E563" i="119" s="1"/>
  <c r="B570" i="119"/>
  <c r="E570" i="119" s="1"/>
  <c r="B596" i="119"/>
  <c r="E596" i="119" s="1"/>
  <c r="B629" i="119"/>
  <c r="E629" i="119" s="1"/>
  <c r="B634" i="119"/>
  <c r="E634" i="119" s="1"/>
  <c r="B612" i="119"/>
  <c r="E612" i="119" s="1"/>
  <c r="B617" i="119"/>
  <c r="E617" i="119" s="1"/>
  <c r="B847" i="119"/>
  <c r="E847" i="119" s="1"/>
  <c r="B919" i="119"/>
  <c r="E919" i="119" s="1"/>
  <c r="B926" i="119"/>
  <c r="E926" i="119" s="1"/>
  <c r="P363" i="28"/>
  <c r="B363" i="28" s="1"/>
  <c r="C14" i="76" s="1"/>
  <c r="E526" i="119"/>
  <c r="E535" i="119"/>
  <c r="O674" i="28"/>
  <c r="B674" i="28" s="1"/>
  <c r="B541" i="28"/>
  <c r="B601" i="119"/>
  <c r="E601" i="119" s="1"/>
  <c r="B620" i="119"/>
  <c r="E620" i="119" s="1"/>
  <c r="B354" i="119"/>
  <c r="E354" i="119" s="1"/>
  <c r="B642" i="119"/>
  <c r="E642" i="119" s="1"/>
  <c r="B807" i="119"/>
  <c r="E807" i="119" s="1"/>
  <c r="B406" i="119"/>
  <c r="E406" i="119" s="1"/>
  <c r="B632" i="119"/>
  <c r="E632" i="119" s="1"/>
  <c r="B370" i="119"/>
  <c r="E370" i="119" s="1"/>
  <c r="B240" i="119"/>
  <c r="E240" i="119" s="1"/>
  <c r="B588" i="119"/>
  <c r="E588" i="119" s="1"/>
  <c r="B624" i="119"/>
  <c r="E624" i="119" s="1"/>
  <c r="B842" i="119"/>
  <c r="E842" i="119" s="1"/>
  <c r="B912" i="119"/>
  <c r="E912" i="119" s="1"/>
  <c r="B621" i="119"/>
  <c r="E621" i="119" s="1"/>
  <c r="B841" i="119"/>
  <c r="E841" i="119" s="1"/>
  <c r="B242" i="119"/>
  <c r="E242" i="119" s="1"/>
  <c r="B250" i="119"/>
  <c r="E250" i="119" s="1"/>
  <c r="B913" i="119"/>
  <c r="E913" i="119" s="1"/>
  <c r="B945" i="119"/>
  <c r="E945" i="119" s="1"/>
  <c r="O548" i="28"/>
  <c r="B548" i="28" s="1"/>
  <c r="B927" i="119"/>
  <c r="E927" i="119" s="1"/>
  <c r="E499" i="119"/>
  <c r="B241" i="119"/>
  <c r="E241" i="119" s="1"/>
  <c r="B251" i="119"/>
  <c r="E251" i="119" s="1"/>
  <c r="B933" i="119"/>
  <c r="E933" i="119" s="1"/>
  <c r="B353" i="119"/>
  <c r="E353" i="119" s="1"/>
  <c r="B360" i="119"/>
  <c r="E360" i="119" s="1"/>
  <c r="E531" i="119"/>
  <c r="E538" i="119"/>
  <c r="B548" i="119"/>
  <c r="E548" i="119" s="1"/>
  <c r="T620" i="28"/>
  <c r="B620" i="28" s="1"/>
  <c r="B571" i="119"/>
  <c r="E571" i="119" s="1"/>
  <c r="B622" i="119"/>
  <c r="E622" i="119" s="1"/>
  <c r="B602" i="119"/>
  <c r="E602" i="119" s="1"/>
  <c r="B645" i="119"/>
  <c r="E645" i="119" s="1"/>
  <c r="B604" i="119"/>
  <c r="E604" i="119" s="1"/>
  <c r="E519" i="119"/>
  <c r="B565" i="119"/>
  <c r="E565" i="119" s="1"/>
  <c r="B628" i="119"/>
  <c r="E628" i="119" s="1"/>
  <c r="B921" i="119"/>
  <c r="E921" i="119" s="1"/>
  <c r="B562" i="119"/>
  <c r="E562" i="119" s="1"/>
  <c r="B594" i="119"/>
  <c r="E594" i="119" s="1"/>
  <c r="B619" i="119"/>
  <c r="E619" i="119" s="1"/>
  <c r="B595" i="119"/>
  <c r="E595" i="119" s="1"/>
  <c r="B610" i="119"/>
  <c r="E610" i="119" s="1"/>
  <c r="B625" i="119"/>
  <c r="E625" i="119" s="1"/>
  <c r="B603" i="119"/>
  <c r="E603" i="119" s="1"/>
  <c r="M75" i="28"/>
  <c r="B75" i="28" s="1"/>
  <c r="C33" i="76" s="1"/>
  <c r="B244" i="119"/>
  <c r="E244" i="119" s="1"/>
  <c r="B915" i="119"/>
  <c r="E915" i="119" s="1"/>
  <c r="B925" i="119"/>
  <c r="E925" i="119" s="1"/>
  <c r="B934" i="119"/>
  <c r="E934" i="119" s="1"/>
  <c r="O219" i="28"/>
  <c r="B219" i="28" s="1"/>
  <c r="C8" i="76" s="1"/>
  <c r="B810" i="119"/>
  <c r="E810" i="119" s="1"/>
  <c r="B606" i="119"/>
  <c r="E606" i="119" s="1"/>
  <c r="B369" i="119"/>
  <c r="E369" i="119" s="1"/>
  <c r="B943" i="119"/>
  <c r="E943" i="119" s="1"/>
  <c r="B574" i="119"/>
  <c r="E574" i="119" s="1"/>
  <c r="E560" i="119"/>
  <c r="B616" i="119"/>
  <c r="E616" i="119" s="1"/>
  <c r="B599" i="119"/>
  <c r="E599" i="119" s="1"/>
  <c r="B607" i="119"/>
  <c r="E607" i="119" s="1"/>
  <c r="B614" i="119"/>
  <c r="E614" i="119" s="1"/>
  <c r="B637" i="119"/>
  <c r="E637" i="119" s="1"/>
  <c r="B845" i="119"/>
  <c r="E845" i="119" s="1"/>
  <c r="B245" i="119"/>
  <c r="E245" i="119" s="1"/>
  <c r="B917" i="119"/>
  <c r="E917" i="119" s="1"/>
  <c r="B916" i="119"/>
  <c r="E916" i="119" s="1"/>
  <c r="B935" i="119"/>
  <c r="E935" i="119" s="1"/>
  <c r="B351" i="119"/>
  <c r="E351" i="119" s="1"/>
  <c r="E524" i="119"/>
  <c r="E541" i="119"/>
  <c r="B378" i="119"/>
  <c r="E378" i="119" s="1"/>
  <c r="B953" i="119"/>
  <c r="E953" i="119" s="1"/>
  <c r="B812" i="119"/>
  <c r="E812" i="119" s="1"/>
  <c r="B843" i="119"/>
  <c r="E843" i="119" s="1"/>
  <c r="E491" i="119"/>
  <c r="B611" i="119"/>
  <c r="E611" i="119" s="1"/>
  <c r="B572" i="119"/>
  <c r="E572" i="119" s="1"/>
  <c r="E561" i="119"/>
  <c r="B627" i="119"/>
  <c r="E627" i="119" s="1"/>
  <c r="B613" i="119"/>
  <c r="E613" i="119" s="1"/>
  <c r="B631" i="119"/>
  <c r="E631" i="119" s="1"/>
  <c r="B846" i="119"/>
  <c r="E846" i="119" s="1"/>
  <c r="B367" i="119"/>
  <c r="E367" i="119" s="1"/>
  <c r="B918" i="119"/>
  <c r="E918" i="119" s="1"/>
  <c r="B920" i="119"/>
  <c r="E920" i="119" s="1"/>
  <c r="B356" i="119"/>
  <c r="E356" i="119" s="1"/>
  <c r="E443" i="119"/>
  <c r="E525" i="119"/>
  <c r="E534" i="119"/>
  <c r="O493" i="28"/>
  <c r="B493" i="28" s="1"/>
  <c r="B129" i="28"/>
  <c r="C11" i="76" s="1"/>
  <c r="B157" i="119"/>
  <c r="E157" i="119" s="1"/>
  <c r="B175" i="119"/>
  <c r="E175" i="119" s="1"/>
  <c r="B181" i="119"/>
  <c r="E181" i="119" s="1"/>
  <c r="B184" i="119"/>
  <c r="E184" i="119" s="1"/>
  <c r="B142" i="119"/>
  <c r="E142" i="119" s="1"/>
  <c r="B141" i="119"/>
  <c r="E141" i="119" s="1"/>
  <c r="B186" i="119"/>
  <c r="E186" i="119" s="1"/>
  <c r="B193" i="119"/>
  <c r="E193" i="119" s="1"/>
  <c r="E488" i="119"/>
  <c r="E522" i="119"/>
  <c r="E496" i="119"/>
  <c r="E505" i="119"/>
  <c r="E515" i="119"/>
  <c r="E513" i="119"/>
  <c r="E500" i="119"/>
  <c r="E497" i="119"/>
  <c r="E506" i="119"/>
  <c r="B549" i="119"/>
  <c r="E549" i="119" s="1"/>
  <c r="B844" i="119"/>
  <c r="E844" i="119" s="1"/>
  <c r="G40" i="107"/>
  <c r="B92" i="31"/>
  <c r="BO18" i="31"/>
  <c r="B18" i="31" s="1"/>
  <c r="C6" i="76" s="1"/>
  <c r="CU36" i="31"/>
  <c r="B72" i="31"/>
  <c r="P147" i="28"/>
  <c r="B147" i="28" s="1"/>
  <c r="C10" i="76" s="1"/>
  <c r="W183" i="28"/>
  <c r="B183" i="28" s="1"/>
  <c r="C42" i="76" s="1"/>
  <c r="N237" i="28"/>
  <c r="B237" i="28" s="1"/>
  <c r="C38" i="76" s="1"/>
  <c r="O436" i="28"/>
  <c r="B436" i="28" s="1"/>
  <c r="AW57" i="28"/>
  <c r="B57" i="28" s="1"/>
  <c r="C22" i="76" s="1"/>
  <c r="T201" i="28"/>
  <c r="B201" i="28" s="1"/>
  <c r="C7" i="76" s="1"/>
  <c r="W456" i="28"/>
  <c r="B456" i="28" s="1"/>
  <c r="BP273" i="28"/>
  <c r="O345" i="28"/>
  <c r="B345" i="28" s="1"/>
  <c r="M475" i="28"/>
  <c r="B475" i="28" s="1"/>
  <c r="C29" i="76" s="1"/>
  <c r="W566" i="28"/>
  <c r="B566" i="28" s="1"/>
  <c r="T602" i="28"/>
  <c r="B602" i="28" s="1"/>
  <c r="Y6" i="13"/>
  <c r="G39" i="107"/>
  <c r="B8" i="76"/>
  <c r="F7" i="3"/>
  <c r="F10" i="3" s="1"/>
  <c r="B36" i="31"/>
  <c r="E8" i="119"/>
  <c r="B288" i="35"/>
  <c r="C43" i="76" s="1"/>
  <c r="U364" i="35"/>
  <c r="B364" i="35" s="1"/>
  <c r="U288" i="35"/>
  <c r="Y71" i="35"/>
  <c r="X89" i="35"/>
  <c r="B89" i="35" s="1"/>
  <c r="C35" i="76" s="1"/>
  <c r="U418" i="35"/>
  <c r="B418" i="35" s="1"/>
  <c r="U490" i="35"/>
  <c r="B490" i="35" s="1"/>
  <c r="U526" i="35"/>
  <c r="B526" i="35" s="1"/>
  <c r="AF53" i="35"/>
  <c r="B53" i="35" s="1"/>
  <c r="C40" i="76" s="1"/>
  <c r="V17" i="35"/>
  <c r="B17" i="35" s="1"/>
  <c r="C26" i="76" s="1"/>
  <c r="U161" i="35"/>
  <c r="B161" i="35" s="1"/>
  <c r="C18" i="76" s="1"/>
  <c r="U270" i="35"/>
  <c r="B270" i="35" s="1"/>
  <c r="C31" i="76" s="1"/>
  <c r="U325" i="35"/>
  <c r="B325" i="35" s="1"/>
  <c r="U472" i="35"/>
  <c r="B472" i="35" s="1"/>
  <c r="U508" i="35"/>
  <c r="B508" i="35" s="1"/>
  <c r="U197" i="35"/>
  <c r="B197" i="35" s="1"/>
  <c r="C36" i="76" s="1"/>
  <c r="U215" i="35"/>
  <c r="B215" i="35" s="1"/>
  <c r="C17" i="76" s="1"/>
  <c r="U143" i="35"/>
  <c r="B143" i="35" s="1"/>
  <c r="C5" i="76" s="1"/>
  <c r="U544" i="35"/>
  <c r="B544" i="35" s="1"/>
  <c r="U580" i="35"/>
  <c r="B580" i="35" s="1"/>
  <c r="U652" i="35"/>
  <c r="B652" i="35" s="1"/>
  <c r="AC233" i="35"/>
  <c r="B71" i="35"/>
  <c r="C19" i="76" s="1"/>
  <c r="U35" i="35"/>
  <c r="B35" i="35" s="1"/>
  <c r="C27" i="76" s="1"/>
  <c r="U252" i="35"/>
  <c r="B252" i="35" s="1"/>
  <c r="B306" i="35"/>
  <c r="U306" i="35"/>
  <c r="U125" i="35"/>
  <c r="B125" i="35" s="1"/>
  <c r="C32" i="76" s="1"/>
  <c r="U382" i="35"/>
  <c r="B382" i="35" s="1"/>
  <c r="U562" i="35"/>
  <c r="B562" i="35" s="1"/>
  <c r="U598" i="35"/>
  <c r="B598" i="35" s="1"/>
  <c r="U634" i="35"/>
  <c r="B634" i="35" s="1"/>
  <c r="U670" i="35"/>
  <c r="B670" i="35" s="1"/>
  <c r="B430" i="119"/>
  <c r="E430" i="119" s="1"/>
  <c r="B580" i="119"/>
  <c r="E580" i="119" s="1"/>
  <c r="AH233" i="35"/>
  <c r="E256" i="119"/>
  <c r="M93" i="28"/>
  <c r="B93" i="28" s="1"/>
  <c r="C23" i="76" s="1"/>
  <c r="U638" i="28"/>
  <c r="B638" i="28" s="1"/>
  <c r="O418" i="28"/>
  <c r="B418" i="28" s="1"/>
  <c r="O309" i="28"/>
  <c r="B309" i="28" s="1"/>
  <c r="M111" i="28"/>
  <c r="B111" i="28" s="1"/>
  <c r="C15" i="76" s="1"/>
  <c r="C39" i="76"/>
  <c r="AU255" i="28"/>
  <c r="P381" i="28"/>
  <c r="B381" i="28" s="1"/>
  <c r="C16" i="76" s="1"/>
  <c r="E139" i="119"/>
  <c r="E48" i="119"/>
  <c r="T165" i="28"/>
  <c r="B165" i="28" s="1"/>
  <c r="B589" i="119"/>
  <c r="E589" i="119" s="1"/>
  <c r="M399" i="28"/>
  <c r="B399" i="28" s="1"/>
  <c r="C25" i="76" s="1"/>
  <c r="B597" i="119"/>
  <c r="E597" i="119" s="1"/>
  <c r="B567" i="119"/>
  <c r="E567" i="119" s="1"/>
  <c r="C2" i="76" l="1"/>
  <c r="D2" i="76" s="1"/>
  <c r="B15" i="133"/>
  <c r="B565" i="134"/>
  <c r="E14" i="133"/>
  <c r="E68" i="118"/>
  <c r="F68" i="118" s="1"/>
  <c r="B96" i="134"/>
  <c r="E110" i="136"/>
  <c r="B115" i="136"/>
  <c r="B826" i="135"/>
  <c r="E823" i="135"/>
  <c r="E252" i="134"/>
  <c r="B344" i="134"/>
  <c r="E138" i="135"/>
  <c r="B201" i="135"/>
  <c r="E42" i="135"/>
  <c r="B45" i="135"/>
  <c r="E33" i="135"/>
  <c r="B39" i="135"/>
  <c r="E631" i="135"/>
  <c r="B637" i="135"/>
  <c r="B849" i="135"/>
  <c r="E835" i="135"/>
  <c r="E94" i="135"/>
  <c r="B96" i="135"/>
  <c r="B63" i="136"/>
  <c r="E58" i="136"/>
  <c r="E61" i="135"/>
  <c r="B67" i="135"/>
  <c r="B10" i="134"/>
  <c r="E8" i="134"/>
  <c r="E799" i="136"/>
  <c r="B802" i="136"/>
  <c r="E852" i="135"/>
  <c r="B874" i="135"/>
  <c r="E256" i="135"/>
  <c r="B348" i="135"/>
  <c r="E118" i="136"/>
  <c r="B181" i="136"/>
  <c r="B563" i="135"/>
  <c r="E561" i="135"/>
  <c r="B43" i="136"/>
  <c r="E40" i="136"/>
  <c r="E31" i="136"/>
  <c r="B37" i="136"/>
  <c r="E612" i="136"/>
  <c r="B618" i="136"/>
  <c r="E811" i="136"/>
  <c r="B825" i="136"/>
  <c r="E79" i="136"/>
  <c r="B81" i="136"/>
  <c r="E817" i="135"/>
  <c r="B820" i="135"/>
  <c r="E130" i="135"/>
  <c r="B135" i="135"/>
  <c r="B10" i="136"/>
  <c r="E8" i="136"/>
  <c r="B808" i="136"/>
  <c r="E805" i="136"/>
  <c r="E134" i="134"/>
  <c r="B197" i="134"/>
  <c r="E13" i="136"/>
  <c r="B22" i="136"/>
  <c r="E389" i="136"/>
  <c r="B410" i="136"/>
  <c r="B131" i="134"/>
  <c r="E126" i="134"/>
  <c r="E8" i="135"/>
  <c r="B10" i="135"/>
  <c r="E828" i="136"/>
  <c r="B850" i="136"/>
  <c r="B328" i="136"/>
  <c r="E236" i="136"/>
  <c r="B832" i="135"/>
  <c r="E829" i="135"/>
  <c r="B544" i="136"/>
  <c r="E542" i="136"/>
  <c r="E13" i="135"/>
  <c r="B22" i="135"/>
  <c r="E409" i="135"/>
  <c r="B430" i="135"/>
  <c r="H191" i="107"/>
  <c r="B273" i="28"/>
  <c r="C21" i="76" s="1"/>
  <c r="B790" i="136"/>
  <c r="E794" i="136"/>
  <c r="B796" i="136"/>
  <c r="E25" i="135"/>
  <c r="B30" i="135"/>
  <c r="E384" i="135"/>
  <c r="E659" i="119"/>
  <c r="B803" i="119"/>
  <c r="B28" i="76" s="1"/>
  <c r="E402" i="134"/>
  <c r="B255" i="28"/>
  <c r="C20" i="76" s="1"/>
  <c r="E66" i="136"/>
  <c r="B76" i="136"/>
  <c r="B90" i="135"/>
  <c r="E70" i="135"/>
  <c r="B397" i="135"/>
  <c r="E400" i="135"/>
  <c r="E3" i="135"/>
  <c r="B233" i="136"/>
  <c r="B762" i="136"/>
  <c r="B820" i="134"/>
  <c r="B343" i="136"/>
  <c r="B352" i="136"/>
  <c r="E890" i="136"/>
  <c r="B895" i="136"/>
  <c r="B382" i="136"/>
  <c r="E380" i="136"/>
  <c r="B870" i="136"/>
  <c r="B886" i="136"/>
  <c r="E356" i="136"/>
  <c r="B361" i="136"/>
  <c r="B5" i="136"/>
  <c r="E3" i="136"/>
  <c r="E372" i="136"/>
  <c r="B377" i="136"/>
  <c r="B369" i="136"/>
  <c r="E364" i="136"/>
  <c r="B601" i="136"/>
  <c r="B877" i="136"/>
  <c r="B609" i="136"/>
  <c r="B779" i="136"/>
  <c r="B107" i="136"/>
  <c r="E84" i="136"/>
  <c r="B127" i="135"/>
  <c r="E99" i="135"/>
  <c r="B506" i="136"/>
  <c r="E509" i="136"/>
  <c r="B514" i="136"/>
  <c r="B448" i="136"/>
  <c r="E517" i="136"/>
  <c r="B519" i="136"/>
  <c r="E549" i="136"/>
  <c r="B553" i="136"/>
  <c r="B217" i="136"/>
  <c r="B539" i="136"/>
  <c r="B750" i="136"/>
  <c r="B919" i="135"/>
  <c r="E785" i="135"/>
  <c r="B803" i="135"/>
  <c r="E905" i="135"/>
  <c r="B910" i="135"/>
  <c r="E433" i="135"/>
  <c r="B468" i="135"/>
  <c r="B572" i="135"/>
  <c r="E772" i="135"/>
  <c r="B781" i="135"/>
  <c r="E240" i="135"/>
  <c r="B253" i="135"/>
  <c r="E366" i="135"/>
  <c r="B372" i="135"/>
  <c r="B814" i="135"/>
  <c r="E806" i="135"/>
  <c r="E204" i="135"/>
  <c r="B237" i="135"/>
  <c r="B901" i="135"/>
  <c r="E897" i="135"/>
  <c r="B381" i="135"/>
  <c r="B526" i="135"/>
  <c r="E471" i="135"/>
  <c r="E541" i="135"/>
  <c r="B558" i="135"/>
  <c r="E623" i="135"/>
  <c r="B628" i="135"/>
  <c r="E575" i="135"/>
  <c r="B620" i="135"/>
  <c r="E640" i="135"/>
  <c r="B769" i="135"/>
  <c r="E351" i="135"/>
  <c r="B363" i="135"/>
  <c r="E877" i="135"/>
  <c r="B894" i="135"/>
  <c r="F950" i="119"/>
  <c r="F951" i="119" s="1"/>
  <c r="B534" i="135"/>
  <c r="B867" i="119"/>
  <c r="B45" i="119"/>
  <c r="B43" i="76" s="1"/>
  <c r="F43" i="76" s="1"/>
  <c r="B855" i="119"/>
  <c r="B34" i="76" s="1"/>
  <c r="D34" i="76" s="1"/>
  <c r="E858" i="119"/>
  <c r="E401" i="119"/>
  <c r="B656" i="119"/>
  <c r="B39" i="119"/>
  <c r="B31" i="76" s="1"/>
  <c r="F31" i="76" s="1"/>
  <c r="E835" i="134"/>
  <c r="B838" i="134"/>
  <c r="B880" i="134"/>
  <c r="E858" i="134"/>
  <c r="E33" i="134"/>
  <c r="B39" i="134"/>
  <c r="E42" i="134"/>
  <c r="B45" i="134"/>
  <c r="E61" i="134"/>
  <c r="B67" i="134"/>
  <c r="E633" i="134"/>
  <c r="B639" i="134"/>
  <c r="E829" i="134"/>
  <c r="B832" i="134"/>
  <c r="E823" i="134"/>
  <c r="B826" i="134"/>
  <c r="E13" i="134"/>
  <c r="B22" i="134"/>
  <c r="E841" i="134"/>
  <c r="B855" i="134"/>
  <c r="B428" i="134"/>
  <c r="E407" i="134"/>
  <c r="E117" i="134"/>
  <c r="B123" i="134"/>
  <c r="B5" i="119"/>
  <c r="B7" i="76" s="1"/>
  <c r="D7" i="76" s="1"/>
  <c r="B90" i="134"/>
  <c r="B630" i="134"/>
  <c r="E920" i="134"/>
  <c r="B925" i="134"/>
  <c r="B916" i="134"/>
  <c r="B398" i="119"/>
  <c r="B15" i="76" s="1"/>
  <c r="D15" i="76" s="1"/>
  <c r="B359" i="134"/>
  <c r="E531" i="134"/>
  <c r="B536" i="134"/>
  <c r="E794" i="134"/>
  <c r="B809" i="134"/>
  <c r="B249" i="134"/>
  <c r="B233" i="134"/>
  <c r="E822" i="119"/>
  <c r="B838" i="119"/>
  <c r="B9" i="76" s="1"/>
  <c r="B622" i="134"/>
  <c r="E397" i="134"/>
  <c r="B399" i="134"/>
  <c r="B378" i="134"/>
  <c r="E373" i="134"/>
  <c r="B574" i="134"/>
  <c r="E569" i="134"/>
  <c r="F16" i="76"/>
  <c r="B369" i="134"/>
  <c r="B907" i="134"/>
  <c r="E3" i="134"/>
  <c r="B5" i="134"/>
  <c r="E389" i="134"/>
  <c r="B394" i="134"/>
  <c r="E431" i="134"/>
  <c r="B469" i="134"/>
  <c r="B390" i="119"/>
  <c r="B788" i="134"/>
  <c r="B386" i="134"/>
  <c r="E381" i="134"/>
  <c r="B528" i="134"/>
  <c r="B560" i="134"/>
  <c r="E895" i="134"/>
  <c r="B900" i="134"/>
  <c r="B776" i="134"/>
  <c r="B127" i="119"/>
  <c r="B40" i="76" s="1"/>
  <c r="D3" i="76"/>
  <c r="D4" i="76"/>
  <c r="E555" i="119"/>
  <c r="B348" i="119"/>
  <c r="B13" i="76" s="1"/>
  <c r="B909" i="119"/>
  <c r="B35" i="76" s="1"/>
  <c r="B22" i="119"/>
  <c r="B36" i="76" s="1"/>
  <c r="F36" i="76" s="1"/>
  <c r="B30" i="119"/>
  <c r="B26" i="76" s="1"/>
  <c r="B67" i="119"/>
  <c r="B32" i="76" s="1"/>
  <c r="B90" i="119"/>
  <c r="B19" i="76" s="1"/>
  <c r="B884" i="119"/>
  <c r="B18" i="76" s="1"/>
  <c r="B96" i="119"/>
  <c r="B5" i="76" s="1"/>
  <c r="B135" i="119"/>
  <c r="B12" i="76" s="1"/>
  <c r="C13" i="76"/>
  <c r="B815" i="119"/>
  <c r="B29" i="76" s="1"/>
  <c r="F29" i="76" s="1"/>
  <c r="B647" i="119"/>
  <c r="B25" i="76" s="1"/>
  <c r="F25" i="76" s="1"/>
  <c r="B363" i="119"/>
  <c r="B14" i="76" s="1"/>
  <c r="D14" i="76" s="1"/>
  <c r="B947" i="119"/>
  <c r="B938" i="119"/>
  <c r="B382" i="119"/>
  <c r="B408" i="119"/>
  <c r="B38" i="76" s="1"/>
  <c r="D193" i="107"/>
  <c r="B58" i="119"/>
  <c r="B27" i="76" s="1"/>
  <c r="B929" i="119"/>
  <c r="B42" i="76" s="1"/>
  <c r="D42" i="76" s="1"/>
  <c r="B476" i="119"/>
  <c r="B20" i="76" s="1"/>
  <c r="B253" i="119"/>
  <c r="B10" i="76" s="1"/>
  <c r="B849" i="119"/>
  <c r="B33" i="76" s="1"/>
  <c r="B373" i="119"/>
  <c r="B23" i="76" s="1"/>
  <c r="B237" i="119"/>
  <c r="B11" i="76" s="1"/>
  <c r="B201" i="119"/>
  <c r="B6" i="76" s="1"/>
  <c r="B21" i="76"/>
  <c r="B552" i="119"/>
  <c r="B41" i="76" s="1"/>
  <c r="B432" i="119"/>
  <c r="B37" i="76" s="1"/>
  <c r="F8" i="76"/>
  <c r="B582" i="119"/>
  <c r="B233" i="35"/>
  <c r="C37" i="76" s="1"/>
  <c r="B591" i="119"/>
  <c r="B39" i="76" s="1"/>
  <c r="A22" i="28"/>
  <c r="C28" i="76"/>
  <c r="D16" i="76"/>
  <c r="D8" i="76"/>
  <c r="B639" i="119"/>
  <c r="B22" i="76" s="1"/>
  <c r="B577" i="119"/>
  <c r="B24" i="76" s="1"/>
  <c r="F30" i="133" l="1"/>
  <c r="F59" i="133"/>
  <c r="D43" i="76"/>
  <c r="G953" i="119"/>
  <c r="D9" i="76"/>
  <c r="F9" i="76"/>
  <c r="D31" i="76"/>
  <c r="F34" i="76"/>
  <c r="F7" i="76"/>
  <c r="F15" i="76"/>
  <c r="D25" i="76"/>
  <c r="F2" i="76"/>
  <c r="F23" i="76"/>
  <c r="D19" i="76"/>
  <c r="F21" i="76"/>
  <c r="F10" i="76"/>
  <c r="D38" i="76"/>
  <c r="D26" i="76"/>
  <c r="F33" i="76"/>
  <c r="F20" i="76"/>
  <c r="F41" i="76"/>
  <c r="D32" i="76"/>
  <c r="D35" i="76"/>
  <c r="F22" i="76"/>
  <c r="F6" i="76"/>
  <c r="D27" i="76"/>
  <c r="F39" i="76"/>
  <c r="F11" i="76"/>
  <c r="D18" i="76"/>
  <c r="F40" i="76"/>
  <c r="D40" i="76"/>
  <c r="F14" i="76"/>
  <c r="F13" i="76"/>
  <c r="F32" i="76"/>
  <c r="D13" i="76"/>
  <c r="D29" i="76"/>
  <c r="F35" i="76"/>
  <c r="D36" i="76"/>
  <c r="F42" i="76"/>
  <c r="D33" i="76"/>
  <c r="F26" i="76"/>
  <c r="F19" i="76"/>
  <c r="D5" i="76"/>
  <c r="F5" i="76"/>
  <c r="D11" i="76"/>
  <c r="F38" i="76"/>
  <c r="F27" i="76"/>
  <c r="F37" i="76"/>
  <c r="D10" i="76"/>
  <c r="D21" i="76"/>
  <c r="D23" i="76"/>
  <c r="D20" i="76"/>
  <c r="D6" i="76"/>
  <c r="D41" i="76"/>
  <c r="D39" i="76"/>
  <c r="D37" i="76"/>
  <c r="F28" i="76"/>
  <c r="D28" i="76"/>
  <c r="C45" i="76"/>
  <c r="D22" i="76"/>
  <c r="B45" i="76"/>
  <c r="F24" i="76"/>
  <c r="D24" i="7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tc={6CC91329-3205-4765-91B1-ECF45DB4508E}</author>
    <author>tc={B3DA7C06-7AA7-4AD2-89B2-6B92E24447AE}</author>
  </authors>
  <commentList>
    <comment ref="I4" authorId="0" shapeId="0" xr:uid="{6CC91329-3205-4765-91B1-ECF45DB4508E}">
      <text>
        <t>[Threaded comment]
Your version of Excel allows you to read this threaded comment; however, any edits to it will get removed if the file is opened in a newer version of Excel. Learn more: https://go.microsoft.com/fwlink/?linkid=870924
Comment:
    Carry Over to next
Reply:
    162.8 for aafiyat
209.6 excess last pay period</t>
      </text>
    </comment>
    <comment ref="L4" authorId="1" shapeId="0" xr:uid="{B3DA7C06-7AA7-4AD2-89B2-6B92E24447AE}">
      <text>
        <t>[Threaded comment]
Your version of Excel allows you to read this threaded comment; however, any edits to it will get removed if the file is opened in a newer version of Excel. Learn more: https://go.microsoft.com/fwlink/?linkid=870924
Comment:
    Took out 5.36 hours to complete 80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tc={5A1578B1-E44F-45BD-92A7-9EE86DA57989}</author>
    <author>tc={64C90BB4-3CB9-45DE-95EC-CFD4EC2166D6}</author>
    <author>tc={E573BE0F-D560-441B-A2BC-7DB01B6290F7}</author>
    <author>tc={69C66D56-6194-4D78-B245-FD15F3CEF9D7}</author>
    <author>tc={EB381146-2C21-481E-A800-3C75FCFA9893}</author>
    <author>tc={DFD8766E-FA87-4468-91D2-2DD6C89CC669}</author>
    <author>tc={89CABBAE-F727-4BD7-AD83-64B067F91616}</author>
    <author>tc={55327118-E5BA-4573-944D-6008D1AE957E}</author>
    <author>tc={F7EFF8E3-CDBB-42D7-8B8D-F81D2A369B07}</author>
    <author>Kirsten MMJ</author>
    <author>tc={4D07DEDD-5084-4163-9D25-C4C1A8007D1F}</author>
    <author>tc={DDC04BDF-42F7-4E14-830B-0FAC03E6B5D1}</author>
    <author>tc={244868C2-6462-437F-B25F-28C03AF36B35}</author>
    <author>tc={74D4C0C9-65A9-44D5-A645-DC3D16412328}</author>
    <author>Bergel Sarenas</author>
    <author>tc={3F87265E-24A3-4C2A-BF49-14F185351FEE}</author>
    <author>tc={562AB762-3A30-4F1B-9725-891AED571FBE}</author>
    <author>tc={82973842-EC58-40A7-B642-4F50A54753FB}</author>
    <author>tc={47C3AA86-B697-40E3-99D7-92460783EC38}</author>
    <author>tc={1473701A-B616-4B4B-9551-D67D1BBFB6C9}</author>
  </authors>
  <commentList>
    <comment ref="A19" authorId="0" shapeId="0" xr:uid="{5A1578B1-E44F-45BD-92A7-9EE86DA57989}">
      <text>
        <t>[Threaded comment]
Your version of Excel allows you to read this threaded comment; however, any edits to it will get removed if the file is opened in a newer version of Excel. Learn more: https://go.microsoft.com/fwlink/?linkid=870924
Comment:
    For Karanveer</t>
      </text>
    </comment>
    <comment ref="A104" authorId="1" shapeId="0" xr:uid="{64C90BB4-3CB9-45DE-95EC-CFD4EC2166D6}">
      <text>
        <t>[Threaded comment]
Your version of Excel allows you to read this threaded comment; however, any edits to it will get removed if the file is opened in a newer version of Excel. Learn more: https://go.microsoft.com/fwlink/?linkid=870924
Comment:
    Balvir</t>
      </text>
    </comment>
    <comment ref="A116" authorId="2" shapeId="0" xr:uid="{E573BE0F-D560-441B-A2BC-7DB01B6290F7}">
      <text>
        <t>[Threaded comment]
Your version of Excel allows you to read this threaded comment; however, any edits to it will get removed if the file is opened in a newer version of Excel. Learn more: https://go.microsoft.com/fwlink/?linkid=870924
Comment:
    For Nishal</t>
      </text>
    </comment>
    <comment ref="A159" authorId="3" shapeId="0" xr:uid="{69C66D56-6194-4D78-B245-FD15F3CEF9D7}">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71" authorId="4" shapeId="0" xr:uid="{EB381146-2C21-481E-A800-3C75FCFA9893}">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84" authorId="5" shapeId="0" xr:uid="{DFD8766E-FA87-4468-91D2-2DD6C89CC669}">
      <text>
        <t>[Threaded comment]
Your version of Excel allows you to read this threaded comment; however, any edits to it will get removed if the file is opened in a newer version of Excel. Learn more: https://go.microsoft.com/fwlink/?linkid=870924
Comment:
    Sofoa</t>
      </text>
    </comment>
    <comment ref="A198" authorId="6" shapeId="0" xr:uid="{89CABBAE-F727-4BD7-AD83-64B067F91616}">
      <text>
        <t>[Threaded comment]
Your version of Excel allows you to read this threaded comment; however, any edits to it will get removed if the file is opened in a newer version of Excel. Learn more: https://go.microsoft.com/fwlink/?linkid=870924
Comment:
    Maintenane</t>
      </text>
    </comment>
    <comment ref="A205" authorId="7" shapeId="0" xr:uid="{55327118-E5BA-4573-944D-6008D1AE957E}">
      <text>
        <t>[Threaded comment]
Your version of Excel allows you to read this threaded comment; however, any edits to it will get removed if the file is opened in a newer version of Excel. Learn more: https://go.microsoft.com/fwlink/?linkid=870924
Comment:
    For Baljit Kaur</t>
      </text>
    </comment>
    <comment ref="A231" authorId="8" shapeId="0" xr:uid="{F7EFF8E3-CDBB-42D7-8B8D-F81D2A369B07}">
      <text>
        <t>[Threaded comment]
Your version of Excel allows you to read this threaded comment; however, any edits to it will get removed if the file is opened in a newer version of Excel. Learn more: https://go.microsoft.com/fwlink/?linkid=870924
Comment:
    For RIza</t>
      </text>
    </comment>
    <comment ref="A242" authorId="9" shapeId="0" xr:uid="{60CA8B15-AC23-4DD0-8D3D-0425D604AC36}">
      <text>
        <r>
          <rPr>
            <b/>
            <sz val="9"/>
            <color indexed="81"/>
            <rFont val="Tahoma"/>
            <family val="2"/>
          </rPr>
          <t xml:space="preserve">Kirsten MMJ:
Bartender
</t>
        </r>
      </text>
    </comment>
    <comment ref="A281" authorId="10" shapeId="0" xr:uid="{4D07DEDD-5084-4163-9D25-C4C1A8007D1F}">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315" authorId="11" shapeId="0" xr:uid="{DDC04BDF-42F7-4E14-830B-0FAC03E6B5D1}">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20" authorId="12" shapeId="0" xr:uid="{244868C2-6462-437F-B25F-28C03AF36B35}">
      <text>
        <t>[Threaded comment]
Your version of Excel allows you to read this threaded comment; however, any edits to it will get removed if the file is opened in a newer version of Excel. Learn more: https://go.microsoft.com/fwlink/?linkid=870924
Comment:
    Sofoa</t>
      </text>
    </comment>
    <comment ref="A367" authorId="13" shapeId="0" xr:uid="{74D4C0C9-65A9-44D5-A645-DC3D16412328}">
      <text>
        <t>[Threaded comment]
Your version of Excel allows you to read this threaded comment; however, any edits to it will get removed if the file is opened in a newer version of Excel. Learn more: https://go.microsoft.com/fwlink/?linkid=870924
Comment:
    Tunde</t>
      </text>
    </comment>
    <comment ref="A378" authorId="14" shapeId="0" xr:uid="{14D5FC16-C404-4EBC-9CD2-54162C5D1870}">
      <text>
        <r>
          <rPr>
            <b/>
            <sz val="9"/>
            <color indexed="81"/>
            <rFont val="Tahoma"/>
            <family val="2"/>
          </rPr>
          <t>Bergel Sarenas:</t>
        </r>
        <r>
          <rPr>
            <sz val="9"/>
            <color indexed="81"/>
            <rFont val="Tahoma"/>
            <family val="2"/>
          </rPr>
          <t xml:space="preserve">
For Ryan</t>
        </r>
      </text>
    </comment>
    <comment ref="A439" authorId="15" shapeId="0" xr:uid="{3F87265E-24A3-4C2A-BF49-14F185351FEE}">
      <text>
        <t>[Threaded comment]
Your version of Excel allows you to read this threaded comment; however, any edits to it will get removed if the file is opened in a newer version of Excel. Learn more: https://go.microsoft.com/fwlink/?linkid=870924
Comment:
    Naneth</t>
      </text>
    </comment>
    <comment ref="A441" authorId="16" shapeId="0" xr:uid="{562AB762-3A30-4F1B-9725-891AED571FBE}">
      <text>
        <t>[Threaded comment]
Your version of Excel allows you to read this threaded comment; however, any edits to it will get removed if the file is opened in a newer version of Excel. Learn more: https://go.microsoft.com/fwlink/?linkid=870924
Comment:
    Irene</t>
      </text>
    </comment>
    <comment ref="A449" authorId="17" shapeId="0" xr:uid="{82973842-EC58-40A7-B642-4F50A54753FB}">
      <text>
        <t>[Threaded comment]
Your version of Excel allows you to read this threaded comment; however, any edits to it will get removed if the file is opened in a newer version of Excel. Learn more: https://go.microsoft.com/fwlink/?linkid=870924
Comment:
    Tunde</t>
      </text>
    </comment>
    <comment ref="A511" authorId="9" shapeId="0" xr:uid="{64370344-C05E-4C8C-A788-35C11AB2394A}">
      <text>
        <r>
          <rPr>
            <b/>
            <sz val="9"/>
            <color indexed="81"/>
            <rFont val="Tahoma"/>
            <family val="2"/>
          </rPr>
          <t>Kirsten MMJ:</t>
        </r>
        <r>
          <rPr>
            <sz val="9"/>
            <color indexed="81"/>
            <rFont val="Tahoma"/>
            <family val="2"/>
          </rPr>
          <t xml:space="preserve">
for Kevin</t>
        </r>
      </text>
    </comment>
    <comment ref="A601" authorId="18" shapeId="0" xr:uid="{47C3AA86-B697-40E3-99D7-92460783EC38}">
      <text>
        <t>[Threaded comment]
Your version of Excel allows you to read this threaded comment; however, any edits to it will get removed if the file is opened in a newer version of Excel. Learn more: https://go.microsoft.com/fwlink/?linkid=870924
Comment:
    For Baljit Kaur</t>
      </text>
    </comment>
    <comment ref="A604" authorId="19" shapeId="0" xr:uid="{1473701A-B616-4B4B-9551-D67D1BBFB6C9}">
      <text>
        <t>[Threaded comment]
Your version of Excel allows you to read this threaded comment; however, any edits to it will get removed if the file is opened in a newer version of Excel. Learn more: https://go.microsoft.com/fwlink/?linkid=870924
Comment:
    Kenneth Abarra</t>
      </text>
    </comment>
    <comment ref="A607" authorId="14" shapeId="0" xr:uid="{C1977640-F8D6-4102-B471-F01F3F21C08C}">
      <text>
        <r>
          <rPr>
            <b/>
            <sz val="9"/>
            <color indexed="81"/>
            <rFont val="Tahoma"/>
            <family val="2"/>
          </rPr>
          <t>Bergel Sarenas:</t>
        </r>
        <r>
          <rPr>
            <sz val="9"/>
            <color indexed="81"/>
            <rFont val="Tahoma"/>
            <family val="2"/>
          </rPr>
          <t xml:space="preserve">
Nagtatagalog</t>
        </r>
      </text>
    </comment>
    <comment ref="A659" authorId="9" shapeId="0" xr:uid="{5A1134CE-34F1-473C-ABFB-41F66C17A330}">
      <text>
        <r>
          <rPr>
            <b/>
            <sz val="9"/>
            <color indexed="81"/>
            <rFont val="Tahoma"/>
            <family val="2"/>
          </rPr>
          <t>Kirsten MMJ:</t>
        </r>
        <r>
          <rPr>
            <sz val="9"/>
            <color indexed="81"/>
            <rFont val="Tahoma"/>
            <family val="2"/>
          </rPr>
          <t xml:space="preserve">
Lacey BT</t>
        </r>
      </text>
    </comment>
    <comment ref="A690" authorId="9" shapeId="0" xr:uid="{4564A4C4-0581-401F-86F7-0A07477C1C60}">
      <text>
        <r>
          <rPr>
            <b/>
            <sz val="9"/>
            <color indexed="81"/>
            <rFont val="Tahoma"/>
            <family val="2"/>
          </rPr>
          <t>Kirsten MMJ:</t>
        </r>
        <r>
          <rPr>
            <sz val="9"/>
            <color indexed="81"/>
            <rFont val="Tahoma"/>
            <family val="2"/>
          </rPr>
          <t xml:space="preserve">
</t>
        </r>
        <r>
          <rPr>
            <sz val="14"/>
            <color indexed="81"/>
            <rFont val="Tahoma"/>
            <family val="2"/>
          </rPr>
          <t>for Gill</t>
        </r>
      </text>
    </comment>
    <comment ref="A742" authorId="9" shapeId="0" xr:uid="{49A84A0D-6240-4AAC-BC6D-11A00D91FA87}">
      <text>
        <r>
          <rPr>
            <b/>
            <sz val="9"/>
            <color indexed="81"/>
            <rFont val="Tahoma"/>
            <family val="2"/>
          </rPr>
          <t>Kirsten MMJ:</t>
        </r>
        <r>
          <rPr>
            <sz val="9"/>
            <color indexed="81"/>
            <rFont val="Tahoma"/>
            <family val="2"/>
          </rPr>
          <t xml:space="preserve">
Marc Joshua</t>
        </r>
      </text>
    </comment>
    <comment ref="A753" authorId="9" shapeId="0" xr:uid="{4820FEDE-A5D0-407E-8EED-38010DB86527}">
      <text>
        <r>
          <rPr>
            <b/>
            <sz val="11"/>
            <color indexed="81"/>
            <rFont val="Tahoma"/>
            <family val="2"/>
          </rPr>
          <t>Kirsten MMJ:</t>
        </r>
        <r>
          <rPr>
            <sz val="16"/>
            <color indexed="81"/>
            <rFont val="Tahoma"/>
            <family val="2"/>
          </rPr>
          <t xml:space="preserve">
Neetu</t>
        </r>
      </text>
    </comment>
    <comment ref="A769" authorId="9" shapeId="0" xr:uid="{00383180-1767-4548-B9BC-F626F45B68B0}">
      <text>
        <r>
          <rPr>
            <b/>
            <sz val="9"/>
            <color indexed="81"/>
            <rFont val="Tahoma"/>
            <family val="2"/>
          </rPr>
          <t>Kirsten MMJ:</t>
        </r>
        <r>
          <rPr>
            <sz val="9"/>
            <color indexed="81"/>
            <rFont val="Tahoma"/>
            <family val="2"/>
          </rPr>
          <t xml:space="preserve">
</t>
        </r>
        <r>
          <rPr>
            <sz val="12"/>
            <color indexed="81"/>
            <rFont val="Tahoma"/>
            <family val="2"/>
          </rPr>
          <t>for Roger</t>
        </r>
      </text>
    </comment>
    <comment ref="A788" authorId="9" shapeId="0" xr:uid="{91235B4A-F7B1-49B6-ACCD-663C8AD68C62}">
      <text>
        <r>
          <rPr>
            <b/>
            <sz val="9"/>
            <color indexed="81"/>
            <rFont val="Tahoma"/>
            <family val="2"/>
          </rPr>
          <t>Kirsten MMJ:</t>
        </r>
        <r>
          <rPr>
            <sz val="9"/>
            <color indexed="81"/>
            <rFont val="Tahoma"/>
            <family val="2"/>
          </rPr>
          <t xml:space="preserve">
</t>
        </r>
        <r>
          <rPr>
            <sz val="14"/>
            <color indexed="81"/>
            <rFont val="Tahoma"/>
            <family val="2"/>
          </rPr>
          <t>for Zess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tc={9C2D1C86-73F6-40BC-91F5-8D25337490DE}</author>
    <author>Bergel Sarenas</author>
    <author>tc={36BE9C0B-758F-40DF-879C-3A0DD947EF7B}</author>
    <author>tc={D5904683-7F27-4B23-8454-22F18D08C1A2}</author>
    <author>tc={ED297C87-DF6F-4766-8933-DEA02DEDCB4C}</author>
    <author>tc={DE779676-000B-498C-8336-33C28039A4C7}</author>
    <author>tc={2005B662-B8EF-4BE0-ADDC-C4B75D3175DE}</author>
    <author>tc={CB8B9788-9DF4-4BA1-BDE2-BECD353FF303}</author>
    <author>tc={939FF971-EECD-4973-92C7-86341679FC7C}</author>
    <author>tc={73316BE7-0E3A-473F-AD0C-9F3222EDAB29}</author>
    <author>tc={574EF3B8-8BC4-4550-A713-C1121E636F62}</author>
    <author>tc={E93C58DF-2017-4169-B163-6C74E9BA5147}</author>
    <author>tc={53B26393-AB6D-4D66-84F3-F8A22FE38788}</author>
    <author>tc={85A03567-B72B-4A92-AD9D-EC131B72C973}</author>
    <author>tc={19226151-C45E-4306-933D-85E5F1A78AAB}</author>
    <author>tc={9676F495-E536-4CEB-B63C-7137648A7B72}</author>
    <author>tc={CA04A4DB-7CD4-4DB0-8914-DE6A7B9ABECD}</author>
    <author>tc={01177822-78B4-402A-9DCF-6F9600C63173}</author>
    <author>tc={735EF59D-B8DD-4125-A726-58C68585E309}</author>
    <author>tc={182FF2FE-FD79-4C82-983F-772C5E1EBAA0}</author>
    <author>tc={9A50A460-FD6B-499F-AF03-DCE78D9121D4}</author>
    <author>tc={EF0192E9-367D-46C1-9526-C7DB71FE228B}</author>
    <author>tc={794C7314-DEDA-4B61-A536-D7CD27AC54D9}</author>
    <author>tc={9E04986F-9523-4B1C-AA0C-712E2CCC1467}</author>
    <author>tc={7BABC2FC-2FA5-43DB-897F-2E33C1BCE862}</author>
  </authors>
  <commentList>
    <comment ref="A19" authorId="0" shapeId="0" xr:uid="{9C2D1C86-73F6-40BC-91F5-8D25337490DE}">
      <text>
        <t>[Threaded comment]
Your version of Excel allows you to read this threaded comment; however, any edits to it will get removed if the file is opened in a newer version of Excel. Learn more: https://go.microsoft.com/fwlink/?linkid=870924
Comment:
    For Karanveer</t>
      </text>
    </comment>
    <comment ref="A84" authorId="1" shapeId="0" xr:uid="{8074FEFD-6714-46D4-AB0E-50D7A399C0A8}">
      <text>
        <r>
          <rPr>
            <b/>
            <sz val="9"/>
            <color indexed="81"/>
            <rFont val="Tahoma"/>
            <family val="2"/>
          </rPr>
          <t>Bergel Sarenas:</t>
        </r>
        <r>
          <rPr>
            <sz val="9"/>
            <color indexed="81"/>
            <rFont val="Tahoma"/>
            <family val="2"/>
          </rPr>
          <t xml:space="preserve">
For Armstrong</t>
        </r>
      </text>
    </comment>
    <comment ref="A85" authorId="1" shapeId="0" xr:uid="{B98FEA13-98BE-47CF-8252-AAB5DC0B49AB}">
      <text>
        <r>
          <rPr>
            <b/>
            <sz val="9"/>
            <color indexed="81"/>
            <rFont val="Tahoma"/>
            <family val="2"/>
          </rPr>
          <t>Bergel Sarenas:</t>
        </r>
        <r>
          <rPr>
            <sz val="9"/>
            <color indexed="81"/>
            <rFont val="Tahoma"/>
            <family val="2"/>
          </rPr>
          <t xml:space="preserve">
For Armstrong</t>
        </r>
      </text>
    </comment>
    <comment ref="A103" authorId="2" shapeId="0" xr:uid="{36BE9C0B-758F-40DF-879C-3A0DD947EF7B}">
      <text>
        <t>[Threaded comment]
Your version of Excel allows you to read this threaded comment; however, any edits to it will get removed if the file is opened in a newer version of Excel. Learn more: https://go.microsoft.com/fwlink/?linkid=870924
Comment:
    Balvir</t>
      </text>
    </comment>
    <comment ref="A115" authorId="3" shapeId="0" xr:uid="{D5904683-7F27-4B23-8454-22F18D08C1A2}">
      <text>
        <t>[Threaded comment]
Your version of Excel allows you to read this threaded comment; however, any edits to it will get removed if the file is opened in a newer version of Excel. Learn more: https://go.microsoft.com/fwlink/?linkid=870924
Comment:
    For Nishal</t>
      </text>
    </comment>
    <comment ref="A155" authorId="4" shapeId="0" xr:uid="{ED297C87-DF6F-4766-8933-DEA02DEDCB4C}">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67" authorId="5" shapeId="0" xr:uid="{DE779676-000B-498C-8336-33C28039A4C7}">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80" authorId="6" shapeId="0" xr:uid="{2005B662-B8EF-4BE0-ADDC-C4B75D3175DE}">
      <text>
        <t>[Threaded comment]
Your version of Excel allows you to read this threaded comment; however, any edits to it will get removed if the file is opened in a newer version of Excel. Learn more: https://go.microsoft.com/fwlink/?linkid=870924
Comment:
    Sofoa</t>
      </text>
    </comment>
    <comment ref="A194" authorId="7" shapeId="0" xr:uid="{CB8B9788-9DF4-4BA1-BDE2-BECD353FF303}">
      <text>
        <t>[Threaded comment]
Your version of Excel allows you to read this threaded comment; however, any edits to it will get removed if the file is opened in a newer version of Excel. Learn more: https://go.microsoft.com/fwlink/?linkid=870924
Comment:
    Maintenane</t>
      </text>
    </comment>
    <comment ref="A201" authorId="8" shapeId="0" xr:uid="{939FF971-EECD-4973-92C7-86341679FC7C}">
      <text>
        <t>[Threaded comment]
Your version of Excel allows you to read this threaded comment; however, any edits to it will get removed if the file is opened in a newer version of Excel. Learn more: https://go.microsoft.com/fwlink/?linkid=870924
Comment:
    For Baljit Kaur</t>
      </text>
    </comment>
    <comment ref="A246" authorId="9" shapeId="0" xr:uid="{73316BE7-0E3A-473F-AD0C-9F3222EDAB29}">
      <text>
        <t>[Threaded comment]
Your version of Excel allows you to read this threaded comment; however, any edits to it will get removed if the file is opened in a newer version of Excel. Learn more: https://go.microsoft.com/fwlink/?linkid=870924
Comment:
    Bartender</t>
      </text>
    </comment>
    <comment ref="A277" authorId="10" shapeId="0" xr:uid="{574EF3B8-8BC4-4550-A713-C1121E636F62}">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311" authorId="11" shapeId="0" xr:uid="{E93C58DF-2017-4169-B163-6C74E9BA5147}">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16" authorId="12" shapeId="0" xr:uid="{53B26393-AB6D-4D66-84F3-F8A22FE38788}">
      <text>
        <t>[Threaded comment]
Your version of Excel allows you to read this threaded comment; however, any edits to it will get removed if the file is opened in a newer version of Excel. Learn more: https://go.microsoft.com/fwlink/?linkid=870924
Comment:
    Sofoa</t>
      </text>
    </comment>
    <comment ref="A363" authorId="13" shapeId="0" xr:uid="{85A03567-B72B-4A92-AD9D-EC131B72C973}">
      <text>
        <t>[Threaded comment]
Your version of Excel allows you to read this threaded comment; however, any edits to it will get removed if the file is opened in a newer version of Excel. Learn more: https://go.microsoft.com/fwlink/?linkid=870924
Comment:
    Tunde</t>
      </text>
    </comment>
    <comment ref="A374" authorId="1" shapeId="0" xr:uid="{C2DB00DA-B747-4B7E-8881-9FC0AE703BE8}">
      <text>
        <r>
          <rPr>
            <b/>
            <sz val="9"/>
            <color indexed="81"/>
            <rFont val="Tahoma"/>
            <family val="2"/>
          </rPr>
          <t>Bergel Sarenas:</t>
        </r>
        <r>
          <rPr>
            <sz val="9"/>
            <color indexed="81"/>
            <rFont val="Tahoma"/>
            <family val="2"/>
          </rPr>
          <t xml:space="preserve">
For Ryan</t>
        </r>
      </text>
    </comment>
    <comment ref="A463" authorId="14" shapeId="0" xr:uid="{19226151-C45E-4306-933D-85E5F1A78AAB}">
      <text>
        <t>[Threaded comment]
Your version of Excel allows you to read this threaded comment; however, any edits to it will get removed if the file is opened in a newer version of Excel. Learn more: https://go.microsoft.com/fwlink/?linkid=870924
Comment:
    Tunde</t>
      </text>
    </comment>
    <comment ref="A584" authorId="15" shapeId="0" xr:uid="{9676F495-E536-4CEB-B63C-7137648A7B72}">
      <text>
        <t>[Threaded comment]
Your version of Excel allows you to read this threaded comment; however, any edits to it will get removed if the file is opened in a newer version of Excel. Learn more: https://go.microsoft.com/fwlink/?linkid=870924
Comment:
    For Baljit Kaur</t>
      </text>
    </comment>
    <comment ref="A587" authorId="16" shapeId="0" xr:uid="{CA04A4DB-7CD4-4DB0-8914-DE6A7B9ABECD}">
      <text>
        <t>[Threaded comment]
Your version of Excel allows you to read this threaded comment; however, any edits to it will get removed if the file is opened in a newer version of Excel. Learn more: https://go.microsoft.com/fwlink/?linkid=870924
Comment:
    Kenneth Abarra</t>
      </text>
    </comment>
    <comment ref="A590" authorId="1" shapeId="0" xr:uid="{A4FB1027-C925-429C-B0A9-CD63EA5F37E4}">
      <text>
        <r>
          <rPr>
            <b/>
            <sz val="9"/>
            <color indexed="81"/>
            <rFont val="Tahoma"/>
            <family val="2"/>
          </rPr>
          <t>Bergel Sarenas:</t>
        </r>
        <r>
          <rPr>
            <sz val="9"/>
            <color indexed="81"/>
            <rFont val="Tahoma"/>
            <family val="2"/>
          </rPr>
          <t xml:space="preserve">
Nagtatagalog</t>
        </r>
      </text>
    </comment>
    <comment ref="A654" authorId="17" shapeId="0" xr:uid="{01177822-78B4-402A-9DCF-6F9600C63173}">
      <text>
        <t>[Threaded comment]
Your version of Excel allows you to read this threaded comment; however, any edits to it will get removed if the file is opened in a newer version of Excel. Learn more: https://go.microsoft.com/fwlink/?linkid=870924
Comment:
    Bartender</t>
      </text>
    </comment>
    <comment ref="A655" authorId="18" shapeId="0" xr:uid="{735EF59D-B8DD-4125-A726-58C68585E309}">
      <text>
        <t>[Threaded comment]
Your version of Excel allows you to read this threaded comment; however, any edits to it will get removed if the file is opened in a newer version of Excel. Learn more: https://go.microsoft.com/fwlink/?linkid=870924
Comment:
    Darran Server</t>
      </text>
    </comment>
    <comment ref="A661" authorId="19" shapeId="0" xr:uid="{182FF2FE-FD79-4C82-983F-772C5E1EBAA0}">
      <text>
        <t>[Threaded comment]
Your version of Excel allows you to read this threaded comment; however, any edits to it will get removed if the file is opened in a newer version of Excel. Learn more: https://go.microsoft.com/fwlink/?linkid=870924
Comment:
    Eduardo</t>
      </text>
    </comment>
    <comment ref="A676" authorId="20" shapeId="0" xr:uid="{9A50A460-FD6B-499F-AF03-DCE78D9121D4}">
      <text>
        <t>[Threaded comment]
Your version of Excel allows you to read this threaded comment; however, any edits to it will get removed if the file is opened in a newer version of Excel. Learn more: https://go.microsoft.com/fwlink/?linkid=870924
Comment:
    Frances Danielle</t>
      </text>
    </comment>
    <comment ref="A681" authorId="21" shapeId="0" xr:uid="{EF0192E9-367D-46C1-9526-C7DB71FE228B}">
      <text>
        <t>[Threaded comment]
Your version of Excel allows you to read this threaded comment; however, any edits to it will get removed if the file is opened in a newer version of Excel. Learn more: https://go.microsoft.com/fwlink/?linkid=870924
Comment:
    Frances Danielle</t>
      </text>
    </comment>
    <comment ref="A715" authorId="22" shapeId="0" xr:uid="{794C7314-DEDA-4B61-A536-D7CD27AC54D9}">
      <text>
        <t>[Threaded comment]
Your version of Excel allows you to read this threaded comment; however, any edits to it will get removed if the file is opened in a newer version of Excel. Learn more: https://go.microsoft.com/fwlink/?linkid=870924
Comment:
    Bartender</t>
      </text>
    </comment>
    <comment ref="A716" authorId="23" shapeId="0" xr:uid="{9E04986F-9523-4B1C-AA0C-712E2CCC1467}">
      <text>
        <t>[Threaded comment]
Your version of Excel allows you to read this threaded comment; however, any edits to it will get removed if the file is opened in a newer version of Excel. Learn more: https://go.microsoft.com/fwlink/?linkid=870924
Comment:
    server</t>
      </text>
    </comment>
    <comment ref="A732" authorId="24" shapeId="0" xr:uid="{7BABC2FC-2FA5-43DB-897F-2E33C1BCE862}">
      <text>
        <t>[Threaded comment]
Your version of Excel allows you to read this threaded comment; however, any edits to it will get removed if the file is opened in a newer version of Excel. Learn more: https://go.microsoft.com/fwlink/?linkid=870924
Comment:
    Kenneth Abarra</t>
      </text>
    </comment>
    <comment ref="A753" authorId="1" shapeId="0" xr:uid="{AAA8B43E-827B-4415-A38E-BECCBDB46838}">
      <text>
        <r>
          <rPr>
            <b/>
            <sz val="9"/>
            <color indexed="81"/>
            <rFont val="Tahoma"/>
            <family val="2"/>
          </rPr>
          <t>Bergel Sarenas:</t>
        </r>
        <r>
          <rPr>
            <sz val="9"/>
            <color indexed="81"/>
            <rFont val="Tahoma"/>
            <family val="2"/>
          </rPr>
          <t xml:space="preserve">
Bartender</t>
        </r>
      </text>
    </comment>
    <comment ref="A754" authorId="1" shapeId="0" xr:uid="{A7AAA135-9A72-4BB6-BF85-ABCC08E910FE}">
      <text>
        <r>
          <rPr>
            <b/>
            <sz val="9"/>
            <color indexed="81"/>
            <rFont val="Tahoma"/>
            <family val="2"/>
          </rPr>
          <t>Bergel Sarenas:</t>
        </r>
        <r>
          <rPr>
            <sz val="9"/>
            <color indexed="81"/>
            <rFont val="Tahoma"/>
            <family val="2"/>
          </rPr>
          <t xml:space="preserve">
Server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tc={382AAD84-9E89-4D6A-A4B3-AF5F7458FCDA}</author>
  </authors>
  <commentList>
    <comment ref="A61" authorId="0" shapeId="0" xr:uid="{382AAD84-9E89-4D6A-A4B3-AF5F7458FCDA}">
      <text>
        <t>[Threaded comment]
Your version of Excel allows you to read this threaded comment; however, any edits to it will get removed if the file is opened in a newer version of Excel. Learn more: https://go.microsoft.com/fwlink/?linkid=870924
Comment:
    Kenneth Abarra</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tc={FD72F3BE-E866-496F-ACD8-65DC638231C1}</author>
    <author>Bergel Sarenas</author>
    <author>tc={CA9A2ACB-0C24-425F-958A-00754AC1A7F4}</author>
    <author>tc={58C0AC54-2709-4B79-AF46-48096072F283}</author>
    <author>tc={227F17F5-758D-4F2A-99BD-990629DA8F9E}</author>
    <author>tc={FEB4A096-F668-4B50-8C0D-067D8AFB94CC}</author>
    <author>tc={D1C3A104-E73E-4423-881E-672EE57C41E6}</author>
    <author>tc={2E58C968-324C-4D68-988D-B840D9CDE42B}</author>
    <author>tc={278C0C9D-A2BF-4879-BF84-2C7702374630}</author>
    <author>tc={8E12C34F-24C3-414E-A0AD-2B41BBBC2788}</author>
    <author>tc={7EAE34C3-A155-41B5-BEDF-0B004C3351E2}</author>
    <author>tc={4931C6EB-85BC-4327-A72C-ACC0B1CADA53}</author>
    <author>tc={4C9B3FBC-21D1-41B4-B02B-F93AE45E768B}</author>
    <author>tc={D534F1DB-01E0-436B-A992-6BE1D8BCE68D}</author>
    <author>tc={4B4A687F-FFF6-420C-926C-2BF991DB9322}</author>
    <author>tc={362752D4-2BB8-41A4-B105-44B9418C5FFA}</author>
    <author>tc={1F48AB65-8437-4310-B74F-294023D4FC00}</author>
    <author>tc={3446B337-3554-430F-B955-12AE606CF052}</author>
    <author>tc={C0DBA24E-52B0-4362-9B41-0FD8B0026C64}</author>
    <author>tc={762D6725-CF2A-47AA-B34C-3FC73783EBF8}</author>
    <author>tc={11CCAEB9-03BA-43F9-B002-D59CF8A86152}</author>
    <author>tc={D20B88A9-AE3E-4F6E-A7F3-48C756633817}</author>
    <author>tc={3CF1C9C0-A94A-419C-9194-C838BD52F349}</author>
    <author>tc={406B6C8B-2492-4BB8-880D-D8168E969495}</author>
    <author>tc={0B7427D5-F677-4703-BAE1-8392C2660F28}</author>
  </authors>
  <commentList>
    <comment ref="A19" authorId="0" shapeId="0" xr:uid="{FD72F3BE-E866-496F-ACD8-65DC638231C1}">
      <text>
        <t>[Threaded comment]
Your version of Excel allows you to read this threaded comment; however, any edits to it will get removed if the file is opened in a newer version of Excel. Learn more: https://go.microsoft.com/fwlink/?linkid=870924
Comment:
    For Karanveer</t>
      </text>
    </comment>
    <comment ref="A71" authorId="1" shapeId="0" xr:uid="{6A093EE8-3852-4E18-AA5D-795E4A02AE2D}">
      <text>
        <r>
          <rPr>
            <b/>
            <sz val="9"/>
            <color indexed="81"/>
            <rFont val="Tahoma"/>
            <family val="2"/>
          </rPr>
          <t>Bergel Sarenas:</t>
        </r>
        <r>
          <rPr>
            <sz val="9"/>
            <color indexed="81"/>
            <rFont val="Tahoma"/>
            <family val="2"/>
          </rPr>
          <t xml:space="preserve">
For Armstrong</t>
        </r>
      </text>
    </comment>
    <comment ref="A88" authorId="2" shapeId="0" xr:uid="{CA9A2ACB-0C24-425F-958A-00754AC1A7F4}">
      <text>
        <t>[Threaded comment]
Your version of Excel allows you to read this threaded comment; however, any edits to it will get removed if the file is opened in a newer version of Excel. Learn more: https://go.microsoft.com/fwlink/?linkid=870924
Comment:
    Balvir</t>
      </text>
    </comment>
    <comment ref="A100" authorId="3" shapeId="0" xr:uid="{58C0AC54-2709-4B79-AF46-48096072F283}">
      <text>
        <t>[Threaded comment]
Your version of Excel allows you to read this threaded comment; however, any edits to it will get removed if the file is opened in a newer version of Excel. Learn more: https://go.microsoft.com/fwlink/?linkid=870924
Comment:
    For Nishal</t>
      </text>
    </comment>
    <comment ref="A139" authorId="4" shapeId="0" xr:uid="{227F17F5-758D-4F2A-99BD-990629DA8F9E}">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51" authorId="5" shapeId="0" xr:uid="{FEB4A096-F668-4B50-8C0D-067D8AFB94CC}">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64" authorId="6" shapeId="0" xr:uid="{D1C3A104-E73E-4423-881E-672EE57C41E6}">
      <text>
        <t>[Threaded comment]
Your version of Excel allows you to read this threaded comment; however, any edits to it will get removed if the file is opened in a newer version of Excel. Learn more: https://go.microsoft.com/fwlink/?linkid=870924
Comment:
    Sofoa</t>
      </text>
    </comment>
    <comment ref="A178" authorId="7" shapeId="0" xr:uid="{2E58C968-324C-4D68-988D-B840D9CDE42B}">
      <text>
        <t>[Threaded comment]
Your version of Excel allows you to read this threaded comment; however, any edits to it will get removed if the file is opened in a newer version of Excel. Learn more: https://go.microsoft.com/fwlink/?linkid=870924
Comment:
    Maintenane</t>
      </text>
    </comment>
    <comment ref="A185" authorId="8" shapeId="0" xr:uid="{278C0C9D-A2BF-4879-BF84-2C7702374630}">
      <text>
        <t>[Threaded comment]
Your version of Excel allows you to read this threaded comment; however, any edits to it will get removed if the file is opened in a newer version of Excel. Learn more: https://go.microsoft.com/fwlink/?linkid=870924
Comment:
    For Baljit Kaur</t>
      </text>
    </comment>
    <comment ref="A230" authorId="9" shapeId="0" xr:uid="{8E12C34F-24C3-414E-A0AD-2B41BBBC2788}">
      <text>
        <t>[Threaded comment]
Your version of Excel allows you to read this threaded comment; however, any edits to it will get removed if the file is opened in a newer version of Excel. Learn more: https://go.microsoft.com/fwlink/?linkid=870924
Comment:
    Bartender</t>
      </text>
    </comment>
    <comment ref="A261" authorId="10" shapeId="0" xr:uid="{7EAE34C3-A155-41B5-BEDF-0B004C3351E2}">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295" authorId="11" shapeId="0" xr:uid="{4931C6EB-85BC-4327-A72C-ACC0B1CADA53}">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00" authorId="12" shapeId="0" xr:uid="{4C9B3FBC-21D1-41B4-B02B-F93AE45E768B}">
      <text>
        <t>[Threaded comment]
Your version of Excel allows you to read this threaded comment; however, any edits to it will get removed if the file is opened in a newer version of Excel. Learn more: https://go.microsoft.com/fwlink/?linkid=870924
Comment:
    Sofoa</t>
      </text>
    </comment>
    <comment ref="A346" authorId="13" shapeId="0" xr:uid="{D534F1DB-01E0-436B-A992-6BE1D8BCE68D}">
      <text>
        <t>[Threaded comment]
Your version of Excel allows you to read this threaded comment; however, any edits to it will get removed if the file is opened in a newer version of Excel. Learn more: https://go.microsoft.com/fwlink/?linkid=870924
Comment:
    Tunde</t>
      </text>
    </comment>
    <comment ref="A357" authorId="1" shapeId="0" xr:uid="{2925FF33-0950-4533-A0D8-64EA0B9F983B}">
      <text>
        <r>
          <rPr>
            <b/>
            <sz val="9"/>
            <color indexed="81"/>
            <rFont val="Tahoma"/>
            <family val="2"/>
          </rPr>
          <t>Bergel Sarenas:</t>
        </r>
        <r>
          <rPr>
            <sz val="9"/>
            <color indexed="81"/>
            <rFont val="Tahoma"/>
            <family val="2"/>
          </rPr>
          <t xml:space="preserve">
For Ryan</t>
        </r>
      </text>
    </comment>
    <comment ref="A443" authorId="14" shapeId="0" xr:uid="{4B4A687F-FFF6-420C-926C-2BF991DB9322}">
      <text>
        <t>[Threaded comment]
Your version of Excel allows you to read this threaded comment; however, any edits to it will get removed if the file is opened in a newer version of Excel. Learn more: https://go.microsoft.com/fwlink/?linkid=870924
Comment:
    Tunde</t>
      </text>
    </comment>
    <comment ref="A563" authorId="15" shapeId="0" xr:uid="{362752D4-2BB8-41A4-B105-44B9418C5FFA}">
      <text>
        <t>[Threaded comment]
Your version of Excel allows you to read this threaded comment; however, any edits to it will get removed if the file is opened in a newer version of Excel. Learn more: https://go.microsoft.com/fwlink/?linkid=870924
Comment:
    For Baljit Kaur</t>
      </text>
    </comment>
    <comment ref="A566" authorId="16" shapeId="0" xr:uid="{1F48AB65-8437-4310-B74F-294023D4FC00}">
      <text>
        <t>[Threaded comment]
Your version of Excel allows you to read this threaded comment; however, any edits to it will get removed if the file is opened in a newer version of Excel. Learn more: https://go.microsoft.com/fwlink/?linkid=870924
Comment:
    Kenneth Abarra</t>
      </text>
    </comment>
    <comment ref="A569" authorId="1" shapeId="0" xr:uid="{A8934D40-2546-4731-9795-0A9F4AB7CBE7}">
      <text>
        <r>
          <rPr>
            <b/>
            <sz val="9"/>
            <color indexed="81"/>
            <rFont val="Tahoma"/>
            <family val="2"/>
          </rPr>
          <t>Bergel Sarenas:</t>
        </r>
        <r>
          <rPr>
            <sz val="9"/>
            <color indexed="81"/>
            <rFont val="Tahoma"/>
            <family val="2"/>
          </rPr>
          <t xml:space="preserve">
Nagtatagalog</t>
        </r>
      </text>
    </comment>
    <comment ref="A632" authorId="17" shapeId="0" xr:uid="{3446B337-3554-430F-B955-12AE606CF052}">
      <text>
        <t>[Threaded comment]
Your version of Excel allows you to read this threaded comment; however, any edits to it will get removed if the file is opened in a newer version of Excel. Learn more: https://go.microsoft.com/fwlink/?linkid=870924
Comment:
    Bartender</t>
      </text>
    </comment>
    <comment ref="A633" authorId="18" shapeId="0" xr:uid="{C0DBA24E-52B0-4362-9B41-0FD8B0026C64}">
      <text>
        <t>[Threaded comment]
Your version of Excel allows you to read this threaded comment; however, any edits to it will get removed if the file is opened in a newer version of Excel. Learn more: https://go.microsoft.com/fwlink/?linkid=870924
Comment:
    Darran Server</t>
      </text>
    </comment>
    <comment ref="A638" authorId="19" shapeId="0" xr:uid="{762D6725-CF2A-47AA-B34C-3FC73783EBF8}">
      <text>
        <t>[Threaded comment]
Your version of Excel allows you to read this threaded comment; however, any edits to it will get removed if the file is opened in a newer version of Excel. Learn more: https://go.microsoft.com/fwlink/?linkid=870924
Comment:
    Eduardo</t>
      </text>
    </comment>
    <comment ref="A648" authorId="20" shapeId="0" xr:uid="{11CCAEB9-03BA-43F9-B002-D59CF8A86152}">
      <text>
        <t>[Threaded comment]
Your version of Excel allows you to read this threaded comment; however, any edits to it will get removed if the file is opened in a newer version of Excel. Learn more: https://go.microsoft.com/fwlink/?linkid=870924
Comment:
    Frances Danielle</t>
      </text>
    </comment>
    <comment ref="A687" authorId="21" shapeId="0" xr:uid="{D20B88A9-AE3E-4F6E-A7F3-48C756633817}">
      <text>
        <t>[Threaded comment]
Your version of Excel allows you to read this threaded comment; however, any edits to it will get removed if the file is opened in a newer version of Excel. Learn more: https://go.microsoft.com/fwlink/?linkid=870924
Comment:
    Bartender</t>
      </text>
    </comment>
    <comment ref="A688" authorId="22" shapeId="0" xr:uid="{3CF1C9C0-A94A-419C-9194-C838BD52F349}">
      <text>
        <t>[Threaded comment]
Your version of Excel allows you to read this threaded comment; however, any edits to it will get removed if the file is opened in a newer version of Excel. Learn more: https://go.microsoft.com/fwlink/?linkid=870924
Comment:
    server</t>
      </text>
    </comment>
    <comment ref="A692" authorId="23" shapeId="0" xr:uid="{406B6C8B-2492-4BB8-880D-D8168E969495}">
      <text>
        <t>[Threaded comment]
Your version of Excel allows you to read this threaded comment; however, any edits to it will get removed if the file is opened in a newer version of Excel. Learn more: https://go.microsoft.com/fwlink/?linkid=870924
Comment:
    Frances Danielle</t>
      </text>
    </comment>
    <comment ref="A705" authorId="24" shapeId="0" xr:uid="{0B7427D5-F677-4703-BAE1-8392C2660F28}">
      <text>
        <t>[Threaded comment]
Your version of Excel allows you to read this threaded comment; however, any edits to it will get removed if the file is opened in a newer version of Excel. Learn more: https://go.microsoft.com/fwlink/?linkid=870924
Comment:
    Kenneth Abarra</t>
      </text>
    </comment>
    <comment ref="A727" authorId="1" shapeId="0" xr:uid="{A6D68658-68A5-4C19-BEC7-5A63F1C2925D}">
      <text>
        <r>
          <rPr>
            <b/>
            <sz val="9"/>
            <color indexed="81"/>
            <rFont val="Tahoma"/>
            <family val="2"/>
          </rPr>
          <t>Bergel Sarenas:</t>
        </r>
        <r>
          <rPr>
            <sz val="9"/>
            <color indexed="81"/>
            <rFont val="Tahoma"/>
            <family val="2"/>
          </rPr>
          <t xml:space="preserve">
Bartender</t>
        </r>
      </text>
    </comment>
    <comment ref="A728" authorId="1" shapeId="0" xr:uid="{4E2D41AA-35C6-4C77-908F-9EFD35AD6F6C}">
      <text>
        <r>
          <rPr>
            <b/>
            <sz val="9"/>
            <color indexed="81"/>
            <rFont val="Tahoma"/>
            <family val="2"/>
          </rPr>
          <t>Bergel Sarenas:</t>
        </r>
        <r>
          <rPr>
            <sz val="9"/>
            <color indexed="81"/>
            <rFont val="Tahoma"/>
            <family val="2"/>
          </rPr>
          <t xml:space="preserve">
Server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Office MMJ</author>
  </authors>
  <commentList>
    <comment ref="A147" authorId="0" shapeId="0" xr:uid="{C6C00380-3F38-4D9F-9DF1-0E57A4DB3B4D}">
      <text>
        <r>
          <rPr>
            <b/>
            <sz val="9"/>
            <color indexed="81"/>
            <rFont val="Tahoma"/>
            <family val="2"/>
          </rPr>
          <t>Office MMJ:</t>
        </r>
        <r>
          <rPr>
            <sz val="9"/>
            <color indexed="81"/>
            <rFont val="Tahoma"/>
            <family val="2"/>
          </rPr>
          <t xml:space="preserve">
For Riza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tc={C943B357-92C0-4FCB-90FE-892FF6ACD3A1}</author>
    <author>Bergel Sarenas</author>
    <author>tc={B46A4C05-ADFA-4FDC-9514-D76507254CC2}</author>
    <author>tc={FD352F4D-BF3C-4750-9F75-F304754CFF5B}</author>
    <author>tc={5DC9EE6E-5786-4C25-8DF9-214F892D6417}</author>
    <author>tc={F9BC0692-3D58-4EB3-9869-420E1089CEF0}</author>
    <author>tc={E3149137-ABBA-4586-9893-FE959C88CA75}</author>
    <author>tc={7A9883A1-6B2B-4B48-8414-4086E0816A56}</author>
    <author>tc={34EC8A6E-82D5-47CC-9282-F926E5F3B92D}</author>
    <author>tc={92974B74-D927-492C-871B-428769075810}</author>
    <author>tc={27D6A409-66E4-4765-8855-9C7B30EAF81A}</author>
    <author>tc={D8F5B93E-61CD-499B-B655-EB4EA1A2C094}</author>
    <author>tc={D937472D-187E-4D9E-96AB-1C6DEE34C356}</author>
    <author>tc={C2FAC1A2-1C81-45E2-A0FE-6037B331E2CD}</author>
    <author>tc={0BD91E48-AE7F-4D7F-80A2-D242979B576C}</author>
    <author>tc={CF62AA5F-9B7A-4550-84CA-465225E00C15}</author>
    <author>tc={034D100E-B539-4F73-B325-EF861ACC88DE}</author>
    <author>tc={07FE8577-4F29-4D71-A3C3-49C849241644}</author>
    <author>tc={264868B4-B3B9-49C1-9193-4A4E0D729ADE}</author>
    <author>tc={9264375B-B62B-4F52-A3D3-5D844AB3C48A}</author>
    <author>tc={44626DBA-0AB5-4051-B736-5678FE92F9BA}</author>
    <author>tc={DD058897-9A19-4D2B-A5E9-CEE3A66B1B91}</author>
    <author>tc={5CAE46FA-ED24-47E1-BDE4-FCA4E899F834}</author>
    <author>tc={CC557F1B-C67C-458E-93C2-A99C41FFC616}</author>
    <author>tc={E725C439-FB3B-4D5A-A17E-B47CFBDBB166}</author>
  </authors>
  <commentList>
    <comment ref="A19" authorId="0" shapeId="0" xr:uid="{C943B357-92C0-4FCB-90FE-892FF6ACD3A1}">
      <text>
        <t>[Threaded comment]
Your version of Excel allows you to read this threaded comment; however, any edits to it will get removed if the file is opened in a newer version of Excel. Learn more: https://go.microsoft.com/fwlink/?linkid=870924
Comment:
    For Karanveer</t>
      </text>
    </comment>
    <comment ref="A85" authorId="1" shapeId="0" xr:uid="{B4BB2DC6-56D9-4444-92B0-48B26901CA0A}">
      <text>
        <r>
          <rPr>
            <b/>
            <sz val="9"/>
            <color indexed="81"/>
            <rFont val="Tahoma"/>
            <family val="2"/>
          </rPr>
          <t>Bergel Sarenas:</t>
        </r>
        <r>
          <rPr>
            <sz val="9"/>
            <color indexed="81"/>
            <rFont val="Tahoma"/>
            <family val="2"/>
          </rPr>
          <t xml:space="preserve">
For Armstrong</t>
        </r>
      </text>
    </comment>
    <comment ref="A104" authorId="2" shapeId="0" xr:uid="{B46A4C05-ADFA-4FDC-9514-D76507254CC2}">
      <text>
        <t>[Threaded comment]
Your version of Excel allows you to read this threaded comment; however, any edits to it will get removed if the file is opened in a newer version of Excel. Learn more: https://go.microsoft.com/fwlink/?linkid=870924
Comment:
    Balvir</t>
      </text>
    </comment>
    <comment ref="A116" authorId="3" shapeId="0" xr:uid="{FD352F4D-BF3C-4750-9F75-F304754CFF5B}">
      <text>
        <t>[Threaded comment]
Your version of Excel allows you to read this threaded comment; however, any edits to it will get removed if the file is opened in a newer version of Excel. Learn more: https://go.microsoft.com/fwlink/?linkid=870924
Comment:
    For Nishal</t>
      </text>
    </comment>
    <comment ref="A159" authorId="4" shapeId="0" xr:uid="{5DC9EE6E-5786-4C25-8DF9-214F892D6417}">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71" authorId="5" shapeId="0" xr:uid="{F9BC0692-3D58-4EB3-9869-420E1089CEF0}">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84" authorId="6" shapeId="0" xr:uid="{E3149137-ABBA-4586-9893-FE959C88CA75}">
      <text>
        <t>[Threaded comment]
Your version of Excel allows you to read this threaded comment; however, any edits to it will get removed if the file is opened in a newer version of Excel. Learn more: https://go.microsoft.com/fwlink/?linkid=870924
Comment:
    Sofoa</t>
      </text>
    </comment>
    <comment ref="A198" authorId="7" shapeId="0" xr:uid="{7A9883A1-6B2B-4B48-8414-4086E0816A56}">
      <text>
        <t>[Threaded comment]
Your version of Excel allows you to read this threaded comment; however, any edits to it will get removed if the file is opened in a newer version of Excel. Learn more: https://go.microsoft.com/fwlink/?linkid=870924
Comment:
    Maintenane</t>
      </text>
    </comment>
    <comment ref="A205" authorId="8" shapeId="0" xr:uid="{34EC8A6E-82D5-47CC-9282-F926E5F3B92D}">
      <text>
        <t>[Threaded comment]
Your version of Excel allows you to read this threaded comment; however, any edits to it will get removed if the file is opened in a newer version of Excel. Learn more: https://go.microsoft.com/fwlink/?linkid=870924
Comment:
    For Baljit Kaur</t>
      </text>
    </comment>
    <comment ref="A250" authorId="9" shapeId="0" xr:uid="{92974B74-D927-492C-871B-428769075810}">
      <text>
        <t>[Threaded comment]
Your version of Excel allows you to read this threaded comment; however, any edits to it will get removed if the file is opened in a newer version of Excel. Learn more: https://go.microsoft.com/fwlink/?linkid=870924
Comment:
    Bartender</t>
      </text>
    </comment>
    <comment ref="A281" authorId="10" shapeId="0" xr:uid="{27D6A409-66E4-4765-8855-9C7B30EAF81A}">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315" authorId="11" shapeId="0" xr:uid="{D8F5B93E-61CD-499B-B655-EB4EA1A2C094}">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20" authorId="12" shapeId="0" xr:uid="{D937472D-187E-4D9E-96AB-1C6DEE34C356}">
      <text>
        <t>[Threaded comment]
Your version of Excel allows you to read this threaded comment; however, any edits to it will get removed if the file is opened in a newer version of Excel. Learn more: https://go.microsoft.com/fwlink/?linkid=870924
Comment:
    Sofoa</t>
      </text>
    </comment>
    <comment ref="A366" authorId="13" shapeId="0" xr:uid="{C2FAC1A2-1C81-45E2-A0FE-6037B331E2CD}">
      <text>
        <t>[Threaded comment]
Your version of Excel allows you to read this threaded comment; however, any edits to it will get removed if the file is opened in a newer version of Excel. Learn more: https://go.microsoft.com/fwlink/?linkid=870924
Comment:
    Tunde</t>
      </text>
    </comment>
    <comment ref="A377" authorId="1" shapeId="0" xr:uid="{081F284A-9AAE-487B-BDCA-F59D90B88A54}">
      <text>
        <r>
          <rPr>
            <b/>
            <sz val="9"/>
            <color indexed="81"/>
            <rFont val="Tahoma"/>
            <family val="2"/>
          </rPr>
          <t>Bergel Sarenas:</t>
        </r>
        <r>
          <rPr>
            <sz val="9"/>
            <color indexed="81"/>
            <rFont val="Tahoma"/>
            <family val="2"/>
          </rPr>
          <t xml:space="preserve">
For Ryan</t>
        </r>
      </text>
    </comment>
    <comment ref="A463" authorId="14" shapeId="0" xr:uid="{0BD91E48-AE7F-4D7F-80A2-D242979B576C}">
      <text>
        <t>[Threaded comment]
Your version of Excel allows you to read this threaded comment; however, any edits to it will get removed if the file is opened in a newer version of Excel. Learn more: https://go.microsoft.com/fwlink/?linkid=870924
Comment:
    Tunde</t>
      </text>
    </comment>
    <comment ref="A582" authorId="15" shapeId="0" xr:uid="{CF62AA5F-9B7A-4550-84CA-465225E00C15}">
      <text>
        <t>[Threaded comment]
Your version of Excel allows you to read this threaded comment; however, any edits to it will get removed if the file is opened in a newer version of Excel. Learn more: https://go.microsoft.com/fwlink/?linkid=870924
Comment:
    For Baljit Kaur</t>
      </text>
    </comment>
    <comment ref="A585" authorId="16" shapeId="0" xr:uid="{034D100E-B539-4F73-B325-EF861ACC88DE}">
      <text>
        <t>[Threaded comment]
Your version of Excel allows you to read this threaded comment; however, any edits to it will get removed if the file is opened in a newer version of Excel. Learn more: https://go.microsoft.com/fwlink/?linkid=870924
Comment:
    Kenneth Abarra</t>
      </text>
    </comment>
    <comment ref="A588" authorId="1" shapeId="0" xr:uid="{B26767B6-529B-44BF-9EE5-42B1EEDC6883}">
      <text>
        <r>
          <rPr>
            <b/>
            <sz val="9"/>
            <color indexed="81"/>
            <rFont val="Tahoma"/>
            <family val="2"/>
          </rPr>
          <t>Bergel Sarenas:</t>
        </r>
        <r>
          <rPr>
            <sz val="9"/>
            <color indexed="81"/>
            <rFont val="Tahoma"/>
            <family val="2"/>
          </rPr>
          <t xml:space="preserve">
Nagtatagalog</t>
        </r>
      </text>
    </comment>
    <comment ref="A652" authorId="17" shapeId="0" xr:uid="{07FE8577-4F29-4D71-A3C3-49C849241644}">
      <text>
        <t>[Threaded comment]
Your version of Excel allows you to read this threaded comment; however, any edits to it will get removed if the file is opened in a newer version of Excel. Learn more: https://go.microsoft.com/fwlink/?linkid=870924
Comment:
    Bartender</t>
      </text>
    </comment>
    <comment ref="A653" authorId="18" shapeId="0" xr:uid="{264868B4-B3B9-49C1-9193-4A4E0D729ADE}">
      <text>
        <t>[Threaded comment]
Your version of Excel allows you to read this threaded comment; however, any edits to it will get removed if the file is opened in a newer version of Excel. Learn more: https://go.microsoft.com/fwlink/?linkid=870924
Comment:
    Darran Server</t>
      </text>
    </comment>
    <comment ref="A659" authorId="19" shapeId="0" xr:uid="{9264375B-B62B-4F52-A3D3-5D844AB3C48A}">
      <text>
        <t>[Threaded comment]
Your version of Excel allows you to read this threaded comment; however, any edits to it will get removed if the file is opened in a newer version of Excel. Learn more: https://go.microsoft.com/fwlink/?linkid=870924
Comment:
    Eduardo</t>
      </text>
    </comment>
    <comment ref="A669" authorId="20" shapeId="0" xr:uid="{44626DBA-0AB5-4051-B736-5678FE92F9BA}">
      <text>
        <t>[Threaded comment]
Your version of Excel allows you to read this threaded comment; however, any edits to it will get removed if the file is opened in a newer version of Excel. Learn more: https://go.microsoft.com/fwlink/?linkid=870924
Comment:
    Frances Danielle</t>
      </text>
    </comment>
    <comment ref="A706" authorId="21" shapeId="0" xr:uid="{DD058897-9A19-4D2B-A5E9-CEE3A66B1B91}">
      <text>
        <t>[Threaded comment]
Your version of Excel allows you to read this threaded comment; however, any edits to it will get removed if the file is opened in a newer version of Excel. Learn more: https://go.microsoft.com/fwlink/?linkid=870924
Comment:
    Bartender</t>
      </text>
    </comment>
    <comment ref="A707" authorId="22" shapeId="0" xr:uid="{5CAE46FA-ED24-47E1-BDE4-FCA4E899F834}">
      <text>
        <t>[Threaded comment]
Your version of Excel allows you to read this threaded comment; however, any edits to it will get removed if the file is opened in a newer version of Excel. Learn more: https://go.microsoft.com/fwlink/?linkid=870924
Comment:
    server</t>
      </text>
    </comment>
    <comment ref="A724" authorId="23" shapeId="0" xr:uid="{CC557F1B-C67C-458E-93C2-A99C41FFC616}">
      <text>
        <t>[Threaded comment]
Your version of Excel allows you to read this threaded comment; however, any edits to it will get removed if the file is opened in a newer version of Excel. Learn more: https://go.microsoft.com/fwlink/?linkid=870924
Comment:
    Kenneth Abarra</t>
      </text>
    </comment>
    <comment ref="A728" authorId="24" shapeId="0" xr:uid="{E725C439-FB3B-4D5A-A17E-B47CFBDBB166}">
      <text>
        <t>[Threaded comment]
Your version of Excel allows you to read this threaded comment; however, any edits to it will get removed if the file is opened in a newer version of Excel. Learn more: https://go.microsoft.com/fwlink/?linkid=870924
Comment:
    Frances Danielle</t>
      </text>
    </comment>
    <comment ref="A746" authorId="1" shapeId="0" xr:uid="{3A8675B2-0E8B-41C2-8B4E-58416D23FAC6}">
      <text>
        <r>
          <rPr>
            <b/>
            <sz val="9"/>
            <color indexed="81"/>
            <rFont val="Tahoma"/>
            <family val="2"/>
          </rPr>
          <t>Bergel Sarenas:</t>
        </r>
        <r>
          <rPr>
            <sz val="9"/>
            <color indexed="81"/>
            <rFont val="Tahoma"/>
            <family val="2"/>
          </rPr>
          <t xml:space="preserve">
Bartender</t>
        </r>
      </text>
    </comment>
    <comment ref="A747" authorId="1" shapeId="0" xr:uid="{8849026B-3AEB-4B13-9F8A-F6CE5A5342FD}">
      <text>
        <r>
          <rPr>
            <b/>
            <sz val="9"/>
            <color indexed="81"/>
            <rFont val="Tahoma"/>
            <family val="2"/>
          </rPr>
          <t>Bergel Sarenas:</t>
        </r>
        <r>
          <rPr>
            <sz val="9"/>
            <color indexed="81"/>
            <rFont val="Tahoma"/>
            <family val="2"/>
          </rPr>
          <t xml:space="preserve">
Server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Kirsten MMJ</author>
    <author>tc={6D2FA848-21A3-41FD-9FAC-D7CB476B8603}</author>
    <author>tc={87AD6D63-88AA-4D87-8D0C-8E11116E95A1}</author>
  </authors>
  <commentList>
    <comment ref="S7" authorId="0" shapeId="0" xr:uid="{9C6AA586-0324-43D3-8461-830FE2638C86}">
      <text>
        <r>
          <rPr>
            <b/>
            <sz val="9"/>
            <color indexed="81"/>
            <rFont val="Tahoma"/>
            <family val="2"/>
          </rPr>
          <t>Kirsten MMJ:</t>
        </r>
        <r>
          <rPr>
            <sz val="9"/>
            <color indexed="81"/>
            <rFont val="Tahoma"/>
            <family val="2"/>
          </rPr>
          <t xml:space="preserve">
October 3
</t>
        </r>
      </text>
    </comment>
    <comment ref="AD114" authorId="1" shapeId="0" xr:uid="{6D2FA848-21A3-41FD-9FAC-D7CB476B8603}">
      <text>
        <t>[Threaded comment]
Your version of Excel allows you to read this threaded comment; however, any edits to it will get removed if the file is opened in a newer version of Excel. Learn more: https://go.microsoft.com/fwlink/?linkid=870924
Comment:
    Riza</t>
      </text>
    </comment>
    <comment ref="G240" authorId="2" shapeId="0" xr:uid="{87AD6D63-88AA-4D87-8D0C-8E11116E95A1}">
      <text>
        <t>[Threaded comment]
Your version of Excel allows you to read this threaded comment; however, any edits to it will get removed if the file is opened in a newer version of Excel. Learn more: https://go.microsoft.com/fwlink/?linkid=870924
Comment:
    For Naneth</t>
      </text>
    </comment>
    <comment ref="Q259" authorId="0" shapeId="0" xr:uid="{4A4B9FA7-2904-4F2C-9324-60D5F1C15725}">
      <text>
        <r>
          <rPr>
            <b/>
            <sz val="9"/>
            <color indexed="81"/>
            <rFont val="Tahoma"/>
            <family val="2"/>
          </rPr>
          <t>Kirsten MMJ:</t>
        </r>
        <r>
          <rPr>
            <sz val="9"/>
            <color indexed="81"/>
            <rFont val="Tahoma"/>
            <family val="2"/>
          </rPr>
          <t xml:space="preserve">
for Oct 11</t>
        </r>
      </text>
    </comment>
    <comment ref="R259" authorId="0" shapeId="0" xr:uid="{5BF3B8C2-3887-4096-8BAC-FD341B33C9A0}">
      <text>
        <r>
          <rPr>
            <b/>
            <sz val="9"/>
            <color indexed="81"/>
            <rFont val="Tahoma"/>
            <family val="2"/>
          </rPr>
          <t>Kirsten MMJ:</t>
        </r>
        <r>
          <rPr>
            <sz val="9"/>
            <color indexed="81"/>
            <rFont val="Tahoma"/>
            <family val="2"/>
          </rPr>
          <t xml:space="preserve">
for Oct 22</t>
        </r>
      </text>
    </comment>
    <comment ref="AE259" authorId="0" shapeId="0" xr:uid="{BA3AF9A1-2BC1-403C-80B2-A4BED5F6922E}">
      <text>
        <r>
          <rPr>
            <b/>
            <sz val="9"/>
            <color indexed="81"/>
            <rFont val="Tahoma"/>
            <family val="2"/>
          </rPr>
          <t>Kirsten MMJ:</t>
        </r>
        <r>
          <rPr>
            <sz val="9"/>
            <color indexed="81"/>
            <rFont val="Tahoma"/>
            <family val="2"/>
          </rPr>
          <t xml:space="preserve">
for Oct 11</t>
        </r>
      </text>
    </comment>
    <comment ref="AI259" authorId="0" shapeId="0" xr:uid="{63B3474E-DAD4-496E-B891-F1E9FBCFB864}">
      <text>
        <r>
          <rPr>
            <b/>
            <sz val="9"/>
            <color indexed="81"/>
            <rFont val="Tahoma"/>
            <family val="2"/>
          </rPr>
          <t>Kirsten MMJ:</t>
        </r>
        <r>
          <rPr>
            <sz val="9"/>
            <color indexed="81"/>
            <rFont val="Tahoma"/>
            <family val="2"/>
          </rPr>
          <t xml:space="preserve">
for Oct 22</t>
        </r>
      </text>
    </comment>
    <comment ref="AL259" authorId="0" shapeId="0" xr:uid="{ACA34001-3301-4B1E-8B56-26FDF54EC85B}">
      <text>
        <r>
          <rPr>
            <b/>
            <sz val="9"/>
            <color indexed="81"/>
            <rFont val="Tahoma"/>
            <family val="2"/>
          </rPr>
          <t>Kirsten MMJ:</t>
        </r>
        <r>
          <rPr>
            <sz val="9"/>
            <color indexed="81"/>
            <rFont val="Tahoma"/>
            <family val="2"/>
          </rPr>
          <t xml:space="preserve">
for Oct 11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Bergel Sarenas</author>
  </authors>
  <commentList>
    <comment ref="AE9" authorId="0" shapeId="0" xr:uid="{16475A8B-54B0-4C0A-8F99-A53F445BA1C1}">
      <text>
        <r>
          <rPr>
            <b/>
            <sz val="9"/>
            <color indexed="81"/>
            <rFont val="Tahoma"/>
            <family val="2"/>
          </rPr>
          <t>Bergel Sarenas:</t>
        </r>
        <r>
          <rPr>
            <sz val="9"/>
            <color indexed="81"/>
            <rFont val="Tahoma"/>
            <family val="2"/>
          </rPr>
          <t xml:space="preserve">
Last day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Office MMJ</author>
  </authors>
  <commentList>
    <comment ref="A1" authorId="0" shapeId="0" xr:uid="{6052C314-2EC5-4A03-8FF6-44953F54D430}">
      <text>
        <r>
          <rPr>
            <b/>
            <sz val="9"/>
            <color indexed="81"/>
            <rFont val="Tahoma"/>
            <family val="2"/>
          </rPr>
          <t>Office MMJ:</t>
        </r>
        <r>
          <rPr>
            <sz val="9"/>
            <color indexed="81"/>
            <rFont val="Tahoma"/>
            <family val="2"/>
          </rPr>
          <t xml:space="preserve">
Preserve the format
Formula on Cells Z1 and Z2
Accepted:
PAY PERIOD October 6 - 19, 2025
PAY PERIOD October 20 - November 2, 2025</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Wojtek Szamra</author>
  </authors>
  <commentList>
    <comment ref="E24" authorId="0" shapeId="0" xr:uid="{00000000-0006-0000-0900-000001000000}">
      <text>
        <r>
          <rPr>
            <b/>
            <sz val="9"/>
            <rFont val="Tahoma"/>
            <family val="2"/>
          </rPr>
          <t>1200 semi-monthly
2400 monthly</t>
        </r>
      </text>
    </comment>
    <comment ref="E79" authorId="0" shapeId="0" xr:uid="{00000000-0006-0000-0900-000002000000}">
      <text>
        <r>
          <rPr>
            <b/>
            <sz val="9"/>
            <rFont val="Tahoma"/>
            <family val="2"/>
          </rPr>
          <t>1200 semi-monthly
2400 monthly</t>
        </r>
      </text>
    </comment>
    <comment ref="E112" authorId="0" shapeId="0" xr:uid="{00000000-0006-0000-0900-000003000000}">
      <text>
        <r>
          <rPr>
            <b/>
            <sz val="9"/>
            <rFont val="Tahoma"/>
            <family val="2"/>
          </rPr>
          <t>400 bi weekly
800 monthly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<sst xmlns="http://schemas.openxmlformats.org/spreadsheetml/2006/main" count="21063" uniqueCount="7458">
  <si>
    <t>HOURS</t>
  </si>
  <si>
    <t>TYPE</t>
  </si>
  <si>
    <t>RATE</t>
  </si>
  <si>
    <t>GROSS</t>
  </si>
  <si>
    <t>NET</t>
  </si>
  <si>
    <t>Carry Over (June 15-28)</t>
  </si>
  <si>
    <t>Carry Over (June 29 - July 12)</t>
  </si>
  <si>
    <t>Carry Over (July 13 - 26)</t>
  </si>
  <si>
    <t>Carry Over (July 27 - Aug 9)</t>
  </si>
  <si>
    <t>Carry Over (Aug 10 - 23) SKYWARD</t>
  </si>
  <si>
    <r>
      <t xml:space="preserve">Carry Over (Aug 10 - 23) </t>
    </r>
    <r>
      <rPr>
        <sz val="11"/>
        <color rgb="FFFF0000"/>
        <rFont val="Calibri"/>
        <family val="2"/>
        <scheme val="minor"/>
      </rPr>
      <t>SKYWARD</t>
    </r>
  </si>
  <si>
    <t>Skyward Building</t>
  </si>
  <si>
    <t>Hours</t>
  </si>
  <si>
    <t>Marjorie Kae Sarenas</t>
  </si>
  <si>
    <t>PAYROLL</t>
  </si>
  <si>
    <t>CAE</t>
  </si>
  <si>
    <t>Pauline Patterson</t>
  </si>
  <si>
    <t>RADISSON (55 HALLCROWN PL, NORTH YORK)</t>
  </si>
  <si>
    <t>Cesia Priscila Ramos Pozo</t>
  </si>
  <si>
    <t>TOTAL</t>
  </si>
  <si>
    <t>Best Western Plus Scarborough (38 Estate Dr)</t>
  </si>
  <si>
    <t>Penina Nyanchoka Mang'era</t>
  </si>
  <si>
    <t>SUBCON</t>
  </si>
  <si>
    <t>BEST WESTERN PLUS (38 ESTATE DR, SCARBOROUGH)</t>
  </si>
  <si>
    <t>Best Western Plus Scarborough (38 Estate Dr) TOTAL:</t>
  </si>
  <si>
    <t>BEST WESTERN PLUS OTTAWA (1876 ROBERTSON RD)</t>
  </si>
  <si>
    <t>Maple Hotels</t>
  </si>
  <si>
    <t>Sunshine Padilla Rebadulla (Printed on Monthly)</t>
  </si>
  <si>
    <t>Maple Hotels TOTAL:</t>
  </si>
  <si>
    <t>Sheraton Four Points Cambridge (210 Preston Pkwy)</t>
  </si>
  <si>
    <t>Joshua Agorilla</t>
  </si>
  <si>
    <t>Aakash</t>
  </si>
  <si>
    <t>Meet Vanraj Mahida</t>
  </si>
  <si>
    <t>Satnam Singh</t>
  </si>
  <si>
    <t>Sukhjot Singh</t>
  </si>
  <si>
    <t>Rahul</t>
  </si>
  <si>
    <t>Sukhjot Singh K</t>
  </si>
  <si>
    <t>Gurbeer</t>
  </si>
  <si>
    <t>Holiday Inn Express Woodstock (510 Norwich Ave)</t>
  </si>
  <si>
    <t>Michelle Enriquez</t>
  </si>
  <si>
    <t>Angel Ellan</t>
  </si>
  <si>
    <t>Menandro</t>
  </si>
  <si>
    <t>DELTA TORONTO EAST (2035 SCARBOROUGH)</t>
  </si>
  <si>
    <t>Herbert</t>
  </si>
  <si>
    <t>Holiday Inn Express Woodstock (510 Norwich Ave) TOTAL:</t>
  </si>
  <si>
    <t>Merland Park Cottages (12488 Loyalist Pkwy)</t>
  </si>
  <si>
    <t>Richard Canillas</t>
  </si>
  <si>
    <t>Jeffrey</t>
  </si>
  <si>
    <t>Rita Shalimar C. Aradillos</t>
  </si>
  <si>
    <t>Gurpreet</t>
  </si>
  <si>
    <t>Dikaran</t>
  </si>
  <si>
    <t>Merland Park Cottages (12488 Loyalist Pkwy) TOTAL:</t>
  </si>
  <si>
    <t>Tru by Hilton Bracebridge (320 Taylor Rd, Bracebridge)</t>
  </si>
  <si>
    <t>Armando</t>
  </si>
  <si>
    <t>Shirley</t>
  </si>
  <si>
    <t>Home 2 by Hilton Woodstock (527 Lampman Pl)</t>
  </si>
  <si>
    <t>Catherine Martin</t>
  </si>
  <si>
    <t>Jonervin Agustin</t>
  </si>
  <si>
    <t>Dhruvkumar Harshadkumar Patel</t>
  </si>
  <si>
    <t>Sukhjivan Singh</t>
  </si>
  <si>
    <t>Harkirat Singh</t>
  </si>
  <si>
    <t>Gagandeep Singh</t>
  </si>
  <si>
    <t>Casey Alexis Rapisura</t>
  </si>
  <si>
    <t>Azubike Emmanuel Eloka</t>
  </si>
  <si>
    <t>Home 2 by Hilton Woodstock (527 Lampman Pl) TOTAL:</t>
  </si>
  <si>
    <t>COURTYARD MISSISSAUGA WEST (290 DERRY ROAD W)</t>
  </si>
  <si>
    <t>Quality Inn &amp; Suites Regina Downtown (1907 11th Ave)</t>
  </si>
  <si>
    <t>Harsh Vyas</t>
  </si>
  <si>
    <t>Jenny Lyn Garcia Galapia (Paid)</t>
  </si>
  <si>
    <t>Anastasiia Rostovtseva</t>
  </si>
  <si>
    <t>Omoyele Oluwatimilehen Success</t>
  </si>
  <si>
    <t>Adwoa</t>
  </si>
  <si>
    <t>Hidden Valley Resort Muskoka (1755 Valley Rd)</t>
  </si>
  <si>
    <t>Armstrong (HK)</t>
  </si>
  <si>
    <t>Carl</t>
  </si>
  <si>
    <t>Flordelyn (HK)</t>
  </si>
  <si>
    <t>Gabriel</t>
  </si>
  <si>
    <t>Gerald</t>
  </si>
  <si>
    <t>Jan Mayckie</t>
  </si>
  <si>
    <t>Jennylyn Ceniza</t>
  </si>
  <si>
    <t>Mark G</t>
  </si>
  <si>
    <t>Noralyn</t>
  </si>
  <si>
    <t>Sheila/Rey</t>
  </si>
  <si>
    <t>Wilson</t>
  </si>
  <si>
    <t>Carl 
M</t>
  </si>
  <si>
    <t>Flor M</t>
  </si>
  <si>
    <t>Gerald 
M</t>
  </si>
  <si>
    <t>Nelson M</t>
  </si>
  <si>
    <t>Armstrong (Cook)</t>
  </si>
  <si>
    <t>Flordelyn (Cook)</t>
  </si>
  <si>
    <t>Flordelyn Kids Activity</t>
  </si>
  <si>
    <t>Noralyn Kids Activity</t>
  </si>
  <si>
    <t>BEST WESTERN PLUS MUSKOKA INN (86 HOWLAND DRIVE )</t>
  </si>
  <si>
    <t>Lyka</t>
  </si>
  <si>
    <t>Zayrah</t>
  </si>
  <si>
    <t>Spark by Hilton Woodstock (560 Norwich Ave)</t>
  </si>
  <si>
    <t>Veronica Wambo Mbugua</t>
  </si>
  <si>
    <t>Adejumo</t>
  </si>
  <si>
    <t>Dianne Grace Rimando</t>
  </si>
  <si>
    <t>Elvira Diolazo</t>
  </si>
  <si>
    <t>Ramanjeep Chauhan</t>
  </si>
  <si>
    <t>Susan Omoghene</t>
  </si>
  <si>
    <t>Jennifer Uson</t>
  </si>
  <si>
    <t>Joseph Daniel Manapsal</t>
  </si>
  <si>
    <t>Gautam Gurung</t>
  </si>
  <si>
    <t>Chali Rizal</t>
  </si>
  <si>
    <t>Voltaire John Buenaflor</t>
  </si>
  <si>
    <t>Julius Garcia</t>
  </si>
  <si>
    <t>Kafila</t>
  </si>
  <si>
    <t>Harpreet Harpreet</t>
  </si>
  <si>
    <t>Folashade Adekoya</t>
  </si>
  <si>
    <t>Santi Thapa</t>
  </si>
  <si>
    <t>Gurpreet K</t>
  </si>
  <si>
    <t>Isaac</t>
  </si>
  <si>
    <t>Manpreet Singh</t>
  </si>
  <si>
    <t>Parimal</t>
  </si>
  <si>
    <t>Sivakumar Vinoth</t>
  </si>
  <si>
    <t>Dionisio</t>
  </si>
  <si>
    <t>Woddy Rivera</t>
  </si>
  <si>
    <t>Elmer Delos Reyes</t>
  </si>
  <si>
    <t>Spark by Hilton Woodstock (560 Norwich Ave) TOTAL:</t>
  </si>
  <si>
    <t>DAYS INN OTTAWA - DOWNTOWN (319 RIDEAU ST)</t>
  </si>
  <si>
    <t>Connex</t>
  </si>
  <si>
    <t>Eunice</t>
  </si>
  <si>
    <t>Vanessa</t>
  </si>
  <si>
    <t>Etienne Maintenance</t>
  </si>
  <si>
    <t>Best Western Plus Ottawa (1876 Robertson Rd)</t>
  </si>
  <si>
    <t>COURTYARD AND TOWNEPLACE SUITES (1011 BLOOR ST E OSHAWA)</t>
  </si>
  <si>
    <t>Abdullahi Abdi Hirsi</t>
  </si>
  <si>
    <t>Binta</t>
  </si>
  <si>
    <t>Bernard</t>
  </si>
  <si>
    <t>Brenda</t>
  </si>
  <si>
    <t>Carive Dialakana Bahenga</t>
  </si>
  <si>
    <t>Claudine Uwituze</t>
  </si>
  <si>
    <t>Cleine</t>
  </si>
  <si>
    <t>Collins Darko Nimako</t>
  </si>
  <si>
    <t>DAYS INN OTTAWA WEST (350 MOODIE DR, OTTAWA)</t>
  </si>
  <si>
    <t>Christian Izuchukwu Osoagba</t>
  </si>
  <si>
    <t>Daisy Jerono Cheboswony</t>
  </si>
  <si>
    <t>Shedrack David Ifeanyi</t>
  </si>
  <si>
    <t>Daniel Aboagye</t>
  </si>
  <si>
    <t>EDWARD HOTEL (185 YORKLAND BLVD )</t>
  </si>
  <si>
    <t>Daniella Umutoni</t>
  </si>
  <si>
    <t>Elsie Ndobegang Zinkeng</t>
  </si>
  <si>
    <t>EXP CAMBRIDGE</t>
  </si>
  <si>
    <t>Teguetsop Doungue Elvéra Vivianie</t>
  </si>
  <si>
    <t>Imaculee</t>
  </si>
  <si>
    <t>Leilanie Marie Cariaga I</t>
  </si>
  <si>
    <t xml:space="preserve">Farel Manirakiza </t>
  </si>
  <si>
    <t>Fatouma Traore</t>
  </si>
  <si>
    <t>Franklyn Chukwunonye</t>
  </si>
  <si>
    <t>Gary Sales</t>
  </si>
  <si>
    <t>Cherrylaine  A. Sendin</t>
  </si>
  <si>
    <t>Freda Asumadu</t>
  </si>
  <si>
    <t>FAIRFIELD INN AND SUITES BRAMPTON (150 WESTCREEK BLVD)</t>
  </si>
  <si>
    <t>Hannah</t>
  </si>
  <si>
    <t>Hargor Roberto Ninziza</t>
  </si>
  <si>
    <t xml:space="preserve">Four Points 2180 Islington Ave </t>
  </si>
  <si>
    <t>Hursulla Camara Da Rocha (Front Desk)</t>
  </si>
  <si>
    <t>FOUR POINTS HAMILTON (49 GODERICH RD)</t>
  </si>
  <si>
    <t>Ibrahim Adebayo</t>
  </si>
  <si>
    <t>HILTON TORONTO - MARKHAM SUITES CONFERENCE CENTRE (8500 WARDEN)</t>
  </si>
  <si>
    <t>Isha Jallow</t>
  </si>
  <si>
    <t>James Mugume Rwerinyange</t>
  </si>
  <si>
    <t>Jordan Tsakou Kenne</t>
  </si>
  <si>
    <t>Joshua Ikeji</t>
  </si>
  <si>
    <t>Julien Vincent</t>
  </si>
  <si>
    <t>Nick Sutton</t>
  </si>
  <si>
    <t>Pauolo Popoola</t>
  </si>
  <si>
    <t>Ilka Ingabire Bukuru</t>
  </si>
  <si>
    <t>HOLIDAY INN  (3063 SOUTH SERVICE RD, BURLINGTON)</t>
  </si>
  <si>
    <t>Manuela Doloresse Njikam Nzeket</t>
  </si>
  <si>
    <t>HOLIDAY INN EXPRESS - RICHMOND HILL</t>
  </si>
  <si>
    <t>Nancy Andong</t>
  </si>
  <si>
    <t>Manuella</t>
  </si>
  <si>
    <t>Nonette Teta Shenge</t>
  </si>
  <si>
    <t>HOLIDAY INN EXPRESS (2125 NORTH SHERIDAN WAY)</t>
  </si>
  <si>
    <t>Nshimirimana Carine</t>
  </si>
  <si>
    <t>HOLIDAY INN EXPRESS (50 ESTATE DR SCARBOROUGH)</t>
  </si>
  <si>
    <t>Olga Uwikunze</t>
  </si>
  <si>
    <t xml:space="preserve">Ochiagha Sylvester Emenike </t>
  </si>
  <si>
    <t>HOMEWOOD SUITES AJAX</t>
  </si>
  <si>
    <t>Omowunmi Samuel</t>
  </si>
  <si>
    <t>Paxella Mizero</t>
  </si>
  <si>
    <t>Theodora Kevine Nana</t>
  </si>
  <si>
    <t>Rachel</t>
  </si>
  <si>
    <t>Ralph Batuamba-Ntumba</t>
  </si>
  <si>
    <t>Regine Akayezu</t>
  </si>
  <si>
    <t>Rehoboth Byiringiro</t>
  </si>
  <si>
    <t>Rita</t>
  </si>
  <si>
    <t>Rochell Ann Magtangobe</t>
  </si>
  <si>
    <t>Rosette</t>
  </si>
  <si>
    <t>Ishimwe Sarah</t>
  </si>
  <si>
    <t>Safia Benafsha Benafsha</t>
  </si>
  <si>
    <t>Sarah Nyanduko Ombui</t>
  </si>
  <si>
    <t>Sahi Salia</t>
  </si>
  <si>
    <t>Omolola Oyedoyin Sodimu</t>
  </si>
  <si>
    <t>Simon Waweru</t>
  </si>
  <si>
    <t>William Gateru Ngure</t>
  </si>
  <si>
    <t>Hyatt Place 5787 Hurontario St</t>
  </si>
  <si>
    <t>Yasin</t>
  </si>
  <si>
    <t>Lutaaya Douglas Ssenkungu</t>
  </si>
  <si>
    <t>KNIGHTS INN (22 METROPOLITAN RD, SCARBOROUGH)</t>
  </si>
  <si>
    <t>Best Western Plus Ottawa (1876 Robertson Rd) TOTAL:</t>
  </si>
  <si>
    <t>MCKESSON CANADA (665B Airport Road)</t>
  </si>
  <si>
    <t>PROGISTIX SOLUTIONS (99 SIGNET DRIVE NORTH YORK)</t>
  </si>
  <si>
    <t>Courtyard by Marriott Toronto Mississauga West (290 Derry Rd W)</t>
  </si>
  <si>
    <t>Amandeep Kaur</t>
  </si>
  <si>
    <t>RAMADA BY WYNDHAM - CORNWALL (805 BROOKDALE AVE)</t>
  </si>
  <si>
    <t>Baljit Kaur</t>
  </si>
  <si>
    <t>Cain Miro</t>
  </si>
  <si>
    <t>Chander</t>
  </si>
  <si>
    <t>RAMADA BY WYNDHAM - CORNWALL (805 BROOKDALE AVE) TOTAL:</t>
  </si>
  <si>
    <t>Damodar Dahal</t>
  </si>
  <si>
    <t>RAMADA-NIAGARA FALLS BY THE RIVER (4357)</t>
  </si>
  <si>
    <t>Davinder Singh</t>
  </si>
  <si>
    <t>Toronto Plaza Hotel (1677 Wilson Ave, North York)</t>
  </si>
  <si>
    <t>Emmanuel Ola Server</t>
  </si>
  <si>
    <t>Florie Mae G. Semblante N</t>
  </si>
  <si>
    <t>Florie Mae G. Semblante Y</t>
  </si>
  <si>
    <t>Fola (Server)</t>
  </si>
  <si>
    <t>Giovanni Genesis Dulay</t>
  </si>
  <si>
    <t>Harpreet Kaur</t>
  </si>
  <si>
    <t>Jamuna Gainju</t>
  </si>
  <si>
    <t>Jasbeer Kaur</t>
  </si>
  <si>
    <t>Jaswinder Kaur</t>
  </si>
  <si>
    <t>Jdeep</t>
  </si>
  <si>
    <t>Jenita Gill</t>
  </si>
  <si>
    <t>Jpreet</t>
  </si>
  <si>
    <t>Karan Pun Magar</t>
  </si>
  <si>
    <t>Kenneth A</t>
  </si>
  <si>
    <t>Komalpreet Kaur</t>
  </si>
  <si>
    <t>Labpreet Kaur</t>
  </si>
  <si>
    <t>Manjot Kaur</t>
  </si>
  <si>
    <t>Monia</t>
  </si>
  <si>
    <t>Naneth Miro</t>
  </si>
  <si>
    <t>Rajni Kaur</t>
  </si>
  <si>
    <t>Ranjit Singh</t>
  </si>
  <si>
    <t>Remelyn Romero</t>
  </si>
  <si>
    <t>Simranjit Kaur</t>
  </si>
  <si>
    <t>Sumanpreet Kaur</t>
  </si>
  <si>
    <t>Upasna Harish bhai Jat</t>
  </si>
  <si>
    <t>Vraj Soni</t>
  </si>
  <si>
    <t>Courtyard by Marriott Toronto Mississauga West (290 Derry Rd W) TOTAL:</t>
  </si>
  <si>
    <t>Courtyared and TownePlace Suites Oshawa (1011 Bloor St E)</t>
  </si>
  <si>
    <t>Emmanuel Owoichogbe Jesse</t>
  </si>
  <si>
    <t>Maliha John</t>
  </si>
  <si>
    <t>Madiha</t>
  </si>
  <si>
    <t>Johane</t>
  </si>
  <si>
    <t>Naveed John M</t>
  </si>
  <si>
    <t>Parneet Kaur</t>
  </si>
  <si>
    <t>Ruby Bernal Rh</t>
  </si>
  <si>
    <t>Ruby Bernal Ro</t>
  </si>
  <si>
    <t>Ruby Bernal M</t>
  </si>
  <si>
    <t>Sayeedah Hashimi</t>
  </si>
  <si>
    <t>Darran Larrance (Bartender)</t>
  </si>
  <si>
    <t>Ujunwa Okwuaka U (Bartender)</t>
  </si>
  <si>
    <t>Courtyared and TownePlace Suites Oshawa (1011 Bloor St E)TOTAL:</t>
  </si>
  <si>
    <t>Days Inn Ottawa West (350 Moodie Dr)</t>
  </si>
  <si>
    <t>Abidemi Tawakalit Olaore</t>
  </si>
  <si>
    <t>Irakoze Audreille</t>
  </si>
  <si>
    <t>Azeez Abefe</t>
  </si>
  <si>
    <t>Binta Ngum</t>
  </si>
  <si>
    <t>Christopher</t>
  </si>
  <si>
    <t>Ishimwe Cleopatre Umuhire</t>
  </si>
  <si>
    <t>Deborah Akinola</t>
  </si>
  <si>
    <t>Doly Tatchou Djikemi</t>
  </si>
  <si>
    <t>Delphine AkimanIsha Tourayka</t>
  </si>
  <si>
    <t>Eduardo Abuel A</t>
  </si>
  <si>
    <t>Enny</t>
  </si>
  <si>
    <t>Emily Da Rocha</t>
  </si>
  <si>
    <t>Esther Suubi</t>
  </si>
  <si>
    <t>Eunice Ndinda Sammy</t>
  </si>
  <si>
    <t>Egdule Fannie Chinyere</t>
  </si>
  <si>
    <t>Earyl Kate Allan</t>
  </si>
  <si>
    <t>Sunshine Padilla Rebadulla</t>
  </si>
  <si>
    <t>Ilona Diandra Igiraneza</t>
  </si>
  <si>
    <t>Isha Touray</t>
  </si>
  <si>
    <t>Ishwori</t>
  </si>
  <si>
    <t>Jandira Vissolela Pedro da Costa E</t>
  </si>
  <si>
    <t>Jasmine</t>
  </si>
  <si>
    <t>Julien</t>
  </si>
  <si>
    <t>Lawrencia</t>
  </si>
  <si>
    <t>Kevine</t>
  </si>
  <si>
    <t>Khaled Rugamba</t>
  </si>
  <si>
    <t>Laurie</t>
  </si>
  <si>
    <t>Leilanie Marie Cariaga G</t>
  </si>
  <si>
    <t>Marie</t>
  </si>
  <si>
    <t>Mbazumutima Dionne</t>
  </si>
  <si>
    <t>Nafisa Akter</t>
  </si>
  <si>
    <t>Nancy Oluchi Onuchukwu</t>
  </si>
  <si>
    <t>Nelly Njoki Githaiga</t>
  </si>
  <si>
    <t>Njong Precious Eghah</t>
  </si>
  <si>
    <t>Noela Lem Tala</t>
  </si>
  <si>
    <t xml:space="preserve">Nyinawase Merveille </t>
  </si>
  <si>
    <t>Ojo</t>
  </si>
  <si>
    <t>Olave Akundwe</t>
  </si>
  <si>
    <t xml:space="preserve">Onuchukwu Chidera </t>
  </si>
  <si>
    <t>Oyebola Oladoyin</t>
  </si>
  <si>
    <t>Pascaline</t>
  </si>
  <si>
    <t>Pedro Mago Sendon</t>
  </si>
  <si>
    <t>Rochell Ann Magtangob</t>
  </si>
  <si>
    <t>Roxette</t>
  </si>
  <si>
    <t>Safia Benafsha</t>
  </si>
  <si>
    <t>Stella Asong Nchonganyi</t>
  </si>
  <si>
    <t>Sohail Mohammed Abdul</t>
  </si>
  <si>
    <t>Tandi Suwaneh</t>
  </si>
  <si>
    <t>Ugochukwu Ogbuaku</t>
  </si>
  <si>
    <t>Vaida Awuor Ouma</t>
  </si>
  <si>
    <t>Pierre</t>
  </si>
  <si>
    <t>Abdulazis</t>
  </si>
  <si>
    <t>Yasin Touray</t>
  </si>
  <si>
    <t>Yvonne Wanjiru (HK)</t>
  </si>
  <si>
    <t>Yvonne Wanjiru (SV)</t>
  </si>
  <si>
    <t>Zita Charone Igihozo</t>
  </si>
  <si>
    <r>
      <t xml:space="preserve">Nataliia Halupa </t>
    </r>
    <r>
      <rPr>
        <sz val="16"/>
        <rFont val="Calibri"/>
        <family val="2"/>
      </rPr>
      <t>☆</t>
    </r>
  </si>
  <si>
    <t>Anna</t>
  </si>
  <si>
    <t>Daniel</t>
  </si>
  <si>
    <t>Divya</t>
  </si>
  <si>
    <t>Abdula</t>
  </si>
  <si>
    <t>Diego</t>
  </si>
  <si>
    <t>Days Inn Ottawa West (350 Moodie Dr) TOTAL:</t>
  </si>
  <si>
    <t>Delta Toronto East Scarborough (2035 Kennedy Rd)</t>
  </si>
  <si>
    <t>Dheeraj Kumar I</t>
  </si>
  <si>
    <t>Akin Babalola</t>
  </si>
  <si>
    <t>Amrinder Singh</t>
  </si>
  <si>
    <t>Jaimal Singh</t>
  </si>
  <si>
    <t>Jancel Gray Pineda</t>
  </si>
  <si>
    <t>Jasman</t>
  </si>
  <si>
    <t>Lynsey Joy Arbolado</t>
  </si>
  <si>
    <t>Parth Goswami</t>
  </si>
  <si>
    <t>Delta Toronto East Scarborough (2035 Kennedy Rd) TOTAL:</t>
  </si>
  <si>
    <t>Holiday Inn Express North York (30 Norfinch Dr)</t>
  </si>
  <si>
    <t>Klaudia Bodnar</t>
  </si>
  <si>
    <t>Mirasol</t>
  </si>
  <si>
    <t>Ester Omono</t>
  </si>
  <si>
    <t>Kamaljit</t>
  </si>
  <si>
    <t>DELTA HOTEL (50 E VALHALLA DR MARKHAM)</t>
  </si>
  <si>
    <t>Paxson Intal Figueroa</t>
  </si>
  <si>
    <t>Dheeraj Kumar</t>
  </si>
  <si>
    <t>Rohit Kumar</t>
  </si>
  <si>
    <t>DELTA HOTEL (50 E VALHALLA DR MARKHAM) TOTAL:</t>
  </si>
  <si>
    <t>Best Western Plus Travel Hotel Toronto Airport 5503 Eglinton Ave W, Etobicoke, ON M9C 5K5</t>
  </si>
  <si>
    <t>Jualyn Barbarona</t>
  </si>
  <si>
    <t>DELTA 2035 SCARBOROUGH TOTAL:</t>
  </si>
  <si>
    <t>Edward Hotel North York (185 Yorkland Blvd)</t>
  </si>
  <si>
    <t>Jacqueline Arethea Ford-Bah L</t>
  </si>
  <si>
    <t>Ariadne Huesca Medina A</t>
  </si>
  <si>
    <t>Lauren Plester M</t>
  </si>
  <si>
    <t>Madeline Simogan D</t>
  </si>
  <si>
    <t>Edward Hotel North York (185 Yorkland Blvd) TOTAL:</t>
  </si>
  <si>
    <t>Fairfield Inn and Suites Brampton (150 Westcreek Blvd)</t>
  </si>
  <si>
    <t>Fairfield Inn and Suites Brampton (150 Westcreek Blvd) TOTAL:</t>
  </si>
  <si>
    <t>Sheraton Four Points Toronto Airport East (2180 Islington Ave )</t>
  </si>
  <si>
    <t>Rijul Chauhan</t>
  </si>
  <si>
    <t>Sheraton Four Points Toronto Airport East (2180 Islington Ave ) TOTAL:</t>
  </si>
  <si>
    <t>Sheraton Four Points Hamilton (49 Goderich Rd)</t>
  </si>
  <si>
    <t>Ajay Kumar</t>
  </si>
  <si>
    <t>Balihang Rai</t>
  </si>
  <si>
    <t>BIsha Tourayl Gharti</t>
  </si>
  <si>
    <t>Elisa Malunay</t>
  </si>
  <si>
    <t>Jatin Kumar</t>
  </si>
  <si>
    <t>Jim Jazon Dabuyan</t>
  </si>
  <si>
    <t>Jonalyn Mercado J</t>
  </si>
  <si>
    <t>Jonalyn Mercado</t>
  </si>
  <si>
    <t>Lalit Khanal</t>
  </si>
  <si>
    <t>Mary Grace Seminiano R</t>
  </si>
  <si>
    <t>Mohit Gakhar</t>
  </si>
  <si>
    <t>Nikhil Ghimire</t>
  </si>
  <si>
    <t>Ridwan O. Abdulsalam</t>
  </si>
  <si>
    <t>RIsha Touraybh Kumar</t>
  </si>
  <si>
    <t>Jonalyn Mercado R</t>
  </si>
  <si>
    <t>Sabin Aryal</t>
  </si>
  <si>
    <t>Sachin Phago</t>
  </si>
  <si>
    <t>Suraj Paudel</t>
  </si>
  <si>
    <t>Pardip</t>
  </si>
  <si>
    <t>Sheraton Four Points Hamilton (49 Goderich Rd) TOTAL:</t>
  </si>
  <si>
    <t>Hilton Toronto Markham (8500 Warden Ave)</t>
  </si>
  <si>
    <t>Amrit</t>
  </si>
  <si>
    <t>Asmita Baral</t>
  </si>
  <si>
    <t>Cain Miro N</t>
  </si>
  <si>
    <t>Harjeet</t>
  </si>
  <si>
    <t>Harshdeep</t>
  </si>
  <si>
    <t>Hassen Abdela</t>
  </si>
  <si>
    <t>Joselito Jr Cajandig</t>
  </si>
  <si>
    <t>Joselito Jr Cajandig R</t>
  </si>
  <si>
    <t>Komalpreet</t>
  </si>
  <si>
    <t>Kosi</t>
  </si>
  <si>
    <t>Latifah Damilola Usman</t>
  </si>
  <si>
    <t>Maria Sydney Ortiz C</t>
  </si>
  <si>
    <t>Mark Villasis</t>
  </si>
  <si>
    <t>MC PAINTING (Delmi)</t>
  </si>
  <si>
    <t>MC PAINTING (Karen S)</t>
  </si>
  <si>
    <t>Namandeep</t>
  </si>
  <si>
    <t>Nancy Acen</t>
  </si>
  <si>
    <t>Pepito</t>
  </si>
  <si>
    <t>Princess Montemayor</t>
  </si>
  <si>
    <t>Ranjita</t>
  </si>
  <si>
    <t>Szilvia</t>
  </si>
  <si>
    <t>Titilope Esther Adekile</t>
  </si>
  <si>
    <t>Tunmise Imafidon</t>
  </si>
  <si>
    <t>Vikas Sohal</t>
  </si>
  <si>
    <t>Virgilio</t>
  </si>
  <si>
    <t>Vivek</t>
  </si>
  <si>
    <t>Hilton Toronto Markham (8500 Warden Ave) TOTAL:</t>
  </si>
  <si>
    <t>Holiday Inn Burlington (3063 S Service Rd)</t>
  </si>
  <si>
    <t>Arman Thind</t>
  </si>
  <si>
    <t>Binaya Gc</t>
  </si>
  <si>
    <t>Cyren Aljon Evasco</t>
  </si>
  <si>
    <t>Erika</t>
  </si>
  <si>
    <t>Esther</t>
  </si>
  <si>
    <t>Filipina</t>
  </si>
  <si>
    <t>Gouri</t>
  </si>
  <si>
    <t>Heintje Dilag</t>
  </si>
  <si>
    <t>Jerome Mendoza</t>
  </si>
  <si>
    <t>Joselito Jr Cajandig (Deep Cleaning)</t>
  </si>
  <si>
    <t>Joselito Jr Cajandig J</t>
  </si>
  <si>
    <t>Julie Jane Pamunag</t>
  </si>
  <si>
    <t>Karan Khatri</t>
  </si>
  <si>
    <t>Mannat Badhan</t>
  </si>
  <si>
    <t>Maria Rossana Tolosa (for Aeron)</t>
  </si>
  <si>
    <t>Munjal Ashokkumar Chauhan</t>
  </si>
  <si>
    <t>Prabhjot Kaur</t>
  </si>
  <si>
    <t>Prabin Pariyar</t>
  </si>
  <si>
    <t>Pranoj Ranjit</t>
  </si>
  <si>
    <t>Samir Neupane</t>
  </si>
  <si>
    <t>Sanjaya Nepala</t>
  </si>
  <si>
    <t>Saroj Sharma Subedi</t>
  </si>
  <si>
    <t>Shahbaz Ahmad</t>
  </si>
  <si>
    <t>Spandan Kafle</t>
  </si>
  <si>
    <t>Upasna Harish Bhai Jat</t>
  </si>
  <si>
    <t>Varkha</t>
  </si>
  <si>
    <t>Will be paid monthly</t>
  </si>
  <si>
    <t>Zeel Patel</t>
  </si>
  <si>
    <t xml:space="preserve">Holiday Inn Burlington (3063 S Service Rd) TOTAL: </t>
  </si>
  <si>
    <t>The City View Inn (1400 Plains Rd W, Burlington, ON L7T 1H6)</t>
  </si>
  <si>
    <t>Jerome</t>
  </si>
  <si>
    <t>Amandeep</t>
  </si>
  <si>
    <t>Stratford (Shaund Gupta's Mother in Law house cleaning)</t>
  </si>
  <si>
    <t>Julie Jane</t>
  </si>
  <si>
    <t>Holiday Inn Express Richmond Hill (10 East Pearce St)</t>
  </si>
  <si>
    <t>Andrew Verches</t>
  </si>
  <si>
    <t>Bansi</t>
  </si>
  <si>
    <t>Henry Guisalta I</t>
  </si>
  <si>
    <t>Denise</t>
  </si>
  <si>
    <t>Melissa P. Agbanlog J</t>
  </si>
  <si>
    <t>Ke-ann Olarte</t>
  </si>
  <si>
    <t>Monia Monia</t>
  </si>
  <si>
    <t>Princess Mae Domingo</t>
  </si>
  <si>
    <t>Sarah Ayantola</t>
  </si>
  <si>
    <t>Holiday Inn Express Richmond Hill (10 East Pearce St) TOTAL:</t>
  </si>
  <si>
    <t>Holiday Inn Express &amp; Suites Collingwood (500 Hume St, Collingwood, ON L9Y 4H8)</t>
  </si>
  <si>
    <t>Macylyn (Paid)</t>
  </si>
  <si>
    <t>Sheraton Four Points Vaughan (3400 Steeles Ave W)</t>
  </si>
  <si>
    <t>Sonia Dailay</t>
  </si>
  <si>
    <t>Sonia Dailay (John)</t>
  </si>
  <si>
    <t>Sonia Dailay (Ian)</t>
  </si>
  <si>
    <t>Holiday Inn Express Mississauga (2125 N Sheridan W)</t>
  </si>
  <si>
    <t>Aldrin</t>
  </si>
  <si>
    <t>Anastasia Esguerra</t>
  </si>
  <si>
    <t>Ansherina Orda</t>
  </si>
  <si>
    <t>Aman Tiwana</t>
  </si>
  <si>
    <t>Navneet Singh Lotey</t>
  </si>
  <si>
    <t>Danica Lauzon K</t>
  </si>
  <si>
    <t>Elo Akpoiroro</t>
  </si>
  <si>
    <t>Hameen</t>
  </si>
  <si>
    <t>Harshdeep Singh</t>
  </si>
  <si>
    <t>Gurpinder Kaur</t>
  </si>
  <si>
    <t>Ishpreet Kaur</t>
  </si>
  <si>
    <t>Joselito Jr Cajandig Mark Jan</t>
  </si>
  <si>
    <t>Karan Maheriya</t>
  </si>
  <si>
    <t>Khristine Nicole Alcantara</t>
  </si>
  <si>
    <t>Madhur Manocha</t>
  </si>
  <si>
    <t>Mark V</t>
  </si>
  <si>
    <t>Merxedes</t>
  </si>
  <si>
    <t>MC PAINTING AND CLEANING SERVICES (Catherine)</t>
  </si>
  <si>
    <t>MC PAINTING AND CLEANING SERVICES (Yohanny)</t>
  </si>
  <si>
    <t>Myriam Laus</t>
  </si>
  <si>
    <t>Navneet Kaur</t>
  </si>
  <si>
    <t>Pardeep Singh Saini</t>
  </si>
  <si>
    <t>Simranjot Kaur</t>
  </si>
  <si>
    <t>Narvin Tulang N</t>
  </si>
  <si>
    <t>Holiday Inn Express Mississauga (2125 N Sheridan W) TOTAL:</t>
  </si>
  <si>
    <t>Holiday Inn Express Toronto East (50 Estate Dr)</t>
  </si>
  <si>
    <t>Alejandra Cristina Lugo Martinez</t>
  </si>
  <si>
    <t>Smile Sahotra</t>
  </si>
  <si>
    <t>Akin</t>
  </si>
  <si>
    <t>Holiday Inn Express Toronto East (50 Estate Dr) TOTAL:</t>
  </si>
  <si>
    <t>Comfort Inn &amp; Suites Ingersoll</t>
  </si>
  <si>
    <t>Gagandeep - Kulwant</t>
  </si>
  <si>
    <t>Gagandeep - Makhan</t>
  </si>
  <si>
    <t>Gagandeep - Ram Krishan</t>
  </si>
  <si>
    <t>Gagandeep - Jaswinder</t>
  </si>
  <si>
    <t>Gagandeep - Sahib</t>
  </si>
  <si>
    <t>Hyatt Place Mississauga (5787 Hurontario St)</t>
  </si>
  <si>
    <t>Arman</t>
  </si>
  <si>
    <t>Arshdeep</t>
  </si>
  <si>
    <t>Arvin Bautista</t>
  </si>
  <si>
    <t>Baldeep Singh Baring R</t>
  </si>
  <si>
    <t>Cain</t>
  </si>
  <si>
    <t>Cora</t>
  </si>
  <si>
    <t>Darran Larrance (Server)</t>
  </si>
  <si>
    <t>Dennis Marquez</t>
  </si>
  <si>
    <t>Eduard</t>
  </si>
  <si>
    <t>Elo</t>
  </si>
  <si>
    <t>Emilio Libao G</t>
  </si>
  <si>
    <t>Emilio Libao M</t>
  </si>
  <si>
    <t>Gagandeep</t>
  </si>
  <si>
    <t>Ishpreet</t>
  </si>
  <si>
    <t>Ivy Mendoza</t>
  </si>
  <si>
    <t>Jagdeep</t>
  </si>
  <si>
    <t>Jamie Narvaez</t>
  </si>
  <si>
    <t>Jamie Narvaez E</t>
  </si>
  <si>
    <t>Jamie Narvaez J</t>
  </si>
  <si>
    <t>Jamie Narvaez K</t>
  </si>
  <si>
    <t>Jamie Narvaez L</t>
  </si>
  <si>
    <t>Jamie Narvaez M</t>
  </si>
  <si>
    <t>Jamie Narvaez O</t>
  </si>
  <si>
    <t>Jamie Narvaez R</t>
  </si>
  <si>
    <t>Jamie Narvaez T</t>
  </si>
  <si>
    <t>Jasnoor</t>
  </si>
  <si>
    <t>Jenita</t>
  </si>
  <si>
    <t>Jitesh Kumar (Server)</t>
  </si>
  <si>
    <t>Joan</t>
  </si>
  <si>
    <t>John Simon Ruiz</t>
  </si>
  <si>
    <t>Joy Unekhoria</t>
  </si>
  <si>
    <t>Kathryn</t>
  </si>
  <si>
    <t>Kenneth Abarra</t>
  </si>
  <si>
    <t>Kenneth Baruelo</t>
  </si>
  <si>
    <t>Khristine</t>
  </si>
  <si>
    <t>Khushi Kafle (Bartender)</t>
  </si>
  <si>
    <t>Khushi Kafle (Server)</t>
  </si>
  <si>
    <t>Khushpreet</t>
  </si>
  <si>
    <t>Kirti</t>
  </si>
  <si>
    <t>Manjot Klair</t>
  </si>
  <si>
    <t>Manpreet Kaur</t>
  </si>
  <si>
    <t>Manveer Kaur</t>
  </si>
  <si>
    <t>Mark Jan</t>
  </si>
  <si>
    <t>Mc Donald Figuerres</t>
  </si>
  <si>
    <t>Modassar</t>
  </si>
  <si>
    <t>Mungere</t>
  </si>
  <si>
    <t>Naaagnas</t>
  </si>
  <si>
    <t>Nabagala Viviannie Carolyne</t>
  </si>
  <si>
    <t>Parul</t>
  </si>
  <si>
    <t>Pawandeep Sharma</t>
  </si>
  <si>
    <t>Reyzelyn Villanueva (for Julius Fulo)</t>
  </si>
  <si>
    <t>RIsha Touraybh Bumb (Server)</t>
  </si>
  <si>
    <t>Rita Aladi</t>
  </si>
  <si>
    <t>Rizalina</t>
  </si>
  <si>
    <t>Rut</t>
  </si>
  <si>
    <t>Sangeet</t>
  </si>
  <si>
    <t>Shivam Sood</t>
  </si>
  <si>
    <t>Smile</t>
  </si>
  <si>
    <t>Sonu</t>
  </si>
  <si>
    <t>Upasna</t>
  </si>
  <si>
    <t>Walter</t>
  </si>
  <si>
    <t>Willer</t>
  </si>
  <si>
    <t>Zeel Alpeshbhai Patel</t>
  </si>
  <si>
    <t>Jitesh Kumar (Bartender)</t>
  </si>
  <si>
    <t>RIsha Touraybh Bumb (Bartender)</t>
  </si>
  <si>
    <t>Roshana Jade McLeod (Bartender)</t>
  </si>
  <si>
    <t>Uwayemen (Bartender)</t>
  </si>
  <si>
    <t>Hyatt Place Mississauga (5787 Hurontario St) TOTAL:</t>
  </si>
  <si>
    <t>Knights Inn Toronto East (22 Metropolitan)</t>
  </si>
  <si>
    <t>Knights Inn Toronto East (22 Metropolitan)TOTAL:</t>
  </si>
  <si>
    <t>Chatham Kent</t>
  </si>
  <si>
    <t>Asmita</t>
  </si>
  <si>
    <t>MC PAINTING AND CLEANING SERVICES (Delmi)</t>
  </si>
  <si>
    <t>Evelyn Ogbegie</t>
  </si>
  <si>
    <t>Glenn</t>
  </si>
  <si>
    <t>MC PAINTING AND CLEANING SERVICES (Karen Vera)</t>
  </si>
  <si>
    <t>Khushdeep</t>
  </si>
  <si>
    <t>MC PAINTING AND CLEANING SERVICES (Mercedes)</t>
  </si>
  <si>
    <t>Namandeep Kaur</t>
  </si>
  <si>
    <t>Riza</t>
  </si>
  <si>
    <t>Rodel Santos</t>
  </si>
  <si>
    <t>Rupinder Singh</t>
  </si>
  <si>
    <t>Virgelio Magna</t>
  </si>
  <si>
    <t>Vivek Dahiya</t>
  </si>
  <si>
    <t>MC PAINTING AND CLEANING SERVICES (Yaime Aguerro)</t>
  </si>
  <si>
    <t>Radisson Toronto East (55 Hallcrown Pl)</t>
  </si>
  <si>
    <t>Diana Laura Priego Jimenez</t>
  </si>
  <si>
    <t>Ivan Sicat I</t>
  </si>
  <si>
    <t>Jonas Layug Macaspac</t>
  </si>
  <si>
    <t>José Antonio Martínez Rodríguez</t>
  </si>
  <si>
    <t>Manuel Alejandro Uribe Adame</t>
  </si>
  <si>
    <t>Radisson Toronto East (55 Hallcrown Pl) TOTAL:</t>
  </si>
  <si>
    <t>Ramada by Wyndham Cornwall (805 Brookdale Ave)</t>
  </si>
  <si>
    <t>Esau Miguel J. Bernardo</t>
  </si>
  <si>
    <t>Ramada by Wyndham Cornwall (805 Brookdale Ave) TOTAL:</t>
  </si>
  <si>
    <t>9422-9788 Quebec Inc (Monica Gupta)</t>
  </si>
  <si>
    <t>Ethel Ysabelle Delos Reyes</t>
  </si>
  <si>
    <t>Quality Inn (279 Erie St S, Leamington, ON N8H 3C4)</t>
  </si>
  <si>
    <t>Mahiben Vasantkumar Prajapati</t>
  </si>
  <si>
    <t>Hampton Inn Midland (877 King St)</t>
  </si>
  <si>
    <t>Ankit</t>
  </si>
  <si>
    <t>Abhishek</t>
  </si>
  <si>
    <t>rpbeth</t>
  </si>
  <si>
    <t>Samir</t>
  </si>
  <si>
    <t>Mary G</t>
  </si>
  <si>
    <t>Russel</t>
  </si>
  <si>
    <t>Robeth</t>
  </si>
  <si>
    <t>Salony</t>
  </si>
  <si>
    <t>Henry</t>
  </si>
  <si>
    <t>Sashi</t>
  </si>
  <si>
    <t>Namrata</t>
  </si>
  <si>
    <t>Andre Devon Sterling</t>
  </si>
  <si>
    <t>John Rovie</t>
  </si>
  <si>
    <t>Alisha</t>
  </si>
  <si>
    <t>Hampton Inn Midland (877 King St) TOTAL:</t>
  </si>
  <si>
    <t>Ramada by Wyndham Niagara Falls by the River (4357 River Rd)</t>
  </si>
  <si>
    <t>Maureen Francisco</t>
  </si>
  <si>
    <t>Alish</t>
  </si>
  <si>
    <t>Wilfried</t>
  </si>
  <si>
    <t>Karamveer</t>
  </si>
  <si>
    <t>Dev</t>
  </si>
  <si>
    <t>Chonnelie</t>
  </si>
  <si>
    <t>Himanshu Jindal</t>
  </si>
  <si>
    <t>Jelery</t>
  </si>
  <si>
    <t>Christian</t>
  </si>
  <si>
    <t>Charles</t>
  </si>
  <si>
    <t>Adwan</t>
  </si>
  <si>
    <t>Mayan</t>
  </si>
  <si>
    <t>Carlo</t>
  </si>
  <si>
    <t>Rene</t>
  </si>
  <si>
    <t>Lovepreet</t>
  </si>
  <si>
    <t>Aisha</t>
  </si>
  <si>
    <t>Salim</t>
  </si>
  <si>
    <t>Reyson</t>
  </si>
  <si>
    <t>Thomas</t>
  </si>
  <si>
    <t>Mikee</t>
  </si>
  <si>
    <t>Ramada by Wyndham Niagara Falls by the River (4357 River Rd)TOTAL:</t>
  </si>
  <si>
    <t>Toronto Plaza Hotel (1677 Wilson Ave)</t>
  </si>
  <si>
    <t>Mae Aragon</t>
  </si>
  <si>
    <t>Jitesh Kumar</t>
  </si>
  <si>
    <t>Kunal Dhiman</t>
  </si>
  <si>
    <t>Sherwin Juan</t>
  </si>
  <si>
    <t>Mark Anthony Flores</t>
  </si>
  <si>
    <t>Toronto Plaza Hotel (1677 Wilson Ave)) TOTAL:</t>
  </si>
  <si>
    <t>Painless Medical Centre (Deep Cleaning)</t>
  </si>
  <si>
    <t>Florablanca Aquino (Will be paid monthly)</t>
  </si>
  <si>
    <t>CAE (Deep Cleaning)</t>
  </si>
  <si>
    <t>Dove (Deep Cleaning)</t>
  </si>
  <si>
    <t>Melvin Tagra</t>
  </si>
  <si>
    <t>Danica Lauzon</t>
  </si>
  <si>
    <t>Aafiyat</t>
  </si>
  <si>
    <t>Marjorie Kae A. Sarenas</t>
  </si>
  <si>
    <t>Skyward Building/Aafiyat</t>
  </si>
  <si>
    <t>HOTEL</t>
  </si>
  <si>
    <t>HK</t>
  </si>
  <si>
    <t>HOTEL TOTAL:</t>
  </si>
  <si>
    <t>BEST WESTERN LITTLE RIVER INN (203 QUEENSWAY WEST)</t>
  </si>
  <si>
    <t>BEST WESTERN PLUS - CAMBRIDGE</t>
  </si>
  <si>
    <t>BEST WESTERN PLUS ORANGEVILLE</t>
  </si>
  <si>
    <t>BEST WESTERN PREMIER CARLINGVIEW (135 CARLINGVIEW DR)</t>
  </si>
  <si>
    <t>BLOOM MISSISSAUGA BY HILTON</t>
  </si>
  <si>
    <t>CANADA'S BEST VALUE INN (650 EVANS AVE ETOBICOKE M8W 2W6)</t>
  </si>
  <si>
    <t>CLARKSON VILLAGE MOTEL</t>
  </si>
  <si>
    <t>COMFORT HOTEL AIRPORT NORTH</t>
  </si>
  <si>
    <t>COMFORT INN (8330 WOODBINE AVE)</t>
  </si>
  <si>
    <t>COMFORT INN AND SUITES AMBASSADOR BRIDGE (2330)</t>
  </si>
  <si>
    <t>COMFORT INN SIMCOE</t>
  </si>
  <si>
    <t>COURTYARD (MARRIOTT - BRAMPTON, 90 BISCAYNE CRES)</t>
  </si>
  <si>
    <t>COURTYARD (MARRIOTT - MARKHAM, 65 MINTHORN BLVD)</t>
  </si>
  <si>
    <t>COURTYARD (MARRIOTT - TORONTO AIRPORT)</t>
  </si>
  <si>
    <t>COURTYARD AND TOWNPLACE SUITES (MARRIOTT MARKHAM, 7095 WOODBINE)</t>
  </si>
  <si>
    <t>Double Tree by Hilton Kitchener 30 Fairway Rd South, Kitchener</t>
  </si>
  <si>
    <t>FOOD BANK MISSISSAUGA</t>
  </si>
  <si>
    <t>FOUR POINTS BY SHERATON  (6257 AIRPORT RD)</t>
  </si>
  <si>
    <t>Georgian Bay Seniors Lodge and Memory Care 7 Harriet St, Penetanguishene</t>
  </si>
  <si>
    <t>HAMPTON INN - BRANTFORD</t>
  </si>
  <si>
    <t>HAMPTON INN - BURLINGTON (1215 APPLEBY LINE, BURLINGTON)</t>
  </si>
  <si>
    <t>Hampton Inn by Hilton Midland 877 King Street, Midland</t>
  </si>
  <si>
    <t>HILTON GARDEN INN (200 STEELWELL)</t>
  </si>
  <si>
    <t>HILTON GARDEN INN (500 BECK CRESCENT)</t>
  </si>
  <si>
    <t>HILTON GARDEN INN (AIRPORT / STEELES)</t>
  </si>
  <si>
    <t>HILTON GARDEN INN (TOMKEN / STEELES)</t>
  </si>
  <si>
    <t>HOLIDAY INN - OAKVILLE</t>
  </si>
  <si>
    <t>HOLIDAY INN EXPRESS KINGSTON W</t>
  </si>
  <si>
    <t>HOLIDAY INN EXPRESS WHITBY</t>
  </si>
  <si>
    <t>HOMEWOOD SUITES/HAMPTON INN (50 Bodrington Court, MARKHAM)</t>
  </si>
  <si>
    <t>Kitchener Inn and Suites (4355 King Street E Kitchener Ontario N2P 2E9)</t>
  </si>
  <si>
    <t>MISSISSAUGA GRAND BANQUET AND EVENT CENTRE (35 BRUNEL RD, MISSISSAUGA)</t>
  </si>
  <si>
    <t>MONDELEZ CANADA</t>
  </si>
  <si>
    <t>QUALITY INN &amp; SUITES KINGSTON</t>
  </si>
  <si>
    <t>QUALITY INN ( 580 BRUIN BLVD)</t>
  </si>
  <si>
    <t>RADISSON (640 DIXON RD, TORONTO AIRPORT)</t>
  </si>
  <si>
    <t>RADISSON HOTEL SUDBURY</t>
  </si>
  <si>
    <t>RESIDENCE INN (2145 N SHERIDAN WAY MISSISSAUGA)</t>
  </si>
  <si>
    <t>RIDEAU HEIGHTS INN (72 RIDEAU HEIGHTS DR)</t>
  </si>
  <si>
    <t>RIVER RAPIDS INN (4029 RIVER RD NIAGARA FALLS)</t>
  </si>
  <si>
    <t>SAGA RESORT</t>
  </si>
  <si>
    <t>SANDMANN HAMILTON</t>
  </si>
  <si>
    <t>SENECA 13980 DUFFERIN ST KING CITY</t>
  </si>
  <si>
    <t>SHERATON FOUR POINTS - CAMBRIDGE</t>
  </si>
  <si>
    <t>SHERATON FOUR POINTS (3400 STEELES AVE W VAUGHAN)</t>
  </si>
  <si>
    <t>SHERATON PARKWAY (RICHMOND HILL)</t>
  </si>
  <si>
    <t>SPRINGHILL SUITES (612 APPLEWOOD CRES, VAUGHAN)</t>
  </si>
  <si>
    <t>SUPER 8 BY WYNDHAM - CORNWALL</t>
  </si>
  <si>
    <t>THE OAKES HOTEL</t>
  </si>
  <si>
    <t>THE ROSEMOUNT INN</t>
  </si>
  <si>
    <t>TOTAL:</t>
  </si>
  <si>
    <t>PAY PERIOD September 20 - October 3, 2025</t>
  </si>
  <si>
    <t>Gabriel Aaron Ramos</t>
  </si>
  <si>
    <t>Rey Salas</t>
  </si>
  <si>
    <t>Rhandolp Carl Reyes</t>
  </si>
  <si>
    <t>Carl Maintenance</t>
  </si>
  <si>
    <t>Geraldo Aquino</t>
  </si>
  <si>
    <t>Gerald Maintenance</t>
  </si>
  <si>
    <t>Jennylyn</t>
  </si>
  <si>
    <t>Flordelyn (Kids Activities)</t>
  </si>
  <si>
    <t>Noralyn (Kids Activities)</t>
  </si>
  <si>
    <t>Roselle Navidad</t>
  </si>
  <si>
    <t>Roselle Navidad (HK)</t>
  </si>
  <si>
    <t>Flor (Maintenance)</t>
  </si>
  <si>
    <t>Wilson (Maintenance)</t>
  </si>
  <si>
    <t>Nelson (Maintenance)</t>
  </si>
  <si>
    <t>Giovanni</t>
  </si>
  <si>
    <t>Fola Aibinuola (Server)</t>
  </si>
  <si>
    <t>Olayiwola Emmanuel Olatide (Server)</t>
  </si>
  <si>
    <t>Jashandeep Kaur</t>
  </si>
  <si>
    <t>Jashanpreet Kaur Sarwara</t>
  </si>
  <si>
    <t>Vivek Vivek</t>
  </si>
  <si>
    <t>Darran Larrance</t>
  </si>
  <si>
    <t>Darran Larrance BT</t>
  </si>
  <si>
    <t>Narvin Tulang</t>
  </si>
  <si>
    <t>Samrat Kathayat</t>
  </si>
  <si>
    <t>Sandip Oli</t>
  </si>
  <si>
    <t>Shankar Adhikari</t>
  </si>
  <si>
    <t>Vansh Sharma</t>
  </si>
  <si>
    <t>Abisola Ayegboyin</t>
  </si>
  <si>
    <t>Ernesto Jr. Gampon</t>
  </si>
  <si>
    <t>Ernesto Jr. Gampon Cook</t>
  </si>
  <si>
    <t>Narvin Tulang Cook Y</t>
  </si>
  <si>
    <t>Narvin Tulang Cook A</t>
  </si>
  <si>
    <t>Cain Miro Cook</t>
  </si>
  <si>
    <t>Narvin Tulang Y</t>
  </si>
  <si>
    <t>Mary Angelie Abelarde F</t>
  </si>
  <si>
    <t>Gursimran Singh</t>
  </si>
  <si>
    <t>Jan Choy Tee</t>
  </si>
  <si>
    <t>Adekola Olumuyiwa Olatunji</t>
  </si>
  <si>
    <t>Onyeka Chibuzor Maryann</t>
  </si>
  <si>
    <t>Joselito Jr Cajandig MJ</t>
  </si>
  <si>
    <t>Joselito Jr Cajandig Mark Joseph</t>
  </si>
  <si>
    <t>Joseph Miguel G. Lazaro</t>
  </si>
  <si>
    <t>Ujunwa Okwuaka U (Server)</t>
  </si>
  <si>
    <t>Justine De Guzman</t>
  </si>
  <si>
    <t>Mary Angelie Abelarde</t>
  </si>
  <si>
    <t>Arney Pagalilauan M</t>
  </si>
  <si>
    <t>Paul Jordan Untalan</t>
  </si>
  <si>
    <t>Pranjal Shah</t>
  </si>
  <si>
    <t>Esther Pacheco</t>
  </si>
  <si>
    <t>Baldeep Singh Baring</t>
  </si>
  <si>
    <t>Fola Aibinuola (Bartender)</t>
  </si>
  <si>
    <t>Olayiwola Emmanuel Olatide (Bartender)</t>
  </si>
  <si>
    <t>Olayiwola Emmanuel Olatide</t>
  </si>
  <si>
    <t>Tanvir Multani</t>
  </si>
  <si>
    <t>Uwayemen Aziegbe</t>
  </si>
  <si>
    <t>Otse Wilson Joseph</t>
  </si>
  <si>
    <t>Ujunwa Okwuaka (Bartender)</t>
  </si>
  <si>
    <t>Delmi</t>
  </si>
  <si>
    <t>Karen Vera</t>
  </si>
  <si>
    <t>Mercedes</t>
  </si>
  <si>
    <t>Yaime Aguerro</t>
  </si>
  <si>
    <t>Hotel</t>
  </si>
  <si>
    <t>Subcon / Payroll</t>
  </si>
  <si>
    <t>Timesheet</t>
  </si>
  <si>
    <t>BC.Holiday Inn Elk Lake Victoria BC (4670 Elk Lake Drive)</t>
  </si>
  <si>
    <t>BC.Holiday Inn Express &amp; Suites Victoria - Colwood (318 Wale Rd)</t>
  </si>
  <si>
    <t>BC.Motel 6 Saanichton Victoria Airport BC (2401 Mt Newton Cross Rd)</t>
  </si>
  <si>
    <t>Best Western Plus Muskoka Inn (86 Howland Dr)</t>
  </si>
  <si>
    <t>CAE (2025 Logistics Dr)</t>
  </si>
  <si>
    <t>Chatham-Kent</t>
  </si>
  <si>
    <t>Courtyard and TownePlace Suites Oshawa (1011 Bloor St E)</t>
  </si>
  <si>
    <t>Days Inn Ottawa Downtown (319 Rideau St)</t>
  </si>
  <si>
    <t>Gupta Household Stratford (53 McFarlane Street)</t>
  </si>
  <si>
    <t>McKesson Canada - Airport (665B Airport Rd)</t>
  </si>
  <si>
    <t>Sheraton Four Points Cambridge (210 Preston Pky)</t>
  </si>
  <si>
    <t>The City View Inn (1400 Plains Rd W)</t>
  </si>
  <si>
    <t>Travelodge Bracebridge (320 Taylor Rd)</t>
  </si>
  <si>
    <t>ID</t>
  </si>
  <si>
    <t>Name</t>
  </si>
  <si>
    <t>Physical Address</t>
  </si>
  <si>
    <t>Interac Email Final</t>
  </si>
  <si>
    <t>Phone Number</t>
  </si>
  <si>
    <t>Alias</t>
  </si>
  <si>
    <t>Comment</t>
  </si>
  <si>
    <t>Mail or Pickup</t>
  </si>
  <si>
    <t>Column1</t>
  </si>
  <si>
    <t>Column2</t>
  </si>
  <si>
    <t>Interac</t>
  </si>
  <si>
    <t>Total</t>
  </si>
  <si>
    <t>Osarenden Osamuyimen</t>
  </si>
  <si>
    <t>PAY PERIOD October 4 - 17, 2025</t>
  </si>
  <si>
    <t>Etransfer</t>
  </si>
  <si>
    <t>EDWARD HOTEL (185 YORKLAND BLVD NORTH YORK)</t>
  </si>
  <si>
    <t>Holiday Inn Express WOODSTOCK (510 Norwich Ave)</t>
  </si>
  <si>
    <t>Home 2 Hotel Woodstock (527 Lampman Pl)</t>
  </si>
  <si>
    <t>Spark by Hilton Woodstock</t>
  </si>
  <si>
    <t>Adejumo Kehinde - Paid</t>
  </si>
  <si>
    <t>adejumokehinde804@gmail.com</t>
  </si>
  <si>
    <t>Isaac Hunter</t>
  </si>
  <si>
    <t>Parimal N Naik</t>
  </si>
  <si>
    <t>Dionisio Caro</t>
  </si>
  <si>
    <t>Quality Inn &amp; Suites Regina Downtown (1907 11th Ave, Regina, SK S4P 0J2)</t>
  </si>
  <si>
    <t>Hidden Valley Resort 1755 Valley Rd, Huntsville, ON P1H 1A8</t>
  </si>
  <si>
    <t>Gerald Policarpio</t>
  </si>
  <si>
    <t>Noralyn Torre Camiguing</t>
  </si>
  <si>
    <t>Quebec (Monica Gupta)</t>
  </si>
  <si>
    <t>Ikponmwosa Evelyn Ogbegie</t>
  </si>
  <si>
    <t>Glenn Uy</t>
  </si>
  <si>
    <t>Khushdeep Singh</t>
  </si>
  <si>
    <t>Rodel P. Santos</t>
  </si>
  <si>
    <t>Ma Lyka Nazar</t>
  </si>
  <si>
    <t>mavelfrias14@gmail.com</t>
  </si>
  <si>
    <t>HOTEL 
SUBTOTAL:</t>
  </si>
  <si>
    <t>A-Z
SUBTOTAL:</t>
  </si>
  <si>
    <t>GRANDTOTAL:</t>
  </si>
  <si>
    <t>Osarenren Osamuyimen</t>
  </si>
  <si>
    <t>Hyatt Place 5787 Hurontario St - Hyatt Place 5787 Hurontario St - Hyatt Place 5787 Hurontario St - Hyatt Place 5787 Hurontario St - Hyatt Place 5787 Hurontario St - Hyatt Place 5787 Hurontario St - Hyatt Place 5787 Hurontario St - Hyatt Place 5787 Hurontario St - Hyatt Place 5787</t>
  </si>
  <si>
    <t>ADJUSTMENT</t>
  </si>
  <si>
    <t>Sat</t>
  </si>
  <si>
    <t>Sun</t>
  </si>
  <si>
    <t>Mon</t>
  </si>
  <si>
    <t>Tue</t>
  </si>
  <si>
    <t>Wed</t>
  </si>
  <si>
    <t>Thu</t>
  </si>
  <si>
    <t>Fri</t>
  </si>
  <si>
    <t>HOLIDAY INN EXPRESS - RICHMOND HILL (10 East Pearce St.)</t>
  </si>
  <si>
    <t>Irish</t>
  </si>
  <si>
    <t>Jana</t>
  </si>
  <si>
    <t>HOLIDAY INN EXPRESS (2125 NORTH SHERIDAN WAY MISSISSAUGA)</t>
  </si>
  <si>
    <t>Angelo</t>
  </si>
  <si>
    <t>Baljit</t>
  </si>
  <si>
    <t>Kenneth</t>
  </si>
  <si>
    <t>Merxedes MC Painting</t>
  </si>
  <si>
    <t>Pardeep SS</t>
  </si>
  <si>
    <t>Navneet</t>
  </si>
  <si>
    <t>Aman</t>
  </si>
  <si>
    <t>Giovanni Dulay</t>
  </si>
  <si>
    <t>Gurpinder</t>
  </si>
  <si>
    <t>Harpreet K</t>
  </si>
  <si>
    <t>Madhur</t>
  </si>
  <si>
    <t>Catherine MC Painting</t>
  </si>
  <si>
    <t>Yohanny MC Painting</t>
  </si>
  <si>
    <t>Simranjeet Kaur</t>
  </si>
  <si>
    <t>Simranjot</t>
  </si>
  <si>
    <t>Myriam</t>
  </si>
  <si>
    <t>RADISSON (55 HALLCROWN PL, NORTHYORK)</t>
  </si>
  <si>
    <t>Holiday Inn Express (30 Norfinch Dr, North York, ON M3N 1X1</t>
  </si>
  <si>
    <t>Tunde</t>
  </si>
  <si>
    <t>Esther Omono</t>
  </si>
  <si>
    <t>EDWARD HOTEL (185 YORKLAND BLVD NORTHYORK)</t>
  </si>
  <si>
    <t>COURTYARD | MARRIOTT TORONTO MISSISSAUGA WEST (290 DERRY ROAD W)</t>
  </si>
  <si>
    <t>Damodar</t>
  </si>
  <si>
    <t>Labpreet</t>
  </si>
  <si>
    <t>Jpreet
Paid</t>
  </si>
  <si>
    <t>COURTYARD AND TOWNEPLACE SUITES- 1011 BLOOR ST E OSHAWA</t>
  </si>
  <si>
    <t>Mursal</t>
  </si>
  <si>
    <t>Rhoda</t>
  </si>
  <si>
    <t>SHERATON FOUR POINTS (3400 STEELES AVE, VAUGHAN)</t>
  </si>
  <si>
    <t>Cesia</t>
  </si>
  <si>
    <t>Sonia</t>
  </si>
  <si>
    <t>John</t>
  </si>
  <si>
    <t>Ian</t>
  </si>
  <si>
    <t>TORONTO PLAZA HOTEL (1677 WILSON AVE)</t>
  </si>
  <si>
    <t>Amrinder</t>
  </si>
  <si>
    <t>Andrew</t>
  </si>
  <si>
    <t>Pardeep</t>
  </si>
  <si>
    <t>Ranjit</t>
  </si>
  <si>
    <t>Dindo</t>
  </si>
  <si>
    <t>Jose</t>
  </si>
  <si>
    <t>Mark A</t>
  </si>
  <si>
    <t>BEST WESTERN PLUS (38 ESTATE DRIVE, SCARBOROUGH)</t>
  </si>
  <si>
    <t>Pauline</t>
  </si>
  <si>
    <t>Joselito</t>
  </si>
  <si>
    <t>August - Sept</t>
  </si>
  <si>
    <t xml:space="preserve">Four Points 2180 islington Ave </t>
  </si>
  <si>
    <t>Rijul</t>
  </si>
  <si>
    <t>HILTON TORONTO - MARKHAM SUITES CONFERENCE CENTRE (8500 WARDEN) - HILTON TORONTO - MARKHAM SUITES CONFERENCE CENTRE (8500 WARDEN)</t>
  </si>
  <si>
    <r>
      <t>MC PAINTING (</t>
    </r>
    <r>
      <rPr>
        <b/>
        <sz val="11"/>
        <rFont val="Calibri"/>
        <family val="2"/>
        <scheme val="minor"/>
      </rPr>
      <t>Delmi</t>
    </r>
    <r>
      <rPr>
        <sz val="11"/>
        <rFont val="Calibri"/>
        <family val="2"/>
        <scheme val="minor"/>
      </rPr>
      <t>)</t>
    </r>
  </si>
  <si>
    <r>
      <t>MC PAINTING (</t>
    </r>
    <r>
      <rPr>
        <b/>
        <sz val="11"/>
        <rFont val="Calibri"/>
        <family val="2"/>
        <scheme val="minor"/>
      </rPr>
      <t>Karen S</t>
    </r>
    <r>
      <rPr>
        <sz val="11"/>
        <rFont val="Calibri"/>
        <family val="2"/>
        <scheme val="minor"/>
      </rPr>
      <t>)</t>
    </r>
  </si>
  <si>
    <t xml:space="preserve">HOLIDAY INN  (3063 South Service, Burlington) - HOLIDAY INN  (3063 South Service, Burlington) - HOLIDAY INN  (3063 South Service, Burlington) - HOLIDAY INN  (3063 South Service, Burlington) - HOLIDAY INN  (3063 South Service, Burlington) - HOLIDAY INN  (3063 South Service, Burlington) - HOLIDAY INN  (3063 South Service, Burlington) - HOLIDAY INN  (3063 South Service, Burlington) - HOLIDAY INN  (3063 South Service, Burlington) - </t>
  </si>
  <si>
    <t>Skyward Business Centre</t>
  </si>
  <si>
    <t>Marj</t>
  </si>
  <si>
    <t>May - June - July</t>
  </si>
  <si>
    <t>CADMEN</t>
  </si>
  <si>
    <t>Jualyn</t>
  </si>
  <si>
    <t>DELTA (TORONTO EAST SCARBOROUGH) 2035 KENNEDY RD</t>
  </si>
  <si>
    <t>May</t>
  </si>
  <si>
    <t>Dheeraj Kumar I D</t>
  </si>
  <si>
    <t>Jesse</t>
  </si>
  <si>
    <t>FAIRFIELD INN AND SUITES TORONTO BRAMPTON (150 Westcreek Blvd)</t>
  </si>
  <si>
    <t>HOLIDAY INN EXPRESS  (50 ESTATE DR SCARBOROUGH)</t>
  </si>
  <si>
    <t>Alejandra</t>
  </si>
  <si>
    <t>EDWARD HOTEL (DELTA HOTEL) 50 E VALHALLA DR MARKHAM</t>
  </si>
  <si>
    <t>July</t>
  </si>
  <si>
    <t>Clyde</t>
  </si>
  <si>
    <t>Dheeraj</t>
  </si>
  <si>
    <t>Ryan</t>
  </si>
  <si>
    <t>Rohit</t>
  </si>
  <si>
    <t>August</t>
  </si>
  <si>
    <t>HOMEWOOD SUITES - AJAX (600 BECK CRESCENT, AJAX)</t>
  </si>
  <si>
    <t>March</t>
  </si>
  <si>
    <t>Asantha Pradeep Kannangara Koralalage</t>
  </si>
  <si>
    <t>AnIsha Touray Khanal</t>
  </si>
  <si>
    <t>Bibi Sufia Alekozai</t>
  </si>
  <si>
    <t>David</t>
  </si>
  <si>
    <t>Keshini</t>
  </si>
  <si>
    <t>Mary Jane</t>
  </si>
  <si>
    <t>Samjhana Chapagain</t>
  </si>
  <si>
    <t>Valia Deosingh</t>
  </si>
  <si>
    <t xml:space="preserve">Yaminijyothi Surapaneni </t>
  </si>
  <si>
    <t>MCKESSON CANADA (665B Airport Rd)</t>
  </si>
  <si>
    <t>March - April</t>
  </si>
  <si>
    <t>Samson Doca Asuncion</t>
  </si>
  <si>
    <t>Samson Doca Asuncion E</t>
  </si>
  <si>
    <t>Dove</t>
  </si>
  <si>
    <t>April</t>
  </si>
  <si>
    <t>Melvin</t>
  </si>
  <si>
    <t>FOUR POINTS BY SHERATON (6257 AIRPORT AIRPORT RD, MISSISSAUGA)</t>
  </si>
  <si>
    <t>BLOOM MISSISSAUGA BY HILTON (6950 KENNEDY RD.)</t>
  </si>
  <si>
    <t>CLARKSON VILLAGE MOTEL (1815 LAKESHORE RD, MISSISSAUGA)</t>
  </si>
  <si>
    <t>COMFORT HOTEL (445 REXDALE BLVD, ETOBICOKE)</t>
  </si>
  <si>
    <t>COURTYARD | MARRIOTT NORTHEAST MARKHAM (7095 WOODBINE AVENUE, MARKHAM)</t>
  </si>
  <si>
    <t>Thur</t>
  </si>
  <si>
    <t>Painless Medical Centre</t>
  </si>
  <si>
    <t>Home 2 Hotel Woodstock (527 Lampman)</t>
  </si>
  <si>
    <t>Ruben</t>
  </si>
  <si>
    <t>Dhruv</t>
  </si>
  <si>
    <t>Sukhjivan</t>
  </si>
  <si>
    <t>Wilmar</t>
  </si>
  <si>
    <t>Harkirat</t>
  </si>
  <si>
    <t>Gagan</t>
  </si>
  <si>
    <t>Casey</t>
  </si>
  <si>
    <t>Emmanuel</t>
  </si>
  <si>
    <t>October</t>
  </si>
  <si>
    <t>Veronica</t>
  </si>
  <si>
    <t>Dianne G</t>
  </si>
  <si>
    <t>Elvira D</t>
  </si>
  <si>
    <t>Balvir</t>
  </si>
  <si>
    <t>Joseph</t>
  </si>
  <si>
    <t>Jennifer</t>
  </si>
  <si>
    <t>Susan</t>
  </si>
  <si>
    <t>Gautam</t>
  </si>
  <si>
    <t>Chali</t>
  </si>
  <si>
    <t>Voltair J</t>
  </si>
  <si>
    <t>Julius G</t>
  </si>
  <si>
    <t>Harpreet2x</t>
  </si>
  <si>
    <t>Fola</t>
  </si>
  <si>
    <t>Nishal</t>
  </si>
  <si>
    <t>Manpreet S</t>
  </si>
  <si>
    <t>Elmer Delosreyes</t>
  </si>
  <si>
    <t>Woddy</t>
  </si>
  <si>
    <t>July - August</t>
  </si>
  <si>
    <t>RAMADA NIAGARA (4357 River Rd.)</t>
  </si>
  <si>
    <t>Maureen</t>
  </si>
  <si>
    <t>Himanshu</t>
  </si>
  <si>
    <t>Jenny</t>
  </si>
  <si>
    <t>Harsh</t>
  </si>
  <si>
    <t>Anastasia</t>
  </si>
  <si>
    <t>BEST WESTERN PLUS MUSKOKA INN (86 Howland Drive Huntsville)</t>
  </si>
  <si>
    <t>Andre</t>
  </si>
  <si>
    <t>RAMADA by WYNDHAM CORNWALL (805 Brookdale Ave)</t>
  </si>
  <si>
    <t>Elsie</t>
  </si>
  <si>
    <t>Joshua</t>
  </si>
  <si>
    <t>Sukhjot</t>
  </si>
  <si>
    <t>Satnam</t>
  </si>
  <si>
    <t>Karanveer</t>
  </si>
  <si>
    <t>Meet Mahida</t>
  </si>
  <si>
    <t>FOUR POINTS HAMILTON ( 49 Goderich Rd )</t>
  </si>
  <si>
    <t>Jessielyn</t>
  </si>
  <si>
    <t>Jimjazon</t>
  </si>
  <si>
    <t>Jonalyn</t>
  </si>
  <si>
    <t>Rajni</t>
  </si>
  <si>
    <t>Roel</t>
  </si>
  <si>
    <t>Suraj</t>
  </si>
  <si>
    <t>BIsha Tourayl</t>
  </si>
  <si>
    <t>July-Aug</t>
  </si>
  <si>
    <t>Ajay</t>
  </si>
  <si>
    <t>Mohit</t>
  </si>
  <si>
    <t>Sept - Oct</t>
  </si>
  <si>
    <t>Kulwant</t>
  </si>
  <si>
    <t>Navpreet</t>
  </si>
  <si>
    <t>Makhan</t>
  </si>
  <si>
    <t>Ram Krishan</t>
  </si>
  <si>
    <t>Jaswinder</t>
  </si>
  <si>
    <t>Sahib</t>
  </si>
  <si>
    <t>Merland Park Cottages</t>
  </si>
  <si>
    <t>Dilkaran</t>
  </si>
  <si>
    <t>Jason</t>
  </si>
  <si>
    <t>Armando - T</t>
  </si>
  <si>
    <t>Shirley - T</t>
  </si>
  <si>
    <t>Macylyn</t>
  </si>
  <si>
    <t>Ethel</t>
  </si>
  <si>
    <t>Mahi</t>
  </si>
  <si>
    <t>HAMPTON INN - BRANTFORD (30 FEN RIDGE COURT, BRANTFORD)</t>
  </si>
  <si>
    <t>BEST WESTERN PLUS CAMBRIDGE (730 Old Hespeler)</t>
  </si>
  <si>
    <t>SHERATON FOUR POINTS CAMBRIDGE</t>
  </si>
  <si>
    <t>THE OAKES HOTEL (6546 Fallsview Blvd Niagara Falls)</t>
  </si>
  <si>
    <t>HOLIDAY INN EXPRESS KINGSTON</t>
  </si>
  <si>
    <t>THE ROSEMOUNT INN- KINGSTON</t>
  </si>
  <si>
    <t>SUPER 8 BY WYNDHAM CORNWALL</t>
  </si>
  <si>
    <t>Saga Resort</t>
  </si>
  <si>
    <t>COMFORT INN &amp; SUITES AMBASSADOR BRIDGE (2330 HURON CHURCH RD WINDSOR)</t>
  </si>
  <si>
    <t>QUALITY INN WOODSTOCK</t>
  </si>
  <si>
    <t>BEST WESTERN PLUS OTTAWA (1876 ROBERTSON RD, OTTAWA)</t>
  </si>
  <si>
    <t>Abdulahi</t>
  </si>
  <si>
    <t>Carive</t>
  </si>
  <si>
    <t>Claudine</t>
  </si>
  <si>
    <t>Clein</t>
  </si>
  <si>
    <t>Daniela</t>
  </si>
  <si>
    <t>David Shedrack</t>
  </si>
  <si>
    <t>Douglas (HP)</t>
  </si>
  <si>
    <t>Elvera</t>
  </si>
  <si>
    <t>Gary Maintenance</t>
  </si>
  <si>
    <t>Ivy</t>
  </si>
  <si>
    <t>Farel Manirakiza</t>
  </si>
  <si>
    <t>Fatouma</t>
  </si>
  <si>
    <t>Frank</t>
  </si>
  <si>
    <t>Freda</t>
  </si>
  <si>
    <t>Flor</t>
  </si>
  <si>
    <t>Joshua F/O</t>
  </si>
  <si>
    <t>Jordan</t>
  </si>
  <si>
    <t>Ibrahim Kamaru</t>
  </si>
  <si>
    <t>James</t>
  </si>
  <si>
    <t>Nick</t>
  </si>
  <si>
    <t>Olga</t>
  </si>
  <si>
    <t>Paxella</t>
  </si>
  <si>
    <t>Regine</t>
  </si>
  <si>
    <t>Rochell Ann Magtangobe Anne</t>
  </si>
  <si>
    <t>Sarah Nyanduko</t>
  </si>
  <si>
    <t>Sarah Ishimwe</t>
  </si>
  <si>
    <t>Sahi</t>
  </si>
  <si>
    <t>Simon</t>
  </si>
  <si>
    <t>Sofoa</t>
  </si>
  <si>
    <t>Sodimu</t>
  </si>
  <si>
    <t>Sylvester</t>
  </si>
  <si>
    <t>Farel Manirakiza (M)</t>
  </si>
  <si>
    <t>SeptOct</t>
  </si>
  <si>
    <t>Hursulla</t>
  </si>
  <si>
    <t>Abdulasiz</t>
  </si>
  <si>
    <t>Audriel</t>
  </si>
  <si>
    <t>Amado</t>
  </si>
  <si>
    <t>Cleopatra</t>
  </si>
  <si>
    <t>Deborah</t>
  </si>
  <si>
    <t>Delphine</t>
  </si>
  <si>
    <t>Emily</t>
  </si>
  <si>
    <t>Fannie</t>
  </si>
  <si>
    <t>Gary</t>
  </si>
  <si>
    <t>Sunshine</t>
  </si>
  <si>
    <t>Grace</t>
  </si>
  <si>
    <t>Nelly</t>
  </si>
  <si>
    <t>Noela</t>
  </si>
  <si>
    <t>Stella</t>
  </si>
  <si>
    <t>Ugochukwu</t>
  </si>
  <si>
    <t>Wumni</t>
  </si>
  <si>
    <t>Nataliia</t>
  </si>
  <si>
    <t>DAYS INN OTTAWA  DOWNTOWN (319 RIDEAU ST, OTTAWA)</t>
  </si>
  <si>
    <t>Etienne</t>
  </si>
  <si>
    <t>Male Hotels Pankaj</t>
  </si>
  <si>
    <t>June</t>
  </si>
  <si>
    <t>Shine</t>
  </si>
  <si>
    <t>RIDEAU HEIGHTS INN (72 Rideau Heights Dr)</t>
  </si>
  <si>
    <t>Ilona</t>
  </si>
  <si>
    <t>Holiday Inn Elk Lake Victoria BC (4670 Elk Lake Drive)</t>
  </si>
  <si>
    <t>Aljhon</t>
  </si>
  <si>
    <t>Anmol</t>
  </si>
  <si>
    <t>Barkha</t>
  </si>
  <si>
    <t>Heide FD</t>
  </si>
  <si>
    <t>Heide HK</t>
  </si>
  <si>
    <t>Pedro</t>
  </si>
  <si>
    <t>Rolyn</t>
  </si>
  <si>
    <t>Holiday Inn Elk Lake Victoria BC (4670 Elk Lake Drive) TOTAL:</t>
  </si>
  <si>
    <t>Holiday Inn Express &amp; Suites Victoria - Colwood (318 Wale Rd)</t>
  </si>
  <si>
    <t>Aljhon Galgo</t>
  </si>
  <si>
    <t>Hazel</t>
  </si>
  <si>
    <t>Henry Lopecillo Jr.</t>
  </si>
  <si>
    <t>Lorraine</t>
  </si>
  <si>
    <t>Marica</t>
  </si>
  <si>
    <t>Marvin</t>
  </si>
  <si>
    <t>Pedro Saluta Calvar</t>
  </si>
  <si>
    <t>Sheila</t>
  </si>
  <si>
    <t>Simrat</t>
  </si>
  <si>
    <t>Motel 6 Saanichton Victoria Airport BC (2401 Mt Newton Cross Rd)</t>
  </si>
  <si>
    <t>Haider</t>
  </si>
  <si>
    <t>Czarina</t>
  </si>
  <si>
    <t>Dante</t>
  </si>
  <si>
    <t>Paul Brian</t>
  </si>
  <si>
    <t>Sukhpreet</t>
  </si>
  <si>
    <t>Anthony</t>
  </si>
  <si>
    <t>Rizzabelle</t>
  </si>
  <si>
    <t>Queens Hotel (130-1110 Ewen Ave, New Westminster, BC V3M 5E4)</t>
  </si>
  <si>
    <t>Mandeep</t>
  </si>
  <si>
    <t>Eduardo</t>
  </si>
  <si>
    <t>Four Points Edmonton</t>
  </si>
  <si>
    <t>Ronald</t>
  </si>
  <si>
    <t>Holiday Inn Elk Lake Victoria BC (4670 Elk Lake)</t>
  </si>
  <si>
    <t>Holiday Inn Express &amp; Suites Victoria - Colwood 318 Wale Rd, Colwood, BC V9B 2W3</t>
  </si>
  <si>
    <t>Carmela</t>
  </si>
  <si>
    <t>Motel 6 Saanichton, BC - Victoria Airport (2401 Mt Newton Cross Rd, Saanichton, BC V8M 1T8)</t>
  </si>
  <si>
    <t>Aljon</t>
  </si>
  <si>
    <t xml:space="preserve">  </t>
  </si>
  <si>
    <t>SHERIDAN BRAMPTON</t>
  </si>
  <si>
    <t>GRAPHIC PACKAGING (7830 TRANMERE DR, MISSISSAUGA)</t>
  </si>
  <si>
    <t>COUNTER</t>
  </si>
  <si>
    <t>December</t>
  </si>
  <si>
    <t>Time in</t>
  </si>
  <si>
    <t>Time out</t>
  </si>
  <si>
    <t>Calc</t>
  </si>
  <si>
    <t>Break</t>
  </si>
  <si>
    <t>Oct-Nov</t>
  </si>
  <si>
    <t xml:space="preserve"> NoBreak</t>
  </si>
  <si>
    <t>Flordelyn</t>
  </si>
  <si>
    <t>Sept</t>
  </si>
  <si>
    <t>Sub-Total</t>
  </si>
  <si>
    <t>Aileen Dino I</t>
  </si>
  <si>
    <t>aileendino5@gmail.com</t>
  </si>
  <si>
    <t>ajverma0002@gmail.com</t>
  </si>
  <si>
    <t>babalolaakin.a@gmail.com</t>
  </si>
  <si>
    <t>alelugo2090@yahoo.com</t>
  </si>
  <si>
    <t>amandeepkaurbrar0007@gmail.com</t>
  </si>
  <si>
    <t>davinderdeol255@gmail.com</t>
  </si>
  <si>
    <t>Andrea</t>
  </si>
  <si>
    <t>andreaguevarar1998@gmail.com</t>
  </si>
  <si>
    <t>verchesandrew@yahoo.com</t>
  </si>
  <si>
    <t>anIsha Touraykhanal934@gmail.com</t>
  </si>
  <si>
    <t>Asmitabadal28@gmail.com</t>
  </si>
  <si>
    <t>Abefelion308@gmail.com</t>
  </si>
  <si>
    <t>sufiaalekozai@gmail.com</t>
  </si>
  <si>
    <t>gcbinaya9@gmail.com</t>
  </si>
  <si>
    <t>cainmiro81@gmail.com</t>
  </si>
  <si>
    <t>cesia.priscila.ramos@hotmail.com</t>
  </si>
  <si>
    <t>cyren.aljon@gmail.com</t>
  </si>
  <si>
    <t>dcheboswony@gmail.com</t>
  </si>
  <si>
    <t>danielaboagye648@gmail.com</t>
  </si>
  <si>
    <t>Daniel Salas Rivas D</t>
  </si>
  <si>
    <t>daniel_alex120997@hotmail.com</t>
  </si>
  <si>
    <t>Davinder Singh Deol</t>
  </si>
  <si>
    <t>Dheerajkashyap615@gmail.com</t>
  </si>
  <si>
    <t>dianalaurapriego@gmail.com</t>
  </si>
  <si>
    <t>Dolydiara6@gmail.com</t>
  </si>
  <si>
    <t>Eduardo Abuel</t>
  </si>
  <si>
    <t>arabuel@yahoo.com</t>
  </si>
  <si>
    <t>Eleazar S. Cariaga</t>
  </si>
  <si>
    <t>elisamalunay456@gmail.com</t>
  </si>
  <si>
    <t>zinkengelsie1@gmail.com</t>
  </si>
  <si>
    <t>Emilio Libao</t>
  </si>
  <si>
    <t>emiliolibao@gmail.com</t>
  </si>
  <si>
    <t>emendoza0131yahoo.com</t>
  </si>
  <si>
    <t>Ihotu11@gmail.com</t>
  </si>
  <si>
    <t>bernardoesaumiguel@gmail.com</t>
  </si>
  <si>
    <t>Eunice88sammy@gmail.com</t>
  </si>
  <si>
    <t>Florablanca Erika Aquino</t>
  </si>
  <si>
    <t>derechoflorablancaerika@gmail.com</t>
  </si>
  <si>
    <t>Florie Mae G. Semblante</t>
  </si>
  <si>
    <t>floriemaesemblante@gmail.com</t>
  </si>
  <si>
    <t>fasumuda4@gmail.com</t>
  </si>
  <si>
    <t>gagandeepsingh24052002@gmail.com</t>
  </si>
  <si>
    <t>jeo_101@yahoo.com</t>
  </si>
  <si>
    <t>Gregorio Pleto</t>
  </si>
  <si>
    <t>Greggycp@gmail.com</t>
  </si>
  <si>
    <t>ninzizahargorroberto@gmail.com</t>
  </si>
  <si>
    <t>Harpreetaujla2014@gmail.com</t>
  </si>
  <si>
    <t>Himaya James</t>
  </si>
  <si>
    <t>hursulla_rocha@hotmail.com</t>
  </si>
  <si>
    <t>ibrahimadebayo303030@gmail.com</t>
  </si>
  <si>
    <t>ilonaigira32@gmail.com</t>
  </si>
  <si>
    <t>Dheeraj Kumar I Sicat</t>
  </si>
  <si>
    <t>bernasicat@gmail.com</t>
  </si>
  <si>
    <t>Henry Guisalta</t>
  </si>
  <si>
    <t>irish.alva@yahoo.com</t>
  </si>
  <si>
    <t>jaimals263@gmail.com</t>
  </si>
  <si>
    <t>romano28jamie@gmail.com</t>
  </si>
  <si>
    <t>jancelgraypineda@gmail.com</t>
  </si>
  <si>
    <t>jandy.cst@hotmail.com</t>
  </si>
  <si>
    <t>Kjasbeer366@gmail.com</t>
  </si>
  <si>
    <t>Jatin kumar</t>
  </si>
  <si>
    <t>jatin701528@gmail.com</t>
  </si>
  <si>
    <t>ieltssynonyms@gmail.com</t>
  </si>
  <si>
    <t>Jonasmacaspac03@gmail.com</t>
  </si>
  <si>
    <t>Jos.rodriguez2728@gmail.com</t>
  </si>
  <si>
    <t>jrcajandig1988@gmail.com</t>
  </si>
  <si>
    <t>migslaz@gmail.com</t>
  </si>
  <si>
    <t>ujuokwuaka1@gmail.com</t>
  </si>
  <si>
    <t>Ujunwa Okwuaka (Server)</t>
  </si>
  <si>
    <t>karanpoon30@gmail.com</t>
  </si>
  <si>
    <t>keanolarte10@gmail.com</t>
  </si>
  <si>
    <t>khaledbabou3@gmail.com</t>
  </si>
  <si>
    <t>kunaldhimankd.kd@gmail.com</t>
  </si>
  <si>
    <t>Leander</t>
  </si>
  <si>
    <t>leenelson014@gmail.com</t>
  </si>
  <si>
    <t>Lilian Wamaitha Wanjiku</t>
  </si>
  <si>
    <t>wamaithalilian@gmail.com</t>
  </si>
  <si>
    <t>lynseyarbolado03@gmail.com</t>
  </si>
  <si>
    <t>malihajohn@hotmail.com</t>
  </si>
  <si>
    <t>Manjot51202@gmail.com</t>
  </si>
  <si>
    <t>alejandro.uribeadame@gmail.com</t>
  </si>
  <si>
    <t>manuelanjikam@gmail.com</t>
  </si>
  <si>
    <t>sydneycagalawan@gmail.com</t>
  </si>
  <si>
    <t>Marina Pereira</t>
  </si>
  <si>
    <t>marinamateuspereira@gmail.com</t>
  </si>
  <si>
    <t>ps9646986@gmail.com</t>
  </si>
  <si>
    <t>mbazumutimadionne@gmail.com</t>
  </si>
  <si>
    <t>mhel_414@yahoo.com</t>
  </si>
  <si>
    <t>mc07mc@yahoo.com</t>
  </si>
  <si>
    <t>mohitgakhar3022@gmail.com</t>
  </si>
  <si>
    <t>moniajaglan420@gmail.com</t>
  </si>
  <si>
    <t>Muhawenimana Angelique</t>
  </si>
  <si>
    <t>mpanoangel21@gmail.com</t>
  </si>
  <si>
    <t>akternaf7@gmail.com</t>
  </si>
  <si>
    <t>mbalirenancy@gmail.com</t>
  </si>
  <si>
    <t>nikhilghimire44@gmail.com</t>
  </si>
  <si>
    <t>njongpreciouseghah@gmail.com</t>
  </si>
  <si>
    <t>shengenigelle@gmail.com</t>
  </si>
  <si>
    <t>nshimirimanacarine22@gmail.com</t>
  </si>
  <si>
    <t>Nyinawase Merveille</t>
  </si>
  <si>
    <t>nyinawasemerveille@gmail.com</t>
  </si>
  <si>
    <t>olaveak@gmail.com</t>
  </si>
  <si>
    <t>parneetbrar302@gmail.com</t>
  </si>
  <si>
    <t>parthgosai2033@gmail.com</t>
  </si>
  <si>
    <t>Patrick Dave Mateo</t>
  </si>
  <si>
    <t>patrickdavepiguingmateo@gmail.com</t>
  </si>
  <si>
    <t>pauline.v.patterson@gmail.com</t>
  </si>
  <si>
    <t>sharmapawandeep376@gmail.com</t>
  </si>
  <si>
    <t>paxellamizero@gmail.com</t>
  </si>
  <si>
    <t>figueroapaxon6@gmail.com</t>
  </si>
  <si>
    <t>peshninnah18@gmail.com</t>
  </si>
  <si>
    <t>Prabhleen Kaur</t>
  </si>
  <si>
    <t>prabhleenkaur.0304@gmail.com</t>
  </si>
  <si>
    <t>pariyarprabin1019@gmail.com</t>
  </si>
  <si>
    <t>pranojranjit1204@gmail.com</t>
  </si>
  <si>
    <t>Rajdeep kaur Baring</t>
  </si>
  <si>
    <t>rajdeepbaring97@gmail.com</t>
  </si>
  <si>
    <t>r337kaur@gmail.com</t>
  </si>
  <si>
    <t>sandhudilpreet833@gmail.com</t>
  </si>
  <si>
    <t>rehostyles@gmail.com</t>
  </si>
  <si>
    <t>ritikagulati3000@gmail.com</t>
  </si>
  <si>
    <t>RIsha Touraybh Bumb</t>
  </si>
  <si>
    <t>RIsha Touraybh RIsha Touraybh</t>
  </si>
  <si>
    <t>rIsha Touraybh22ji.s@gmail.com</t>
  </si>
  <si>
    <t>Roshana Jade McLeod</t>
  </si>
  <si>
    <t>Ruby Bernal</t>
  </si>
  <si>
    <t>mandayrhoda30@gmail.com</t>
  </si>
  <si>
    <t>Ruby Bernal R</t>
  </si>
  <si>
    <t>samjhanachapa@gmail.com</t>
  </si>
  <si>
    <t>sam_asuncion42@yahoo.com</t>
  </si>
  <si>
    <t>Sayeedah.hashimi@gmail.com</t>
  </si>
  <si>
    <t>Sherilyn Taghoy</t>
  </si>
  <si>
    <t>valdez655@yahoo.com</t>
  </si>
  <si>
    <t>Sheryl Policarpio</t>
  </si>
  <si>
    <t>sheryl11taz@yahoo.com</t>
  </si>
  <si>
    <t>S.chege18@yahoo.com</t>
  </si>
  <si>
    <t>simrankaur77105@gmail.com</t>
  </si>
  <si>
    <t>sumanpreet90d@gmail.com</t>
  </si>
  <si>
    <t>surajpoudel2525@gmail.com</t>
  </si>
  <si>
    <t>Suzan Bitici</t>
  </si>
  <si>
    <t>suzanbitici@gmail.com</t>
  </si>
  <si>
    <t>tunmise.temitope01@gmail.com</t>
  </si>
  <si>
    <t>upasnajat10@gmail.com</t>
  </si>
  <si>
    <t>oumavaida@gmail.com</t>
  </si>
  <si>
    <t>sdeosingh44@gmail.com</t>
  </si>
  <si>
    <t>ngure44@gmail.com</t>
  </si>
  <si>
    <t>ywagio@gmail.com</t>
  </si>
  <si>
    <t>zeel04062002@gmail.com</t>
  </si>
  <si>
    <t>angeabelarde@gmail.com</t>
  </si>
  <si>
    <t>BIsha Touraylgharti.banks@gmail.com</t>
  </si>
  <si>
    <t>darranlarrance@gmail.com</t>
  </si>
  <si>
    <t>Jasman Singh</t>
  </si>
  <si>
    <t>taurnaalshada69@gmail.com</t>
  </si>
  <si>
    <t>Pardip Oli</t>
  </si>
  <si>
    <t>pradipwoli47@gmail.com</t>
  </si>
  <si>
    <t>phago08sachin@gmail.com</t>
  </si>
  <si>
    <t>shankaradhikari528@gmail.com</t>
  </si>
  <si>
    <t xml:space="preserve">Carolvivian1982@gmail.com </t>
  </si>
  <si>
    <t>jdabuyan@yahoo.com</t>
  </si>
  <si>
    <t>ruizjohnsimon@yahoo.com</t>
  </si>
  <si>
    <t>emmanuelsylvester682@gmail.com</t>
  </si>
  <si>
    <t>collinsnimako60@gmail.com</t>
  </si>
  <si>
    <t>sunshinerebadulla90@gmail.com</t>
  </si>
  <si>
    <t>winercariaga@yahoo.com</t>
  </si>
  <si>
    <t>lemnoelatala@gmail.com</t>
  </si>
  <si>
    <t>dineonuchukwu@gmail.com</t>
  </si>
  <si>
    <t>yams.ghattamaneni@gmail.com</t>
  </si>
  <si>
    <t>rIsha Touraybhkumar8787@gmail.com</t>
  </si>
  <si>
    <t>Lauzon_danica@yahoo.com</t>
  </si>
  <si>
    <t>Munjalchauhan125@gmail.com</t>
  </si>
  <si>
    <t>karankhatrik10@gmail.com</t>
  </si>
  <si>
    <t>manirakizafarel8@gmail.com</t>
  </si>
  <si>
    <t>Olga uwikunze</t>
  </si>
  <si>
    <t>uwikunzeolga@gmail.com</t>
  </si>
  <si>
    <t>aricksahotra@gmail.com</t>
  </si>
  <si>
    <t>asanthapradeep89@mail.com</t>
  </si>
  <si>
    <t>Kathryn Santos</t>
  </si>
  <si>
    <t>amantiwana07@gmail.com</t>
  </si>
  <si>
    <t>calunsagcjane17@gmail.com</t>
  </si>
  <si>
    <t>katedeguzmankj@gmail.com</t>
  </si>
  <si>
    <t>Shedrackdavid29@gmail.com</t>
  </si>
  <si>
    <t>damodar.dahal1981@gmail.com</t>
  </si>
  <si>
    <t>kaurjshn29860@gmail.com</t>
  </si>
  <si>
    <t>gainjujamuna@gmail.com</t>
  </si>
  <si>
    <t>kjssntos0317@yahoo.com</t>
  </si>
  <si>
    <t>kristine_dguzman@yahoo.com</t>
  </si>
  <si>
    <t>nancyonugod@gmail.com</t>
  </si>
  <si>
    <t>olisandip431@gmail.com</t>
  </si>
  <si>
    <t>lramos273141@gmail.com</t>
  </si>
  <si>
    <t>Otsewilson22@gmail.com</t>
  </si>
  <si>
    <t>emmanuelolatide@gmail.com</t>
  </si>
  <si>
    <t>fola4lek@gmail.com</t>
  </si>
  <si>
    <t>igihozozitha@gmail.com</t>
  </si>
  <si>
    <t>justinedeguzman2222@gmail.com</t>
  </si>
  <si>
    <t>Jashan</t>
  </si>
  <si>
    <t>COURTYARD | MARRIOTT TORONTO AIRPORT (231 CARLINGVIEW DR)</t>
  </si>
  <si>
    <t>COURTYARD | MARRIOTT MARKHAM (65 MINTHORN BLVD, MARKHAM)</t>
  </si>
  <si>
    <t>HILTON GARDEN INN - AIRPORT / STEELES (2648 STEELES AVE E, BRAMPTON)</t>
  </si>
  <si>
    <t>HILTON GARDEN INN - TORONTO - BRAMPTON (TOMKEN &amp; STEELES, 200 STEELWELL RD, BRAMPTON)</t>
  </si>
  <si>
    <t>HOLIDAY INN EXPRESS - WHITBY (180 CONSUMERS DR, WHITBY)</t>
  </si>
  <si>
    <t>SHERATON PARKWAY (600 HIGHWAY 7, RICHMOND HILL)</t>
  </si>
  <si>
    <t>SPRINGHILL SUITES - MARRIOTT (612 APPLEWOOD CRES, VAUGHAN)</t>
  </si>
  <si>
    <t>CLEANERS/HOUSEKEEPERS PAY PERIOD DECEMBER 03 - 16</t>
  </si>
  <si>
    <t>HOTELS/OFFICES</t>
  </si>
  <si>
    <t>Alberto</t>
  </si>
  <si>
    <t>HAMPTON INN (BURLINGTON)</t>
  </si>
  <si>
    <t>Faith</t>
  </si>
  <si>
    <t>December 16 - 30</t>
  </si>
  <si>
    <t>SALARY</t>
  </si>
  <si>
    <t>2255 DUNDAS ST WEST</t>
  </si>
  <si>
    <t>Jessica Erika Mae Sablas</t>
  </si>
  <si>
    <t>Junel Ibalig</t>
  </si>
  <si>
    <t>FOUR POINTS HAMILTON</t>
  </si>
  <si>
    <t>Kirsten Carmel Ricacho</t>
  </si>
  <si>
    <t>Lesley Ann</t>
  </si>
  <si>
    <t>Maqueen</t>
  </si>
  <si>
    <t>Marilyn</t>
  </si>
  <si>
    <t>Mary Jasmine Dalapo</t>
  </si>
  <si>
    <t>Miajoy</t>
  </si>
  <si>
    <t>Michael</t>
  </si>
  <si>
    <t>Nickson</t>
  </si>
  <si>
    <t>HOMEWOOD SUITES (MARKHAM)</t>
  </si>
  <si>
    <t xml:space="preserve">Patricia Mbombo Kapinga </t>
  </si>
  <si>
    <t>BEST WESTERN PLUS OTTAWA</t>
  </si>
  <si>
    <t>Sofiane Ismail</t>
  </si>
  <si>
    <t>Tara</t>
  </si>
  <si>
    <t>Ace Magtulis</t>
  </si>
  <si>
    <t xml:space="preserve">THE OAKES HOTEL </t>
  </si>
  <si>
    <t>Adonis Dial Vergara (for Don)</t>
  </si>
  <si>
    <t>Adriana Michelle Vazquez Martinez</t>
  </si>
  <si>
    <t>DAYS INN OTTAWA - WEST</t>
  </si>
  <si>
    <t>Ange Marie Uwimana</t>
  </si>
  <si>
    <t>Anjelo L. Olivar</t>
  </si>
  <si>
    <t>Anthony Frias</t>
  </si>
  <si>
    <t>Arliz Salas</t>
  </si>
  <si>
    <t xml:space="preserve">SENECA 13980 DUFFERIN ST KING CITY </t>
  </si>
  <si>
    <t>Baldeep Singh Baring (for Rajdeep PLUS 45.54 Uber Orangeville PLUS 9hrs Nov 24)</t>
  </si>
  <si>
    <t>Baldeep Singh Baring (for Rajdeep)</t>
  </si>
  <si>
    <t>FOUR POINTS BY SHERATON</t>
  </si>
  <si>
    <t>Blessy Iradukunda</t>
  </si>
  <si>
    <t>Calvin Ntwali</t>
  </si>
  <si>
    <t>Carey P. Salces</t>
  </si>
  <si>
    <t>Chiarre Anne Epistola</t>
  </si>
  <si>
    <t>Chima Cynthia Nonye</t>
  </si>
  <si>
    <t>Chimezie Azodo (for Joshua)</t>
  </si>
  <si>
    <t xml:space="preserve">Cristopher Ubando (for Rhodora) (PLUS $7.76 DOUBLE FARE,  7DAY/S) </t>
  </si>
  <si>
    <t>Cristopher Ubando (PLUS $7.76 DOUBLE FARE, 2 DAY/S)</t>
  </si>
  <si>
    <t>HOMEWOOD SUITES/HAMPTON INN (MARKHAM)</t>
  </si>
  <si>
    <t>Danny Alquino</t>
  </si>
  <si>
    <t>Deepakkumar Nanubhai Patel</t>
  </si>
  <si>
    <t>Emily Mendoza</t>
  </si>
  <si>
    <t>January 1  - 15</t>
  </si>
  <si>
    <t>CRH CANADA</t>
  </si>
  <si>
    <t>January 1 - 15</t>
  </si>
  <si>
    <t>SKYWARD BUSINESS CENTER - CLEANER</t>
  </si>
  <si>
    <t>Ericka Marcuap</t>
  </si>
  <si>
    <t>Erwin Obico Uchi</t>
  </si>
  <si>
    <t>Dec 17 - 30</t>
  </si>
  <si>
    <t>Feluvin Macasiljig</t>
  </si>
  <si>
    <t>RIVER RAPIDS INN</t>
  </si>
  <si>
    <t>Gemmalyn Dungca</t>
  </si>
  <si>
    <t>Gerome Balote (PLUS $7.76 DOUBLE FARE,9 DAY/S)</t>
  </si>
  <si>
    <t>Gia Angelica Pasion</t>
  </si>
  <si>
    <t>RESIDENCE INN (MISSISSAUGA)</t>
  </si>
  <si>
    <t>Giladio Cafe (for Raynan)</t>
  </si>
  <si>
    <t>Gilbert Ada Ogaro</t>
  </si>
  <si>
    <t>Girlie Casanova Diala</t>
  </si>
  <si>
    <t xml:space="preserve">Glynnet D. Emata </t>
  </si>
  <si>
    <t>Gora Kane</t>
  </si>
  <si>
    <t>Grace Araneta (for Rey) (PLUS $7.76 DOUBLE FARE, 9 DAY/S)</t>
  </si>
  <si>
    <t>Grethel Encontad</t>
  </si>
  <si>
    <t>SHERATON FOUR POINTS (VAUGHAN)</t>
  </si>
  <si>
    <t>Gurpreet Singh</t>
  </si>
  <si>
    <t>Harjot Singh</t>
  </si>
  <si>
    <t>Ingabire Sylvie (for Sylvia)</t>
  </si>
  <si>
    <t>Jayna Marie de Castro</t>
  </si>
  <si>
    <t>Jeanie May A Jallorina</t>
  </si>
  <si>
    <t>SPRINGHILL SUITES</t>
  </si>
  <si>
    <t>Jeanie May A Jallorina (PLUS $7.76 DOUBLE FARE, 2 DAY/S)</t>
  </si>
  <si>
    <t>Jefferson John Estoy</t>
  </si>
  <si>
    <t>Jenelyn B. Canete</t>
  </si>
  <si>
    <t>Jerone De Villa</t>
  </si>
  <si>
    <t>Jeruz Teodoro (for Lara)</t>
  </si>
  <si>
    <t>Jester Coloma (for Mark)</t>
  </si>
  <si>
    <t>Joana Rocelle Velasco</t>
  </si>
  <si>
    <t>Joel Alcantara Leynes (for Matt)</t>
  </si>
  <si>
    <t>John Ace Bustillo</t>
  </si>
  <si>
    <t>John Neil T. Casanova</t>
  </si>
  <si>
    <t>José Antonio Martínez Rodríguez (for Jonathan Gonzales)</t>
  </si>
  <si>
    <t>Jossini L Sing</t>
  </si>
  <si>
    <t>Judy Eleido</t>
  </si>
  <si>
    <t>Justina Andal (PLUS $7.76 DOUBLE FARE, 7 DAY/S)</t>
  </si>
  <si>
    <t>Kasule Stuart</t>
  </si>
  <si>
    <t>Kathlien Ann Piedra</t>
  </si>
  <si>
    <t>Ke-ann Olarte (PLUS $7.76/DAY DOUBLE FARE, 2 DAY/S)</t>
  </si>
  <si>
    <t>Ke-ann Olarte (PLUS $8.76/DAY DOUBLE FARE, 1 DAY/S)</t>
  </si>
  <si>
    <t>Kosisochukwu Chukwuma</t>
  </si>
  <si>
    <t>Kowshalyah Anuragaven</t>
  </si>
  <si>
    <t xml:space="preserve">GIVE &amp; GO 415 RAILSIDE DR </t>
  </si>
  <si>
    <t>Kristine Deleon (for Kathleen)</t>
  </si>
  <si>
    <t>Kulwinder Singh (Ranjeet)</t>
  </si>
  <si>
    <t>Laurence Del Rosario</t>
  </si>
  <si>
    <t>Leah Njuguna (for Simon Waweru) (PLUS $10.25 UNDERPAYMENT)</t>
  </si>
  <si>
    <t>Lovepreet Kaur Dhaliwal</t>
  </si>
  <si>
    <t>Maria Rosario Meneses (PLUS $8.76/DAY DOUBLE FARE, 7 DAY/S)</t>
  </si>
  <si>
    <t>Marlou Busel (for Joy Raluta)</t>
  </si>
  <si>
    <t>Marlyn Del Rosario</t>
  </si>
  <si>
    <t>Michael Columbres (for Martie)</t>
  </si>
  <si>
    <t>Mike Champion Ingabire</t>
  </si>
  <si>
    <t>Naveed John (for Mursal)</t>
  </si>
  <si>
    <t>Nellie Dionio (PLUS $7.76/DAY DOUBLE FARE, 1 DAY/S)</t>
  </si>
  <si>
    <t>Norlie Allanic</t>
  </si>
  <si>
    <t xml:space="preserve">SHERIDAN OAKVILLE </t>
  </si>
  <si>
    <t>Oscar Uribe (for Scarlett)</t>
  </si>
  <si>
    <t>Oussena Issam Ferjani</t>
  </si>
  <si>
    <t>Paramjeet Kaur (PLUS 8hrs October 30)</t>
  </si>
  <si>
    <t>Petr Krejza (for Tereza)</t>
  </si>
  <si>
    <t>Priya</t>
  </si>
  <si>
    <t>Raynesia Edwards</t>
  </si>
  <si>
    <t>Rica Mae Cachero</t>
  </si>
  <si>
    <t>Rico Rodriguez Jr (for Ceniza)</t>
  </si>
  <si>
    <t>Robertson Lasala (for Bryzzel) (PLUS $8.76/DAY DOUBLE FARE, 7 DAY/S)</t>
  </si>
  <si>
    <t>Rosauro Panganiban</t>
  </si>
  <si>
    <t>Ross-vie Sabalones</t>
  </si>
  <si>
    <t>Rowena Virgo (for Romel)</t>
  </si>
  <si>
    <t>Samuel Olulana Oluwarotimi</t>
  </si>
  <si>
    <t>Shakeriah Wheatle</t>
  </si>
  <si>
    <t>Shivani Sharma</t>
  </si>
  <si>
    <t>Varsha Virwani</t>
  </si>
  <si>
    <t>Veerpal Kaur</t>
  </si>
  <si>
    <t>Viendolyn Autor</t>
  </si>
  <si>
    <t>UofT PRESS JOURNALS 5201 DUFFERIN ST</t>
  </si>
  <si>
    <t>Zeba Imtiyaj Hafiz</t>
  </si>
  <si>
    <t>Sofia</t>
  </si>
  <si>
    <t>17.5 + HST</t>
  </si>
  <si>
    <t>Grecia</t>
  </si>
  <si>
    <t xml:space="preserve">BEST WESTERN PREMIER CARLINGVIEW </t>
  </si>
  <si>
    <t>Karet</t>
  </si>
  <si>
    <t>MC Painting and Cleaning Services</t>
  </si>
  <si>
    <t>190hrs</t>
  </si>
  <si>
    <t>17.5+HST</t>
  </si>
  <si>
    <t>Date</t>
  </si>
  <si>
    <t>Remarks</t>
  </si>
  <si>
    <t>OK?</t>
  </si>
  <si>
    <t>NO.</t>
  </si>
  <si>
    <t>CLEANERS/HOUSEKEEPERS PAY PERIOD SEPTEMBER 10 - SEPTEMBER 23</t>
  </si>
  <si>
    <t>HOTEL ASSIGNMENT</t>
  </si>
  <si>
    <t>AIDEN - Melanie Garcia</t>
  </si>
  <si>
    <t>BEST WESTERN PLUS CAMBRIDGE</t>
  </si>
  <si>
    <t>AILEEN</t>
  </si>
  <si>
    <t>AKIN BABALOLA</t>
  </si>
  <si>
    <t>ALBERTO</t>
  </si>
  <si>
    <t>ALEJANDRA CRISTINA LUGO MARTINEZ</t>
  </si>
  <si>
    <t>ALJHEN CHRISTINE MORENO</t>
  </si>
  <si>
    <t>AMAN</t>
  </si>
  <si>
    <t>AMARY TOLENTINO</t>
  </si>
  <si>
    <t>ANA</t>
  </si>
  <si>
    <t xml:space="preserve">RESIDENCE AND CONFERENCE CENTRE </t>
  </si>
  <si>
    <t>ANDREIUS ABARA</t>
  </si>
  <si>
    <t>ANDREW VERCHES</t>
  </si>
  <si>
    <t>ANGELICA</t>
  </si>
  <si>
    <t>ANITA MADHAR</t>
  </si>
  <si>
    <t>APRIL</t>
  </si>
  <si>
    <t>RESIDENCE INN (2145 N SHERIDAN WAY, MISSISSAUGA)</t>
  </si>
  <si>
    <t>ARYS ALEKCI SULABO</t>
  </si>
  <si>
    <t>HOMEWOOD SUITES - HILTON (50 BODRINGTON CT, MARKHAM)</t>
  </si>
  <si>
    <t>AWAIS - MARY ANN BARNUEVO</t>
  </si>
  <si>
    <t>BRYZZEL GERONIMO</t>
  </si>
  <si>
    <t>CARLOS HUMBERTO CAMELO RAMIREZ</t>
  </si>
  <si>
    <t>CHARMAINE</t>
  </si>
  <si>
    <t>CIRSTY</t>
  </si>
  <si>
    <t>CORELIE - MARIA ANNA OBIEN CASTRO</t>
  </si>
  <si>
    <t>CZARINA</t>
  </si>
  <si>
    <t>DANNY LEILA ITERITEKA</t>
  </si>
  <si>
    <t>DAPHNE</t>
  </si>
  <si>
    <t>DARYLL</t>
  </si>
  <si>
    <t>DAVINDER</t>
  </si>
  <si>
    <t>DIANNA M.</t>
  </si>
  <si>
    <t>DIANNE H.</t>
  </si>
  <si>
    <t>SHERIDAN OAKVILLE</t>
  </si>
  <si>
    <t>DIANNE P. - MELANIE GARCIA</t>
  </si>
  <si>
    <t>DIANE T - MELANIE GARCIA</t>
  </si>
  <si>
    <t>DIGVIJAYSINH B LADEJA</t>
  </si>
  <si>
    <t>DIRK BRANDON LAPITAN</t>
  </si>
  <si>
    <t>DIVYASH KAPUR</t>
  </si>
  <si>
    <t>DONDON BERNABEE</t>
  </si>
  <si>
    <t>MAGNA 90 SNIDERCROFT</t>
  </si>
  <si>
    <t>EDIA</t>
  </si>
  <si>
    <t>EILEEN - WINNIELYN GARCIA</t>
  </si>
  <si>
    <t>ELLA ELLINE</t>
  </si>
  <si>
    <t>EMILY MENDOZA</t>
  </si>
  <si>
    <t>EMMANUEL</t>
  </si>
  <si>
    <t>ERWIN OBICO UCHI</t>
  </si>
  <si>
    <t>EVER</t>
  </si>
  <si>
    <t>FAITH DELA CRUZ</t>
  </si>
  <si>
    <t>2255 DUNDAS</t>
  </si>
  <si>
    <t>SKYWARD BUSINESS CENTER</t>
  </si>
  <si>
    <t>FRANCISCA - Juan Pablo Gutierrez Sagredo</t>
  </si>
  <si>
    <t>DAYS INN OTTAWA - DOWNTOWN (319 RIDEAU ST, OTTAWA)</t>
  </si>
  <si>
    <t>GAGANDEEP SINGH</t>
  </si>
  <si>
    <t>OLADELE GBENGA</t>
  </si>
  <si>
    <t>GEROME</t>
  </si>
  <si>
    <t>GIRLIE CASANOVA DIALA</t>
  </si>
  <si>
    <t>GLORIA</t>
  </si>
  <si>
    <t>GREGORIO PLETO</t>
  </si>
  <si>
    <t>GURPINDER KAUR</t>
  </si>
  <si>
    <t>HARLAN - KAREL JOHN GUMAPAS</t>
  </si>
  <si>
    <t>HERSY</t>
  </si>
  <si>
    <t>JACKIE</t>
  </si>
  <si>
    <t>JANE</t>
  </si>
  <si>
    <t>JASHAN TURNA - JASHANPREET KAUR</t>
  </si>
  <si>
    <t>JAY</t>
  </si>
  <si>
    <t>JAYDEV VAISHNAV</t>
  </si>
  <si>
    <t>GIVE AND GO 415 RAILSIDE DR BRAMPTON</t>
  </si>
  <si>
    <t>JAYNA</t>
  </si>
  <si>
    <t>JEANIELYN JALLORINA</t>
  </si>
  <si>
    <t>JEFFREY</t>
  </si>
  <si>
    <t>JENNY RULLODA</t>
  </si>
  <si>
    <t>JENNYLYN - JASMIN R. PAJALLA</t>
  </si>
  <si>
    <t>JEREMIE LEWIS LAMADELINE</t>
  </si>
  <si>
    <t>JERICK PARASO</t>
  </si>
  <si>
    <t>JERONE DE VILLA</t>
  </si>
  <si>
    <t>JESSICA ERIKA MAE SABLAS</t>
  </si>
  <si>
    <t>JILIAN - JOCELYN REYNO</t>
  </si>
  <si>
    <t>JOANNA</t>
  </si>
  <si>
    <t xml:space="preserve">JO-ANNE  </t>
  </si>
  <si>
    <t>JOHN EDMAR MARTINEZ</t>
  </si>
  <si>
    <t>JOHN NEIL CASANOVA</t>
  </si>
  <si>
    <t>JOHN PATRICK - CHESTER VINCENT GONZALES</t>
  </si>
  <si>
    <t>JONAN SALAS</t>
  </si>
  <si>
    <t>JOSE (JAY)</t>
  </si>
  <si>
    <t>NELLANE JOY DELA CRUZ</t>
  </si>
  <si>
    <t>JOY RALUTA - MARLOU BUSEL</t>
  </si>
  <si>
    <t>JOY RAMOS - LENY SALLUTAL</t>
  </si>
  <si>
    <t>JUDY ANNE</t>
  </si>
  <si>
    <t>JUN</t>
  </si>
  <si>
    <t>JUSTINA ANDAL</t>
  </si>
  <si>
    <t>KAMALPREET</t>
  </si>
  <si>
    <t>KARL</t>
  </si>
  <si>
    <t>KATHLEEN - KRISTINE DELEON</t>
  </si>
  <si>
    <t>KEAN JOSHUA GARCIA</t>
  </si>
  <si>
    <t>KE-ANN OLARTE</t>
  </si>
  <si>
    <t>KIRSTEN CARMEL RICACHO</t>
  </si>
  <si>
    <t>KOSISOCHUKWU CHUKWUMA</t>
  </si>
  <si>
    <t>KOWSHALYAH ANURAGAVEN</t>
  </si>
  <si>
    <t>LARA</t>
  </si>
  <si>
    <t>LAURIE VIGNAUD</t>
  </si>
  <si>
    <t>LENY SALLUTAL</t>
  </si>
  <si>
    <t>LESLEY ANN</t>
  </si>
  <si>
    <t>LIBERTY</t>
  </si>
  <si>
    <t>LILY AMOAH</t>
  </si>
  <si>
    <t>LORENZO</t>
  </si>
  <si>
    <t>LOVELEEN KAUR</t>
  </si>
  <si>
    <t>LOVEPREET KAUR</t>
  </si>
  <si>
    <t>LOVEPREET KAUR DHALIWAL</t>
  </si>
  <si>
    <t>LUZ</t>
  </si>
  <si>
    <t>MADY</t>
  </si>
  <si>
    <t>MAE</t>
  </si>
  <si>
    <t>MAE ARAGON</t>
  </si>
  <si>
    <t>MANMOJIT - SHARANJIT KAUR</t>
  </si>
  <si>
    <t>MANU MATTHEW</t>
  </si>
  <si>
    <t>MARIE DUFOUR</t>
  </si>
  <si>
    <t>MARIE MERCY INEZA</t>
  </si>
  <si>
    <t>MARLENE - KRISTINE DELEON</t>
  </si>
  <si>
    <t>MARLON</t>
  </si>
  <si>
    <t>MARY ANN VALDEHUEZA</t>
  </si>
  <si>
    <t>591 BASALTIC</t>
  </si>
  <si>
    <t>MARY JASMINE</t>
  </si>
  <si>
    <t>MD NIZAM UDDIN</t>
  </si>
  <si>
    <t>MIAJOY</t>
  </si>
  <si>
    <t>MICHAEL</t>
  </si>
  <si>
    <t>MICHAEL ANGELO</t>
  </si>
  <si>
    <t>MINETTE BIARES</t>
  </si>
  <si>
    <t>MURSAL - NAVEED JOHN</t>
  </si>
  <si>
    <t>MYRNA ALCONTIN</t>
  </si>
  <si>
    <t>NAVNEET KAUR</t>
  </si>
  <si>
    <t>GRAPHIC PACKAGING TRANMERE (18/DAY)</t>
  </si>
  <si>
    <t>GRAPHIC PACKAGING TRANMERE (20/DAY)</t>
  </si>
  <si>
    <t>NELLIE DIONIO</t>
  </si>
  <si>
    <t>NICKSON</t>
  </si>
  <si>
    <t>NIKKI - MELANIE GARCIA</t>
  </si>
  <si>
    <t>NIÑO</t>
  </si>
  <si>
    <t>NORSAN</t>
  </si>
  <si>
    <t>PARTH</t>
  </si>
  <si>
    <t>PATRICIA MBOMBO KAPINGA</t>
  </si>
  <si>
    <t>PHILIP JOHN</t>
  </si>
  <si>
    <t>RACHEL - ROWENA VIRGO</t>
  </si>
  <si>
    <t>RAJDEEP KAUR BARING</t>
  </si>
  <si>
    <t>RANDEEP KAUR</t>
  </si>
  <si>
    <t>REA - MARY JASMINE DALAPO</t>
  </si>
  <si>
    <t>REY</t>
  </si>
  <si>
    <t>RHODORA - CRISTOPHER UBANDO</t>
  </si>
  <si>
    <t>RICO RODRIGUEZ</t>
  </si>
  <si>
    <t>RJ</t>
  </si>
  <si>
    <t>RODOLFO/MERCY - VIENDOLYN AUTOR</t>
  </si>
  <si>
    <t>PETO MACCALLUM</t>
  </si>
  <si>
    <t>ROJELISA</t>
  </si>
  <si>
    <t>ROLAND</t>
  </si>
  <si>
    <t>ROMEL - ROWENA VIRGO</t>
  </si>
  <si>
    <t>RON</t>
  </si>
  <si>
    <t>RONNIE</t>
  </si>
  <si>
    <t>ROSA NIDA VILLAROSA</t>
  </si>
  <si>
    <t>MARIA ROSARIO MENESES</t>
  </si>
  <si>
    <t>RUTUL MANISHBHAI PATEL</t>
  </si>
  <si>
    <t>RYKA MAE</t>
  </si>
  <si>
    <t>SAAD</t>
  </si>
  <si>
    <t>SARA MAE</t>
  </si>
  <si>
    <t>SARAH - MELANIE GARCIA</t>
  </si>
  <si>
    <t>SASHA BROWN</t>
  </si>
  <si>
    <t>SAYEEDAH HASHIMI</t>
  </si>
  <si>
    <t>SCARLETT</t>
  </si>
  <si>
    <t>SHABNAM</t>
  </si>
  <si>
    <t>SHAKERIAH WHEATLE</t>
  </si>
  <si>
    <t>SHANNA - SIBOKA THOMPSON</t>
  </si>
  <si>
    <t>SHARANJIT KAUR</t>
  </si>
  <si>
    <t>SHARON JACOBS</t>
  </si>
  <si>
    <t>SHERLYN CADIZON</t>
  </si>
  <si>
    <t>SOFIA</t>
  </si>
  <si>
    <t>SOHAM JOSHI</t>
  </si>
  <si>
    <t>SRUSHTI MANUBHAI PATEL</t>
  </si>
  <si>
    <t>KASULE STUART</t>
  </si>
  <si>
    <t>TED</t>
  </si>
  <si>
    <t>TEDIE</t>
  </si>
  <si>
    <t>TERESA - REBECCA TAN APOLONIA</t>
  </si>
  <si>
    <t>TESS MINDA JAYSON EDWARD - MINDA ANG</t>
  </si>
  <si>
    <t>TOPE ANJORN</t>
  </si>
  <si>
    <t>TRIXIE ARENDAYEN</t>
  </si>
  <si>
    <t>TUNDE BALOGH</t>
  </si>
  <si>
    <t>TWINKLE SHARMA</t>
  </si>
  <si>
    <t>VEERPAL KAUR</t>
  </si>
  <si>
    <t>VIENDOLYN AUTOR</t>
  </si>
  <si>
    <t>UOFT PRESS JOURNALS</t>
  </si>
  <si>
    <t>VIKTORIA SZENASI</t>
  </si>
  <si>
    <t>VILLARICO VILLARIN</t>
  </si>
  <si>
    <t>YASH GOHEL</t>
  </si>
  <si>
    <t>YOGI JAYESHKUMAR JOSHI</t>
  </si>
  <si>
    <t>YVES</t>
  </si>
  <si>
    <t>ZIDANE JOEL TCHEBONG KAMTCHOUANG</t>
  </si>
  <si>
    <t>Employees</t>
  </si>
  <si>
    <t>Mode of Payment</t>
  </si>
  <si>
    <t>For e-transfer</t>
  </si>
  <si>
    <t>c/o Jasmine</t>
  </si>
  <si>
    <t>Aileen</t>
  </si>
  <si>
    <t>Aira - Michael Leyva</t>
  </si>
  <si>
    <t>Alex</t>
  </si>
  <si>
    <t>Aljhen Christine Moreno</t>
  </si>
  <si>
    <t>Amary</t>
  </si>
  <si>
    <t>Analyn Tarroza (Danilo)</t>
  </si>
  <si>
    <t>DD</t>
  </si>
  <si>
    <t>Andreuis Abara</t>
  </si>
  <si>
    <t>Anita Madhar</t>
  </si>
  <si>
    <t>Aradhika - NO PAY</t>
  </si>
  <si>
    <t>Arys</t>
  </si>
  <si>
    <t>Augusto - Maiylen Denolan</t>
  </si>
  <si>
    <t>Awais - Mary Ann Barnuevo</t>
  </si>
  <si>
    <t>Aydhen</t>
  </si>
  <si>
    <t>Banita - Loveleen Kaur</t>
  </si>
  <si>
    <t>Believe Tshamala</t>
  </si>
  <si>
    <t>Berna Sampang</t>
  </si>
  <si>
    <t>Bernitalyn</t>
  </si>
  <si>
    <t>Bryzelle</t>
  </si>
  <si>
    <t>Carlo Martin Alfaro</t>
  </si>
  <si>
    <t xml:space="preserve">Carlos </t>
  </si>
  <si>
    <t>Carol</t>
  </si>
  <si>
    <t>Charlie</t>
  </si>
  <si>
    <t>Corelie</t>
  </si>
  <si>
    <t>Dale Gabriel Viado</t>
  </si>
  <si>
    <t>Danny</t>
  </si>
  <si>
    <t>Diane T Cambridge - Melanie Garcia</t>
  </si>
  <si>
    <t>Dianne Oakville - Russian Dan Rasco</t>
  </si>
  <si>
    <t>Digvijaysinh B Jadeja</t>
  </si>
  <si>
    <t>Dirk Brandon</t>
  </si>
  <si>
    <t>Divyash Kapur</t>
  </si>
  <si>
    <t>Edna - Marites Tolentino</t>
  </si>
  <si>
    <t>Eileen - Winnielyn Garcia</t>
  </si>
  <si>
    <t>Fidel</t>
  </si>
  <si>
    <t>Francisca</t>
  </si>
  <si>
    <t>Gerome</t>
  </si>
  <si>
    <t>cash</t>
  </si>
  <si>
    <t>Giddel Libranda</t>
  </si>
  <si>
    <t>Girlie</t>
  </si>
  <si>
    <t>Oluebube Gladys Ohizu</t>
  </si>
  <si>
    <t>Greg</t>
  </si>
  <si>
    <t>Gwendolyn</t>
  </si>
  <si>
    <t>Harlan - Karel John Gumapas</t>
  </si>
  <si>
    <t>Harman</t>
  </si>
  <si>
    <t>Isha</t>
  </si>
  <si>
    <t>Jashan Turna</t>
  </si>
  <si>
    <t>Jasmin Lazaro</t>
  </si>
  <si>
    <t>Jasmine Dalapo</t>
  </si>
  <si>
    <t>Jaydev Vaishnav</t>
  </si>
  <si>
    <t>Jayson</t>
  </si>
  <si>
    <t>Jeanielyn Jallorina</t>
  </si>
  <si>
    <t>Jefferson</t>
  </si>
  <si>
    <t>Jeffrey Oakville - Jess</t>
  </si>
  <si>
    <t>Jennifer Ekesie</t>
  </si>
  <si>
    <t>Jeremy Lewis</t>
  </si>
  <si>
    <t>Jerick</t>
  </si>
  <si>
    <t>Jerico Dayot</t>
  </si>
  <si>
    <t>Jilian - Jocelyn Reyno</t>
  </si>
  <si>
    <t>Joanna</t>
  </si>
  <si>
    <t>Jo-Anne Cambridge</t>
  </si>
  <si>
    <t>John - Marites Tolentino</t>
  </si>
  <si>
    <t>John Neil</t>
  </si>
  <si>
    <t>John Patrick</t>
  </si>
  <si>
    <t>John Wesley</t>
  </si>
  <si>
    <t>Jonan Salas at 18/hr</t>
  </si>
  <si>
    <t>Nellane Joy Dela Cruz</t>
  </si>
  <si>
    <t>Joy Ramos</t>
  </si>
  <si>
    <t>Justina Andal</t>
  </si>
  <si>
    <t>Kameels</t>
  </si>
  <si>
    <t>Kathleen - Kristine Deleon</t>
  </si>
  <si>
    <t>Kean Joshua</t>
  </si>
  <si>
    <t>Ke-Ann Olarte</t>
  </si>
  <si>
    <t>Kelsey</t>
  </si>
  <si>
    <t>Kelvin - NO PAY</t>
  </si>
  <si>
    <t>Khushpreet Kaur</t>
  </si>
  <si>
    <t>Kishan</t>
  </si>
  <si>
    <t>Lara</t>
  </si>
  <si>
    <t>Laurie Vignaud</t>
  </si>
  <si>
    <t>Leny</t>
  </si>
  <si>
    <t>Lily Amoah</t>
  </si>
  <si>
    <t>Lorenzo</t>
  </si>
  <si>
    <t>Loveleen Kaur</t>
  </si>
  <si>
    <t>Lovepreet Kaur</t>
  </si>
  <si>
    <t>LUCKY HANSHAVEN CLEANING (Hajji Bundoc)</t>
  </si>
  <si>
    <t>Malika-NO PAY</t>
  </si>
  <si>
    <t>Manmojit - Sharanjit Kaur</t>
  </si>
  <si>
    <t>Manu Matthew</t>
  </si>
  <si>
    <t>Marie Ineza</t>
  </si>
  <si>
    <t>Marlon</t>
  </si>
  <si>
    <t>Mbombo Bikala</t>
  </si>
  <si>
    <t>MD Nizam Uddin</t>
  </si>
  <si>
    <t>Mia</t>
  </si>
  <si>
    <t>Minette Biares</t>
  </si>
  <si>
    <t>Minka</t>
  </si>
  <si>
    <t>Mursal - Naveed John</t>
  </si>
  <si>
    <t>Myrna</t>
  </si>
  <si>
    <t>Navneet Kaur - 415</t>
  </si>
  <si>
    <t>Nellie Dionio</t>
  </si>
  <si>
    <t>Nikki - Melanie Garcia</t>
  </si>
  <si>
    <t>Nino</t>
  </si>
  <si>
    <t>Onyinyechukwu Chukwuma</t>
  </si>
  <si>
    <t>Patricia</t>
  </si>
  <si>
    <t>Philogene</t>
  </si>
  <si>
    <t>Princess Ortiz - Melanie Garcia</t>
  </si>
  <si>
    <t>Rowena Virgo (Rachel and Romel)</t>
  </si>
  <si>
    <t>Rajdeep Kaur Baring</t>
  </si>
  <si>
    <t>Randeep</t>
  </si>
  <si>
    <t>Rea</t>
  </si>
  <si>
    <t>Rey</t>
  </si>
  <si>
    <t>Cristopher Ubando - Rhodora</t>
  </si>
  <si>
    <t>Rojelisa</t>
  </si>
  <si>
    <t>Reyna April Seduco - Rolando</t>
  </si>
  <si>
    <t>Rosa ???</t>
  </si>
  <si>
    <t>Maria Rosario Meneses</t>
  </si>
  <si>
    <t>Rudrax Joshi</t>
  </si>
  <si>
    <t>Rutul</t>
  </si>
  <si>
    <t>Mark Edzel Dela Rosa - Ruwe</t>
  </si>
  <si>
    <t>Sarah Bustamante</t>
  </si>
  <si>
    <t>Sasha Brown</t>
  </si>
  <si>
    <t>Sayeedah</t>
  </si>
  <si>
    <t>Scarlett</t>
  </si>
  <si>
    <t>Shanna</t>
  </si>
  <si>
    <t>Sharon</t>
  </si>
  <si>
    <t>Sherlyn Cadizon</t>
  </si>
  <si>
    <t>Sherwin</t>
  </si>
  <si>
    <t>Shilpa</t>
  </si>
  <si>
    <t>Rahul Bhalla - Shivam</t>
  </si>
  <si>
    <t>Ekesie Chisimdiri</t>
  </si>
  <si>
    <t>Srushti</t>
  </si>
  <si>
    <t>Stuart</t>
  </si>
  <si>
    <t>Surbhi</t>
  </si>
  <si>
    <t>Susan Cain</t>
  </si>
  <si>
    <t>Rebecca Tan Apolonia - Teresa</t>
  </si>
  <si>
    <t>Teresita</t>
  </si>
  <si>
    <t>Marites Tolentino - Tess Minda Jayson Edward</t>
  </si>
  <si>
    <t>TJ</t>
  </si>
  <si>
    <t>Tope</t>
  </si>
  <si>
    <t xml:space="preserve">Tristan Ravfor Bernardo </t>
  </si>
  <si>
    <t>Trixie</t>
  </si>
  <si>
    <t>Tunde Balogh</t>
  </si>
  <si>
    <t>Unoma</t>
  </si>
  <si>
    <t>Vamshi</t>
  </si>
  <si>
    <t>Viktoria Szenasi</t>
  </si>
  <si>
    <t>Villarico Villarin</t>
  </si>
  <si>
    <t>Vishal Passi</t>
  </si>
  <si>
    <t>Wilma</t>
  </si>
  <si>
    <t>Yash Gohel</t>
  </si>
  <si>
    <t>Yash Patel</t>
  </si>
  <si>
    <t>Yogi Jayeshkumar Joshi</t>
  </si>
  <si>
    <t>Felix Georges Zenker</t>
  </si>
  <si>
    <t>Zidane Joel</t>
  </si>
  <si>
    <t>NAME</t>
  </si>
  <si>
    <t>DONE</t>
  </si>
  <si>
    <t>894 BASELINE ROAD OTTAWA, ON</t>
  </si>
  <si>
    <t>AMAN KIRITKUMAR SOLANKI</t>
  </si>
  <si>
    <t>ANA CHAVEZ</t>
  </si>
  <si>
    <t>1512 - 41 ANTRIM CRESCENT SCARBOROUGH ON M1P 4T1</t>
  </si>
  <si>
    <t>ANGELICA MARTIN RAMOS</t>
  </si>
  <si>
    <t>1233 WOODROFFE AVENUE, OTTAWA, ON K2C 2T2</t>
  </si>
  <si>
    <t>APRIL TING</t>
  </si>
  <si>
    <t>666 GREYCEDAR CRESCENT MISSISSAUGA ON L4W 3J7</t>
  </si>
  <si>
    <t>CHARMAINE EUSTAQUIO</t>
  </si>
  <si>
    <t>536 BELLAMY NORTH ROAD</t>
  </si>
  <si>
    <t>CIRSTY AGUILAR</t>
  </si>
  <si>
    <t>107 McALLISTER RD</t>
  </si>
  <si>
    <t>DARREN MOSKITO</t>
  </si>
  <si>
    <t>51 SPLINTER CRESCENT OTTAWA ONTARIO CANADA K2B 1B3</t>
  </si>
  <si>
    <t>DARYLL GEORGE GABIANA DACAYANA</t>
  </si>
  <si>
    <t>19 HOPEWELL CRESCENT STONEY CREEK L8J 1P3</t>
  </si>
  <si>
    <t>DAVINDER SINGH</t>
  </si>
  <si>
    <t>DIANA RUTH MORALES</t>
  </si>
  <si>
    <t>MAE CONCEPCION MARQUEZ</t>
  </si>
  <si>
    <t>59 RUE WRIGHT GATINEAU QUEBEC J8X 2G2</t>
  </si>
  <si>
    <t>EMMANUEL OKUMU</t>
  </si>
  <si>
    <t>1889 CARLING AVE OTTAWA ON K2A</t>
  </si>
  <si>
    <t>MELANIE GARCIA</t>
  </si>
  <si>
    <t>425 STRASBURG ROAD, KITCHENER, N2E 1T3 ONTARIO</t>
  </si>
  <si>
    <t>JACKIELYNE PENANO</t>
  </si>
  <si>
    <t>215 BELLAMY RD N SCARBOROUGH ON M1J 2L7</t>
  </si>
  <si>
    <t>JANE ETCOBANEZ ESMANA</t>
  </si>
  <si>
    <t>91 MARKLAND CRESCENT NEPEAN OTTAWA K2G 5Z6</t>
  </si>
  <si>
    <t>JAY GOMEZ</t>
  </si>
  <si>
    <t>PICKUP (W SOFIA)</t>
  </si>
  <si>
    <t>JAYNA MARIE DE CASTRO</t>
  </si>
  <si>
    <t>594 DOLLY BIRD LN MISSISSAUGA PN L5W 1G7</t>
  </si>
  <si>
    <t>MOUNTSHANNON NAPEAN ONTARIO K2J 4B8</t>
  </si>
  <si>
    <t>JOSE (JAY) RADAM</t>
  </si>
  <si>
    <t>61 HUTCHERSON SQUARE SCARBOROUGH ON M1B 1C5</t>
  </si>
  <si>
    <t xml:space="preserve">JUNEL D IBALIG </t>
  </si>
  <si>
    <t xml:space="preserve">KAMALPREET KAUR </t>
  </si>
  <si>
    <t>35 FAYWOOD DRIVE BRAMPTON L6Y 4K3 ONTARIO</t>
  </si>
  <si>
    <t>KARL DREXLER CUIZON</t>
  </si>
  <si>
    <t>129 KENNEVALE DRIVE NEPEAN ON K2J 3X7</t>
  </si>
  <si>
    <t>JERUZ TEODORO</t>
  </si>
  <si>
    <t>PICKUP</t>
  </si>
  <si>
    <t>LIBERTY ABENOJA</t>
  </si>
  <si>
    <t>LORENZO BACALTOS</t>
  </si>
  <si>
    <t>287 BOULEVARD D'EUROPE GATINEAU QUEBEC J9J 0G4 APT2</t>
  </si>
  <si>
    <t>MADY CUSTODIO</t>
  </si>
  <si>
    <t>JEANIE MAY A JALLORINA</t>
  </si>
  <si>
    <t>REY WILL GET SALARY</t>
  </si>
  <si>
    <t>MARLENE - MARIA ELENA DELEON</t>
  </si>
  <si>
    <t>ANGELITA HARLEY</t>
  </si>
  <si>
    <t>820 EAST 33RD VANCOUVER BC V5V 3A3</t>
  </si>
  <si>
    <t>SAME WITH CIRSTY</t>
  </si>
  <si>
    <t>NINOIL AGUILAR</t>
  </si>
  <si>
    <t>107 MCALLISTER RD</t>
  </si>
  <si>
    <t>NORSAN FAJARDO</t>
  </si>
  <si>
    <t>114 TOWNWOOD DRIVE, RICHMONDHILL, ON L4E 4T1</t>
  </si>
  <si>
    <t>PARTH MANIYA</t>
  </si>
  <si>
    <t>41 HOLLYWOOD COURT CAMBRIDGE ON N1R 0C7</t>
  </si>
  <si>
    <t>AKANEGBU SOCHIMA PHILIP-JOHN</t>
  </si>
  <si>
    <t>1106 WELLINGTON ST W OTTAWA ON K1Y 3A0</t>
  </si>
  <si>
    <t>RICO JR RODRIGUEZ</t>
  </si>
  <si>
    <t xml:space="preserve">PICKUP </t>
  </si>
  <si>
    <t>2 ARCHDEKIN DRIVE BRAMPTON ONTARIO</t>
  </si>
  <si>
    <t>SAME WITH JAY SPRINGHILL</t>
  </si>
  <si>
    <t>ROLAND KARCHNAK</t>
  </si>
  <si>
    <t>19 EAST 22 STREET</t>
  </si>
  <si>
    <t>RONNIE BACAYCAY CASTRO</t>
  </si>
  <si>
    <t>1032 KARSH DRIVE OTTAWA ONTARIO K1G 4M9</t>
  </si>
  <si>
    <t>RYKA MAE TORRES</t>
  </si>
  <si>
    <t>10 PULFORD CRESCENT ST. OTTAWA ON K2B 6L7</t>
  </si>
  <si>
    <t>MOHAMMAD SAAD SAKHAWAT</t>
  </si>
  <si>
    <t>207 DEERCROFT AVENUE ON OTTAWA K2J 5J4</t>
  </si>
  <si>
    <t>SARA MAE GARCIANO</t>
  </si>
  <si>
    <t>1279 ALBANY DRIVE OTTAWA</t>
  </si>
  <si>
    <t xml:space="preserve">OSCAR URIBE </t>
  </si>
  <si>
    <t>409-793 COLBORNE ST BRANTFORD ON N3S 7J3</t>
  </si>
  <si>
    <t>11 PINE LANDING TRAIL, BRAMPTON, ON L6R 3H4</t>
  </si>
  <si>
    <t>SOFIA BONIFACIO</t>
  </si>
  <si>
    <t>TEDIE LYNNE VALERIO</t>
  </si>
  <si>
    <t>9 WESTPOINTE CRESCENT K2G 5Z1 OTTAWA ON</t>
  </si>
  <si>
    <t>JERCELIE C IPAC</t>
  </si>
  <si>
    <t>Gagandeep Kaur</t>
  </si>
  <si>
    <t xml:space="preserve">Grace Adeoye </t>
  </si>
  <si>
    <t>Jashanpreet Kaur</t>
  </si>
  <si>
    <t xml:space="preserve">November </t>
  </si>
  <si>
    <t>Navneet Kaur..</t>
  </si>
  <si>
    <t>Herbert Andres</t>
  </si>
  <si>
    <t>Melizza Ann Cayabyab</t>
  </si>
  <si>
    <t>Aditya Vikram Singh Jamwal</t>
  </si>
  <si>
    <t>Glenn Ravelo San Luis</t>
  </si>
  <si>
    <t>Joshua Jhon Emmanuel Sosa</t>
  </si>
  <si>
    <t>Kamaljit Kaur</t>
  </si>
  <si>
    <t>Lorenz Ramoneda</t>
  </si>
  <si>
    <t>Komalpreet Kaur.</t>
  </si>
  <si>
    <t>Arney Pagalilauan</t>
  </si>
  <si>
    <t>Priya Priya</t>
  </si>
  <si>
    <t>Sapna Kumari</t>
  </si>
  <si>
    <t>MMJW0001</t>
  </si>
  <si>
    <t>1055A Forestwood Dr, Mississauga, ON L5C 2T8</t>
  </si>
  <si>
    <t>lauzon_danica@yahoo.com</t>
  </si>
  <si>
    <t/>
  </si>
  <si>
    <t>For Kenneth Abarra</t>
  </si>
  <si>
    <t>(PICK UP)</t>
  </si>
  <si>
    <t>MMJW0002</t>
  </si>
  <si>
    <t>132 Holditch St, Bracebridge, ON P1L 1E7</t>
  </si>
  <si>
    <t>jaysoncamiguing@gmail.com</t>
  </si>
  <si>
    <t>164 744 8102</t>
  </si>
  <si>
    <t>delayed salary</t>
  </si>
  <si>
    <t>MMJW0003</t>
  </si>
  <si>
    <t>Anthony Baslot</t>
  </si>
  <si>
    <t>#204 565 Manchester Rd, Victoria, BC V8T 2N7</t>
  </si>
  <si>
    <t>shielaann.baslot@yahoo.com</t>
  </si>
  <si>
    <t>204 990 4956</t>
  </si>
  <si>
    <t>MMJW0004</t>
  </si>
  <si>
    <t>Michelle Curit</t>
  </si>
  <si>
    <t>426 Huron St, Woodstock, ON N4S 7A7</t>
  </si>
  <si>
    <t>michelle_sarabosing@yahoo.com</t>
  </si>
  <si>
    <t>226 219 9521</t>
  </si>
  <si>
    <t>MMJW0005</t>
  </si>
  <si>
    <t>Herbert Centeno</t>
  </si>
  <si>
    <t>110 Windermere Crescent, Woodstock, ON N4S 6T2</t>
  </si>
  <si>
    <t>ellehci_m@yahoo.com.ph</t>
  </si>
  <si>
    <t>226 228 4590</t>
  </si>
  <si>
    <t>Forward to Michelle Enriquez</t>
  </si>
  <si>
    <t>E-transfer</t>
  </si>
  <si>
    <t>MMJW0006</t>
  </si>
  <si>
    <t>Myla, Herbert</t>
  </si>
  <si>
    <t>For Myla and Herbert Centeno</t>
  </si>
  <si>
    <t>MMJW0007</t>
  </si>
  <si>
    <t>700 Chieftain Street Woodstock ON N4T 1S2</t>
  </si>
  <si>
    <t>isaac.hunter2003@gmail.com</t>
  </si>
  <si>
    <t>226 232 8065</t>
  </si>
  <si>
    <t>i would prefer an etransfer and also i am in need of a paystub.</t>
  </si>
  <si>
    <t>MMJW0008</t>
  </si>
  <si>
    <t>Armando C. Gabriola Jr.</t>
  </si>
  <si>
    <t>1548 Purser St, London, ON N5V 5J4</t>
  </si>
  <si>
    <t>armandogabriola2017@gmail.com</t>
  </si>
  <si>
    <t>226 386 8343</t>
  </si>
  <si>
    <t>MMJW0009</t>
  </si>
  <si>
    <t>jonervinagustin25@gmail.com</t>
  </si>
  <si>
    <t>226 448 1652</t>
  </si>
  <si>
    <t>**</t>
  </si>
  <si>
    <t>MMJW0010</t>
  </si>
  <si>
    <t>Angel Lynne Ellan</t>
  </si>
  <si>
    <t>#1 579 Dundas St, Woodstock, ON N4S 1C9</t>
  </si>
  <si>
    <t>angelgwapa28@gmail.com</t>
  </si>
  <si>
    <t>226 503 7828</t>
  </si>
  <si>
    <t>Interac pls</t>
  </si>
  <si>
    <t>MMJW0011</t>
  </si>
  <si>
    <t>869 Adelaide St N, London, ON N5Y 2M2</t>
  </si>
  <si>
    <t>epoi89091@gmail.com</t>
  </si>
  <si>
    <t>226 582 5539</t>
  </si>
  <si>
    <t>MMJW0012</t>
  </si>
  <si>
    <t>1326 Fuller St, London, ON N5Y 4R2</t>
  </si>
  <si>
    <t>thapasanti753@gmail.com</t>
  </si>
  <si>
    <t>226 582 6757</t>
  </si>
  <si>
    <t>Thanks</t>
  </si>
  <si>
    <t>MMJW0013</t>
  </si>
  <si>
    <t>14 Albright Rd, Brampton, ON L6X 5C8</t>
  </si>
  <si>
    <t>ishpreetkaur28122004@gmail.com</t>
  </si>
  <si>
    <t>226 753 1661</t>
  </si>
  <si>
    <t>MMJW0014</t>
  </si>
  <si>
    <t>Kingsley Anugwo</t>
  </si>
  <si>
    <t>#B1 1279 Woodroffe Ave, Ottawa, ON K2C 2T7</t>
  </si>
  <si>
    <t>anugwokingsley72@gmail.com</t>
  </si>
  <si>
    <t>226 758 9937</t>
  </si>
  <si>
    <t>Happy working with your organization,
Thanks</t>
  </si>
  <si>
    <t>MMJW0015</t>
  </si>
  <si>
    <t>Zayrah Jusi</t>
  </si>
  <si>
    <t>70 Hanes Road Huntsville ON P1H 1M3</t>
  </si>
  <si>
    <t>zayrahjusi23@gmail.com</t>
  </si>
  <si>
    <t>226 759 1522</t>
  </si>
  <si>
    <t>MMJW0016</t>
  </si>
  <si>
    <t>319 Dundas St, Woodstock, ON N4S 1B5</t>
  </si>
  <si>
    <t>lmher03@yahoo.com</t>
  </si>
  <si>
    <t>226 883 0592</t>
  </si>
  <si>
    <t>MMJW0017</t>
  </si>
  <si>
    <t>#2306 857 James St, Woodstock, ON N4S 8H5</t>
  </si>
  <si>
    <t>ashandyawotungase@gmail.com</t>
  </si>
  <si>
    <t>226 883 1763</t>
  </si>
  <si>
    <t>Good</t>
  </si>
  <si>
    <t>MMJW0018</t>
  </si>
  <si>
    <t>15 Graham St, Woodstock, ON N4S 6J5</t>
  </si>
  <si>
    <t>jhinjerharpreet2@gmail.com</t>
  </si>
  <si>
    <t>226 888 7747</t>
  </si>
  <si>
    <t>MMJW0019</t>
  </si>
  <si>
    <t>257 Thorncrest Dr, Waterloo, ON N2L 4L2</t>
  </si>
  <si>
    <t>meetmahida09500@gmail.com</t>
  </si>
  <si>
    <t>226 899 7818</t>
  </si>
  <si>
    <t>MMJW0020</t>
  </si>
  <si>
    <t>Daniel Ogunleye Bukoye</t>
  </si>
  <si>
    <t>214 Speckled Alder Row, Ottawa, ON K2J 7G8</t>
  </si>
  <si>
    <t>danielbukoye@gmail.com</t>
  </si>
  <si>
    <t>226 966 5895</t>
  </si>
  <si>
    <t>Non</t>
  </si>
  <si>
    <t>MMJW0021</t>
  </si>
  <si>
    <t>#11 511 Admiral Dr, London, ON N5V 4R4</t>
  </si>
  <si>
    <t>jaepamunag95@gmail.com</t>
  </si>
  <si>
    <t>226 977 9813</t>
  </si>
  <si>
    <t>Kindly send the interac transfer with no notes. Please and thank you. Previous Address: 27A Empire St, London, ON N5Y 1G6</t>
  </si>
  <si>
    <t>MMJW0022</t>
  </si>
  <si>
    <t>#410 583 Mornington Ave, London, ON N5Y 3E9</t>
  </si>
  <si>
    <t>jgarcia3327@gmail.com</t>
  </si>
  <si>
    <t>226 998 1489</t>
  </si>
  <si>
    <t>MMJW0023</t>
  </si>
  <si>
    <t>#715 621 Sheppard Ave E, Toronto, ON M2K 0G4</t>
  </si>
  <si>
    <t>pauljordanuntalan@gmail.com</t>
  </si>
  <si>
    <t>226-961-8796</t>
  </si>
  <si>
    <t>Kapwa</t>
  </si>
  <si>
    <t>MMJW0024</t>
  </si>
  <si>
    <t>Anmol Saluja</t>
  </si>
  <si>
    <t>2938 Oldcorn Pl, Victoria, BC V9B 2E9</t>
  </si>
  <si>
    <t>anmolcan12@gmail.com</t>
  </si>
  <si>
    <t>236 333 2065</t>
  </si>
  <si>
    <t>MMJW0025</t>
  </si>
  <si>
    <t>Heide Loraine Favor</t>
  </si>
  <si>
    <t>#2 853 Burdett Ave, Victoria, BC V8W 1B3</t>
  </si>
  <si>
    <t>angelica.tadena@yahoo.com</t>
  </si>
  <si>
    <t>236 638 6525</t>
  </si>
  <si>
    <t>Interac details is through phone number please: 7786833737</t>
  </si>
  <si>
    <t>MMJW0026</t>
  </si>
  <si>
    <t>Henry Lopecillo</t>
  </si>
  <si>
    <t>4111 24 Ave, Vernon, BC V1T 1M1</t>
  </si>
  <si>
    <t>henrylopecillo@gmail.com</t>
  </si>
  <si>
    <t>236 873 0036</t>
  </si>
  <si>
    <t>MMJW0027</t>
  </si>
  <si>
    <t>5300 25 Ave, Vernon, BC V1T 6Y2</t>
  </si>
  <si>
    <t>MMJW0028</t>
  </si>
  <si>
    <t>Eduardo Dela Cruz</t>
  </si>
  <si>
    <t>BC V3R 7H7</t>
  </si>
  <si>
    <t>khejdc1008@gmail.com</t>
  </si>
  <si>
    <t>236 998 7645</t>
  </si>
  <si>
    <t>MMJW0029</t>
  </si>
  <si>
    <t>Sungcang Marvin</t>
  </si>
  <si>
    <t>821 Hockley Ave, Victoria, BC V9B 0Z9</t>
  </si>
  <si>
    <t>m.sungcang@yahoo.com</t>
  </si>
  <si>
    <t>236-238-1372</t>
  </si>
  <si>
    <t>NOTE : Void check provided but please I am prefer E transfer please</t>
  </si>
  <si>
    <t>MMJW0030</t>
  </si>
  <si>
    <t>Hazel Anne Masangkay</t>
  </si>
  <si>
    <t>19 Newcastle Ct, Victoria, BC V9B 6V5</t>
  </si>
  <si>
    <t>hazelsalvador.masangkay@gmail.com</t>
  </si>
  <si>
    <t>236-638-8468</t>
  </si>
  <si>
    <t>MMJW0031</t>
  </si>
  <si>
    <t>Muhammed Ibrahim</t>
  </si>
  <si>
    <t>722 Spitfire St, Woodstock, ON N4T 0B1</t>
  </si>
  <si>
    <t>muhad61191@gmail.com</t>
  </si>
  <si>
    <t>249 885 5453</t>
  </si>
  <si>
    <t>MMJW0032</t>
  </si>
  <si>
    <t>Carmela Ogena</t>
  </si>
  <si>
    <t>#521 1701 Cedar Hill Cross Rd, Victoria, BC V8P 2P9</t>
  </si>
  <si>
    <t>vinperegrino@yahoo.com</t>
  </si>
  <si>
    <t>250 885 1834</t>
  </si>
  <si>
    <t>Please send it to my husband's account.</t>
  </si>
  <si>
    <t>MMJW0033</t>
  </si>
  <si>
    <t>Jose Baldovino</t>
  </si>
  <si>
    <t>3534 Redwood Ave., Victoria, BC V8P 4Z7</t>
  </si>
  <si>
    <t>baldobaldovino1981@gmail.com</t>
  </si>
  <si>
    <t>250 945 5840</t>
  </si>
  <si>
    <t>Jose (Elk Lake)</t>
  </si>
  <si>
    <t>Thank you</t>
  </si>
  <si>
    <t>MMJW0034</t>
  </si>
  <si>
    <t>Barkha Devi</t>
  </si>
  <si>
    <t>3195 Balfour Ave, Victoria, BC V9A 1R9</t>
  </si>
  <si>
    <t>barkhadevi015@gmail.com</t>
  </si>
  <si>
    <t>250 986 1357</t>
  </si>
  <si>
    <t>MMJW0035</t>
  </si>
  <si>
    <t>Sheila Marie Cordon</t>
  </si>
  <si>
    <t>#304 844 Goldstream Ave, Langford, BC V9B 2X7</t>
  </si>
  <si>
    <t>allancordon111969@gmail.com</t>
  </si>
  <si>
    <t>250-532-1498</t>
  </si>
  <si>
    <t>Holiday inn ekl lake time in 3:35 pm to 5:55 pm</t>
  </si>
  <si>
    <t>MMJW0036</t>
  </si>
  <si>
    <t>#9 2105 Ave Van Horne, Montreal, QC H3S 1P3</t>
  </si>
  <si>
    <t>ethelysabelle08@yahoo.com</t>
  </si>
  <si>
    <t>263 881 4576</t>
  </si>
  <si>
    <t>MMJW0037</t>
  </si>
  <si>
    <t>435 Upper Gage Ave. Hamilton, ON L8V 4H8</t>
  </si>
  <si>
    <t>289 556 7245</t>
  </si>
  <si>
    <t>MMJW0038</t>
  </si>
  <si>
    <t>Alish Shrestha</t>
  </si>
  <si>
    <t>4653 Mcdougall Crescent, Niagara Falls, ON L2E 1B6</t>
  </si>
  <si>
    <t>shresthaalish43@gmail.com</t>
  </si>
  <si>
    <t>289 673 5618</t>
  </si>
  <si>
    <t>MMJW0039</t>
  </si>
  <si>
    <t>Carlo Mallare</t>
  </si>
  <si>
    <t>500 First Ave, Welland, ON L3C 1Z3</t>
  </si>
  <si>
    <t>erlmediran@gmail.com / erlmediran@yahoo.com</t>
  </si>
  <si>
    <t>289 681 5935</t>
  </si>
  <si>
    <t>i haven't receive my pay for the June 30th i worked at Wyndamm Niagara Falls. Alternate email: erlmediran@yahoo.com</t>
  </si>
  <si>
    <t>MMJW0040</t>
  </si>
  <si>
    <t>#1602 165 Queen St S, Hamilton, ON L8P 4R3</t>
  </si>
  <si>
    <t>289 698 7989</t>
  </si>
  <si>
    <t>I hope this message finds you well. I wanted to kindly inquire about my payment for October 1, when I worked as a laborer from 8:00 AM to 4:00 PM, and for November 2, when I worked as a server from 4:00 PM to 8:30 PM. I would greatly appreciate it if you could assist me with this. Thank you!</t>
  </si>
  <si>
    <t>MMJW0041</t>
  </si>
  <si>
    <t>Mayank Kathuria</t>
  </si>
  <si>
    <t>262 First Ave, Welland, ON L3C 1Y9</t>
  </si>
  <si>
    <t>mayank5013697@gmail.com</t>
  </si>
  <si>
    <t>289 821 2314</t>
  </si>
  <si>
    <t>MMJW0042</t>
  </si>
  <si>
    <t>Charles Ephraim Usita</t>
  </si>
  <si>
    <t>7920 Preakness St, Niagara Falls, ON L2H 2Y4</t>
  </si>
  <si>
    <t>charlesephraim30101@gmail.com</t>
  </si>
  <si>
    <t>289 823 0525</t>
  </si>
  <si>
    <t>MMJW0043</t>
  </si>
  <si>
    <t>Ahmed Salim Zakaria</t>
  </si>
  <si>
    <t>7056 Harriman St, Niagara Falls, ON L2J 3S2</t>
  </si>
  <si>
    <t>yasinsalim998@gmail.com</t>
  </si>
  <si>
    <t>289 823 2970</t>
  </si>
  <si>
    <t>MMJW0044</t>
  </si>
  <si>
    <t>156 Caroline St S, Hamilton, ON L8P 3K9</t>
  </si>
  <si>
    <t>289 933 2477</t>
  </si>
  <si>
    <t>Dear Sir/Madam, I sincerely apologize for selecting the pickup option. Could you kindly mail the cheque to my home address instead? I am truly sorry for the delayed response ON my part. Thank you for your understanding. Please, send cheques ON my home address. If you are using email to send the money please send by your personal email.</t>
  </si>
  <si>
    <t>MMJW0045</t>
  </si>
  <si>
    <t>1075 Taffy Ln, Orleans, ON K1C 1Y4</t>
  </si>
  <si>
    <t>289 946 5602</t>
  </si>
  <si>
    <t>MMJW0046</t>
  </si>
  <si>
    <t>Christian Hiro Bonsol</t>
  </si>
  <si>
    <t>#74 292 Vine St, St. Catharines, ON L2M 0E1</t>
  </si>
  <si>
    <t>christianhirobonsol@gmail.com</t>
  </si>
  <si>
    <t>289 969 8978</t>
  </si>
  <si>
    <t>MMJW0047</t>
  </si>
  <si>
    <t>Harjeet Kaur</t>
  </si>
  <si>
    <t>56 Yuile Ct, Brampton, ON L6Y 5J4</t>
  </si>
  <si>
    <t>kaurharjeet9599@gmail.com</t>
  </si>
  <si>
    <t>289-952-3594</t>
  </si>
  <si>
    <t>MMJW0048</t>
  </si>
  <si>
    <t>Jenny Lyn Garcia Galapia</t>
  </si>
  <si>
    <t>7207 Maple View Cres, Regina Sk, S4X 4S3</t>
  </si>
  <si>
    <t>jlggalapia0913@gmail.com</t>
  </si>
  <si>
    <t>306 216 7425</t>
  </si>
  <si>
    <t>MMJW0049</t>
  </si>
  <si>
    <t>#2 1879 Broder St, Regina, SK S4N 3R7</t>
  </si>
  <si>
    <t>omoyeletimi03@gmail.com</t>
  </si>
  <si>
    <t>306 520 5945</t>
  </si>
  <si>
    <t>MMJW0050</t>
  </si>
  <si>
    <t>#307 215 Windfield Rd, Regina, SK S4V 0L1</t>
  </si>
  <si>
    <t>harsh23.vyas@gmail.com</t>
  </si>
  <si>
    <t>306 999 2304</t>
  </si>
  <si>
    <t>MMJW0051</t>
  </si>
  <si>
    <t>Abdulaziz Ketout</t>
  </si>
  <si>
    <t>2573 Hobson Road Ottawa ON K1V 8M6</t>
  </si>
  <si>
    <t>zizoketout@gmail.com</t>
  </si>
  <si>
    <t>343 209 5281</t>
  </si>
  <si>
    <t>MMJW0052</t>
  </si>
  <si>
    <t>Kanata, ON K2L 1Y3</t>
  </si>
  <si>
    <t>ishimwesarah256@gmail.com</t>
  </si>
  <si>
    <t>343 254 0328</t>
  </si>
  <si>
    <t>MMJW0053</t>
  </si>
  <si>
    <t>Teta Shenge Nonette</t>
  </si>
  <si>
    <t>47 Upney Dr, Nepean, ON K2J 5G7</t>
  </si>
  <si>
    <t>343 254 3874</t>
  </si>
  <si>
    <t>MMJW0054</t>
  </si>
  <si>
    <t>Immacullee Maruhutsa</t>
  </si>
  <si>
    <t>1 Corkstown Rd, Ottawa, ON K2H 0E4</t>
  </si>
  <si>
    <t>imwamikazi11@gmail.com</t>
  </si>
  <si>
    <t>343 254 8471</t>
  </si>
  <si>
    <t>MMJW0055</t>
  </si>
  <si>
    <t>Maruhutsa Immaculée</t>
  </si>
  <si>
    <t>1 Corkstown Rd Ottawa ON K2H 0E4</t>
  </si>
  <si>
    <t>I would like to know when they gonna pay us plz thank you</t>
  </si>
  <si>
    <t>MMJW0056</t>
  </si>
  <si>
    <t>234 Chapel St, Ottawa, ON K1N 7Y7</t>
  </si>
  <si>
    <t>ugochukwu.ogbuaku@gmail.com</t>
  </si>
  <si>
    <t>343 297 0183</t>
  </si>
  <si>
    <t>MMJW0057</t>
  </si>
  <si>
    <t>Enny Hakkole Igirubuntu</t>
  </si>
  <si>
    <t>#1103 1365 Bank St, Ottawa, ON K1H 8K8</t>
  </si>
  <si>
    <t>igirennyhak739@gmail.com</t>
  </si>
  <si>
    <t>343 297 6502</t>
  </si>
  <si>
    <t>MMJW0058</t>
  </si>
  <si>
    <t>#1 1170 Clyde Ave., Ottawa, ON K2C 1Y6</t>
  </si>
  <si>
    <t>sahisalia123@gmail.com</t>
  </si>
  <si>
    <t>343 297 7810</t>
  </si>
  <si>
    <t>Hajia</t>
  </si>
  <si>
    <t>MMJW0059</t>
  </si>
  <si>
    <t>#21 28 Midland Crescent, Nepean, ON K2H 8N2</t>
  </si>
  <si>
    <t>sendonpeter23@gmail.com</t>
  </si>
  <si>
    <t>343 322 1979</t>
  </si>
  <si>
    <t>MMJW0060</t>
  </si>
  <si>
    <t>2 Masonbrook St, Nepean, ON K2J 4C4</t>
  </si>
  <si>
    <t>343 322 8896</t>
  </si>
  <si>
    <t>MMJW0061</t>
  </si>
  <si>
    <t>6 Southview Crescent, Ottawa, ON K2E 5R3</t>
  </si>
  <si>
    <t>stellaasong75@gmail.com</t>
  </si>
  <si>
    <t>343 463 4211</t>
  </si>
  <si>
    <t>MMJW0062</t>
  </si>
  <si>
    <t>Lawrencia Okyere</t>
  </si>
  <si>
    <t>1113 Field St, Ottawa, ON K2C 2P6</t>
  </si>
  <si>
    <t>okyerelawrencia81@gmail.com</t>
  </si>
  <si>
    <t>343 558 9457</t>
  </si>
  <si>
    <t>MMJW0063</t>
  </si>
  <si>
    <t>520 St. Laurent Blvd, Ottawa, ON K1K 4N1</t>
  </si>
  <si>
    <t>hmis.benafsha@gmail.com</t>
  </si>
  <si>
    <t>343 572 8951</t>
  </si>
  <si>
    <t>This is my personal information</t>
  </si>
  <si>
    <t>MMJW0064</t>
  </si>
  <si>
    <t>Danel Roussel Mafonou Nde</t>
  </si>
  <si>
    <t>229 Hannah St, Ottawa, ON K1L 7N2</t>
  </si>
  <si>
    <t>danelmafonou@gmail.com</t>
  </si>
  <si>
    <t>343 574 2425</t>
  </si>
  <si>
    <t>MMJW0065</t>
  </si>
  <si>
    <t>217 Murray St, Ottawa, ON K1N 5M9</t>
  </si>
  <si>
    <t>tsakoujordan0@gmail.com</t>
  </si>
  <si>
    <t>343 574 4013</t>
  </si>
  <si>
    <t>MMJW0066</t>
  </si>
  <si>
    <t>Laurelle Sandra Saa Sandra</t>
  </si>
  <si>
    <t>saanguepie@gmail.com</t>
  </si>
  <si>
    <t>343 575 0771</t>
  </si>
  <si>
    <t>MMJW0067</t>
  </si>
  <si>
    <t>#19 1591 Lycée Place, Ottawa, ON K1G 4A7</t>
  </si>
  <si>
    <t>deborah.akinolaa@gmail.com</t>
  </si>
  <si>
    <t>343 596 3121</t>
  </si>
  <si>
    <t>MMJW0068</t>
  </si>
  <si>
    <t>2980 Carling Ave, Nepean, ON K2B 7K2</t>
  </si>
  <si>
    <t>olaoreabidemi86@gmail.com</t>
  </si>
  <si>
    <t>343 596 5617</t>
  </si>
  <si>
    <t>Excited</t>
  </si>
  <si>
    <t>MMJW0069</t>
  </si>
  <si>
    <t>Emilly Azevedo da Rocha</t>
  </si>
  <si>
    <t>#1003 70 Mcewen Ave, Ottawa, ON K2B 5M3</t>
  </si>
  <si>
    <t>rochaemilly01@gmail.com</t>
  </si>
  <si>
    <t>343 598 9075</t>
  </si>
  <si>
    <t>MMJW0070</t>
  </si>
  <si>
    <t>#29 11 Majestic Dr, Nepean, ON K2G 1C5</t>
  </si>
  <si>
    <t>joeikeji7@gmail.com</t>
  </si>
  <si>
    <t>343 630 4002</t>
  </si>
  <si>
    <t>MMJW0071</t>
  </si>
  <si>
    <t>Divya Sampoornatha Bokinala</t>
  </si>
  <si>
    <t>Bishops Mills Way, Kanata, ON K2K 3B9</t>
  </si>
  <si>
    <t>divyasampoorna.b1@gmail.com</t>
  </si>
  <si>
    <t>343 777 9940</t>
  </si>
  <si>
    <t>MMJW0072</t>
  </si>
  <si>
    <t>96B Meadowlands Dr W, Ottawa, ON K2G 2R8</t>
  </si>
  <si>
    <t>christianizuchukwu00@gmail.com / chukwunonyefranklyn@gmail.com</t>
  </si>
  <si>
    <t>343 843 6936</t>
  </si>
  <si>
    <t>MMJW0073</t>
  </si>
  <si>
    <t>309 Mcarthur Ave., Vanier, ON K1L 6P1</t>
  </si>
  <si>
    <t>abefelion308@gmail.com</t>
  </si>
  <si>
    <t>343 961 3113</t>
  </si>
  <si>
    <t>MMJW0074</t>
  </si>
  <si>
    <t>adebayoibrahim303030@gmail.com</t>
  </si>
  <si>
    <t>343 961 3560</t>
  </si>
  <si>
    <t>MMJW0075</t>
  </si>
  <si>
    <t>12 Eastwood Pl, Ottawa, ON K1L 6X1</t>
  </si>
  <si>
    <t>jay20cent@gmail.com</t>
  </si>
  <si>
    <t>343 987 2147</t>
  </si>
  <si>
    <t>No cheque. Previous Address: 4960 Abbott St E, Stittsville ON K2V 0M6</t>
  </si>
  <si>
    <t>MMJW0076</t>
  </si>
  <si>
    <t>Pascaline Irakoze</t>
  </si>
  <si>
    <t>#515 1975 St. Laurent Blvd, Ottawa, ON K1G 3S7</t>
  </si>
  <si>
    <t>fabriziolavaneri@yahoo.fr</t>
  </si>
  <si>
    <t>343 987 4864</t>
  </si>
  <si>
    <t>MMJW0077</t>
  </si>
  <si>
    <t>Omar Teofilo</t>
  </si>
  <si>
    <t>3205 Upland Drive Ottawa Ontario K1V 9T3</t>
  </si>
  <si>
    <t>343 988 7857</t>
  </si>
  <si>
    <t>Jasmin Arce, Jasmine</t>
  </si>
  <si>
    <t>For Jasmin Arce</t>
  </si>
  <si>
    <t>MMJW0078</t>
  </si>
  <si>
    <t>#7 1675 Heatherington Rd, Ottawa, ON K1V 8V8</t>
  </si>
  <si>
    <t>343 996 3273</t>
  </si>
  <si>
    <t>MMJW0079</t>
  </si>
  <si>
    <t>2750 Carousel Crescent, Gloucester, ON K1T 1Z5</t>
  </si>
  <si>
    <t>jallowisha588@gmail.com</t>
  </si>
  <si>
    <t>343 997 4403</t>
  </si>
  <si>
    <t>MMJW0080</t>
  </si>
  <si>
    <t>#2 418 Rideau St, Ottawa, ON K1N 5Z1</t>
  </si>
  <si>
    <t>343 999 3935</t>
  </si>
  <si>
    <t>I live in Ottawa, kindly send me pay through interac e transfer please.</t>
  </si>
  <si>
    <t>MMJW0081</t>
  </si>
  <si>
    <t>Patrick Belanger</t>
  </si>
  <si>
    <t>28 Rue Oakwood b, Gatineau, QC J9H 3Z2</t>
  </si>
  <si>
    <t>patrick.belanger@me.com</t>
  </si>
  <si>
    <t>343-961-5753</t>
  </si>
  <si>
    <t>MMJW0082</t>
  </si>
  <si>
    <t>105 Degrassi Cove Cir, Brampton, ON L6X 0N7</t>
  </si>
  <si>
    <t>347 869 6903</t>
  </si>
  <si>
    <t>MMJW0083</t>
  </si>
  <si>
    <t>Varkha Varkha</t>
  </si>
  <si>
    <t>287 E 24Th St, Hamilton, ON L8V 2Y7</t>
  </si>
  <si>
    <t>varkha904@gmail.com</t>
  </si>
  <si>
    <t>365 366 6077</t>
  </si>
  <si>
    <t>MMJW0084</t>
  </si>
  <si>
    <t>Rishabh Kumar</t>
  </si>
  <si>
    <t>296 W 2Nd St, Hamilton, ON L9C 3H2</t>
  </si>
  <si>
    <t>rishabhkumar8787@gmail.com</t>
  </si>
  <si>
    <t>365 476 7241</t>
  </si>
  <si>
    <t>MMJW0085</t>
  </si>
  <si>
    <t>Eduardo Ferrer</t>
  </si>
  <si>
    <t>#98 145 Rice Ave, Hamilton, ON L9C 5X6</t>
  </si>
  <si>
    <t>eduardoferrer1017@gmail.com</t>
  </si>
  <si>
    <t>365 833 9728</t>
  </si>
  <si>
    <t>MMJW0086</t>
  </si>
  <si>
    <t>287 E 24Th Street, Hamilton, Ontario, L8V 2Y7</t>
  </si>
  <si>
    <t>365 883 0922</t>
  </si>
  <si>
    <t>MMJW0087</t>
  </si>
  <si>
    <t>850 Brucedale Ave E, Hamilton, ON L8T 1L5</t>
  </si>
  <si>
    <t>365 883 3045</t>
  </si>
  <si>
    <t>MMJW0088</t>
  </si>
  <si>
    <t>Jeremy Kenneth Mendoza</t>
  </si>
  <si>
    <t>#1101 150 Hughson St S, Hamilton, ON L8N 2B4</t>
  </si>
  <si>
    <t>emorej24.jcm@gmail.com</t>
  </si>
  <si>
    <t>365-883-4334</t>
  </si>
  <si>
    <t>For Jerome Mendoza</t>
  </si>
  <si>
    <t>MMJW0089</t>
  </si>
  <si>
    <t>#803 2850 Cedarwood Dr, Ottawa, ON K1V 8Y4</t>
  </si>
  <si>
    <t>akayezu.reginec@gmail.com</t>
  </si>
  <si>
    <t>367 330 0991</t>
  </si>
  <si>
    <t>MMJW0090</t>
  </si>
  <si>
    <t>maryann02082000@icloud.com</t>
  </si>
  <si>
    <t>382-885-0236</t>
  </si>
  <si>
    <t>MMJW0091</t>
  </si>
  <si>
    <t>shedrackdavid29@gmail.com</t>
  </si>
  <si>
    <t>416 301 1447</t>
  </si>
  <si>
    <t>MMJW0092</t>
  </si>
  <si>
    <t>#1108 5 Agate Rd, North York, ON M3M 2B2</t>
  </si>
  <si>
    <t>bt65425@gmail.com</t>
  </si>
  <si>
    <t>416 419 6183</t>
  </si>
  <si>
    <t>Don’t have void check</t>
  </si>
  <si>
    <t>MMJW0093</t>
  </si>
  <si>
    <t>20 Lanark Ave, York, ON M6C 2B3</t>
  </si>
  <si>
    <t>barbaronajualyn@yahoo.ca</t>
  </si>
  <si>
    <t>416 428 6014</t>
  </si>
  <si>
    <t>When will it arrive pls</t>
  </si>
  <si>
    <t>MMJW0094</t>
  </si>
  <si>
    <t>Rene Ramos</t>
  </si>
  <si>
    <t>21 Warkdale Dr, St. Catharines, ON L2T 2V8</t>
  </si>
  <si>
    <t>arkineers@gmail.com</t>
  </si>
  <si>
    <t>416 454 7921</t>
  </si>
  <si>
    <t>Payment: E transfer</t>
  </si>
  <si>
    <t>MMJW0095</t>
  </si>
  <si>
    <t>Naveed John</t>
  </si>
  <si>
    <t>77 Muscat Crescent, Ajax, ON L1Z 0B8</t>
  </si>
  <si>
    <t>416 475 7567</t>
  </si>
  <si>
    <t>Please Etransfer my pay thank you so much. For Mursal</t>
  </si>
  <si>
    <t>MMJW0096</t>
  </si>
  <si>
    <t>#809 75 Silver Springs Blvd, Scarborough, ON M1V 1W1</t>
  </si>
  <si>
    <t>chijiokeblessing0@gmail.com</t>
  </si>
  <si>
    <t>416 524 6174</t>
  </si>
  <si>
    <t>MMJW0097</t>
  </si>
  <si>
    <t>311 The West Mall Ertobicoke ON M9C 1C9</t>
  </si>
  <si>
    <t>ivyamendoza@gmail.com</t>
  </si>
  <si>
    <t>416 670 4840</t>
  </si>
  <si>
    <t>MMJW0098</t>
  </si>
  <si>
    <t>604 Crawford Cres, Woodstock, ON N4S 0B6</t>
  </si>
  <si>
    <t>caseyrapisura@gmail.com</t>
  </si>
  <si>
    <t>416 688 8930</t>
  </si>
  <si>
    <t>MMJW0099</t>
  </si>
  <si>
    <t>149 Medora St, Port Carling, ON P0B 1J0</t>
  </si>
  <si>
    <t>gabs100312@gmail.com</t>
  </si>
  <si>
    <t>416 731 3189</t>
  </si>
  <si>
    <t>Can you just interact it? Thanks</t>
  </si>
  <si>
    <t>MMJW0100</t>
  </si>
  <si>
    <t>#1 1568 Egliinton Avenue West, Toronto ON York. M6E 2G8</t>
  </si>
  <si>
    <t>otsewilson22@gmail.com</t>
  </si>
  <si>
    <t>416 821 4713</t>
  </si>
  <si>
    <t>This is my information you requested thanks.</t>
  </si>
  <si>
    <t>MMJW0101</t>
  </si>
  <si>
    <t>Walter Anavheoba</t>
  </si>
  <si>
    <t>#415 85 Silver Springs Blvd, Toronto, ON M1V 1W3</t>
  </si>
  <si>
    <t>flexwalt@gmail.com</t>
  </si>
  <si>
    <t>416 827 6825</t>
  </si>
  <si>
    <t>MMJW0102</t>
  </si>
  <si>
    <t>Komal Sharma</t>
  </si>
  <si>
    <t>1144 Caen Ave, Innerkip, ON N4T 0G3</t>
  </si>
  <si>
    <t>komalsharma98803@gmail.com</t>
  </si>
  <si>
    <t>416 828 3969</t>
  </si>
  <si>
    <t>MMJW0103</t>
  </si>
  <si>
    <t>#211 1369 Bloor St W, Toronto, ON M6P 4J4</t>
  </si>
  <si>
    <t>estherpacheco_101@yahoo.com</t>
  </si>
  <si>
    <t>416 828 7992</t>
  </si>
  <si>
    <t>MMJW0104</t>
  </si>
  <si>
    <t>Melissa P. Agbanlog</t>
  </si>
  <si>
    <t>#303 506 Dawes Rd, East York, ON M4B 2G2</t>
  </si>
  <si>
    <t>416 838 2843</t>
  </si>
  <si>
    <t>MMJW0105</t>
  </si>
  <si>
    <t>Johane Marie Daniele Merentie</t>
  </si>
  <si>
    <t>88 Oshawa Blvd N, Oshawa, ON L1G 5S3</t>
  </si>
  <si>
    <t>johanemerentie@gmail.com</t>
  </si>
  <si>
    <t>416 858 7625</t>
  </si>
  <si>
    <t>MMJW0106</t>
  </si>
  <si>
    <t>Jayson Camiguing</t>
  </si>
  <si>
    <t>132 Holditch Street Bracebridge ON Muskoka ON P1L 1E7</t>
  </si>
  <si>
    <t>kim_joie01@yahoo.com</t>
  </si>
  <si>
    <t>416 877 3603</t>
  </si>
  <si>
    <t>For jayson salary</t>
  </si>
  <si>
    <t>MMJW0107</t>
  </si>
  <si>
    <t>#1002 775 Steeles Ave W, North York, ON M2R 2S8</t>
  </si>
  <si>
    <t>princessmaedomingo20@gmail.com</t>
  </si>
  <si>
    <t>416 879 1794</t>
  </si>
  <si>
    <t>MMJW0108</t>
  </si>
  <si>
    <t>77 Muscat Cres, Ajax ON L1Z 0B8</t>
  </si>
  <si>
    <t>416 884 9233</t>
  </si>
  <si>
    <t>MMJW0109</t>
  </si>
  <si>
    <t>Jasnoor Kaur</t>
  </si>
  <si>
    <t>23 Trailhead Crescent, Brampton, ON L6R 3H3</t>
  </si>
  <si>
    <t>jasnoorka031@gmail.com</t>
  </si>
  <si>
    <t>416 890 6320</t>
  </si>
  <si>
    <t>My G1 license ID has an old address which I don’t use .</t>
  </si>
  <si>
    <t>MMJW0110</t>
  </si>
  <si>
    <t>Aldrin Alde</t>
  </si>
  <si>
    <t>1970 Fowler Drive Mississauga ON L5K 1B5</t>
  </si>
  <si>
    <t>aldrinalde37@yahoo.com</t>
  </si>
  <si>
    <t>416 938 0261</t>
  </si>
  <si>
    <t>MMJW0111</t>
  </si>
  <si>
    <t>7324 Seabreeze Dr, Mississauga, ON L5N 6K4</t>
  </si>
  <si>
    <t>janctee@gmail.com</t>
  </si>
  <si>
    <t>416 939 5931</t>
  </si>
  <si>
    <t>MMJW0112</t>
  </si>
  <si>
    <t>26 Megan Ave, Scarborough, ON M1E 4A7</t>
  </si>
  <si>
    <t>joyonose456@gmail.com</t>
  </si>
  <si>
    <t>416 990 4369</t>
  </si>
  <si>
    <t>CRA - Cheque</t>
  </si>
  <si>
    <t>Old Address: 75 silver spr</t>
  </si>
  <si>
    <t>MMJW0113</t>
  </si>
  <si>
    <t>Umwari Clenie</t>
  </si>
  <si>
    <t>uwibeshejeho2014@gmail.com</t>
  </si>
  <si>
    <t>416-471-7224</t>
  </si>
  <si>
    <t>MMJW0114</t>
  </si>
  <si>
    <t>Sochima Bernard Oguejiofor</t>
  </si>
  <si>
    <t>#201 799A Brimley Rd, Scarborough, ON M1J 1S9</t>
  </si>
  <si>
    <t>sochimaoguejiofor@gmail.com</t>
  </si>
  <si>
    <t>416-834-7682</t>
  </si>
  <si>
    <t>MMJW0115</t>
  </si>
  <si>
    <t>MMJW0116</t>
  </si>
  <si>
    <t>Modassar Ahmad Khan</t>
  </si>
  <si>
    <t>44 Ardglen Dr, Brampton, ON L6W 1V3</t>
  </si>
  <si>
    <t>modassarkhan01@gmail.com</t>
  </si>
  <si>
    <t>416-875-6873</t>
  </si>
  <si>
    <t>I ll pickup my cheque. NO SIN PLZ.</t>
  </si>
  <si>
    <t>MMJW0117</t>
  </si>
  <si>
    <t>ishimwecumuhire@gmail.com</t>
  </si>
  <si>
    <t>418 928 4449</t>
  </si>
  <si>
    <t>Thank you.</t>
  </si>
  <si>
    <t>MMJW0118</t>
  </si>
  <si>
    <t>#916 75 Silver Springs Blvd, Scarborough, ON M1V 1W1</t>
  </si>
  <si>
    <t>aziegbeunity@gmail.com</t>
  </si>
  <si>
    <t>437 213 0299</t>
  </si>
  <si>
    <t>MMJW0119</t>
  </si>
  <si>
    <t>Ujunwa Jessica Okwuaka</t>
  </si>
  <si>
    <t>437 214 5438</t>
  </si>
  <si>
    <t>I’ll be using my brothers account details below and his name is Josiah Tsebi.</t>
  </si>
  <si>
    <t>MMJW0120</t>
  </si>
  <si>
    <t>#903 2 Vena Wy, Toronto, ON M9M 0G5</t>
  </si>
  <si>
    <t>yinkaadebajo@yahoo.com</t>
  </si>
  <si>
    <t>437 226 8293</t>
  </si>
  <si>
    <t>MMJW0121</t>
  </si>
  <si>
    <t>20 Queenpost Dr, Brampton, ON L6Y 6L2</t>
  </si>
  <si>
    <t>437 228 6065</t>
  </si>
  <si>
    <t>MMJW0122</t>
  </si>
  <si>
    <t>Rhoda Manday</t>
  </si>
  <si>
    <t>574 Cobblehill Dr, Oshawa, ON L1K 1R4</t>
  </si>
  <si>
    <t>437 232 7221</t>
  </si>
  <si>
    <t>MMJW0123</t>
  </si>
  <si>
    <t>Please name my cheque Ruby Bernal</t>
  </si>
  <si>
    <t>MMJW0124</t>
  </si>
  <si>
    <t>179 Giltspur Dr North York ON M3L 1N2</t>
  </si>
  <si>
    <t>mvillasis12@icloud.com</t>
  </si>
  <si>
    <t>437 235 3450</t>
  </si>
  <si>
    <t>MMJW0125</t>
  </si>
  <si>
    <t>45 Fennell Ave E, Hamilton, ON L9A 1R7</t>
  </si>
  <si>
    <t>samratkathayat009@gmail.com</t>
  </si>
  <si>
    <t>437 243 5909</t>
  </si>
  <si>
    <t>Please mail it to 45 Fennell Avenue East, Hamilton, Ontario, L9A 1R7</t>
  </si>
  <si>
    <t>MMJW0126</t>
  </si>
  <si>
    <t>Sandeep Oli</t>
  </si>
  <si>
    <t>551 E 27Th St, Hamilton, ON L8V 3H4</t>
  </si>
  <si>
    <t>437 260 5951</t>
  </si>
  <si>
    <t>MMJW0127</t>
  </si>
  <si>
    <t>27 Blandorman Rd, North York, ON M6L 2L7</t>
  </si>
  <si>
    <t>marcoanne12223@gmail.com</t>
  </si>
  <si>
    <t>437 264 4967</t>
  </si>
  <si>
    <t>MMJW0128</t>
  </si>
  <si>
    <t>Kyle Joemar Argallon</t>
  </si>
  <si>
    <t>7 Tollerton North York ON M2K 2H1</t>
  </si>
  <si>
    <t>kylehome76@gmail.com</t>
  </si>
  <si>
    <t>437 265 6523</t>
  </si>
  <si>
    <t>MMJW0129</t>
  </si>
  <si>
    <t>Prabesh Lamichhane</t>
  </si>
  <si>
    <t>17 Porter Crescent, Barrie, Ontario</t>
  </si>
  <si>
    <t>prabesh.lamichhane1@gmail.com</t>
  </si>
  <si>
    <t>437 299 2059</t>
  </si>
  <si>
    <t>MMJW0130</t>
  </si>
  <si>
    <t>#310 290 Bath Rd, Kingston, ON K7M 7H7</t>
  </si>
  <si>
    <t>437 299 2232</t>
  </si>
  <si>
    <t>MMJW0131</t>
  </si>
  <si>
    <t>34 Murmouth Rd, Scarborough, ON M1T 2R1</t>
  </si>
  <si>
    <t>latifahdamilolausman@gmail.com</t>
  </si>
  <si>
    <t>437 299 9365</t>
  </si>
  <si>
    <t>MMJW0132</t>
  </si>
  <si>
    <t>141 Quantrell Trail, Scarborough, ON M1B 1P4</t>
  </si>
  <si>
    <t>pranjalshah2352@gmail.com</t>
  </si>
  <si>
    <t>437 322 8871</t>
  </si>
  <si>
    <t>MMJW0133</t>
  </si>
  <si>
    <t>Ashley Avenue, Mississauga, ON L5R 2A3</t>
  </si>
  <si>
    <t>miss_gill86@yahoo.com</t>
  </si>
  <si>
    <t>437 329 0437</t>
  </si>
  <si>
    <t>I don't want anything to post ON my mailing address. I will collect from the office.</t>
  </si>
  <si>
    <t>MMJW0134</t>
  </si>
  <si>
    <t>#916 75 Silver Springs Blvd, Scarborough, ON M1V 1W2</t>
  </si>
  <si>
    <t>ayegboyinabisola@gmail.com</t>
  </si>
  <si>
    <t>437 333 5580</t>
  </si>
  <si>
    <t>MMJW0135</t>
  </si>
  <si>
    <t>Harmeen Kaur</t>
  </si>
  <si>
    <t>33 Linstock Dr, Brampton, ON L6P 1E2</t>
  </si>
  <si>
    <t>sohiharmeen11@gmail.com</t>
  </si>
  <si>
    <t>437 388 6612</t>
  </si>
  <si>
    <t xml:space="preserve">It’s my first pay from MMj. And i want mail don’t want to pickup.thank you </t>
  </si>
  <si>
    <t>MMJW0136</t>
  </si>
  <si>
    <t>Anna Lee Mercado</t>
  </si>
  <si>
    <t>#751 2503 Hurontario St, Mississauga, ON L5A 2G7</t>
  </si>
  <si>
    <t>ryanafara333@gmail.com</t>
  </si>
  <si>
    <t>437 427 2333</t>
  </si>
  <si>
    <t>MMJW0137</t>
  </si>
  <si>
    <t>Mamta Devi</t>
  </si>
  <si>
    <t>406 Athol St E, Oshawa, ON L1H 1L1</t>
  </si>
  <si>
    <t>mamtabajwa13@gmail.com</t>
  </si>
  <si>
    <t>437 427 8855</t>
  </si>
  <si>
    <t>MMJW0138</t>
  </si>
  <si>
    <t>Ronald Marlou Elag</t>
  </si>
  <si>
    <t>#403 11 Ave, Nisku, Ab T6M 3E4</t>
  </si>
  <si>
    <t>mariawr17@gmail.com</t>
  </si>
  <si>
    <t>437 428 2601</t>
  </si>
  <si>
    <t>no comments</t>
  </si>
  <si>
    <t>MMJW0139</t>
  </si>
  <si>
    <t>Piyush Aasodiya</t>
  </si>
  <si>
    <t>40 Fountainhead Rd, North York, ON M3J 2V1</t>
  </si>
  <si>
    <t>ksv1720.piyush@gmail.com</t>
  </si>
  <si>
    <t>437 428 3357</t>
  </si>
  <si>
    <t>MMJW0140</t>
  </si>
  <si>
    <t>308G Bluevale St N, Waterloo, ON N2J 4G3</t>
  </si>
  <si>
    <t>soodshivam47@gmail.com</t>
  </si>
  <si>
    <t>437 432 7006</t>
  </si>
  <si>
    <t>MMJW0141</t>
  </si>
  <si>
    <t>216 Harcourt Cres, Woodstock, ON N4T 0L3</t>
  </si>
  <si>
    <t>elokaazubike@yahoo.com</t>
  </si>
  <si>
    <t>437 433 5052</t>
  </si>
  <si>
    <t>MMJW0142</t>
  </si>
  <si>
    <t>Lovepreet Singh</t>
  </si>
  <si>
    <t>4357 River Rd, Niagara Falls, ON L2E 3E7</t>
  </si>
  <si>
    <t>singhalove121@gmail.com</t>
  </si>
  <si>
    <t>437 436 2644</t>
  </si>
  <si>
    <t>MMJW0143</t>
  </si>
  <si>
    <t>Shirley Tecson</t>
  </si>
  <si>
    <t>74 Linwell Rd, St. Catharines, ON L2N 6B1</t>
  </si>
  <si>
    <t>bgmcleans@gmail.com</t>
  </si>
  <si>
    <t>437 439 0215</t>
  </si>
  <si>
    <t>MMJW0144</t>
  </si>
  <si>
    <t>Ryan Carl Santiago</t>
  </si>
  <si>
    <t>28 Pleasant Ave, North York, ON M2M 1L9</t>
  </si>
  <si>
    <t>carlbsanti@gmail.com</t>
  </si>
  <si>
    <t>437 439 4992</t>
  </si>
  <si>
    <t>MMJW0145</t>
  </si>
  <si>
    <t>99 Abitibi Lake Dr, Brampton, ON L6R 0V6</t>
  </si>
  <si>
    <t>lavish2228@gmail.com</t>
  </si>
  <si>
    <t>437 443 4036</t>
  </si>
  <si>
    <t>Please provide me interac e transfer at lavish2228@gmail.com</t>
  </si>
  <si>
    <t>MMJW0146</t>
  </si>
  <si>
    <t>76 Cathcart Crescent, Brampton, ON L6T 2A5</t>
  </si>
  <si>
    <t>navneetkaur16049@gmail.com</t>
  </si>
  <si>
    <t>437 451 5571</t>
  </si>
  <si>
    <t>Please send me the time to pickup payments</t>
  </si>
  <si>
    <t>MMJW0147</t>
  </si>
  <si>
    <t>Hanna Sharmane Sango</t>
  </si>
  <si>
    <t>137 Isabella St., Toronto, ON M4Y 1P5</t>
  </si>
  <si>
    <t>sangohannasharmane@gmail.com</t>
  </si>
  <si>
    <t>437 460 1081</t>
  </si>
  <si>
    <t>I'm an international student and right now i have two weeks break. I'm able to work full time on those two weeks.</t>
  </si>
  <si>
    <t>MMJW0148</t>
  </si>
  <si>
    <t>Bansi Bhavaeshbhai Bhalani</t>
  </si>
  <si>
    <t>63 Owlridge Dr, Brampton, ON L6X 0M4</t>
  </si>
  <si>
    <t>bansibhalani914@gmail.com</t>
  </si>
  <si>
    <t>437 499 0706</t>
  </si>
  <si>
    <t>MMJW0149</t>
  </si>
  <si>
    <t>2 Lakeland Crescent, Scarborough, ON M1G 2L3</t>
  </si>
  <si>
    <t>asmitabadal28@gmail.com</t>
  </si>
  <si>
    <t>437 559 5371</t>
  </si>
  <si>
    <t>MMJW0150</t>
  </si>
  <si>
    <t>3383 Sonja Rd, Mississauga, ON L4T 1R2</t>
  </si>
  <si>
    <t>chandersyal.cs1234@gmail.com</t>
  </si>
  <si>
    <t>437 559 6385</t>
  </si>
  <si>
    <t>Please notify me when i ll get my cheque. we live in Basement. 3383 Sonja Road Malton, Missisauga</t>
  </si>
  <si>
    <t>MMJW0151</t>
  </si>
  <si>
    <t>Khushveer</t>
  </si>
  <si>
    <t>13 Malthouse Crescent,Ajax, Ontario L1Z 0S1</t>
  </si>
  <si>
    <t>dhaliwalkhush157@gmail.com</t>
  </si>
  <si>
    <t>437 559 8835</t>
  </si>
  <si>
    <t>you can interac the pay ON my email id</t>
  </si>
  <si>
    <t>MMJW0152</t>
  </si>
  <si>
    <t>#206 1065 Victoria Park Ave, Scarborough, ON M4B 2J7</t>
  </si>
  <si>
    <t>437 599 7067</t>
  </si>
  <si>
    <t>Irish Alva</t>
  </si>
  <si>
    <t>For Irish Alva</t>
  </si>
  <si>
    <t>MMJW0153</t>
  </si>
  <si>
    <t>7545 Magistrate Terrace, Mississauga, ON L5W 1L3</t>
  </si>
  <si>
    <t>437 603 2883</t>
  </si>
  <si>
    <t>MMJW0154</t>
  </si>
  <si>
    <t>4183 Melia Dr, Mississauga, ON L5C 4J3</t>
  </si>
  <si>
    <t>437 604 8716</t>
  </si>
  <si>
    <t>MMJW0155</t>
  </si>
  <si>
    <t>24 Rampart Dr, Brampton, ON L6P 2K3</t>
  </si>
  <si>
    <t>namankaur993@gmail.com</t>
  </si>
  <si>
    <t>437 660 2095</t>
  </si>
  <si>
    <t>MMJW0156</t>
  </si>
  <si>
    <t>222 Maclaren St, Ottawa, ON K2P 0L8</t>
  </si>
  <si>
    <t>bintarasoull1@gmail.com</t>
  </si>
  <si>
    <t>437 660 5414</t>
  </si>
  <si>
    <t>Please disregard the first form and used this one</t>
  </si>
  <si>
    <t>MMJW0157</t>
  </si>
  <si>
    <t>121 Massey Ave, Kitchener, ON N2C 1M6</t>
  </si>
  <si>
    <t>manpreetsingh55284@gmail.com</t>
  </si>
  <si>
    <t>437 662 1566</t>
  </si>
  <si>
    <t>MMJW0158</t>
  </si>
  <si>
    <t>382 Queen Mary Dr, Oakville, ON L6K 3L8</t>
  </si>
  <si>
    <t>437 663 2168</t>
  </si>
  <si>
    <t>MMJW0159</t>
  </si>
  <si>
    <t>16 Henry Peters Ln, Vaughan, ON L4L 0A8</t>
  </si>
  <si>
    <t>rosellenavidad@gmail.com</t>
  </si>
  <si>
    <t>437 663 3216</t>
  </si>
  <si>
    <t>Armstrong</t>
  </si>
  <si>
    <t>For Armstrong Aguirre</t>
  </si>
  <si>
    <t>MMJW0160</t>
  </si>
  <si>
    <t>4971 Jepson St, Niagara Falls, ON L2E 1K3</t>
  </si>
  <si>
    <t>himanshujindal783@gmail.com</t>
  </si>
  <si>
    <t>437 663 3993</t>
  </si>
  <si>
    <t>Niney, Noney</t>
  </si>
  <si>
    <t>Please send me money ON this account himanshujindal783@gmail.com. i just did one day work 19 july 2025</t>
  </si>
  <si>
    <t>MMJW0161</t>
  </si>
  <si>
    <t>Adwan Bishwokarma</t>
  </si>
  <si>
    <t>5532 Lewis Ave, Niagara Falls, ON L2G 3R7</t>
  </si>
  <si>
    <t>adwanbishwokarma7@gmail.com</t>
  </si>
  <si>
    <t>437 663 8616</t>
  </si>
  <si>
    <t>MMJW0162</t>
  </si>
  <si>
    <t>Benard Obelon</t>
  </si>
  <si>
    <t>#G 1476 Heatherington Road Ottawa ON K1V 6S1</t>
  </si>
  <si>
    <t>obelonbenard@gmail.com</t>
  </si>
  <si>
    <t>437 665 5790</t>
  </si>
  <si>
    <t>Deposit</t>
  </si>
  <si>
    <t>MMJW0163</t>
  </si>
  <si>
    <t>#2256A 22 Metropolitan Rd, Scarborough, ON M1R 2T5</t>
  </si>
  <si>
    <t>437 665 6475</t>
  </si>
  <si>
    <t>None</t>
  </si>
  <si>
    <t>MMJW0164</t>
  </si>
  <si>
    <t>Jeffrie Macasadia</t>
  </si>
  <si>
    <t>Taverner Crescent, Ajax, ON L1T 5A3</t>
  </si>
  <si>
    <t>jeffriemacasadia@gmail.com</t>
  </si>
  <si>
    <t>437 667 4165</t>
  </si>
  <si>
    <t>MMJW0165</t>
  </si>
  <si>
    <t>Prabhjot Kaur.</t>
  </si>
  <si>
    <t>13 Fairfield Ave,Brampton, ON L6X 2H9</t>
  </si>
  <si>
    <t>437 688 3198</t>
  </si>
  <si>
    <t>MMJW0166</t>
  </si>
  <si>
    <t>45 Gennela Square, Scarborough, ON M1B 5A3</t>
  </si>
  <si>
    <t>vikassohal041@gmail.com</t>
  </si>
  <si>
    <t>437 688 3716</t>
  </si>
  <si>
    <t>MMJW0167</t>
  </si>
  <si>
    <t>22 Feeder St, Brampton, ON L7A 4T9</t>
  </si>
  <si>
    <t>badhan2005mannat@gmail.com</t>
  </si>
  <si>
    <t>437 717 4004</t>
  </si>
  <si>
    <t>Previous Address: 13 Fairfield Ave, Brampton, ON L6X 2H9 (updated by worker 9/30/2025)</t>
  </si>
  <si>
    <t>MMJW0168</t>
  </si>
  <si>
    <t>Adwoa Tiwaa Agyemang</t>
  </si>
  <si>
    <t>#1 4 Ave, Regina, SK S4R 1B5</t>
  </si>
  <si>
    <t>adwoatiwaaagyemang@gmail.com</t>
  </si>
  <si>
    <t>437 727 9274</t>
  </si>
  <si>
    <t>MMJW0169</t>
  </si>
  <si>
    <t>49 Betterton Cres, Brampton, ON L7A 0S6</t>
  </si>
  <si>
    <t>pzeel6353@gmail.com</t>
  </si>
  <si>
    <t>437 733 5947</t>
  </si>
  <si>
    <t>MMJW0170</t>
  </si>
  <si>
    <t>Szilvia Molnarne Horvath</t>
  </si>
  <si>
    <t>#503 5 Agate Rd, North York, ON M3M 2B2</t>
  </si>
  <si>
    <t>szilviah505@gmail.com</t>
  </si>
  <si>
    <t>437 755 2799</t>
  </si>
  <si>
    <t>E transfer pls</t>
  </si>
  <si>
    <t>MMJW0171</t>
  </si>
  <si>
    <t>437 766 9968</t>
  </si>
  <si>
    <t>Please, I'll appreciate it comes as cheque. If there will be any reasons to pay via interac kindly prompt me.Thank you</t>
  </si>
  <si>
    <t>MMJW0172</t>
  </si>
  <si>
    <t>97 Cordoba Court Mississauga ON L5R 1J6</t>
  </si>
  <si>
    <t>kendibaruelo420@gmail.com</t>
  </si>
  <si>
    <t>437 771 3641</t>
  </si>
  <si>
    <t>MMJW0173</t>
  </si>
  <si>
    <t>#2 7 Stanstead Dr, Toronto, ON M3H 4V5</t>
  </si>
  <si>
    <t>jonathanroysuarez@gmail.com</t>
  </si>
  <si>
    <t>437 774 7980</t>
  </si>
  <si>
    <t>for Kenneth Abarra</t>
  </si>
  <si>
    <t>MMJW0174</t>
  </si>
  <si>
    <t>Fola Aibinuola</t>
  </si>
  <si>
    <t>#212 75 Silver Springs Blvd, Scarborough, ON M1W 1W2</t>
  </si>
  <si>
    <t>437 775 4181</t>
  </si>
  <si>
    <t>MMJW0175</t>
  </si>
  <si>
    <t>Jeffrey Jimeno</t>
  </si>
  <si>
    <t>5861 Cozumel Dr, Mississauga, ON L5M 6Y7</t>
  </si>
  <si>
    <t>437 788 2786</t>
  </si>
  <si>
    <t>MMJW0176</t>
  </si>
  <si>
    <t>86 Chestnut St, Kitchener, ON N2H 1V1</t>
  </si>
  <si>
    <t>agorilla.joshua16@gmail.com</t>
  </si>
  <si>
    <t>437 799 2293</t>
  </si>
  <si>
    <t>MMJW0177</t>
  </si>
  <si>
    <t>Russel James Paulo</t>
  </si>
  <si>
    <t>56 Charlbrook Ave, Barrie, ON L4M 2Y4</t>
  </si>
  <si>
    <t>paulorussel0528@gmail.com</t>
  </si>
  <si>
    <t>437 799 2805</t>
  </si>
  <si>
    <t>MMJW0178</t>
  </si>
  <si>
    <t>#2105 14 York St, Toronto, ON M5J 0B1</t>
  </si>
  <si>
    <t>eloakpoiroro@gmail.com</t>
  </si>
  <si>
    <t>437 799 3551</t>
  </si>
  <si>
    <t>I prefer e transfer, interac payments</t>
  </si>
  <si>
    <t>MMJW0179</t>
  </si>
  <si>
    <t>Esther Omono Okwori</t>
  </si>
  <si>
    <t>#809 75 Silver Springs Blvd, Scarborough, ON M1W 1W2</t>
  </si>
  <si>
    <t>aomeka@yahoo.com</t>
  </si>
  <si>
    <t>437 818 2019</t>
  </si>
  <si>
    <t>I need a call or a message when the cheque or payment is made</t>
  </si>
  <si>
    <t>MMJW0180</t>
  </si>
  <si>
    <t>#7 66 King St E, Hamilton, ON L8N 1A6</t>
  </si>
  <si>
    <t>437 838 9343</t>
  </si>
  <si>
    <t>MMJW0181</t>
  </si>
  <si>
    <t>#103 3255 Bathurst St, North York, ON M6A 2B4</t>
  </si>
  <si>
    <t>437 849 1675</t>
  </si>
  <si>
    <t>I would like pick up</t>
  </si>
  <si>
    <t>MMJW0182</t>
  </si>
  <si>
    <t>Gursimran singh</t>
  </si>
  <si>
    <t>76 Cathcart Cres Brampton ON L6T 2A5</t>
  </si>
  <si>
    <t>gursimran.bcg@gmail.com</t>
  </si>
  <si>
    <t>437 858 5591</t>
  </si>
  <si>
    <t>MMJW0183</t>
  </si>
  <si>
    <t>#1602 165 Queen Street South, Hamilton, ON L8P 4R3</t>
  </si>
  <si>
    <t>437 858 6227</t>
  </si>
  <si>
    <t>MMJW0184</t>
  </si>
  <si>
    <t>11 Arctic Willow Rd, Brampton, ON L6R 3K8</t>
  </si>
  <si>
    <t>khushpreetkaurk355@gmail.com</t>
  </si>
  <si>
    <t>437 858 9718</t>
  </si>
  <si>
    <t>MMJW0185</t>
  </si>
  <si>
    <t>Mungere Gathogo</t>
  </si>
  <si>
    <t>82 Greensides Avenue Toronto ON M6G 3P7</t>
  </si>
  <si>
    <t>mungeregathogo@gmail.com</t>
  </si>
  <si>
    <t>437 860 3622</t>
  </si>
  <si>
    <t>MMJW0186</t>
  </si>
  <si>
    <t>77 Havelock Dr, Brampton, ON L6W 4C4</t>
  </si>
  <si>
    <t>kviney365@gmail.com</t>
  </si>
  <si>
    <t>437 868 3465</t>
  </si>
  <si>
    <t>Full time available</t>
  </si>
  <si>
    <t>MMJW0187</t>
  </si>
  <si>
    <t>Ibrahim Airat</t>
  </si>
  <si>
    <t>517 Sales Dr, Woodstock, ON N4S 8Z7</t>
  </si>
  <si>
    <t>olanikepearl88@gmail.com</t>
  </si>
  <si>
    <t>437 873 5037</t>
  </si>
  <si>
    <t>MMJW0188</t>
  </si>
  <si>
    <t>Willer Mercado</t>
  </si>
  <si>
    <t>willermercado2@gmail.com</t>
  </si>
  <si>
    <t>437 907 7236</t>
  </si>
  <si>
    <t>MMJW0189</t>
  </si>
  <si>
    <t>Mehakpreet Kaur</t>
  </si>
  <si>
    <t>66 Lyle Wy, Brampton, ON L6X 5P8</t>
  </si>
  <si>
    <t>mehaktiwana6077@gmail.com</t>
  </si>
  <si>
    <t>437 928 6077</t>
  </si>
  <si>
    <t>MMJW0190</t>
  </si>
  <si>
    <t>#309 265 Dixon Rd, Etobicoke, ON M9R 1R7</t>
  </si>
  <si>
    <t>kosykc07@gmail.com</t>
  </si>
  <si>
    <t>437 929 1725</t>
  </si>
  <si>
    <t>I have worked for MMJ since 2023 prior to this year, but ON the second question I put 28/06/2025 because that’s the day I have worked this year.</t>
  </si>
  <si>
    <t>MMJW0191</t>
  </si>
  <si>
    <t>4201 Regency Dr, Mississauga, ON L5C 4K5</t>
  </si>
  <si>
    <t>policarpiogerald2@gmail.com</t>
  </si>
  <si>
    <t>437 933 0110</t>
  </si>
  <si>
    <t>MMJW0192</t>
  </si>
  <si>
    <t>Amrit Thapa</t>
  </si>
  <si>
    <t>38 Tambrook Dr, Scarborough, ON M1W 3L9</t>
  </si>
  <si>
    <t>thapaamrit070@gmail.com</t>
  </si>
  <si>
    <t>437 933 5997</t>
  </si>
  <si>
    <t>MMJW0193</t>
  </si>
  <si>
    <t>kiratgandhi02@gmail.com</t>
  </si>
  <si>
    <t>437 933 8003</t>
  </si>
  <si>
    <t>Woodstock</t>
  </si>
  <si>
    <t>MMJW0194</t>
  </si>
  <si>
    <t>25 Axelrod Ave, Brampton, ON L6Y 5S9</t>
  </si>
  <si>
    <t>437 955 0022</t>
  </si>
  <si>
    <t>MMJW0195</t>
  </si>
  <si>
    <t>Anjali Senctury</t>
  </si>
  <si>
    <t>323 Albert St, Woodstock, ON N4S 2L3</t>
  </si>
  <si>
    <t>sencturyanjali@gmail.com</t>
  </si>
  <si>
    <t>437 955 0326</t>
  </si>
  <si>
    <t>MMJW0196</t>
  </si>
  <si>
    <t>Prashna Kattel</t>
  </si>
  <si>
    <t>#13 250 Penetanguishine Rd, #13, L4M 7C2</t>
  </si>
  <si>
    <t>prashnakattel987@gmail.com</t>
  </si>
  <si>
    <t>437 955 5488</t>
  </si>
  <si>
    <t>MMJW0197</t>
  </si>
  <si>
    <t>#1602 205 Hunter St W, Hamilton, ON L8P 1R8</t>
  </si>
  <si>
    <t>437 972 0073</t>
  </si>
  <si>
    <t>Hi</t>
  </si>
  <si>
    <t>MMJW0198</t>
  </si>
  <si>
    <t>#2314 1 Fountainhead Rd, North York, ON M3J 1K6</t>
  </si>
  <si>
    <t>tanvirmultani.786.10@gmail.com</t>
  </si>
  <si>
    <t>437 974 0496</t>
  </si>
  <si>
    <t>MMJW0199</t>
  </si>
  <si>
    <t>Gouri Gouri</t>
  </si>
  <si>
    <t>26 Cortez Ct, Brampton, ON L6X 3Z1</t>
  </si>
  <si>
    <t>sandhugouri24@gmail.com</t>
  </si>
  <si>
    <t>437 974 5098</t>
  </si>
  <si>
    <t>Can you mail the address where i can pick the cheque</t>
  </si>
  <si>
    <t>MMJW0200</t>
  </si>
  <si>
    <t>3747 Morning Star Dr, Mississauga, ON L4T 1Y6</t>
  </si>
  <si>
    <t>parul.2003a@gmail.com</t>
  </si>
  <si>
    <t>437 979 0084</t>
  </si>
  <si>
    <t>MMJW0201</t>
  </si>
  <si>
    <t>Karamveer Kaur</t>
  </si>
  <si>
    <t>5765 Emery St, Niagara Falls, ON L2G 1L8</t>
  </si>
  <si>
    <t>karamveerkaursanghera@gmail.com</t>
  </si>
  <si>
    <t>437 984 9409</t>
  </si>
  <si>
    <t>I work for june 23, june 24 and june 26. Previous Address: 5736 Leonard Avenue Niagara Falls ON L2G 4R1</t>
  </si>
  <si>
    <t>MMJW0202</t>
  </si>
  <si>
    <t>2151 Mountain Grove Ave, Burlington, ON L7P 2H8</t>
  </si>
  <si>
    <t>437 987 9486</t>
  </si>
  <si>
    <t>MMJW0203</t>
  </si>
  <si>
    <t>Satish Lamichhane</t>
  </si>
  <si>
    <t>1240 Rexton Dr, Oshawa, ON L1L 0T3</t>
  </si>
  <si>
    <t>satish.lamichhane72@gmail.com</t>
  </si>
  <si>
    <t>437 987 9849</t>
  </si>
  <si>
    <t>Kindly mail the pay cheque to my mailing address. Thank you!</t>
  </si>
  <si>
    <t>MMJW0204</t>
  </si>
  <si>
    <t>#206 90 Dale Ave, Toronto, ON M1J 3N4</t>
  </si>
  <si>
    <t>437 988 8932</t>
  </si>
  <si>
    <t>MMJW0205</t>
  </si>
  <si>
    <t>Rishabh Rishabh</t>
  </si>
  <si>
    <t>52 Abelard Ave, Brampton, ON L6Y 2K8</t>
  </si>
  <si>
    <t>rishabh22ji.s@gmail.com</t>
  </si>
  <si>
    <t>437 989 8667</t>
  </si>
  <si>
    <t>MMJW0206</t>
  </si>
  <si>
    <t>Jeewan Singh Johal</t>
  </si>
  <si>
    <t>53 Center Street, Woodstock , ON , N4X 3X8.</t>
  </si>
  <si>
    <t>jeewansinghjohal@gmail.com</t>
  </si>
  <si>
    <t>437 990 2156</t>
  </si>
  <si>
    <t>MMJW0207</t>
  </si>
  <si>
    <t>Attessi Nguessan Kouakou Wilfried</t>
  </si>
  <si>
    <t>4588 Huron St, Niagara Falls, ON L2E 2H5</t>
  </si>
  <si>
    <t>attessinguessan072023@gmail.com</t>
  </si>
  <si>
    <t>437 990 8509</t>
  </si>
  <si>
    <t>MMJW0208</t>
  </si>
  <si>
    <t>Ujunwa Okwuaka</t>
  </si>
  <si>
    <t>#916 75 Silver Springs Blvd, Scarborough, ON M1W 2S4</t>
  </si>
  <si>
    <t>437-214-5438</t>
  </si>
  <si>
    <t>MMJW0209</t>
  </si>
  <si>
    <t>140 Poplar Dr, Cambridge, ON N3C 4B2</t>
  </si>
  <si>
    <t>ahmadshahbaz.fsd@gmail.com</t>
  </si>
  <si>
    <t>437-218-8891</t>
  </si>
  <si>
    <t>NA</t>
  </si>
  <si>
    <t>MMJW0210</t>
  </si>
  <si>
    <t>133 Alexander Lawrie Ave, Markham, ON L6E 0J4</t>
  </si>
  <si>
    <t>osamuyimenosarenren@gmail.com</t>
  </si>
  <si>
    <t>437-226-5961</t>
  </si>
  <si>
    <t>MMJW0211</t>
  </si>
  <si>
    <t>Aryaveer Nindra</t>
  </si>
  <si>
    <t>30 Hillsboro Ave #1608, Toronto, ON M5R 1S7</t>
  </si>
  <si>
    <t>Aryaveernindra2007@gmail.com</t>
  </si>
  <si>
    <t>437-421-7479</t>
  </si>
  <si>
    <t>MMJW0212</t>
  </si>
  <si>
    <t>Mark Anthony Bermejo</t>
  </si>
  <si>
    <t>#PH2 4415 Bathurst St, Toronto, ON M3H 3S1</t>
  </si>
  <si>
    <t>mabangis89@gmail.com</t>
  </si>
  <si>
    <t>437-451-8068</t>
  </si>
  <si>
    <t>MMJW0213</t>
  </si>
  <si>
    <t>26 Lothbury Dr, Brampton, ON L7A 0B2</t>
  </si>
  <si>
    <t>manjotklair5@gmail.com</t>
  </si>
  <si>
    <t>437-463-0357</t>
  </si>
  <si>
    <t>MMJW0214</t>
  </si>
  <si>
    <t>armstrongaguirre99@gmail.com</t>
  </si>
  <si>
    <t>437-557-0754</t>
  </si>
  <si>
    <t>MMJW0215</t>
  </si>
  <si>
    <t>Armstrong Arcega Aguirre</t>
  </si>
  <si>
    <t>MMJW0216</t>
  </si>
  <si>
    <t>rsrupindersingh52@gmail.com</t>
  </si>
  <si>
    <t>437-601-1147</t>
  </si>
  <si>
    <t>MMJW0217</t>
  </si>
  <si>
    <t>7 Lennon Trail na, Brampton, ON L6Y 5P9</t>
  </si>
  <si>
    <t>kk4296619@gmail.com</t>
  </si>
  <si>
    <t>437-661-2884</t>
  </si>
  <si>
    <t>Hyatt</t>
  </si>
  <si>
    <t>MMJW0218</t>
  </si>
  <si>
    <t>#32 7500 Goreway Dr, Mississauga, ON L4T 3C7</t>
  </si>
  <si>
    <t>kamaljitkaur0921@gmail.com</t>
  </si>
  <si>
    <t>437-661-3778</t>
  </si>
  <si>
    <t>MMJW0219</t>
  </si>
  <si>
    <t>Filipina Derecho</t>
  </si>
  <si>
    <t>35 Saranac Blvd #608, North York, ON M6A 2G4</t>
  </si>
  <si>
    <t>glenngurango@live.com</t>
  </si>
  <si>
    <t>437-799-1960</t>
  </si>
  <si>
    <t>MMJW0220</t>
  </si>
  <si>
    <t>3388 Baby St, Windsor, ON N9C 1L4</t>
  </si>
  <si>
    <t>Khsdp203@gmail.com</t>
  </si>
  <si>
    <t>437-808-3610</t>
  </si>
  <si>
    <t>MMJW0221</t>
  </si>
  <si>
    <t>7231 Dellaport Dr, Mississauga, ON L4T 2Y4</t>
  </si>
  <si>
    <t>kirtibedi904@gmail.com</t>
  </si>
  <si>
    <t>437-955-6876</t>
  </si>
  <si>
    <t>MMJW0222</t>
  </si>
  <si>
    <t>93 Padbury Trl, Brampton, ON L7A 4V3</t>
  </si>
  <si>
    <t>armansingh22972297@gmail.com</t>
  </si>
  <si>
    <t>437-986-0555</t>
  </si>
  <si>
    <t>MMJW0223</t>
  </si>
  <si>
    <t>jun.ehn36@gmail.com</t>
  </si>
  <si>
    <t>437-990-1311</t>
  </si>
  <si>
    <t>Riza Duat</t>
  </si>
  <si>
    <t>For Riza Duat (Chatham)</t>
  </si>
  <si>
    <t>MMJW0224</t>
  </si>
  <si>
    <t>#1201 2995 Albion Rd N, Ottawa, ON K1V 8Z2</t>
  </si>
  <si>
    <t>abdallashabdi29@gmail.com</t>
  </si>
  <si>
    <t>438 212 3358</t>
  </si>
  <si>
    <t>MMJW0225</t>
  </si>
  <si>
    <t>350 Moodie Dr, Ottawa, ON K2H 8G3</t>
  </si>
  <si>
    <t>omololasodimu13@gmail.com</t>
  </si>
  <si>
    <t>438 483 3273</t>
  </si>
  <si>
    <t>MMJW0226</t>
  </si>
  <si>
    <t>Myla Centeno</t>
  </si>
  <si>
    <t>110 Windermere Cres, Woodstock ON N4S 6T2</t>
  </si>
  <si>
    <t>506 323 7889</t>
  </si>
  <si>
    <t>Please put the cheque in my sister’s name: Michelle Enriquez, my sister’s mobile is: +12262284590</t>
  </si>
  <si>
    <t>MMJW0227</t>
  </si>
  <si>
    <t>32 Romulus Dr, Scarborough, ON M1K 4C2</t>
  </si>
  <si>
    <t>514 448 1412</t>
  </si>
  <si>
    <t>Previous address: 114 Nathaniel Crescent, Brampton, ON L6Y 5M3 (admin update 9/16/2025)</t>
  </si>
  <si>
    <t>MMJW0228</t>
  </si>
  <si>
    <t>MMJW0229</t>
  </si>
  <si>
    <t>Gatineau, QC J9A 3K6</t>
  </si>
  <si>
    <t>514 582 6448</t>
  </si>
  <si>
    <t>I would like to know where I can come pick up</t>
  </si>
  <si>
    <t>MMJW0230</t>
  </si>
  <si>
    <t>Nataliia Halupa</t>
  </si>
  <si>
    <t>#304 285 Rue Laurier, Gatineau, QC J8X 3W9</t>
  </si>
  <si>
    <t>halupanataliia@gmail.com</t>
  </si>
  <si>
    <t>514 619 3287</t>
  </si>
  <si>
    <t>MMJW0231</t>
  </si>
  <si>
    <t>Mable Kusheka Kyoshabire</t>
  </si>
  <si>
    <t>1327 Brookline Ave, Ottawa, ON K1V 6S2</t>
  </si>
  <si>
    <t>kushekamable872@gmail.com</t>
  </si>
  <si>
    <t>514 627 7882</t>
  </si>
  <si>
    <t>I thank you so much</t>
  </si>
  <si>
    <t>MMJW0232</t>
  </si>
  <si>
    <t>Mafog Kamgne Ingénieur Manuella</t>
  </si>
  <si>
    <t>149 Oakridge Boulevard Nepean Ontario K2G 2V1</t>
  </si>
  <si>
    <t>namachanjacynthia@gmail.com</t>
  </si>
  <si>
    <t>514 777 2132</t>
  </si>
  <si>
    <t>MMJW0233</t>
  </si>
  <si>
    <t>A-287 Hunter St, Woodstock, ON N4S 4E8</t>
  </si>
  <si>
    <t>adavbnwaubani@yahoo.com</t>
  </si>
  <si>
    <t>519 320 7162</t>
  </si>
  <si>
    <t>MMJW0234</t>
  </si>
  <si>
    <t>52 MacKay Dr, Woodstock, ON N4T 0N9</t>
  </si>
  <si>
    <t>dgbautista06@gmail.com</t>
  </si>
  <si>
    <t>519 535 2050</t>
  </si>
  <si>
    <t>MMJW0235</t>
  </si>
  <si>
    <t>16 Landseer Rd, Scarborough, ON M1K 3A7</t>
  </si>
  <si>
    <t>519 551 7907</t>
  </si>
  <si>
    <t>MMJW0236</t>
  </si>
  <si>
    <t>70 Hanes Rd, Huntsville, ON P1H 1M3</t>
  </si>
  <si>
    <t>519 694 6891</t>
  </si>
  <si>
    <t>MMJW0237</t>
  </si>
  <si>
    <t>22 Greaves Ave, Huntsville, ON P1H 1V2</t>
  </si>
  <si>
    <t>519 702 6713</t>
  </si>
  <si>
    <t>MMJW0238</t>
  </si>
  <si>
    <t>cathypundz@outlook.com</t>
  </si>
  <si>
    <t>519 852 2356</t>
  </si>
  <si>
    <t>Please e transfer my salary to this provider information. For Wilmar</t>
  </si>
  <si>
    <t>MMJW0239</t>
  </si>
  <si>
    <t>#8 90 Duckworth Rd, Cambridge, ON N3H 0E2</t>
  </si>
  <si>
    <t>ssukhjot675@gmail.com</t>
  </si>
  <si>
    <t>548 398 0049</t>
  </si>
  <si>
    <t>MMJW0240</t>
  </si>
  <si>
    <t>512 Florencedale Cres, Kitchener, ON N2R 1R7</t>
  </si>
  <si>
    <t>pateldhruv2298@gmail.com</t>
  </si>
  <si>
    <t>548 398 2211</t>
  </si>
  <si>
    <t>MMJW0241</t>
  </si>
  <si>
    <t>720 Arthur Parker Ave, Woodstock, ON N4S 7W2</t>
  </si>
  <si>
    <t>niqurepaul@gmail.com</t>
  </si>
  <si>
    <t>548 468 9717</t>
  </si>
  <si>
    <t>MMJW0242</t>
  </si>
  <si>
    <t>Kristine Anne M. De Guzman</t>
  </si>
  <si>
    <t>#557 365 Albert St, Waterloo, ON N2L 0G7</t>
  </si>
  <si>
    <t>548 577 0828</t>
  </si>
  <si>
    <t>MMJW0243</t>
  </si>
  <si>
    <t>satnam9723@gmail.com</t>
  </si>
  <si>
    <t>548 577 2297</t>
  </si>
  <si>
    <t>MMJW0244</t>
  </si>
  <si>
    <t>884 Shelborne Street, London, ON N5Z5A7</t>
  </si>
  <si>
    <t>jivenvirk17@gmail.com</t>
  </si>
  <si>
    <t>548 588 9926</t>
  </si>
  <si>
    <t>You can etransfer my pay as its just one day pay, and i want it as soon as possible. 
Thanks</t>
  </si>
  <si>
    <t>MMJW0245</t>
  </si>
  <si>
    <t>434 Spruce St, London, ON N5W 4P3</t>
  </si>
  <si>
    <t>johngabrielmbuenaflor@gmail.com</t>
  </si>
  <si>
    <t>548 881 0674</t>
  </si>
  <si>
    <t>MMJW0246</t>
  </si>
  <si>
    <t>#413 238 Oakland Ave, London, ON N5W 4J3</t>
  </si>
  <si>
    <t>manapsal1991@gmail.com</t>
  </si>
  <si>
    <t>548 881 1463</t>
  </si>
  <si>
    <t>MMJW0247</t>
  </si>
  <si>
    <t>Navpreet Singh</t>
  </si>
  <si>
    <t>1754 Gore Rd, London, ON N5W 6B8</t>
  </si>
  <si>
    <t>navpreet2198@gmail.com</t>
  </si>
  <si>
    <t>548 881 2446</t>
  </si>
  <si>
    <t>MMJW0248</t>
  </si>
  <si>
    <t>514 Henry St, Woodstock, ON N4S 1X4</t>
  </si>
  <si>
    <t>Dionisiocaro28@hotmail.com</t>
  </si>
  <si>
    <t>548-387-5794</t>
  </si>
  <si>
    <t>MMJW0249</t>
  </si>
  <si>
    <t>3090 Carling Ave, Ottawa, ON K2B 7K2</t>
  </si>
  <si>
    <t>581 398 8443</t>
  </si>
  <si>
    <t>MMJW0250</t>
  </si>
  <si>
    <t>2 689 Churchill Avenue N , Ottawa, ON K1Z 5G4</t>
  </si>
  <si>
    <t>613 203 0130</t>
  </si>
  <si>
    <t>MMJW0251</t>
  </si>
  <si>
    <t>3rd Floor 256 King Edward Ave, Ottawa, ON K1N 5N1</t>
  </si>
  <si>
    <t>daniella.daniella2024@gmail.com</t>
  </si>
  <si>
    <t>613 220 1601</t>
  </si>
  <si>
    <t>MMJW0252</t>
  </si>
  <si>
    <t>Marie Charles</t>
  </si>
  <si>
    <t>17A Anderson St Ottawa Ontario K1R 6T4</t>
  </si>
  <si>
    <t>mmariejocharles@gmail.com</t>
  </si>
  <si>
    <t>613 220 4124</t>
  </si>
  <si>
    <t>MMJW0253</t>
  </si>
  <si>
    <t>#1609 20 Deerfield Dr, Nepean, ON K2G 4L2</t>
  </si>
  <si>
    <t>613 255 0316</t>
  </si>
  <si>
    <t>MMJW0254</t>
  </si>
  <si>
    <t>#17 45 Bayshore Dr, Nepean, ON K2B 6M7</t>
  </si>
  <si>
    <t>613 255 3380</t>
  </si>
  <si>
    <t>MMJW0255</t>
  </si>
  <si>
    <t>Onuchukwu Chidera</t>
  </si>
  <si>
    <t>1682 Trenholm Ln, Ottawa, ON K4A 4B4</t>
  </si>
  <si>
    <t>613 261 3202</t>
  </si>
  <si>
    <t>MMJW0256</t>
  </si>
  <si>
    <t>Loreylin Rada</t>
  </si>
  <si>
    <t>102 Artesa Private, Stittsville, ON K2S 2R7</t>
  </si>
  <si>
    <t>paul.cebedo@lsu.edu.ph</t>
  </si>
  <si>
    <t>613 262 5122</t>
  </si>
  <si>
    <t>Paul Reynan Cebedo</t>
  </si>
  <si>
    <t>For Paul Reynan Cebedo</t>
  </si>
  <si>
    <t>MMJW0257</t>
  </si>
  <si>
    <t>chukwunonyefranklyn@gmail.com</t>
  </si>
  <si>
    <t>613 265 6900</t>
  </si>
  <si>
    <t>MMJW0258</t>
  </si>
  <si>
    <t>Alice Kayitesi</t>
  </si>
  <si>
    <t>kaitesialice05@gmail.com</t>
  </si>
  <si>
    <t>613 276 4205</t>
  </si>
  <si>
    <t>I prefer receiving the cheques than Interac , Please!</t>
  </si>
  <si>
    <t>MMJW0259</t>
  </si>
  <si>
    <t>Fatima R. Villar</t>
  </si>
  <si>
    <t>510 Ponthieu Cir, Orleans, ON K1W 0N5</t>
  </si>
  <si>
    <t>godthefaithfulking@gmail.com</t>
  </si>
  <si>
    <t>613 291 3677</t>
  </si>
  <si>
    <t>God bless and thank you</t>
  </si>
  <si>
    <t>MMJW0260</t>
  </si>
  <si>
    <t>451 Springbank Ave N, Woodstock, ON N4T 1R1</t>
  </si>
  <si>
    <t>lovelychali@gmail.com</t>
  </si>
  <si>
    <t>613 291 5819</t>
  </si>
  <si>
    <t>TD Canada Trust</t>
  </si>
  <si>
    <t>MMJW0261</t>
  </si>
  <si>
    <t>255 Bareille Snow St, Ottawa, ON K1K 5B8</t>
  </si>
  <si>
    <t>613 291 9431</t>
  </si>
  <si>
    <t>MMJW0262</t>
  </si>
  <si>
    <t>Erwin Cariaga</t>
  </si>
  <si>
    <t>1075 Lunar Glow Cres, Ottawa, ON K4M 0J7</t>
  </si>
  <si>
    <t>613 404 9506</t>
  </si>
  <si>
    <t>Ivy Cariaga</t>
  </si>
  <si>
    <t>For Ivy Cariaga</t>
  </si>
  <si>
    <t>MMJW0263</t>
  </si>
  <si>
    <t>Leilanie Marie Cariaga</t>
  </si>
  <si>
    <t>vilcarlsaquino29@gmail.com / winercariaga@yahoo.com</t>
  </si>
  <si>
    <t>For Ivy Cariaga. Not used anymore 08 22 2025</t>
  </si>
  <si>
    <t>MMJW0264</t>
  </si>
  <si>
    <t>Rosette Tumukunde</t>
  </si>
  <si>
    <t>#510 402 Queen St, Ottawa, ON K1R 5A7</t>
  </si>
  <si>
    <t>613 415 4316</t>
  </si>
  <si>
    <t>I have no Cheque. But all information are in attached file</t>
  </si>
  <si>
    <t>MMJW0265</t>
  </si>
  <si>
    <t>Angwatah Brenda</t>
  </si>
  <si>
    <t>#20 5 Hadley Cir, Nepean, ON K2H 6P1</t>
  </si>
  <si>
    <t>brendaangwatah1@gmail.com</t>
  </si>
  <si>
    <t>613 617 2547</t>
  </si>
  <si>
    <t>MMJW0266</t>
  </si>
  <si>
    <t>Ange Delicia Igiraneza</t>
  </si>
  <si>
    <t>igiranezadelicia6@gmail.com</t>
  </si>
  <si>
    <t>613 621 1592</t>
  </si>
  <si>
    <t>MMJW0267</t>
  </si>
  <si>
    <t>#2201 1785 Frobisher Ln, Ottawa, ON K1G 3T7</t>
  </si>
  <si>
    <t>613 700 4219</t>
  </si>
  <si>
    <t>MMJW0268</t>
  </si>
  <si>
    <t>#1107 2750 Carousel Crescent, Gloucester, ON K1T 1Z5</t>
  </si>
  <si>
    <t>yassinsambou39@gmail.com</t>
  </si>
  <si>
    <t>613 702 6872</t>
  </si>
  <si>
    <t>I would like to be paid by etransfer</t>
  </si>
  <si>
    <t>MMJW0269</t>
  </si>
  <si>
    <t>#85 955 Debra Ave, Ottawa, ON K2C 0J4</t>
  </si>
  <si>
    <t>jmugume77@gmail.com</t>
  </si>
  <si>
    <t>613 716 6965</t>
  </si>
  <si>
    <t>Hannah Ilori</t>
  </si>
  <si>
    <t>For Hannah Ilori</t>
  </si>
  <si>
    <t>MMJW0270</t>
  </si>
  <si>
    <t>Rita Shalimar Aradillos</t>
  </si>
  <si>
    <t>19 Vermilyea Rd, Belleville, ON K8N 0P9</t>
  </si>
  <si>
    <t>shlmr.aradillos@gmail.com</t>
  </si>
  <si>
    <t>613 770 8852</t>
  </si>
  <si>
    <t>Previous Address: #14 19 Macpherson Avenue Kingston ON K7M 6W4 - AdminUpdate 9/19/2025</t>
  </si>
  <si>
    <t>MMJW0271</t>
  </si>
  <si>
    <t>Jeffrey Pila</t>
  </si>
  <si>
    <t>Belleville, ON</t>
  </si>
  <si>
    <t>jeffpila05@gmail.com</t>
  </si>
  <si>
    <t>613 770 8872</t>
  </si>
  <si>
    <t>MMJW0272</t>
  </si>
  <si>
    <t>610 Donald St, Ottawa, ON K1K 1L4</t>
  </si>
  <si>
    <t>613 790 3241</t>
  </si>
  <si>
    <t>Please I want more days to work thank you</t>
  </si>
  <si>
    <t>MMJW0273</t>
  </si>
  <si>
    <t>Mary Jane Tacderan</t>
  </si>
  <si>
    <t>2212 St. Laurent Blvd, Ottawa, ON K1G 1B2</t>
  </si>
  <si>
    <t>calibuso2003@yahoo.ca</t>
  </si>
  <si>
    <t>613 791 1263</t>
  </si>
  <si>
    <t>for Christopher</t>
  </si>
  <si>
    <t>MMJW0274</t>
  </si>
  <si>
    <t>972 Beaudry St, Ottawa, ON K1K 3S1</t>
  </si>
  <si>
    <t>613 793 7059</t>
  </si>
  <si>
    <t>MMJW0275</t>
  </si>
  <si>
    <t>Anna Lipien</t>
  </si>
  <si>
    <t>#1 2496 Carlsen Ave, Ottawa, ON K1V 8G3</t>
  </si>
  <si>
    <t>annalipien29@gmail.com</t>
  </si>
  <si>
    <t>613 797 8530</t>
  </si>
  <si>
    <t>MMJW0276</t>
  </si>
  <si>
    <t>Ottawa, ON K2B 7K2</t>
  </si>
  <si>
    <t>613 807 3714</t>
  </si>
  <si>
    <t>MMJW0277</t>
  </si>
  <si>
    <t>2980 Carling Ave, Ottawa, ON K2B 7K2</t>
  </si>
  <si>
    <t>irakozeaudreille67@gmail.com</t>
  </si>
  <si>
    <t>613 816 3902</t>
  </si>
  <si>
    <t>MMJW0278</t>
  </si>
  <si>
    <t>Andong Nancy Tefeh</t>
  </si>
  <si>
    <t>29 Woodbury Crescent, Ottawa, ON K1G 5E3</t>
  </si>
  <si>
    <t>andongnancy26@gmail.com</t>
  </si>
  <si>
    <t>613 816 8323</t>
  </si>
  <si>
    <t>MMJW0279</t>
  </si>
  <si>
    <t>Ishwori Humagain</t>
  </si>
  <si>
    <t>42F Wolfgang Drive, Ottawa, ON K2J 1L6</t>
  </si>
  <si>
    <t>ishworihumagain@yahoo.com</t>
  </si>
  <si>
    <t>613 818 2723</t>
  </si>
  <si>
    <t>MMJW0280</t>
  </si>
  <si>
    <t>Teguetsop Doungue Elvéra Vivanie</t>
  </si>
  <si>
    <t>706 Luc St, Ottawa, ON K1K 3M6</t>
  </si>
  <si>
    <t>eteguetsop@gmail.com</t>
  </si>
  <si>
    <t>613 851 2560</t>
  </si>
  <si>
    <t>1. "Thank you for processing my request. Mail payment would be more convenient for me."
2. "My address is 706 Luc Street Upper, but I omitted 'Upper' as it's not recognized online."</t>
  </si>
  <si>
    <t>MMJW0281</t>
  </si>
  <si>
    <t>Jean Marie Diego Ruhiza</t>
  </si>
  <si>
    <t>304 Carleton Av Ottawa Ontario K1Y 0J8</t>
  </si>
  <si>
    <t>rdiegang21@gmail.com</t>
  </si>
  <si>
    <t>613 852 8553</t>
  </si>
  <si>
    <t>Account number of TD bank 4724 0910 1521 1523</t>
  </si>
  <si>
    <t>MMJW0282</t>
  </si>
  <si>
    <t>Ochiagha Sylvester Emenike</t>
  </si>
  <si>
    <t>613 853 6337</t>
  </si>
  <si>
    <t>MMJW0283</t>
  </si>
  <si>
    <t>1682 Trenholm Ln, Orleans, ON K4A 4B4</t>
  </si>
  <si>
    <t>613 854 6859</t>
  </si>
  <si>
    <t>MMJW0284</t>
  </si>
  <si>
    <t>2281 Courtice Ave, Ottawa, ON K1H 7G7</t>
  </si>
  <si>
    <t>613 857 1162</t>
  </si>
  <si>
    <t>MMJW0285</t>
  </si>
  <si>
    <t>Marie Dorine Izerimana</t>
  </si>
  <si>
    <t>101 Twyford Street Ottawa Ontario K1V 0V3</t>
  </si>
  <si>
    <t>mdorizerimana@gmail.com</t>
  </si>
  <si>
    <t>613 869 7957</t>
  </si>
  <si>
    <t>MMJW0286</t>
  </si>
  <si>
    <t>#7 2065 Baseline Rd, Ottawa, ON K2C 0C8</t>
  </si>
  <si>
    <t>613 878 3269</t>
  </si>
  <si>
    <t>For your necessary action.</t>
  </si>
  <si>
    <t>MMJW0287</t>
  </si>
  <si>
    <t>Vanessa Vuganeza</t>
  </si>
  <si>
    <t>259 Mcelroy Dr, Kanata, ON K2L 1Y3</t>
  </si>
  <si>
    <t>vuga.vanesa2001@gmail.com</t>
  </si>
  <si>
    <t>613 879 7296</t>
  </si>
  <si>
    <t>I changed my address recently that is why ON my void chèque there is still my old one I haven’t changed it yet. But IT’s okay.</t>
  </si>
  <si>
    <t>MMJW0288</t>
  </si>
  <si>
    <t>Nepean, ON K2B 7K2</t>
  </si>
  <si>
    <t>613 879 8273</t>
  </si>
  <si>
    <t>Okay</t>
  </si>
  <si>
    <t>MMJW0289</t>
  </si>
  <si>
    <t>30 Glacier Cres, Belleville, ON K8N 0T6</t>
  </si>
  <si>
    <t>gurpreetgrewal107@yahoo.com</t>
  </si>
  <si>
    <t>613 970 0403</t>
  </si>
  <si>
    <t>MMJW0290</t>
  </si>
  <si>
    <t>Connex Ndelemani</t>
  </si>
  <si>
    <t>150 Hughson St S, Hamilton, ON L8N 2B4</t>
  </si>
  <si>
    <t>connexndelemani@gmail.com</t>
  </si>
  <si>
    <t>613-218-9937</t>
  </si>
  <si>
    <t>MMJW0291</t>
  </si>
  <si>
    <t>#8 2834 Parliament Ave, Regina, SK S4S 2L2</t>
  </si>
  <si>
    <t>nastia.rostovtceva1611@gmail.com</t>
  </si>
  <si>
    <t>639 333 0110</t>
  </si>
  <si>
    <t>MMJW0292</t>
  </si>
  <si>
    <t>Mae Alexis D. Pagalilauan</t>
  </si>
  <si>
    <t>#306 2050 Keele Street, North York, Toronto, Ontario, M6M 3Y7</t>
  </si>
  <si>
    <t>646 450 9911</t>
  </si>
  <si>
    <t>Ma'am/Sir, please put my cheque under my mother's name. I don't have a bank account.</t>
  </si>
  <si>
    <t>MMJW0293</t>
  </si>
  <si>
    <t>85 Silverwood Cir, Ajax, ON L1Z 0A4</t>
  </si>
  <si>
    <t>647 228 5646</t>
  </si>
  <si>
    <t>MMJW0294</t>
  </si>
  <si>
    <t>94 Valleycreek Dr, Brampton, ON L6P 2C8</t>
  </si>
  <si>
    <t>simrangrewal2316@gmail.com</t>
  </si>
  <si>
    <t>647 286 4792</t>
  </si>
  <si>
    <t>MMJW0295</t>
  </si>
  <si>
    <t>komalpreetkaur20041203@gmail.com</t>
  </si>
  <si>
    <t>647 330 5466</t>
  </si>
  <si>
    <t>Walter and Chatham</t>
  </si>
  <si>
    <t>MMJW0296</t>
  </si>
  <si>
    <t>855 Cormorant St. Victoria B.C. V8W 1R2</t>
  </si>
  <si>
    <t>calvarpedro52@yahoo.com</t>
  </si>
  <si>
    <t>647 377 9739</t>
  </si>
  <si>
    <t>MMJW0297</t>
  </si>
  <si>
    <t>Pepito Sualog ,Jr</t>
  </si>
  <si>
    <t>5 Mt Fuji Crescent, Brampton, ON L6R 2L3</t>
  </si>
  <si>
    <t>647 410 4909</t>
  </si>
  <si>
    <t>salary</t>
  </si>
  <si>
    <t>MMJW0298</t>
  </si>
  <si>
    <t>Yaminijyothi</t>
  </si>
  <si>
    <t>#211 44 Falby Ct, Ajax, ON L1S 3L1</t>
  </si>
  <si>
    <t>647 425 3213</t>
  </si>
  <si>
    <t>MMJW0299</t>
  </si>
  <si>
    <t>Yaminijyothi Surapaneni</t>
  </si>
  <si>
    <t>MMJW0300</t>
  </si>
  <si>
    <t>Isiah Kent Arcay</t>
  </si>
  <si>
    <t>328 Wilson, North York On</t>
  </si>
  <si>
    <t>arnellajezril18@yahoo.com</t>
  </si>
  <si>
    <t>647 482 8320</t>
  </si>
  <si>
    <t>Thank you for the opportunity!</t>
  </si>
  <si>
    <t>MMJW0301</t>
  </si>
  <si>
    <t>#237 7035 Rexwood Rd, Mississauga, ON L4T 4M9</t>
  </si>
  <si>
    <t>647 512 0706</t>
  </si>
  <si>
    <t>MMJW0302</t>
  </si>
  <si>
    <t>Madiha John</t>
  </si>
  <si>
    <t>j.madiha10@gmail.com</t>
  </si>
  <si>
    <t>647 524 7668</t>
  </si>
  <si>
    <t>MMJW0303</t>
  </si>
  <si>
    <t>1061 Warden Ave., Scarborough, ON M1R 2P4</t>
  </si>
  <si>
    <t>647 533 9297</t>
  </si>
  <si>
    <t>MMJW0304</t>
  </si>
  <si>
    <t>#2201B 22 Metropolitan Rd, Scarborough, ON M1R 2T5</t>
  </si>
  <si>
    <t>647 551 0914</t>
  </si>
  <si>
    <t>MMJW0305</t>
  </si>
  <si>
    <t>49 Fleetwood Crescent, Brampton, ON L6T 2E5</t>
  </si>
  <si>
    <t>sherinaorda@gmail.com</t>
  </si>
  <si>
    <t>647 551 4185</t>
  </si>
  <si>
    <t>MMJW0306</t>
  </si>
  <si>
    <t>Hamilton, ON L8N 1A6</t>
  </si>
  <si>
    <t>kaflespandan6@gmail.com</t>
  </si>
  <si>
    <t>647 615 5648</t>
  </si>
  <si>
    <t>MMJW0307</t>
  </si>
  <si>
    <t>4050 Westminster Place, Mississauga, ON L4W 4L1</t>
  </si>
  <si>
    <t>647 632 2761</t>
  </si>
  <si>
    <t>MMJW0308</t>
  </si>
  <si>
    <t>6 Borneo Crescent, Brampton, ON L6R 3C7</t>
  </si>
  <si>
    <t>vivekdahiya7082@gmail.com</t>
  </si>
  <si>
    <t>647 641 7354</t>
  </si>
  <si>
    <t>No</t>
  </si>
  <si>
    <t>MMJW0309</t>
  </si>
  <si>
    <t>MMJW0310</t>
  </si>
  <si>
    <t>11 Skyvalley Dr, Brampton, ON L6P 2M9</t>
  </si>
  <si>
    <t>647 646 5218</t>
  </si>
  <si>
    <t>MMJW0311</t>
  </si>
  <si>
    <t>28 Valleyway Dr, Brampton, ON L6X 0E4</t>
  </si>
  <si>
    <t>647 703 6920</t>
  </si>
  <si>
    <t>MMJW0312</t>
  </si>
  <si>
    <t>Rica Mae Castillo</t>
  </si>
  <si>
    <t>17 Coach Liteway, North York, ON M2R 3J8</t>
  </si>
  <si>
    <t>castillorica060@gmail.com</t>
  </si>
  <si>
    <t>647 807 7659</t>
  </si>
  <si>
    <t>On behalf of E valentin, Lorean LJ Muñoz, Katrina Lopez, Mj martin, Terio Mercado. I will be claiming their bi weekly salary</t>
  </si>
  <si>
    <t>MMJW0313</t>
  </si>
  <si>
    <t>#1001 3501 Glen Erin Dr, Mississauga, ON L5L 2E9</t>
  </si>
  <si>
    <t>madhurmanocha481@gmail.com</t>
  </si>
  <si>
    <t>647 821 1517</t>
  </si>
  <si>
    <t>MMJW0314</t>
  </si>
  <si>
    <t>adekiletitilope2017@gmail.com</t>
  </si>
  <si>
    <t>647 824 9681</t>
  </si>
  <si>
    <t>MMJW0315</t>
  </si>
  <si>
    <t>Ivan Sicat</t>
  </si>
  <si>
    <t>6 Bushwood</t>
  </si>
  <si>
    <t>ivantebz@gmail.com</t>
  </si>
  <si>
    <t>647 838 8041</t>
  </si>
  <si>
    <t>MMJW0316</t>
  </si>
  <si>
    <t>Mercedes Santana</t>
  </si>
  <si>
    <t>53 Kaiser Dr, Woodbridge, ON L4L 3V2</t>
  </si>
  <si>
    <t>merdelacruz2015@gmail.com</t>
  </si>
  <si>
    <t>647 877 0401</t>
  </si>
  <si>
    <t>MMJW0317</t>
  </si>
  <si>
    <t>22 Georgian Rd, Brampton, ON L6X 0E4</t>
  </si>
  <si>
    <t>647 887 7830</t>
  </si>
  <si>
    <t>MMJW0318</t>
  </si>
  <si>
    <t>Ranjeeta Singh Thakuri</t>
  </si>
  <si>
    <t>32 Atlee Avenue Scarborough ON M1N 3X1</t>
  </si>
  <si>
    <t>ranjeetasingh.rst.010@gmail.com</t>
  </si>
  <si>
    <t>647 904 7838</t>
  </si>
  <si>
    <t>MMJW0319</t>
  </si>
  <si>
    <t>#1 760 Lawrence Ave W, Toronto, ON M6A 3E7</t>
  </si>
  <si>
    <t>narvaez28jamie@gmail.com</t>
  </si>
  <si>
    <t>647 929 1103</t>
  </si>
  <si>
    <t>I will be claiming, Rica, EJ, Terio, Janice, Oliver and Katrina's pay hours and pay as well.</t>
  </si>
  <si>
    <t>MMJW0320</t>
  </si>
  <si>
    <t>Dilkaran Singh Khaira</t>
  </si>
  <si>
    <t>91 Bridge St W, Belleville, ON K8P 1J4</t>
  </si>
  <si>
    <t>goggisingh400@gmail.com</t>
  </si>
  <si>
    <t>647 936 3952</t>
  </si>
  <si>
    <t>Just e tranfer money ON my gmail id. Thank you.</t>
  </si>
  <si>
    <t>MMJW0321</t>
  </si>
  <si>
    <t>Mirasol Lim Torres</t>
  </si>
  <si>
    <t>#108 3 Drewry Ave, Toronto, ON M2M 4L2</t>
  </si>
  <si>
    <t>mlt1435.g@gmail.com</t>
  </si>
  <si>
    <t>647 967 1435</t>
  </si>
  <si>
    <t>Pls mail it to my address</t>
  </si>
  <si>
    <t>MMJW0322</t>
  </si>
  <si>
    <t>Saquib Khalid</t>
  </si>
  <si>
    <t>20 Meldazy Dr, Scarborough, ON M1P 4G1</t>
  </si>
  <si>
    <t>saquibkhalid85@gmail.com</t>
  </si>
  <si>
    <t>647 987 0042</t>
  </si>
  <si>
    <t>MMJW0323</t>
  </si>
  <si>
    <t>10 Fitzgibson St, Brampton, ON L6Y 0H8</t>
  </si>
  <si>
    <t>647 993 4884</t>
  </si>
  <si>
    <t>MMJW0324</t>
  </si>
  <si>
    <t>104 Sherman Ave N, Hamilton, ON L8L 6M5</t>
  </si>
  <si>
    <t>mlaus28@yahoo.com</t>
  </si>
  <si>
    <t>647 997 2863</t>
  </si>
  <si>
    <t>MMJW0325</t>
  </si>
  <si>
    <t>647-285-7495</t>
  </si>
  <si>
    <t>MMJW0326</t>
  </si>
  <si>
    <t>49 Sharbot Ave, Scarborough, ON M1H 1Z2</t>
  </si>
  <si>
    <t>ptrasmayor@gmail.com</t>
  </si>
  <si>
    <t>647-325-9427</t>
  </si>
  <si>
    <t>MMJW0327</t>
  </si>
  <si>
    <t>edenudaundo@hotmail.com</t>
  </si>
  <si>
    <t xml:space="preserve">Updated Interac. ptrasmayor@gmail.com (old) </t>
  </si>
  <si>
    <t>MMJW0328</t>
  </si>
  <si>
    <t>Rutkumar Patel</t>
  </si>
  <si>
    <t>#A4107 225 Commerce St, Vaughan, ON L4K 0R1</t>
  </si>
  <si>
    <t>rutoatel@gmail.com</t>
  </si>
  <si>
    <t>647-354-7119</t>
  </si>
  <si>
    <t>Stated 4 to 12:15</t>
  </si>
  <si>
    <t>MMJW0329</t>
  </si>
  <si>
    <t>Victor John Del Mar</t>
  </si>
  <si>
    <t>63 Roehampton Ave #305, Toronto, ON M4P 1R1</t>
  </si>
  <si>
    <t>delmarvictorjohn@gmail.com</t>
  </si>
  <si>
    <t>647-401-3472</t>
  </si>
  <si>
    <t>I am Ready to do this thank you ☺️</t>
  </si>
  <si>
    <t>MMJW0330</t>
  </si>
  <si>
    <t>92 Conn Smythe Dr, Scarborough, ON M1J 3P5</t>
  </si>
  <si>
    <t>sharonsosa4444@gmail.com</t>
  </si>
  <si>
    <t>647-450-8967</t>
  </si>
  <si>
    <t>I prefer e-transfer to the said Interac email address. Thanks and God bless!</t>
  </si>
  <si>
    <t>MMJW0331</t>
  </si>
  <si>
    <t>23 Lesgay Cr, North York, ON M2J 2H9</t>
  </si>
  <si>
    <t>subedisaroj140@gmail.com</t>
  </si>
  <si>
    <t>647-617-2058</t>
  </si>
  <si>
    <t>MMJW0332</t>
  </si>
  <si>
    <t>2400 Moonlight Cres, Pickering, ON L1X 0E9</t>
  </si>
  <si>
    <t>adityajamwa@gmail.com</t>
  </si>
  <si>
    <t>647-687-5290</t>
  </si>
  <si>
    <t>Kindly pay me by e-transfer.</t>
  </si>
  <si>
    <t>MMJW0333</t>
  </si>
  <si>
    <t>evelynikponmwosaogbegie@gmail.com</t>
  </si>
  <si>
    <t>647-741-1874</t>
  </si>
  <si>
    <t>MMJW0334</t>
  </si>
  <si>
    <t>Princess Amyghem Balote</t>
  </si>
  <si>
    <t>49 Highland Park Blvd, Thornhill, ON L3T 1B4</t>
  </si>
  <si>
    <t>amyghemhime@gmail.com</t>
  </si>
  <si>
    <t>647-818-9685</t>
  </si>
  <si>
    <t>MMJW0335</t>
  </si>
  <si>
    <t>Ma Janella De Leon</t>
  </si>
  <si>
    <t>30 Gibbs Rd, Etobicoke, ON M9B 0E4</t>
  </si>
  <si>
    <t>deleonjanella27@gmail.com</t>
  </si>
  <si>
    <t>647-829-5673</t>
  </si>
  <si>
    <t>N/A</t>
  </si>
  <si>
    <t>MMJW0336</t>
  </si>
  <si>
    <t>14 Borrelli Dr, Brampton, ON L6Y 0B7</t>
  </si>
  <si>
    <t>Dhel.santos47@gmail.com</t>
  </si>
  <si>
    <t>647-853-6245</t>
  </si>
  <si>
    <t>Pick up Cheque</t>
  </si>
  <si>
    <t>MMJW0337</t>
  </si>
  <si>
    <t>dhel.santos47@gmail.com</t>
  </si>
  <si>
    <t>MMJW0338</t>
  </si>
  <si>
    <t>Ahalya Sutharsan</t>
  </si>
  <si>
    <t>10 Reign Ln, Markham, ON L3S 0E8</t>
  </si>
  <si>
    <t>Sutharsan.tharu@gmail.com</t>
  </si>
  <si>
    <t>647-856-4826</t>
  </si>
  <si>
    <t>MMJW0339</t>
  </si>
  <si>
    <t>Simarbir Singh Kahlon</t>
  </si>
  <si>
    <t>#92 92 Scarletwood St, Hamilton, ON L8J 0K8</t>
  </si>
  <si>
    <t>229simarbir@gmail.com</t>
  </si>
  <si>
    <t>647-862-3590</t>
  </si>
  <si>
    <t>MMJW0340</t>
  </si>
  <si>
    <t>#296 296 Hullmar Dr, Toronto, ON M3N 2G1</t>
  </si>
  <si>
    <t>virgelio.magna@gmail.com</t>
  </si>
  <si>
    <t>647-901-3877</t>
  </si>
  <si>
    <t>I will pick up my cheque at the office.</t>
  </si>
  <si>
    <t>MMJW0341</t>
  </si>
  <si>
    <t>Kinza Shah</t>
  </si>
  <si>
    <t>#321 37 Eastbourne Dr, Brampton, ON L6T 3M2</t>
  </si>
  <si>
    <t>kinzashah2005@gmail.com</t>
  </si>
  <si>
    <t>647-972-1004</t>
  </si>
  <si>
    <t>MMJW0342</t>
  </si>
  <si>
    <t>Jagjeet Kaur</t>
  </si>
  <si>
    <t>34 McKillop Ct, Brampton, ON L6Y 3J2</t>
  </si>
  <si>
    <t>jagjeetpunia123@gmail.com</t>
  </si>
  <si>
    <t>647-987-6383</t>
  </si>
  <si>
    <t>MMJW0343</t>
  </si>
  <si>
    <t>Aljon Galgo</t>
  </si>
  <si>
    <t>7840 Lochside Dr, Saanichton, BC V8M 2B9</t>
  </si>
  <si>
    <t>jcmolejon@yahoo.com</t>
  </si>
  <si>
    <t>672 399 9891</t>
  </si>
  <si>
    <t>MMJW0344</t>
  </si>
  <si>
    <t>Simrat Kaur</t>
  </si>
  <si>
    <t>#7764 115 St, Delta, BC V4C 5M8</t>
  </si>
  <si>
    <t>simratkauronca@gmail.com</t>
  </si>
  <si>
    <t>672 552 2258</t>
  </si>
  <si>
    <t>MMJW0345</t>
  </si>
  <si>
    <t>255 Dunlop St W, Barrie, ON L4N 1B8</t>
  </si>
  <si>
    <t>andresterling246@icloud.com</t>
  </si>
  <si>
    <t>705 229 8146</t>
  </si>
  <si>
    <t>Andre Sterling</t>
  </si>
  <si>
    <t>MMJW0346</t>
  </si>
  <si>
    <t>Macylyn Pagtalunan</t>
  </si>
  <si>
    <t>73 Tracey Ln, Collingwood, ON L9Y 3V2</t>
  </si>
  <si>
    <t>macysantiago1728@gmail.com</t>
  </si>
  <si>
    <t>705 539 0914</t>
  </si>
  <si>
    <t>MMJW0347</t>
  </si>
  <si>
    <t>Namrata Tiwari</t>
  </si>
  <si>
    <t>#18 2 Bernick Dr, Barrie, ON L4M 5K4</t>
  </si>
  <si>
    <t>namratatiwari348@gmail.com</t>
  </si>
  <si>
    <t>705 790 2785</t>
  </si>
  <si>
    <t>MMJW0348</t>
  </si>
  <si>
    <t>#202 2 Terrace Dr, Nepean, ON K2H 9J2</t>
  </si>
  <si>
    <t>ralphbatuamba@gmail.com</t>
  </si>
  <si>
    <t>705 808 4579</t>
  </si>
  <si>
    <t>For Sofoa. Alternate email ysarfoa01@gmail.com. Alternate Phone Number: 613 851 7064</t>
  </si>
  <si>
    <t>MMJW0349</t>
  </si>
  <si>
    <t>John Rovie Segubre</t>
  </si>
  <si>
    <t>55 Corbett Dr, Barrie, ON L4M 5V6</t>
  </si>
  <si>
    <t>roviesegubre@gmail.com</t>
  </si>
  <si>
    <t>705 817 4119</t>
  </si>
  <si>
    <t>e transfer pls</t>
  </si>
  <si>
    <t>MMJW0350</t>
  </si>
  <si>
    <t>Robeth Perez</t>
  </si>
  <si>
    <t>robethcaraniperez28@gmail.com</t>
  </si>
  <si>
    <t>705 970 0518</t>
  </si>
  <si>
    <t>MMJW0351</t>
  </si>
  <si>
    <t>Sashi Acharya Chhetri</t>
  </si>
  <si>
    <t>#10 252 Penetanguishene Rd, Barrie, ON L4M 7C6</t>
  </si>
  <si>
    <t>sashiacharya073@gmail.com</t>
  </si>
  <si>
    <t>705 970 2001</t>
  </si>
  <si>
    <t>If you need any other information please feel free to contact me ON my phone number or email. Thank you.</t>
  </si>
  <si>
    <t>MMJW0352</t>
  </si>
  <si>
    <t>Alisha Dhakal</t>
  </si>
  <si>
    <t>411 Georgian Dr, Barrie, ON L4M 7B4</t>
  </si>
  <si>
    <t>04abhishekabhishek@gmail.com</t>
  </si>
  <si>
    <t>705-970-7875</t>
  </si>
  <si>
    <t>MMJW0353</t>
  </si>
  <si>
    <t>Sangeet Shrestha</t>
  </si>
  <si>
    <t>38 Tambrook Dr Scarborough ON M1W 3L9</t>
  </si>
  <si>
    <t>shresthasangeetshrestha@gmail.com</t>
  </si>
  <si>
    <t>742 588 2676</t>
  </si>
  <si>
    <t>MMJW0354</t>
  </si>
  <si>
    <t>Aalok Shrestha</t>
  </si>
  <si>
    <t>17 Porter Crescent, Barrie, ON L4M 5H8</t>
  </si>
  <si>
    <t>alokxtha@gmail.com</t>
  </si>
  <si>
    <t>742 588 4664</t>
  </si>
  <si>
    <t>It is a great pleasure to be the part of you.</t>
  </si>
  <si>
    <t>MMJW0355</t>
  </si>
  <si>
    <t>116 Courtleigh Square Brampton ON L6Z 1J3</t>
  </si>
  <si>
    <t>manpreetdhot93@gmail.com</t>
  </si>
  <si>
    <t>778 779 7538</t>
  </si>
  <si>
    <t>MMJW0356</t>
  </si>
  <si>
    <t>Sukhpreet Kaler</t>
  </si>
  <si>
    <t>7764 115 St, Delta, BC V4C 5M8</t>
  </si>
  <si>
    <t>sukhkaler1999@gmail.com</t>
  </si>
  <si>
    <t>778 919 2509</t>
  </si>
  <si>
    <t>MMJW0357</t>
  </si>
  <si>
    <t>Mandeep Kaur</t>
  </si>
  <si>
    <t>#9672 123 St, Surrey, BC V3V 4N5</t>
  </si>
  <si>
    <t>mandeep1512k@gmail.com</t>
  </si>
  <si>
    <t>778 933 0961</t>
  </si>
  <si>
    <t>MMJW0358</t>
  </si>
  <si>
    <t>Emily Raga</t>
  </si>
  <si>
    <t>Esquimalt Victoria, BC V9A 0C9</t>
  </si>
  <si>
    <t>alexander.ryan.cole@gmail.com</t>
  </si>
  <si>
    <t>780-531-7620</t>
  </si>
  <si>
    <t>Emily (Motel 6 BC)</t>
  </si>
  <si>
    <t>MMJW0359</t>
  </si>
  <si>
    <t>1755 Valley Rd, Huntsville, ON P1H 1A8</t>
  </si>
  <si>
    <t>flordelynaralar26@gmail.com</t>
  </si>
  <si>
    <t>819 574 5076</t>
  </si>
  <si>
    <t>MMJW0360</t>
  </si>
  <si>
    <t>MMJW0361</t>
  </si>
  <si>
    <t>MMJW0362</t>
  </si>
  <si>
    <t>Flordelyn Aralar</t>
  </si>
  <si>
    <t>Good Day, kindly send my payment/paycheck via e transfer or interact at my email address indicated through this fill in information. Thank you</t>
  </si>
  <si>
    <t>MMJW0363</t>
  </si>
  <si>
    <t>#B 6749 Bank St, Ottawa, ON K0A 2P0</t>
  </si>
  <si>
    <t>m_sohail14@hotmail.com</t>
  </si>
  <si>
    <t>819 592 2891</t>
  </si>
  <si>
    <t>e transfer would be preferred as it is an emergency</t>
  </si>
  <si>
    <t>MMJW0364</t>
  </si>
  <si>
    <t>300 Miwate Private 301,3 Ottawa, Ontario,K1R Oe8</t>
  </si>
  <si>
    <t>819 598 1185</t>
  </si>
  <si>
    <t>It can be better if you use E transfer</t>
  </si>
  <si>
    <t>MMJW0365</t>
  </si>
  <si>
    <t>Eric Tuyishime</t>
  </si>
  <si>
    <t>1217 Erindale Dr, Ottawa, ON K2C 2G2</t>
  </si>
  <si>
    <t>tuyierik@gmail.com</t>
  </si>
  <si>
    <t>819 635 3727</t>
  </si>
  <si>
    <t>MMJW0366</t>
  </si>
  <si>
    <t>#8 1675 Heatherington Rd, Ottawa, ON K1V 8T8</t>
  </si>
  <si>
    <t>819 635 4005</t>
  </si>
  <si>
    <t>MMJW0367</t>
  </si>
  <si>
    <t>Delphine Akimanishaka</t>
  </si>
  <si>
    <t>939 Eiffel Ave, Ottawa, ON K2C 0J3</t>
  </si>
  <si>
    <t>akimanishakadelph9@gmail.com</t>
  </si>
  <si>
    <t>819 993 3213</t>
  </si>
  <si>
    <t>I would like to pick up my cheque of payment from the job.</t>
  </si>
  <si>
    <t>MMJW0368</t>
  </si>
  <si>
    <t>#1014 2850 Cedarwood Dr, Ottawa, ON K1V 8Y4</t>
  </si>
  <si>
    <t>uwituzeclaudine959@gmail.com</t>
  </si>
  <si>
    <t>873 455 9695</t>
  </si>
  <si>
    <t>Good way to pay me is to send my cheque to 350 Moodie Dr, at Days’inn reception.</t>
  </si>
  <si>
    <t>MMJW0369</t>
  </si>
  <si>
    <t>Jagdeep Singh</t>
  </si>
  <si>
    <t>23 Trailhead Crescent Brampton ON L6R 3H3</t>
  </si>
  <si>
    <t>jagdeepsingh199610@gmail.com</t>
  </si>
  <si>
    <t>902 412 6039</t>
  </si>
  <si>
    <t>I have old address in my G1 license which is not in use .</t>
  </si>
  <si>
    <t>MMJW0370</t>
  </si>
  <si>
    <t>Adejumo Kehinde</t>
  </si>
  <si>
    <t>1191 Upper Thames drive Woodstock ON N4T 0L3</t>
  </si>
  <si>
    <t>902-537-2744</t>
  </si>
  <si>
    <t>MMJW0371</t>
  </si>
  <si>
    <t>#113 10 Birmingham Dr, Cambridge, ON N1R 8J8</t>
  </si>
  <si>
    <t>905 325 7783</t>
  </si>
  <si>
    <t>MMJW0372</t>
  </si>
  <si>
    <t>Jelery Ann Valdez</t>
  </si>
  <si>
    <t>Murray Niagara Falls Ontario L2G 2K4</t>
  </si>
  <si>
    <t>jeleryannfrancisco@gmail.com</t>
  </si>
  <si>
    <t>905 353 7802</t>
  </si>
  <si>
    <t>MMJW0373</t>
  </si>
  <si>
    <t>Gurpreet Kaur</t>
  </si>
  <si>
    <t>22 Hidden Creek Dr, Kitchener, ON N2N 3L8</t>
  </si>
  <si>
    <t>gurpreetkr3579@gmail.com</t>
  </si>
  <si>
    <t>905 462 8399</t>
  </si>
  <si>
    <t>MMJW0374</t>
  </si>
  <si>
    <t>#89 99 Brimwood Blvd, Scarborough, ON M1V 1E3</t>
  </si>
  <si>
    <t>nikolalcantara2325@gmail.com</t>
  </si>
  <si>
    <t>905 512 4971</t>
  </si>
  <si>
    <t>For Pepito Sualog Jr. Previous Address: 30 Gibbs Rd Toronto Ontario M9B 0E4</t>
  </si>
  <si>
    <t>MMJW0375</t>
  </si>
  <si>
    <t>643 Campbell Avenue , Windsor , Ontario ,N9B 2H6</t>
  </si>
  <si>
    <t>mahiprajapati0108@gmail.com</t>
  </si>
  <si>
    <t>905 517 6215</t>
  </si>
  <si>
    <t>MMJW0376</t>
  </si>
  <si>
    <t>82 Bista Blvd, Mississauga L5M 1V7</t>
  </si>
  <si>
    <t>905 599 7918</t>
  </si>
  <si>
    <t>MMJW0377</t>
  </si>
  <si>
    <t>Dev Moudgil</t>
  </si>
  <si>
    <t>7311 Fern Ave, Niagara Falls, ON L2G 5H3</t>
  </si>
  <si>
    <t>devmoudgil.12@gmail.com</t>
  </si>
  <si>
    <t>905 782 1574</t>
  </si>
  <si>
    <t>MMJW0378</t>
  </si>
  <si>
    <t>4050 Westminster Pl, Mississauga, ON L4W 4L1</t>
  </si>
  <si>
    <t>905 782 2335</t>
  </si>
  <si>
    <t>MMJW0379</t>
  </si>
  <si>
    <t>92 Scarletwood St, Hamilton, ON L8J 0K8</t>
  </si>
  <si>
    <t>kauramanderp@gmail.com</t>
  </si>
  <si>
    <t>905 962 3590</t>
  </si>
  <si>
    <t>Previous Address: 24 Oban Rd, Brampton, ON L6Y 5S3. Previous Email: amandeepkaurbrar0007@gmail.com (AdminUpdate 9/30/2025)</t>
  </si>
  <si>
    <t>MMJW0380</t>
  </si>
  <si>
    <t>133 Corman Avenue Hamilton Ontario L8G 3W5</t>
  </si>
  <si>
    <t>mk4004523@gmail.com</t>
  </si>
  <si>
    <t>905 981 6185</t>
  </si>
  <si>
    <t>MMJW0381</t>
  </si>
  <si>
    <t>1 Hawkway Ct, Brampton, ON L6Y 4K8</t>
  </si>
  <si>
    <t>ldeep3447@gmail.com</t>
  </si>
  <si>
    <t>905-341-5602</t>
  </si>
  <si>
    <t>MMJW0382</t>
  </si>
  <si>
    <t>439 Athlone Ave #8a, Woodstock, ON N4V 0C8</t>
  </si>
  <si>
    <t>parimalnaik1430@gmail.com</t>
  </si>
  <si>
    <t>905-783-8762</t>
  </si>
  <si>
    <t>MMJW0383</t>
  </si>
  <si>
    <t>916 75 Silver Sp, Scarborough, ON M1V 1W2</t>
  </si>
  <si>
    <t>Olumuyiwa_olatunji@yahoo.com</t>
  </si>
  <si>
    <t>942-444-1804</t>
  </si>
  <si>
    <t>MMJW0384</t>
  </si>
  <si>
    <t>3383 Ellengale Dr, Mississauga, ON L5C 1Z5</t>
  </si>
  <si>
    <t>Rizalina Porras</t>
  </si>
  <si>
    <t>For Rizalina Porras</t>
  </si>
  <si>
    <t>MMJW0385</t>
  </si>
  <si>
    <t>35 Glenforest Rd, Brampton, ON L6S 1L8</t>
  </si>
  <si>
    <t>MMJW0386</t>
  </si>
  <si>
    <t>Aalamjeet Singh</t>
  </si>
  <si>
    <t>365 First Ave, Welland, ON L3C 5R3</t>
  </si>
  <si>
    <t>MMJW0387</t>
  </si>
  <si>
    <t>Aastha Minhas</t>
  </si>
  <si>
    <t>82 Castlehill Rd, Brampton, ON L6X 4C8</t>
  </si>
  <si>
    <t>MMJW0388</t>
  </si>
  <si>
    <t>Aayushi Himanshukumar Bhavsar</t>
  </si>
  <si>
    <t>110 Liddell Cres Kingston ON K7M 2T6</t>
  </si>
  <si>
    <t>MMJW0389</t>
  </si>
  <si>
    <t>Abdoulie</t>
  </si>
  <si>
    <t>#617 141 Cooper St, Ottawa, ON K2P 0E8</t>
  </si>
  <si>
    <t>MMJW0390</t>
  </si>
  <si>
    <t>Abhikumar Patel</t>
  </si>
  <si>
    <t>#A8 10 Palace St, Kitchener, ON N2E 0J3</t>
  </si>
  <si>
    <t>MMJW0391</t>
  </si>
  <si>
    <t>Abhishek Adhikari</t>
  </si>
  <si>
    <t>184 Falcon Dr, Woodstock, ON N4T 1W5</t>
  </si>
  <si>
    <t>MMJW0392</t>
  </si>
  <si>
    <t>Abin Shaji</t>
  </si>
  <si>
    <t>15 Weatherfall Ave, Cambridge, ON N3H 0C4</t>
  </si>
  <si>
    <t>MMJW0393</t>
  </si>
  <si>
    <t>#28 25 Linfield Drive St Catharines ON L2N 5T7</t>
  </si>
  <si>
    <t>MMJW0394</t>
  </si>
  <si>
    <t>Adekunle Oluwaseyi Banjo</t>
  </si>
  <si>
    <t>MMJW0395</t>
  </si>
  <si>
    <t>162 Mallory Ave, Markham, ON L3R 8P3</t>
  </si>
  <si>
    <t>MMJW0396</t>
  </si>
  <si>
    <t>Adonis Dial Vergara</t>
  </si>
  <si>
    <t>61 Sunderland Crescent Scarborough ON M1H 2V2</t>
  </si>
  <si>
    <t>MMJW0397</t>
  </si>
  <si>
    <t>Adrian Macaraig</t>
  </si>
  <si>
    <t>#814 1330 Richmond Rd, Ottawa, ON K2B 8J6</t>
  </si>
  <si>
    <t>Randy</t>
  </si>
  <si>
    <t>For Randy</t>
  </si>
  <si>
    <t>MMJW0398</t>
  </si>
  <si>
    <t>Adrian Ravago</t>
  </si>
  <si>
    <t>45 Farmhill Ct, Scarborough, ON M1B 2M1</t>
  </si>
  <si>
    <t>MMJW0399</t>
  </si>
  <si>
    <t>MMJW0400</t>
  </si>
  <si>
    <t>Adrienne Kasololo</t>
  </si>
  <si>
    <t>1011 Blair Rd, Gloucester, ON K1J 7M9</t>
  </si>
  <si>
    <t>MMJW0401</t>
  </si>
  <si>
    <t>Adronis Ndikuriyo</t>
  </si>
  <si>
    <t>285 Serena Way, Ottawa, ON K2G 4P5</t>
  </si>
  <si>
    <t>MMJW0402</t>
  </si>
  <si>
    <t>Ahmad Saleem</t>
  </si>
  <si>
    <t>7455 Darcel Ave, Mississauga, ON L4T 2X6</t>
  </si>
  <si>
    <t>MMJW0403</t>
  </si>
  <si>
    <t>Aileen Dino</t>
  </si>
  <si>
    <t>#308 1250 Bridletowne Cir, Scarborough, ON M1W 2V1</t>
  </si>
  <si>
    <t>Irene Dino</t>
  </si>
  <si>
    <t>For Irene Dino</t>
  </si>
  <si>
    <t>MMJW0404</t>
  </si>
  <si>
    <t>Airah Rose Malubay</t>
  </si>
  <si>
    <t>63 Ponymeadow Terrace, Scarborough, ON M1C 4J4</t>
  </si>
  <si>
    <t>MMJW0405</t>
  </si>
  <si>
    <t>Aisha Chigodo</t>
  </si>
  <si>
    <t>#327 6546 Fallsview Blvd, Niagara Falls, ON L2G 3W2</t>
  </si>
  <si>
    <t>MMJW0406</t>
  </si>
  <si>
    <t>Aishna Aishna</t>
  </si>
  <si>
    <t>43 Tawnberry Cir, Brampton, ON L7A 0J8</t>
  </si>
  <si>
    <t>MMJW0407</t>
  </si>
  <si>
    <t>Aishowarya Bhandari</t>
  </si>
  <si>
    <t>245 Adelaide Ave W, Oshawa, ON L1J 2R1</t>
  </si>
  <si>
    <t>MMJW0408</t>
  </si>
  <si>
    <t>287 E 24th St, Hamilton, ON L8V 2Y7</t>
  </si>
  <si>
    <t>MMJW0409</t>
  </si>
  <si>
    <t>Ajmain Mohammed Zaman</t>
  </si>
  <si>
    <t>#32 34 Dundalk Drive, Scarborough, ON M1P 4W3</t>
  </si>
  <si>
    <t>MMJW0410</t>
  </si>
  <si>
    <t>Akanegbu Sochima Philip John</t>
  </si>
  <si>
    <t>Winnipeg, MB R2M 1S6</t>
  </si>
  <si>
    <t>MMJW0411</t>
  </si>
  <si>
    <t>Akash Madambath Thilakan</t>
  </si>
  <si>
    <t>83 Zieman Crescent, Cambridge, ON N1T 2H5</t>
  </si>
  <si>
    <t>MMJW0412</t>
  </si>
  <si>
    <t>Akhere Kelvin Edewi</t>
  </si>
  <si>
    <t>51 Rue Hasting, Dollard des Ormeaux, QC H9G 1Y3</t>
  </si>
  <si>
    <t>giverkelvin644@gmail.com</t>
  </si>
  <si>
    <t>Ibrahim Kamara</t>
  </si>
  <si>
    <t>For Ibrahim Kamara. Previously, Pauolo Popoola</t>
  </si>
  <si>
    <t>MMJW0413</t>
  </si>
  <si>
    <t>#715 2441 Finch Ave W, North York, ON M9M 2E8</t>
  </si>
  <si>
    <t>MMJW0414</t>
  </si>
  <si>
    <t>Akindele Yusuf</t>
  </si>
  <si>
    <t>69 Fraser Ave, Toronto, ON M6K 1E9</t>
  </si>
  <si>
    <t>MMJW0415</t>
  </si>
  <si>
    <t>Akshay Alex</t>
  </si>
  <si>
    <t>#1 17 Fir St, Waterloo, ON N2L 3H4</t>
  </si>
  <si>
    <t>MMJW0416</t>
  </si>
  <si>
    <t>Akshay Yohannan</t>
  </si>
  <si>
    <t>263 Madison Ave S, Kitchener, ON N2M 3H5</t>
  </si>
  <si>
    <t>MMJW0417</t>
  </si>
  <si>
    <t>Akubuo Vivian Ogochukwu</t>
  </si>
  <si>
    <t>3188 King St E, Kitchener, ON N2A 1B3</t>
  </si>
  <si>
    <t>MMJW0418</t>
  </si>
  <si>
    <t>al</t>
  </si>
  <si>
    <t>7450 Homeside Gardens, Mississauga, ON L4T 2A7</t>
  </si>
  <si>
    <t>MMJW0419</t>
  </si>
  <si>
    <t>Aldren Ebarle</t>
  </si>
  <si>
    <t>156 Bob Yuill Dr, Toronto, ON M9M 0B1</t>
  </si>
  <si>
    <t>Kathleen Dumagat</t>
  </si>
  <si>
    <t>For Kathleen Dumagat</t>
  </si>
  <si>
    <t>MMJW0420</t>
  </si>
  <si>
    <t>Aleine Marie Miranda</t>
  </si>
  <si>
    <t>#212 1995 Royal Rd, Pickering, ON L1V 6V9</t>
  </si>
  <si>
    <t>MMJW0421</t>
  </si>
  <si>
    <t>7 Auburn Ave, Toronto, ON M6H 2L6</t>
  </si>
  <si>
    <t>MMJW0422</t>
  </si>
  <si>
    <t>Aleli Valerio</t>
  </si>
  <si>
    <t>MMJW0423</t>
  </si>
  <si>
    <t>Alexa Deniel Gonzales</t>
  </si>
  <si>
    <t>c/o Hilton Garden Inn 200 Steelwell Rd Brampton ON L6T 5T3</t>
  </si>
  <si>
    <t>MMJW0424</t>
  </si>
  <si>
    <t>Alexandra Michelle Gonzaga</t>
  </si>
  <si>
    <t>41 Kecala Rd Scarborough ON M1P 1K7</t>
  </si>
  <si>
    <t>MMJW0425</t>
  </si>
  <si>
    <t>Alexandre Tadas</t>
  </si>
  <si>
    <t>293 Nassau St Oshawa ON L1J 4A9</t>
  </si>
  <si>
    <t>MMJW0426</t>
  </si>
  <si>
    <t>Alfonso T. Salamanca</t>
  </si>
  <si>
    <t>115 Gilroy Dr, Scarborough, ON M1P 2A2</t>
  </si>
  <si>
    <t>MMJW0427</t>
  </si>
  <si>
    <t>Alhagie Mustapha Bah</t>
  </si>
  <si>
    <t>2635 Priscilla St, Ottawa, ON K2B 7C8</t>
  </si>
  <si>
    <t>MMJW0428</t>
  </si>
  <si>
    <t>Alimarkhan Jamal</t>
  </si>
  <si>
    <t>122 Greenbrae Circuit, Scarborough, ON M1H 1R3</t>
  </si>
  <si>
    <t>MMJW0429</t>
  </si>
  <si>
    <t>Aline Paragas</t>
  </si>
  <si>
    <t>5651 Desson Ave, Niagara Falls, ON L2G 3T3</t>
  </si>
  <si>
    <t>MMJW0430</t>
  </si>
  <si>
    <t>137 Black Hawk Way North York ON M2R 3L7</t>
  </si>
  <si>
    <t>MMJW0431</t>
  </si>
  <si>
    <t>Allan Mateo</t>
  </si>
  <si>
    <t>8691 Jennifer Crescent Niagara Falls ON L2H 0J1</t>
  </si>
  <si>
    <t>Mariz</t>
  </si>
  <si>
    <t>For Mariz</t>
  </si>
  <si>
    <t>MMJW0432</t>
  </si>
  <si>
    <t>Allen Alexis Marasigan</t>
  </si>
  <si>
    <t>235 Tower Dr, Scarborough, ON M1R 3P8</t>
  </si>
  <si>
    <t>MMJW0433</t>
  </si>
  <si>
    <t>Alvella Irakoze</t>
  </si>
  <si>
    <t>MMJW0434</t>
  </si>
  <si>
    <t>Alyanna Marie Baldoquin</t>
  </si>
  <si>
    <t>666 Greycedar Crescent Mississauga ON L4W 3J7</t>
  </si>
  <si>
    <t>MMJW0435</t>
  </si>
  <si>
    <t>Alyanna Salanguste Manosca</t>
  </si>
  <si>
    <t>7849 Buckeye Crescent Niagara Falls ON L2H OP1</t>
  </si>
  <si>
    <t>MMJW0436</t>
  </si>
  <si>
    <t>Alyssa Vincent</t>
  </si>
  <si>
    <t>MMJW0437</t>
  </si>
  <si>
    <t>Aman Kiritkumar Solanki</t>
  </si>
  <si>
    <t>MMJW0438</t>
  </si>
  <si>
    <t>Amanat Kaur</t>
  </si>
  <si>
    <t>5976 Valley Way, Niagara Falls, ON L2E 1Y1</t>
  </si>
  <si>
    <t>MMJW0439</t>
  </si>
  <si>
    <t>Amandeep Singh</t>
  </si>
  <si>
    <t>193 Cherrytree Dr, Brampton, ON L6Y 3M9</t>
  </si>
  <si>
    <t>MMJW0440</t>
  </si>
  <si>
    <t>Amanpreet Kaur</t>
  </si>
  <si>
    <t>4 Junior Road Brampton, ON L7A 5J4</t>
  </si>
  <si>
    <t>MMJW0441</t>
  </si>
  <si>
    <t>Amansinh Dilipsinh Vansia</t>
  </si>
  <si>
    <t>256 Victoria St S, Kitchener, ON N2G 2C2</t>
  </si>
  <si>
    <t>MMJW0442</t>
  </si>
  <si>
    <t>Amary Tolentino</t>
  </si>
  <si>
    <t>#51 29 Fundy Bay Blvd, Scarborough, ON M1W 3A2</t>
  </si>
  <si>
    <t>MMJW0443</t>
  </si>
  <si>
    <t>Amata Benigne</t>
  </si>
  <si>
    <t>4009 Jockvale Rd, Nepean, ON K2J 6Y8</t>
  </si>
  <si>
    <t>MMJW0444</t>
  </si>
  <si>
    <t>Amey Mahendra Thakur</t>
  </si>
  <si>
    <t>#2 730 Janette Ave, Windsor, ON N9A 4Z7</t>
  </si>
  <si>
    <t>MMJW0445</t>
  </si>
  <si>
    <t>Ameya Ade</t>
  </si>
  <si>
    <t>MMJW0446</t>
  </si>
  <si>
    <t>Amie Jobarteh</t>
  </si>
  <si>
    <t>50 222 MacLaren St, Ottawa, ON K2P 0L8</t>
  </si>
  <si>
    <t>MMJW0447</t>
  </si>
  <si>
    <t>Amit Sangwan</t>
  </si>
  <si>
    <t>590 Bellamy Rd North, Scarborough, ON M1H 1G4</t>
  </si>
  <si>
    <t>MMJW0448</t>
  </si>
  <si>
    <t>Amokrane Maria</t>
  </si>
  <si>
    <t>219 Murray St, Ottawa, ON K1N 5M9</t>
  </si>
  <si>
    <t>MMJW0449</t>
  </si>
  <si>
    <t>22 Georgian Rd, Brampton, ON L6X 0L8</t>
  </si>
  <si>
    <t>MMJW0450</t>
  </si>
  <si>
    <t>Ana Chavez</t>
  </si>
  <si>
    <t>1512 41 Antrim Crescent Scarborough ON M1P 4T1</t>
  </si>
  <si>
    <t>MMJW0451</t>
  </si>
  <si>
    <t>Ana Lee Meneses</t>
  </si>
  <si>
    <t>501 2340 Park Towers Ave, Mississauga, ON L5A 1P9</t>
  </si>
  <si>
    <t>MMJW0452</t>
  </si>
  <si>
    <t>Ana María López Charry</t>
  </si>
  <si>
    <t>559 Clover St, Windsor, ON N8P 1C5</t>
  </si>
  <si>
    <t>MMJW0453</t>
  </si>
  <si>
    <t>Analyn Tarroza</t>
  </si>
  <si>
    <t>324 Kipling Ave, Etobicoke, ON M8V 3K7</t>
  </si>
  <si>
    <t>Danilo Ondoy</t>
  </si>
  <si>
    <t>For Danilo Ondoy</t>
  </si>
  <si>
    <t>MMJW0454</t>
  </si>
  <si>
    <t>Anastacio Onate</t>
  </si>
  <si>
    <t>#1 74 Kingscourt Ave, Kingston, ON K7K 0K6</t>
  </si>
  <si>
    <t>Taki</t>
  </si>
  <si>
    <t>For Taki</t>
  </si>
  <si>
    <t>MMJW0455</t>
  </si>
  <si>
    <t>Andre Luiz Oliveira de Azevedo</t>
  </si>
  <si>
    <t>1680 Rue Léo, Terrebonne, QC J7M 2A1</t>
  </si>
  <si>
    <t>MMJW0456</t>
  </si>
  <si>
    <t>Andrea Elena Guevara Reyna</t>
  </si>
  <si>
    <t>185 Yorkland Blvd, North York, ON M2J 4R2</t>
  </si>
  <si>
    <t>c/o Edward Hotel North York Attn: Marison Housekeeping</t>
  </si>
  <si>
    <t>MMJW0457</t>
  </si>
  <si>
    <t>Andrea Ramicova</t>
  </si>
  <si>
    <t>#401 20 Erie Ave, Hamilton, ON L8N 2W6</t>
  </si>
  <si>
    <t>MMJW0458</t>
  </si>
  <si>
    <t>Andreius Abara</t>
  </si>
  <si>
    <t>4 Nabob Crescent, Scarborough, ON M1B 2Z2</t>
  </si>
  <si>
    <t>MMJW0459</t>
  </si>
  <si>
    <t>Andrew Ching</t>
  </si>
  <si>
    <t>94 Champlain Ave, Welland, ON L3C 2L9</t>
  </si>
  <si>
    <t>Andrew, Cypress</t>
  </si>
  <si>
    <t>For Andrew and Cypress</t>
  </si>
  <si>
    <t>MMJW0460</t>
  </si>
  <si>
    <t>Andrew Nelson</t>
  </si>
  <si>
    <t>35 Coomer Crescent, Ajax, ON L1T 3C2</t>
  </si>
  <si>
    <t>Lashauna</t>
  </si>
  <si>
    <t>For Lashauna</t>
  </si>
  <si>
    <t>MMJW0461</t>
  </si>
  <si>
    <t>#702 775 Steeles Ave W, North York, ON M2R 2S8</t>
  </si>
  <si>
    <t>MMJW0462</t>
  </si>
  <si>
    <t>Andy Monsanto</t>
  </si>
  <si>
    <t>Richmond Hill, ON L4C 5C1</t>
  </si>
  <si>
    <t>MMJW0463</t>
  </si>
  <si>
    <t>Ange Laure Bebga Beboy</t>
  </si>
  <si>
    <t>#2 25 Newhaven St, Ottawa, ON K2G 0X7</t>
  </si>
  <si>
    <t>MMJW0464</t>
  </si>
  <si>
    <t>MMJW0465</t>
  </si>
  <si>
    <t>Angel Anne D. Caharop</t>
  </si>
  <si>
    <t>119 Deanscroft Square Scarborough M1E 4W8</t>
  </si>
  <si>
    <t>MMJW0466</t>
  </si>
  <si>
    <t>Angela Amarro</t>
  </si>
  <si>
    <t>19 Taverner Crescent, Ajax, Ontario, L1T 5A3</t>
  </si>
  <si>
    <t>Jeffrie</t>
  </si>
  <si>
    <t>For Jeffrie</t>
  </si>
  <si>
    <t>MMJW0467</t>
  </si>
  <si>
    <t>Angela Johnson</t>
  </si>
  <si>
    <t>305 Brookdale Ave, Cornwall, ON K6J 4P2</t>
  </si>
  <si>
    <t>MMJW0468</t>
  </si>
  <si>
    <t>Angelica Martin Ramos</t>
  </si>
  <si>
    <t>1233 Woodroffe Avenue Ottawa ON K2C 2T2</t>
  </si>
  <si>
    <t>MMJW0469</t>
  </si>
  <si>
    <t>Angelique Jumamoy</t>
  </si>
  <si>
    <t>28 Trellanock Ave, Scarborough, ON M1C 5B7</t>
  </si>
  <si>
    <t>MMJW0470</t>
  </si>
  <si>
    <t>Angelita Harley</t>
  </si>
  <si>
    <t>820 East 33rd Ave Vancouver BC V5V 3A3</t>
  </si>
  <si>
    <t>Michael Angelo</t>
  </si>
  <si>
    <t>For Michael Angelo</t>
  </si>
  <si>
    <t>MMJW0471</t>
  </si>
  <si>
    <t>Angelita Ticzon</t>
  </si>
  <si>
    <t>#201 30 Heron's Hill Way, North York,ON M2J 0A7</t>
  </si>
  <si>
    <t>MMJW0472</t>
  </si>
  <si>
    <t>Angelo Quibuyen</t>
  </si>
  <si>
    <t>Toronto ON M1R 4L5</t>
  </si>
  <si>
    <t>MMJW0473</t>
  </si>
  <si>
    <t>Angelo San Juan</t>
  </si>
  <si>
    <t>77 Griffen Dr, Scarborough, ON M1B 1A4</t>
  </si>
  <si>
    <t>MMJW0474</t>
  </si>
  <si>
    <t>Angelyn Jochell Meneses</t>
  </si>
  <si>
    <t>#1102 8 Godstone Rd, North York, ON M2J 3C4</t>
  </si>
  <si>
    <t>MMJW0475</t>
  </si>
  <si>
    <t>Angie Paola Solano Soler</t>
  </si>
  <si>
    <t>125 Union Blvd, Wasaga Beach, ON L9Z 0P1</t>
  </si>
  <si>
    <t>MMJW0476</t>
  </si>
  <si>
    <t>Angrej Singh Sohal</t>
  </si>
  <si>
    <t>1908 Fosterbrook St, Oshawa, ON L1K 3G5</t>
  </si>
  <si>
    <t>MMJW0477</t>
  </si>
  <si>
    <t>Anibal Castillo Gonzalez</t>
  </si>
  <si>
    <t>89 Sultana Ave, North York, ON M6A 1T4</t>
  </si>
  <si>
    <t>MMJW0478</t>
  </si>
  <si>
    <t>Anish Kc</t>
  </si>
  <si>
    <t>988 Kennedy Rd, Scarborough, ON M1P 2K4</t>
  </si>
  <si>
    <t>MMJW0479</t>
  </si>
  <si>
    <t>Anish Mani</t>
  </si>
  <si>
    <t>1153 Harrison Avenue, Windsor, ON N9C 3J4</t>
  </si>
  <si>
    <t>MMJW0480</t>
  </si>
  <si>
    <t>Anisha Khanal</t>
  </si>
  <si>
    <t>324 Poplar St, Oshawa, ON L1H 6P7</t>
  </si>
  <si>
    <t>anishakhanal934@gmail.com</t>
  </si>
  <si>
    <t>MMJW0481</t>
  </si>
  <si>
    <t>MMJW0482</t>
  </si>
  <si>
    <t xml:space="preserve">Anjali Senctury </t>
  </si>
  <si>
    <t>MMJW0483</t>
  </si>
  <si>
    <t>Anjana Nair</t>
  </si>
  <si>
    <t>15 Weatherall Ave, Cambridge, ON N3H 5L5</t>
  </si>
  <si>
    <t>MMJW0484</t>
  </si>
  <si>
    <t>#25 560 Grey Street Brantford ON N3S 0C4</t>
  </si>
  <si>
    <t>MMJW0485</t>
  </si>
  <si>
    <t>Anna Regine M'mbakwa</t>
  </si>
  <si>
    <t>MMJW0486</t>
  </si>
  <si>
    <t>Anne Wambui Wanjohi</t>
  </si>
  <si>
    <t>1239 Clyde Avenue, Ottawa, ON K2C 1Y3</t>
  </si>
  <si>
    <t>MMJW0487</t>
  </si>
  <si>
    <t>Annette Johnson</t>
  </si>
  <si>
    <t>Mississauga, ON L4T 2P7</t>
  </si>
  <si>
    <t>MMJW0488</t>
  </si>
  <si>
    <t>Anson Antony</t>
  </si>
  <si>
    <t>225A Craig Henry Dr, Nepean, ON K2G 4B6</t>
  </si>
  <si>
    <t>MMJW0489</t>
  </si>
  <si>
    <t>MMJW0490</t>
  </si>
  <si>
    <t>Anthony John Sales</t>
  </si>
  <si>
    <t>54 Dunthorne Ct, Scarborough, ON M1B 2S9</t>
  </si>
  <si>
    <t>MMJW0491</t>
  </si>
  <si>
    <t>Anthony Valencia</t>
  </si>
  <si>
    <t>42 Robert Hicks Dr, North York, ON M2R 3R4</t>
  </si>
  <si>
    <t>MMJW0492</t>
  </si>
  <si>
    <t>Anuoluwapo Oladapo</t>
  </si>
  <si>
    <t>27 Foxmere Rd, Brampton, ON L7A 1S4</t>
  </si>
  <si>
    <t>MMJW0493</t>
  </si>
  <si>
    <t>Apollo Machacon Jr.</t>
  </si>
  <si>
    <t>#1106 80 Forest Manor Rd, North York, ON M2J 1M6</t>
  </si>
  <si>
    <t>MMJW0494</t>
  </si>
  <si>
    <t>April Jonnaphine Bamboa</t>
  </si>
  <si>
    <t>#515 65 Bd Fournier, Gatineau, QC J8X 3P6</t>
  </si>
  <si>
    <t>MMJW0495</t>
  </si>
  <si>
    <t>April Love Ranara</t>
  </si>
  <si>
    <t>#711 2 Mascot Pl, North York, ON M2R 1J5</t>
  </si>
  <si>
    <t>MMJW0496</t>
  </si>
  <si>
    <t>April Matanguihan</t>
  </si>
  <si>
    <t xml:space="preserve">6333 Corwin Crescent, Niagara Falls, ON L2G 2L9 </t>
  </si>
  <si>
    <t>MMJW0497</t>
  </si>
  <si>
    <t>April Ting</t>
  </si>
  <si>
    <t>666 Greycedar Crescent, Mississauga, ON L4W 3J7</t>
  </si>
  <si>
    <t>MMJW0498</t>
  </si>
  <si>
    <t>Arcira Isabel Pena Lynton</t>
  </si>
  <si>
    <t>#2 3224 Weston Rd, North York, ON M9M 2T7</t>
  </si>
  <si>
    <t>MMJW0499</t>
  </si>
  <si>
    <t>Ariadne Huesca Medina</t>
  </si>
  <si>
    <t>#122 67 Godstone Rd, Toronto, ON M2J 3C8</t>
  </si>
  <si>
    <t>MMJW0500</t>
  </si>
  <si>
    <t>Arianne Fabian</t>
  </si>
  <si>
    <t>7316 Topping Rd, Mississauga, ON L4T 2Y5</t>
  </si>
  <si>
    <t>MMJW0501</t>
  </si>
  <si>
    <t>Arianne Jean Saycon</t>
  </si>
  <si>
    <t>5 Fulbert Crescent, Scarborough, ON M1S 1C2</t>
  </si>
  <si>
    <t>MMJW0502</t>
  </si>
  <si>
    <t>Arkam Mansuri</t>
  </si>
  <si>
    <t>244 McEwan Ave, Windsor, ON N9B 2E4</t>
  </si>
  <si>
    <t>MMJW0503</t>
  </si>
  <si>
    <t>Arlene Frilles</t>
  </si>
  <si>
    <t>35 Unita Grove Scarborough ON M1B 1S4</t>
  </si>
  <si>
    <t>MMJW0504</t>
  </si>
  <si>
    <t>Arlene Nemerimana</t>
  </si>
  <si>
    <t>1185 Summerville Ave, Ottawa, ON K1Z 8G3</t>
  </si>
  <si>
    <t>MMJW0505</t>
  </si>
  <si>
    <t>Arlene Trinidad</t>
  </si>
  <si>
    <t>844 Wilson Ave, North York, ON M3K 1E5</t>
  </si>
  <si>
    <t>MMJW0506</t>
  </si>
  <si>
    <t>#410 20 Clark Ave, Thornhill, ON L3T 1S1</t>
  </si>
  <si>
    <t>MMJW0507</t>
  </si>
  <si>
    <t>Armaanjot Singh</t>
  </si>
  <si>
    <t>67 Pluto Dr, Brampton, ON L6V 3V2</t>
  </si>
  <si>
    <t>MMJW0508</t>
  </si>
  <si>
    <t>Arnel Darimbang</t>
  </si>
  <si>
    <t>7 Donalda Crescent, Scarborough, ON M1S 1N5</t>
  </si>
  <si>
    <t>MMJW0509</t>
  </si>
  <si>
    <t>#306 2050 Keele St, North York, ON M6M 3Y7</t>
  </si>
  <si>
    <t>MMJW0510</t>
  </si>
  <si>
    <t>MMJW0511</t>
  </si>
  <si>
    <t>Arnord Safari</t>
  </si>
  <si>
    <t>#1 125 Rue du Pirée, Gatineau, QC J9J 4A7</t>
  </si>
  <si>
    <t>MMJW0512</t>
  </si>
  <si>
    <t>Arpita K.C.</t>
  </si>
  <si>
    <t>MMJW0513</t>
  </si>
  <si>
    <t>Artur Papish</t>
  </si>
  <si>
    <t>#704 5515 Eglinton Ave W, Etobicoke, ON M9C 5K5</t>
  </si>
  <si>
    <t>MMJW0514</t>
  </si>
  <si>
    <t>Arvind Nandakumar Menon</t>
  </si>
  <si>
    <t>70 Hillside Dr, Kitchener, ON N2E 1R2</t>
  </si>
  <si>
    <t>MMJW0515</t>
  </si>
  <si>
    <t>Arwill Marasigan</t>
  </si>
  <si>
    <t>6333 Corwin Crescent St Niagara Falls L2G 2L9</t>
  </si>
  <si>
    <t>MMJW0516</t>
  </si>
  <si>
    <t>Aryan Sood</t>
  </si>
  <si>
    <t>MMJW0517</t>
  </si>
  <si>
    <t>Arys Alekci Sulabo</t>
  </si>
  <si>
    <t>MMJW0518</t>
  </si>
  <si>
    <t>Asaba Jeniffer</t>
  </si>
  <si>
    <t>256 King Edward Ave, Ottawa, ON K1N 7M1</t>
  </si>
  <si>
    <t>MMJW0519</t>
  </si>
  <si>
    <t>19 Knotwood Crescent, Scarborough, ON M1X 1V6</t>
  </si>
  <si>
    <t>MMJW0520</t>
  </si>
  <si>
    <t>Ashanpreet Kaur</t>
  </si>
  <si>
    <t>170 Doon Mills Dr, Kitchener, ON N2P 2S1</t>
  </si>
  <si>
    <t>MMJW0521</t>
  </si>
  <si>
    <t>Ashish Gupta</t>
  </si>
  <si>
    <t>415 D 200 Old Carriage Dr, Kitchener, ON N2P 0C7</t>
  </si>
  <si>
    <t>MMJW0522</t>
  </si>
  <si>
    <t>Ashish Malik</t>
  </si>
  <si>
    <t>350 Fleming Dr, London, ON N5V 4Y6</t>
  </si>
  <si>
    <t>MMJW0523</t>
  </si>
  <si>
    <t>Astha Dua</t>
  </si>
  <si>
    <t>36 Hoover Rd, Brampton, ON L7A 4L2</t>
  </si>
  <si>
    <t>MMJW0524</t>
  </si>
  <si>
    <t>Averi Leis</t>
  </si>
  <si>
    <t>50 Pinnacle Dr, Kitchener, ON N2P 0H8</t>
  </si>
  <si>
    <t>MMJW0525</t>
  </si>
  <si>
    <t>Awais Haider</t>
  </si>
  <si>
    <t>96 Elvaston Dr, North York, ON M4A 1N6</t>
  </si>
  <si>
    <t>MMJW0526</t>
  </si>
  <si>
    <t>Axel Mauricio Echeverría Castillejo</t>
  </si>
  <si>
    <t>2424 Angora St, Pickering, ON L1V 2P8</t>
  </si>
  <si>
    <t>MMJW0527</t>
  </si>
  <si>
    <t>Ayoola Ayansola</t>
  </si>
  <si>
    <t>#120 160 Chester Le Blvd, Scarborough, ON M1W 2N1</t>
  </si>
  <si>
    <t>MMJW0528</t>
  </si>
  <si>
    <t>Ayush Panday</t>
  </si>
  <si>
    <t>#2 3 Simcoe St S, Oshawa, ON L1H 4G1</t>
  </si>
  <si>
    <t>MMJW0529</t>
  </si>
  <si>
    <t>Ayush Vasani</t>
  </si>
  <si>
    <t>#C6 10 Palace St, Kitchener, ON N2E 0J3</t>
  </si>
  <si>
    <t>MMJW0530</t>
  </si>
  <si>
    <t>Ayusha Sunar</t>
  </si>
  <si>
    <t>#10 252 Penetanguishene Rd, Barrie, ON L4M 7C2</t>
  </si>
  <si>
    <t>MMJW0531</t>
  </si>
  <si>
    <t>Bader Alabdullah</t>
  </si>
  <si>
    <t>1927 Marlborough Crt #1201 Oakville ON L6H 2S1</t>
  </si>
  <si>
    <t>MMJW0532</t>
  </si>
  <si>
    <t>Bakang Lesiapeto</t>
  </si>
  <si>
    <t>68 Acadian Heights, Brampton, ON L6Y 4H2</t>
  </si>
  <si>
    <t>MMJW0533</t>
  </si>
  <si>
    <t>107 Saintsbury Crescent, Brampton, ON L6R 2W4</t>
  </si>
  <si>
    <t>MMJW0534</t>
  </si>
  <si>
    <t>47 Garrow Dr, Hamilton, ON L9C 2X2</t>
  </si>
  <si>
    <t>MMJW0535</t>
  </si>
  <si>
    <t>51 Coralreef Crescent, Brampton, ON L6R 2H5</t>
  </si>
  <si>
    <t>MMJW0536</t>
  </si>
  <si>
    <t>Baljot Singh</t>
  </si>
  <si>
    <t>1858 Factoria Rd, Windsor, ON N8W 3W6</t>
  </si>
  <si>
    <t>MMJW0537</t>
  </si>
  <si>
    <t>Balveer Kaur Kang</t>
  </si>
  <si>
    <t>787 Spitfire St, Woodstock, ON N4T 0A9</t>
  </si>
  <si>
    <t>raman37371@gmail.com</t>
  </si>
  <si>
    <t>MMJW0538</t>
  </si>
  <si>
    <t>Balwinder Kumar Jakhu</t>
  </si>
  <si>
    <t>303 Prince Arthur St, Cornwall, ON K6H 4P1</t>
  </si>
  <si>
    <t>MMJW0539</t>
  </si>
  <si>
    <t>Balwinder Singh</t>
  </si>
  <si>
    <t>5973 Grey Ave, Niagara Falls, ON L2G 4B2</t>
  </si>
  <si>
    <t>MMJW0540</t>
  </si>
  <si>
    <t>Barungura Kenty Stephane Noel</t>
  </si>
  <si>
    <t>60 Chippewa Ave, Nepean, ON K2G 1Y2</t>
  </si>
  <si>
    <t>MMJW0541</t>
  </si>
  <si>
    <t>Bashir Singirankabo</t>
  </si>
  <si>
    <t>2487 Iris Street, ON Ottawa, K2C 1C7</t>
  </si>
  <si>
    <t>MMJW0542</t>
  </si>
  <si>
    <t>Bea Oliva</t>
  </si>
  <si>
    <t>5430 Bridge St, Niagara Falls, ON L2E 2T6</t>
  </si>
  <si>
    <t>MMJW0543</t>
  </si>
  <si>
    <t>1011 Blair Rd Ottawa ON K1J 7M9</t>
  </si>
  <si>
    <t>MMJW0544</t>
  </si>
  <si>
    <t>Benedicto Tabili</t>
  </si>
  <si>
    <t>Mark</t>
  </si>
  <si>
    <t>For Mark</t>
  </si>
  <si>
    <t>MMJW0545</t>
  </si>
  <si>
    <t>Beni Iraduhaye</t>
  </si>
  <si>
    <t>761 Belisle St, Ottawa, ON K1L 6V1</t>
  </si>
  <si>
    <t>MMJW0546</t>
  </si>
  <si>
    <t>Benjo Aquino</t>
  </si>
  <si>
    <t>262 Kenwood Ave, Burlington, ON L7L 4L8</t>
  </si>
  <si>
    <t>MMJW0547</t>
  </si>
  <si>
    <t>Benjo Mariano</t>
  </si>
  <si>
    <t>#109 1 Terraview Blvd Toronto ON M1R 4L5</t>
  </si>
  <si>
    <t>MMJW0548</t>
  </si>
  <si>
    <t>Berly Sampang</t>
  </si>
  <si>
    <t>71 Symington Ave, Toronto, ON M6P 3W2</t>
  </si>
  <si>
    <t>MMJW0549</t>
  </si>
  <si>
    <t>MMJW0550</t>
  </si>
  <si>
    <t>Bernadith Padua</t>
  </si>
  <si>
    <t>#353 325 Bogert Ave, North York, ON M2N 1L8</t>
  </si>
  <si>
    <t>For John Dailay and Sonia Dailay</t>
  </si>
  <si>
    <t>MMJW0551</t>
  </si>
  <si>
    <t>Bernard Valencia</t>
  </si>
  <si>
    <t>MMJW0552</t>
  </si>
  <si>
    <t>Bertrand Ndayizeye</t>
  </si>
  <si>
    <t>88 Fairlop Way, Nepean, ON K2J 5B6</t>
  </si>
  <si>
    <t>MMJW0553</t>
  </si>
  <si>
    <t>Betty Nakimbugwe</t>
  </si>
  <si>
    <t>475 Creekview Way, Gloucester, ON K1T 0E3</t>
  </si>
  <si>
    <t>MMJW0554</t>
  </si>
  <si>
    <t>Bhagwant Singh Sangha</t>
  </si>
  <si>
    <t>#411 3900 Geraedts Dr, Windsor, ON N9G 3C3</t>
  </si>
  <si>
    <t>MMJW0555</t>
  </si>
  <si>
    <t>Bhavdeep Singh</t>
  </si>
  <si>
    <t>#1701 425 Wilson Ave, Kitchener, ON N2C 2R8</t>
  </si>
  <si>
    <t>MMJW0556</t>
  </si>
  <si>
    <t>Bhumikkumar Pareshbhai Patel</t>
  </si>
  <si>
    <t>#34 25 Isherwood Avenue, Cambridge, ON N1R 0E2</t>
  </si>
  <si>
    <t>MMJW0557</t>
  </si>
  <si>
    <t>60 Edenmills Dr, Scarborough, ON M1E 4L2</t>
  </si>
  <si>
    <t>MMJW0558</t>
  </si>
  <si>
    <t>MMJW0559</t>
  </si>
  <si>
    <t>Bipin Mahat</t>
  </si>
  <si>
    <t>20 Smithers Crescent, Brampton, ON L6Y 3K9</t>
  </si>
  <si>
    <t>MMJW0560</t>
  </si>
  <si>
    <t>Bishal Gharti</t>
  </si>
  <si>
    <t>bishalgharti.banks@gmail.com</t>
  </si>
  <si>
    <t>MMJW0561</t>
  </si>
  <si>
    <t>Bishal Poudel</t>
  </si>
  <si>
    <t>5652 Peer St, Niagara Falls, ON L2G 1W7</t>
  </si>
  <si>
    <t>MMJW0562</t>
  </si>
  <si>
    <t>Bivek Kumar Sharma</t>
  </si>
  <si>
    <t>10 Tetra Court, Brampton, ON L6X 5M2</t>
  </si>
  <si>
    <t>MMJW0563</t>
  </si>
  <si>
    <t>34 Oxalis Crescent Stittsville ON K2V 0J6</t>
  </si>
  <si>
    <t>MMJW0564</t>
  </si>
  <si>
    <t>Blythe San Jose</t>
  </si>
  <si>
    <t>#510 6010 Bathurst St, North York, ON M2R 1Z7</t>
  </si>
  <si>
    <t>MMJW0565</t>
  </si>
  <si>
    <t>Boniface Koleo Mbondo</t>
  </si>
  <si>
    <t>2365 Westbury Rd, Ottawa, ON K2C 1G7</t>
  </si>
  <si>
    <t>MMJW0566</t>
  </si>
  <si>
    <t>Brad Wall</t>
  </si>
  <si>
    <t>339 Second St E, Cornwall, ON K6H 1Y8</t>
  </si>
  <si>
    <t>MMJW0567</t>
  </si>
  <si>
    <t>Bradford Lauzon</t>
  </si>
  <si>
    <t>712 Eleventh St E, Cornwall, ON K6H 2Z9</t>
  </si>
  <si>
    <t>MMJW0568</t>
  </si>
  <si>
    <t>Brenda Domingo</t>
  </si>
  <si>
    <t>#1406 765 Steeles Ave W, North York, ON M2R 2S7</t>
  </si>
  <si>
    <t>Raynan</t>
  </si>
  <si>
    <t>For Raynan</t>
  </si>
  <si>
    <t>MMJW0569</t>
  </si>
  <si>
    <t>Brenda Nyasha Kapungumberi</t>
  </si>
  <si>
    <t>#0132 1950 Montreal Rd, Cornwall, ON K6H 6L2</t>
  </si>
  <si>
    <t>MMJW0570</t>
  </si>
  <si>
    <t>Brendon Ingola</t>
  </si>
  <si>
    <t>#B02 12 Ninth St E, Cornwall, ON K6H 2T8</t>
  </si>
  <si>
    <t>MMJW0571</t>
  </si>
  <si>
    <t>Brian Padre e</t>
  </si>
  <si>
    <t>1587 Ainsley Dr, Ottawa, ON K2C 0S3</t>
  </si>
  <si>
    <t>For Lady Ortega</t>
  </si>
  <si>
    <t>MMJW0572</t>
  </si>
  <si>
    <t>Brianna Ndayizeye</t>
  </si>
  <si>
    <t>MMJW0573</t>
  </si>
  <si>
    <t>Brij Ashishkumar Gohil</t>
  </si>
  <si>
    <t>246 Hillcrest Road Cambridge ON N3H 1B2</t>
  </si>
  <si>
    <t>MMJW0574</t>
  </si>
  <si>
    <t>56 McAllister Rd, North York, ON M3H 2N2</t>
  </si>
  <si>
    <t>MMJW0575</t>
  </si>
  <si>
    <t>MMJW0576</t>
  </si>
  <si>
    <t>Camille Anand</t>
  </si>
  <si>
    <t>17 Pennybrook Ln, Scarborough, ON M1S 4W3</t>
  </si>
  <si>
    <t>MMJW0577</t>
  </si>
  <si>
    <t>Camille Anne Lota</t>
  </si>
  <si>
    <t>#1 159 Rue Richer, Gatineau, QC J8Y 4V2</t>
  </si>
  <si>
    <t>MMJW0578</t>
  </si>
  <si>
    <t>#96 14 London Green Ct, North York, ON M3N 1K2</t>
  </si>
  <si>
    <t>MMJW0579</t>
  </si>
  <si>
    <t>395 Somerset St W, Ottawa, ON K2P 2G6</t>
  </si>
  <si>
    <t>bahengadiala1@gmail.com</t>
  </si>
  <si>
    <t>MMJW0580</t>
  </si>
  <si>
    <t>Carl Alexander Chan</t>
  </si>
  <si>
    <t>#511-5 1700 Simcoe St N, Oshawa, ON L1G 4X9</t>
  </si>
  <si>
    <t>MMJW0581</t>
  </si>
  <si>
    <t>#47 270 Timberbank Blvd Toronto ON M1W 2M1</t>
  </si>
  <si>
    <t>MMJW0582</t>
  </si>
  <si>
    <t xml:space="preserve">Carlo Martin Alfaro </t>
  </si>
  <si>
    <t>Basement #2 48 Glen Watford Dr, Scarborough, ON M1S 2C3</t>
  </si>
  <si>
    <t>MMJW0583</t>
  </si>
  <si>
    <t>Carlos Andres Hernandez Cuervo</t>
  </si>
  <si>
    <t>36 Qualicum Street, Ottawa, Ontario K2H 7G8</t>
  </si>
  <si>
    <t>For Charlie</t>
  </si>
  <si>
    <t>MMJW0584</t>
  </si>
  <si>
    <t>Carlos Humberto Camelo Ramirez</t>
  </si>
  <si>
    <t>MMJW0585</t>
  </si>
  <si>
    <t>Carmen Magbanua</t>
  </si>
  <si>
    <t>For Jeffrey</t>
  </si>
  <si>
    <t>MMJW0586</t>
  </si>
  <si>
    <t>Carmina Nepomuceno</t>
  </si>
  <si>
    <t>8 Baldoon Rd, Scarborough, ON M1B 1V7</t>
  </si>
  <si>
    <t>MMJW0587</t>
  </si>
  <si>
    <t>Catherine De Luna</t>
  </si>
  <si>
    <t>278 Galway Ct, Oshawa, ON L1J 6K6</t>
  </si>
  <si>
    <t>Carlo Perez</t>
  </si>
  <si>
    <t>For Carlo Perez</t>
  </si>
  <si>
    <t>MMJW0588</t>
  </si>
  <si>
    <t>Cazandra Denise Ibarra</t>
  </si>
  <si>
    <t>55 Franson Crescent North York, ON M9M 1T6</t>
  </si>
  <si>
    <t>MMJW0589</t>
  </si>
  <si>
    <t>Celso Morga Pelecia Jr.</t>
  </si>
  <si>
    <t>#604 6161 Bathurst St, North York, ON M2R 1Z5</t>
  </si>
  <si>
    <t>MMJW0590</t>
  </si>
  <si>
    <t>Ceniza Ximena Lerum</t>
  </si>
  <si>
    <t>18 Danesbury Crescent Brampton ON L6T 1T3</t>
  </si>
  <si>
    <t>MMJW0591</t>
  </si>
  <si>
    <t>MMJW0592</t>
  </si>
  <si>
    <t>Chandan Kumar Tura</t>
  </si>
  <si>
    <t>1893 Dunkirk Ave, Woodstock ON N4T 0L7</t>
  </si>
  <si>
    <t>MMJW0593</t>
  </si>
  <si>
    <t>Chandra Mani Parsai</t>
  </si>
  <si>
    <t>1072 Marquette Dr, Woodstock, ON N4V 0A9</t>
  </si>
  <si>
    <t>MMJW0594</t>
  </si>
  <si>
    <t>Chantal Muziranenge</t>
  </si>
  <si>
    <t>#2 521 Bronson Ave, Ottawa, ON K1R 6K1</t>
  </si>
  <si>
    <t>MMJW0595</t>
  </si>
  <si>
    <t>Charisse Relano</t>
  </si>
  <si>
    <t>5741 River Grove Ave, Mississauga, ON L5M 4R3</t>
  </si>
  <si>
    <t>MMJW0596</t>
  </si>
  <si>
    <t>Charmaine Eustaquio</t>
  </si>
  <si>
    <t>536 Bellamy Rd N, Scarborough, ON M1H 1G3</t>
  </si>
  <si>
    <t>MMJW0597</t>
  </si>
  <si>
    <t>Charmie Ligsay</t>
  </si>
  <si>
    <t>#103 625 Boul du Plateau, Gatineau, QC J9J 0M2</t>
  </si>
  <si>
    <t>Roderick Ligsay, Precious</t>
  </si>
  <si>
    <t>For Roderick Ligsay, Precious</t>
  </si>
  <si>
    <t>MMJW0598</t>
  </si>
  <si>
    <t>Cherrie Nieves</t>
  </si>
  <si>
    <t>#216 5600 Sheppard Ave E, Scarborough, ON M1B 2L4</t>
  </si>
  <si>
    <t>MMJW0599</t>
  </si>
  <si>
    <t>Cherrylaine A. Sendin</t>
  </si>
  <si>
    <t>Flor De Liz</t>
  </si>
  <si>
    <t>For Flor De Liz</t>
  </si>
  <si>
    <t>MMJW0600</t>
  </si>
  <si>
    <t>Chester Vincent Gonzales</t>
  </si>
  <si>
    <t>4305 Stella Crescent, Gloucester, ON K1J 8T8</t>
  </si>
  <si>
    <t>For John Patrick</t>
  </si>
  <si>
    <t>MMJW0601</t>
  </si>
  <si>
    <t>Chetan</t>
  </si>
  <si>
    <t>17 Cumberland Dr, Brampton, ON L6V 1W5</t>
  </si>
  <si>
    <t>MMJW0602</t>
  </si>
  <si>
    <t>70 Bradstone Square, Scarborough, ON M1B 1W2</t>
  </si>
  <si>
    <t>MMJW0603</t>
  </si>
  <si>
    <t>713 Oakglade Ave, Kanata, ON K2M 0B3</t>
  </si>
  <si>
    <t>MMJW0604</t>
  </si>
  <si>
    <t>Chimezie Azodo</t>
  </si>
  <si>
    <t>129 Collier Rd S, Thorold, ON L2V 3T3</t>
  </si>
  <si>
    <t>MMJW0605</t>
  </si>
  <si>
    <t>Chirag Gosain</t>
  </si>
  <si>
    <t>10 Torrance Woods, Brampton, ON L6Y 2N3</t>
  </si>
  <si>
    <t>MMJW0606</t>
  </si>
  <si>
    <t>Chona Cataquiz</t>
  </si>
  <si>
    <t>#3 23 Gosford Blvd, North York, ON M3N 2G7</t>
  </si>
  <si>
    <t>MMJW0607</t>
  </si>
  <si>
    <t>Chretien Niyikiza</t>
  </si>
  <si>
    <t>#1116 1244 Donald St, Ottawa, ON K1J 8R7</t>
  </si>
  <si>
    <t>Busingye Nurudin</t>
  </si>
  <si>
    <t>For Busingye Nurudin</t>
  </si>
  <si>
    <t>MMJW0608</t>
  </si>
  <si>
    <t>Chris Ball</t>
  </si>
  <si>
    <t>134 Mann Ave, Ottawa, ON K1N 1C1</t>
  </si>
  <si>
    <t>MMJW0609</t>
  </si>
  <si>
    <t>Chriscia Mae Salita</t>
  </si>
  <si>
    <t>678 Greycedar Crescent, Mississauga ON L4W 3J7</t>
  </si>
  <si>
    <t>MMJW0610</t>
  </si>
  <si>
    <t>Christian Daniel Ruiz Espana</t>
  </si>
  <si>
    <t>#701 2121 Roche Ct, Mississauga, ON L5K 2C7</t>
  </si>
  <si>
    <t>MMJW0611</t>
  </si>
  <si>
    <t>Christian Goodyear</t>
  </si>
  <si>
    <t>225 Palmer Lane, Woodstock, ON N4T 0G4</t>
  </si>
  <si>
    <t>MMJW0612</t>
  </si>
  <si>
    <t>Christian Segundo Villanueva</t>
  </si>
  <si>
    <t>#709 75 Emmett Ave, York, ON M6M 5A7</t>
  </si>
  <si>
    <t>MMJW0613</t>
  </si>
  <si>
    <t>Christina Madrid</t>
  </si>
  <si>
    <t>137 Shady Pine Cir, Brampton, ON L6R 1K2</t>
  </si>
  <si>
    <t>MMJW0614</t>
  </si>
  <si>
    <t>Christopher Capinpin</t>
  </si>
  <si>
    <t>#707 440 Rathburn Rd, Etobicoke, ON M9C 3S7</t>
  </si>
  <si>
    <t>Debbie</t>
  </si>
  <si>
    <t>For Debbie</t>
  </si>
  <si>
    <t>MMJW0615</t>
  </si>
  <si>
    <t>Christopher Ngeta</t>
  </si>
  <si>
    <t>67 Stinson Ave, Nepean, ON K2H 6N5</t>
  </si>
  <si>
    <t>MMJW0616</t>
  </si>
  <si>
    <t>Chukwuma Iwedi</t>
  </si>
  <si>
    <t>96 Cherrylawn Ave, North York, ON M9L 2B5</t>
  </si>
  <si>
    <t>MMJW0617</t>
  </si>
  <si>
    <t>Chukwuocha Priscilla Akudo</t>
  </si>
  <si>
    <t>67 Fenside St, Kitchener, ON N2P 0J5</t>
  </si>
  <si>
    <t>MMJW0618</t>
  </si>
  <si>
    <t>Cianne Mariel Perez</t>
  </si>
  <si>
    <t>#812 3270 Bathurst St, North York, ON M6A 3A8</t>
  </si>
  <si>
    <t>MMJW0619</t>
  </si>
  <si>
    <t>Cindy Elizabeth Monge Lemus</t>
  </si>
  <si>
    <t>174 John Garland Blvd, Etobicoke, ON M9V 5E9</t>
  </si>
  <si>
    <t>Ariadna</t>
  </si>
  <si>
    <t>For Ariadna</t>
  </si>
  <si>
    <t>MMJW0620</t>
  </si>
  <si>
    <t>Cirsty Aguilar</t>
  </si>
  <si>
    <t>107 McAllister Rd North York ON M3H 2N5</t>
  </si>
  <si>
    <t>MMJW0621</t>
  </si>
  <si>
    <t>Clarence Jay Dela Cruz</t>
  </si>
  <si>
    <t>#904 2935 Richmond Rd, Ottawa, ON K2B 8C9</t>
  </si>
  <si>
    <t>Llewelyn Dela Cruz</t>
  </si>
  <si>
    <t>For Llewelyn Dela Cruz</t>
  </si>
  <si>
    <t>MMJW0622</t>
  </si>
  <si>
    <t>MMJW0623</t>
  </si>
  <si>
    <t>Concepcion Turkay</t>
  </si>
  <si>
    <t>#134 8 Faithful Way Markham, ON L3R 1A1</t>
  </si>
  <si>
    <t>MMJW0624</t>
  </si>
  <si>
    <t>Connie Bonsol</t>
  </si>
  <si>
    <t>4231 Sugarbush Road Mississauga ON L5B 2X5</t>
  </si>
  <si>
    <t>MMJW0625</t>
  </si>
  <si>
    <t>Corazon/Cristy</t>
  </si>
  <si>
    <t>MMJW0626</t>
  </si>
  <si>
    <t>Crisamie Mendieta</t>
  </si>
  <si>
    <t>#207 2445 The Collegeway, Mississauga, ON L5L 2E5</t>
  </si>
  <si>
    <t>MMJW0627</t>
  </si>
  <si>
    <t>Cristian Gerardo Salas Aguayo</t>
  </si>
  <si>
    <t>30 Boundbrook Dr, Brampton, ON L7A 0M2</t>
  </si>
  <si>
    <t>MMJW0628</t>
  </si>
  <si>
    <t>Cristopher Ubando</t>
  </si>
  <si>
    <t>20 Keon Place, Scarborough, ON M1B 3C9</t>
  </si>
  <si>
    <t>MMJW0629</t>
  </si>
  <si>
    <t>Cynthia Aberin</t>
  </si>
  <si>
    <t>59 Gowrie Dr, Kanata, ON K2L 2T5</t>
  </si>
  <si>
    <t>MMJW0630</t>
  </si>
  <si>
    <t>Cynthia Inamahoro</t>
  </si>
  <si>
    <t>1206 Lassiter Terrace, Gloucester, ON K1J 1B6</t>
  </si>
  <si>
    <t>MMJW0631</t>
  </si>
  <si>
    <t xml:space="preserve">Cyril Manzano </t>
  </si>
  <si>
    <t>314 Alice St, Cornwall, ON K6H 4S2</t>
  </si>
  <si>
    <t>MMJW0632</t>
  </si>
  <si>
    <t>MMJW0633</t>
  </si>
  <si>
    <t>1239 Clyde Ave., Ottawa, ON K2C 1Y3</t>
  </si>
  <si>
    <t>MMJW0634</t>
  </si>
  <si>
    <t>Daisy Pailma</t>
  </si>
  <si>
    <t>10 Pulford Crescent, Nepean, ON K2B 6L7</t>
  </si>
  <si>
    <t>MMJW0635</t>
  </si>
  <si>
    <t>Daksh Patel</t>
  </si>
  <si>
    <t>MMJW0636</t>
  </si>
  <si>
    <t>Dalbir Singh</t>
  </si>
  <si>
    <t>442 Cooke Crescent, Kingston, ON K7P 3J8</t>
  </si>
  <si>
    <t>MMJW0637</t>
  </si>
  <si>
    <t>MMJW0638</t>
  </si>
  <si>
    <t>Damilola Elizabeth Badejo</t>
  </si>
  <si>
    <t>#212 2000 Jasmine Crescent, Gloucester, ON K1J 8K5</t>
  </si>
  <si>
    <t>MMJW0639</t>
  </si>
  <si>
    <t>Dan Michael Lariosa</t>
  </si>
  <si>
    <t>MMJW0640</t>
  </si>
  <si>
    <t>Dana Belance</t>
  </si>
  <si>
    <t>#105 10 Ritchie St, Ottawa, ON K2B 6E9</t>
  </si>
  <si>
    <t>MMJW0641</t>
  </si>
  <si>
    <t>Dandy JR D Dulnuan</t>
  </si>
  <si>
    <t>852 Scollard Ct, Mississauga, ON L5V 2R5</t>
  </si>
  <si>
    <t>MMJW0642</t>
  </si>
  <si>
    <t>Daniel Alejandro Ibarra Delgado</t>
  </si>
  <si>
    <t>c/o Edward Hotel North York Attn: Marison Housekeeping 185 Yorkland Blvd, North York, ON M2J 4R2</t>
  </si>
  <si>
    <t>MMJW0643</t>
  </si>
  <si>
    <t>Daniel Yohannes</t>
  </si>
  <si>
    <t>3067 Kirwin Ave Mississauga ON L5A 2K8</t>
  </si>
  <si>
    <t>MMJW0644</t>
  </si>
  <si>
    <t>Danilo R. Avila</t>
  </si>
  <si>
    <t>333 Forks Rd E, Welland, ON L3B 6C5</t>
  </si>
  <si>
    <t>MMJW0645</t>
  </si>
  <si>
    <t>Dannie Ray Pardillo</t>
  </si>
  <si>
    <t>29 John Walter Crescent, Courtice, ON L1E 2W6</t>
  </si>
  <si>
    <t>MMJW0646</t>
  </si>
  <si>
    <t>#1705 3636 Bathurst Street, North York ON M6A 2Y5</t>
  </si>
  <si>
    <t>MMJW0647</t>
  </si>
  <si>
    <t>Danny Leila Iteriteka</t>
  </si>
  <si>
    <t>2014 Featherston Drive Ottawa ON K1H 6P9</t>
  </si>
  <si>
    <t>Danny, Rea</t>
  </si>
  <si>
    <t>For Danny and Rea</t>
  </si>
  <si>
    <t>MMJW0648</t>
  </si>
  <si>
    <t>Dante Alvarez</t>
  </si>
  <si>
    <t>BC</t>
  </si>
  <si>
    <t>ameliafuente@yahoo.ca</t>
  </si>
  <si>
    <t>MMJW0649</t>
  </si>
  <si>
    <t>Darren Moskito</t>
  </si>
  <si>
    <t>51 Splinter Crescent Ottawa ON K2B 1B3</t>
  </si>
  <si>
    <t>Daphne</t>
  </si>
  <si>
    <t>For Daphne</t>
  </si>
  <si>
    <t>MMJW0650</t>
  </si>
  <si>
    <t>Daryll George Gabiana Dacayana</t>
  </si>
  <si>
    <t>19 Hopewell Crescent Stoney Creek ON L8J 1P3</t>
  </si>
  <si>
    <t>MMJW0651</t>
  </si>
  <si>
    <t>David Kenneth Agbara</t>
  </si>
  <si>
    <t>#501 1725 Frobisher Ln, Ottawa, ON K1G 0E6</t>
  </si>
  <si>
    <t>MMJW0652</t>
  </si>
  <si>
    <t>Debora Alves De Andrade</t>
  </si>
  <si>
    <t>69 Viewmount Dr, Nepean, ON K2G 3B9</t>
  </si>
  <si>
    <t>MMJW0653</t>
  </si>
  <si>
    <t>#15 130 Woodridge Crescent Nepean ON K2B 7S9</t>
  </si>
  <si>
    <t>MMJW0654</t>
  </si>
  <si>
    <t>Deepika Deepika</t>
  </si>
  <si>
    <t>34 Beaconsfield Avenue, Brampton, L6Y 4S3</t>
  </si>
  <si>
    <t>MMJW0655</t>
  </si>
  <si>
    <t>Deepika Rani</t>
  </si>
  <si>
    <t>MMJW0656</t>
  </si>
  <si>
    <t>Denise Ishimwe</t>
  </si>
  <si>
    <t>#1014 2850 Cedarwood Dr, Ottawa, ON K1V 8YR</t>
  </si>
  <si>
    <t>MMJW0657</t>
  </si>
  <si>
    <t>Denisse Mae Sato Tan</t>
  </si>
  <si>
    <t>#21 110 Ling Rd, Scarborough, ON M1E 4V9</t>
  </si>
  <si>
    <t>MMJW0658</t>
  </si>
  <si>
    <t>#3 2792 Eglinton Ave E, Toronto, ON M1J 2C8</t>
  </si>
  <si>
    <t>MMJW0659</t>
  </si>
  <si>
    <t>Dennis Mehoy</t>
  </si>
  <si>
    <t>#3602 50 Cordova Ave, Etobicoke, ON M9A 4X6</t>
  </si>
  <si>
    <t>Laisa</t>
  </si>
  <si>
    <t>For Laisa</t>
  </si>
  <si>
    <t>MMJW0660</t>
  </si>
  <si>
    <t>Dennison Ilagan</t>
  </si>
  <si>
    <t>MMJW0661</t>
  </si>
  <si>
    <t>Dharampreet Singh</t>
  </si>
  <si>
    <t>MMJW0662</t>
  </si>
  <si>
    <t>Dharun Dharun</t>
  </si>
  <si>
    <t>121 Watermill St, Kitchener, ON N2P 0H3</t>
  </si>
  <si>
    <t>MMJW0663</t>
  </si>
  <si>
    <t>dheerajkashyap615@gmail.com</t>
  </si>
  <si>
    <t>Irene</t>
  </si>
  <si>
    <t>For Irene</t>
  </si>
  <si>
    <t>MMJW0664</t>
  </si>
  <si>
    <t>MMJW0665</t>
  </si>
  <si>
    <t>MMJW0666</t>
  </si>
  <si>
    <t>Diana Ruth Morales</t>
  </si>
  <si>
    <t>MMJW0667</t>
  </si>
  <si>
    <t>Dianah Mpanja</t>
  </si>
  <si>
    <t>MMJW0668</t>
  </si>
  <si>
    <t>Dianne Dar</t>
  </si>
  <si>
    <t>116 Rayne Ave. Oakville Ontario L6H 1C2</t>
  </si>
  <si>
    <t>Norlie</t>
  </si>
  <si>
    <t>For Norlie</t>
  </si>
  <si>
    <t>MMJW0669</t>
  </si>
  <si>
    <t>Dianne Joy Hinlayagan</t>
  </si>
  <si>
    <t>MMJW0670</t>
  </si>
  <si>
    <t>Dianne Joye Mendoza</t>
  </si>
  <si>
    <t>550 Parkview Crescent Cambridge ON N3H 4X7</t>
  </si>
  <si>
    <t>Jet</t>
  </si>
  <si>
    <t>For Jet</t>
  </si>
  <si>
    <t>MMJW0671</t>
  </si>
  <si>
    <t>Diego Cerdio Dominguez</t>
  </si>
  <si>
    <t>1443 Niagara Stone Rd, Niagara on the Lake, ON L0S 1J0</t>
  </si>
  <si>
    <t>MMJW0672</t>
  </si>
  <si>
    <t>MMJW0673</t>
  </si>
  <si>
    <t>Diksha Diksha</t>
  </si>
  <si>
    <t>MMJW0674</t>
  </si>
  <si>
    <t>Dilpreet Kaur Khokhar</t>
  </si>
  <si>
    <t>920 Tartan Ct, Kitchener, ON N2R 0N2</t>
  </si>
  <si>
    <t>MMJW0675</t>
  </si>
  <si>
    <t>Dim Francis Yana</t>
  </si>
  <si>
    <t>MMJW0676</t>
  </si>
  <si>
    <t>Dina Malasaga</t>
  </si>
  <si>
    <t>#310 500 Duplex Ave Toronto ON M4R 1V6</t>
  </si>
  <si>
    <t>MMJW0677</t>
  </si>
  <si>
    <t>Dirk Brandon Lapitan</t>
  </si>
  <si>
    <t>99 Stonebriar Drive Ottawa, Ontario, K2G 5Y1</t>
  </si>
  <si>
    <t>MMJW0678</t>
  </si>
  <si>
    <t>Divin Kwizera</t>
  </si>
  <si>
    <t>#103 531 Bd Wilfrid Lavigne, Gatineau, QC J9H 6R4</t>
  </si>
  <si>
    <t>MMJW0679</t>
  </si>
  <si>
    <t>MMJW0680</t>
  </si>
  <si>
    <t>#510 230 Brittany Dr, Ottawa, ON K1K 0R6</t>
  </si>
  <si>
    <t>dolydiara6@gmail.com</t>
  </si>
  <si>
    <t>MMJW0681</t>
  </si>
  <si>
    <t>Dominique Cook</t>
  </si>
  <si>
    <t>189 Wade Lafrance Memorial Rd Akwesasne, Quebec H0M 1A1</t>
  </si>
  <si>
    <t>MMJW0682</t>
  </si>
  <si>
    <t>Donalyn De Vera</t>
  </si>
  <si>
    <t>66 Latania Blvd, Brampton, ON L6P 1X6</t>
  </si>
  <si>
    <t>MMJW0683</t>
  </si>
  <si>
    <t>Dondon Bernabe</t>
  </si>
  <si>
    <t>1014 Midland Ave Scarborough ON M1K 4G6</t>
  </si>
  <si>
    <t>MMJW0684</t>
  </si>
  <si>
    <t>Donna May Batalla</t>
  </si>
  <si>
    <t>#804 5 Glamorgan Avenue Scarborough M1P 4P1</t>
  </si>
  <si>
    <t>MMJW0685</t>
  </si>
  <si>
    <t>899 Glasgow Crescent, Ottawa, ON K1K 0J7</t>
  </si>
  <si>
    <t>cherry.sendin@yahoo.com</t>
  </si>
  <si>
    <t>For Flor De Liz</t>
  </si>
  <si>
    <t>MMJW0686</t>
  </si>
  <si>
    <t>Ed Luijie Estoperez</t>
  </si>
  <si>
    <t>#56 1588 S Parade Ct, Mississauga,ON L5M 6E7</t>
  </si>
  <si>
    <t>MMJW0687</t>
  </si>
  <si>
    <t>Eden Delmas</t>
  </si>
  <si>
    <t>43 Dubray Avenue, North York, ON M3K 1V6</t>
  </si>
  <si>
    <t>MMJW0688</t>
  </si>
  <si>
    <t>Ederlyn Esguerra</t>
  </si>
  <si>
    <t>6499 Lisgar Dr, Mississauga, ON L5N 6X2</t>
  </si>
  <si>
    <t>Angelito</t>
  </si>
  <si>
    <t>For Angelito</t>
  </si>
  <si>
    <t>MMJW0689</t>
  </si>
  <si>
    <t>Edith Okelue</t>
  </si>
  <si>
    <t>#401 1711 Pure Springs Blvd, Pickering, ON L1X 0E3</t>
  </si>
  <si>
    <t>MMJW0690</t>
  </si>
  <si>
    <t>Edlyn Salas</t>
  </si>
  <si>
    <t>1155 Shadeland Dr, Mississauga, ON L5C 1P2</t>
  </si>
  <si>
    <t>MMJW0691</t>
  </si>
  <si>
    <t>dwein@hotmail.com</t>
  </si>
  <si>
    <t>Amado Abuel</t>
  </si>
  <si>
    <t>MMJW0692</t>
  </si>
  <si>
    <t>Eduardo Ang</t>
  </si>
  <si>
    <t>MMJW0693</t>
  </si>
  <si>
    <t>Eduardo Butler Flores</t>
  </si>
  <si>
    <t>MMJW0694</t>
  </si>
  <si>
    <t>Egbule Fannie Chinyere</t>
  </si>
  <si>
    <t>fanniecalmcy558@gmail.com</t>
  </si>
  <si>
    <t>MMJW0695</t>
  </si>
  <si>
    <t>#430 105 The Pond Rd, North York, ON M3J 0K9</t>
  </si>
  <si>
    <t>MMJW0696</t>
  </si>
  <si>
    <t>Elham Yimam Mohammed</t>
  </si>
  <si>
    <t>MMJW0697</t>
  </si>
  <si>
    <t>#98 145 Rice Avenue, Hamilton, Ontario L9C 6R3</t>
  </si>
  <si>
    <t>MMJW0698</t>
  </si>
  <si>
    <t>Elizabeth Ofori</t>
  </si>
  <si>
    <t>#1701 215 Markham Rd Scarborough, ON M1J 3C3</t>
  </si>
  <si>
    <t>MMJW0699</t>
  </si>
  <si>
    <t>285 Buller St, Woodstock, ON N4S 4M6</t>
  </si>
  <si>
    <t>MMJW0700</t>
  </si>
  <si>
    <t>Emilia Sarmiento Cariaga</t>
  </si>
  <si>
    <t>MMJW0701</t>
  </si>
  <si>
    <t>Emiliano Pascua Jr</t>
  </si>
  <si>
    <t>#103 6040 Bathurst St, Toronto, ON M2R 2A1</t>
  </si>
  <si>
    <t>MMJW0702</t>
  </si>
  <si>
    <t>Emilie Ashton</t>
  </si>
  <si>
    <t>#8 594 Durham Crescent, Woodstock, ON N4S 5X3</t>
  </si>
  <si>
    <t>MMJW0703</t>
  </si>
  <si>
    <t>MMJW0704</t>
  </si>
  <si>
    <t>MMJW0705</t>
  </si>
  <si>
    <t>Emir Ramic</t>
  </si>
  <si>
    <t>MMJW0706</t>
  </si>
  <si>
    <t>Emmah Wangui</t>
  </si>
  <si>
    <t>3429 W 41st Ave, Vancouver, BC V6N 3E5</t>
  </si>
  <si>
    <t>MMJW0707</t>
  </si>
  <si>
    <t>Emmanuel Marvin Villanueva</t>
  </si>
  <si>
    <t>112 Purvis Crescent Scarborough ON M1B 1H9</t>
  </si>
  <si>
    <t>MMJW0708</t>
  </si>
  <si>
    <t>Emmanuel Okumu</t>
  </si>
  <si>
    <t>1889 Carling Ave Ottawa ON K2A 1E6</t>
  </si>
  <si>
    <t>MMJW0709</t>
  </si>
  <si>
    <t>51 Gurr Crescent, Ajax, ON L1T 2P3</t>
  </si>
  <si>
    <t>ihotu11@gmail.com</t>
  </si>
  <si>
    <t>MMJW0710</t>
  </si>
  <si>
    <t>Erick Francisco Menjivar Ramírez</t>
  </si>
  <si>
    <t>#7 10 Deerfield Dr, Nepean, ON K2G 3R6</t>
  </si>
  <si>
    <t>MMJW0711</t>
  </si>
  <si>
    <t>Erlinda B. Elento</t>
  </si>
  <si>
    <t>#2406 110 River St Toronto ON M5A 0N3</t>
  </si>
  <si>
    <t>Carmela, Ever</t>
  </si>
  <si>
    <t>For Ever and Carmela</t>
  </si>
  <si>
    <t>MMJW0712</t>
  </si>
  <si>
    <t>Ern Marc Cabreros</t>
  </si>
  <si>
    <t>#423 1780 Eglinton Ave E, North York, ON M4A 2T2</t>
  </si>
  <si>
    <t>MMJW0713</t>
  </si>
  <si>
    <t>5975 Sidmouth St, Mississauga, ON L5V 2Z4</t>
  </si>
  <si>
    <t>Jun, Ernesto Gampon</t>
  </si>
  <si>
    <t>MMJW0714</t>
  </si>
  <si>
    <t>Ervin Garcia</t>
  </si>
  <si>
    <t>#95A 83 Borough Dr, Scarborough, ON M1P 5E4</t>
  </si>
  <si>
    <t>MMJW0715</t>
  </si>
  <si>
    <t>#508 410 King St W, Kitchener, ON N2G 1C3</t>
  </si>
  <si>
    <t>MMJW0716</t>
  </si>
  <si>
    <t>38 Willowbrook Rd, Thornhill, ON L3T 4W9</t>
  </si>
  <si>
    <t>MMJW0717</t>
  </si>
  <si>
    <t>Eseosa Blessing Agbonlahor</t>
  </si>
  <si>
    <t>#806 1535 Alta Vista Dr, Ottawa, ON K1G 3N9</t>
  </si>
  <si>
    <t>MMJW0718</t>
  </si>
  <si>
    <t>Esha Rameshbhai Patoliya</t>
  </si>
  <si>
    <t>#802 85 Silver Springs Blvd, Toronto, ON M1V 1W3</t>
  </si>
  <si>
    <t>MMJW0719</t>
  </si>
  <si>
    <t>Estefania Cardona</t>
  </si>
  <si>
    <t>241 Ridgepark Private, Ottawa, ON K2G 1H1</t>
  </si>
  <si>
    <t>MMJW0720</t>
  </si>
  <si>
    <t>Esther Purja Pun</t>
  </si>
  <si>
    <t>89 Danzatore Path, Oshawa, ON L1L 0P9</t>
  </si>
  <si>
    <t>MMJW0721</t>
  </si>
  <si>
    <t>MMJW0722</t>
  </si>
  <si>
    <t>Eunice Erika Tolentino</t>
  </si>
  <si>
    <t>149 Rouge River Dr, Scarborough, ON M1B 6G2</t>
  </si>
  <si>
    <t>MMJW0723</t>
  </si>
  <si>
    <t>Eunice Murugi Irungu</t>
  </si>
  <si>
    <t>5 Halkirk Ave, Stittsville, ON K2V 1B1</t>
  </si>
  <si>
    <t>MMJW0724</t>
  </si>
  <si>
    <t>#2 84 Beausoleil Dr, Ottawa, ON K1N 7V5</t>
  </si>
  <si>
    <t>eunice88sammy@gmail.com</t>
  </si>
  <si>
    <t>MMJW0725</t>
  </si>
  <si>
    <t>Eva Pintor</t>
  </si>
  <si>
    <t>#401 544 Birchmount Rd, Scarborough, ON M1K 1P3</t>
  </si>
  <si>
    <t>MMJW0726</t>
  </si>
  <si>
    <t>Evgeniya Kim</t>
  </si>
  <si>
    <t>PH18 36 Lisgar St, Toronto, ON M6J 0A9</t>
  </si>
  <si>
    <t>MMJW0727</t>
  </si>
  <si>
    <t>Fadahunsi Gideon Yemi</t>
  </si>
  <si>
    <t>43 Clappison Blvd, Scarborough, ON M1C 2G8</t>
  </si>
  <si>
    <t>MMJW0728</t>
  </si>
  <si>
    <t>Faith dela Cruz</t>
  </si>
  <si>
    <t>MMJW0729</t>
  </si>
  <si>
    <t>Faith Marie Densing</t>
  </si>
  <si>
    <t>Jefferson Estoy</t>
  </si>
  <si>
    <t>For Jefferson Estoy</t>
  </si>
  <si>
    <t>MMJW0730</t>
  </si>
  <si>
    <t>Faith Mason</t>
  </si>
  <si>
    <t>#78 60 Chisholm St Orangeville ON L9W 4P9</t>
  </si>
  <si>
    <t>MMJW0731</t>
  </si>
  <si>
    <t>Falila Razak</t>
  </si>
  <si>
    <t>#1096 Chapman Mills Drive Ottawa ON K2J 6P6</t>
  </si>
  <si>
    <t>MMJW0732</t>
  </si>
  <si>
    <t>Farhia Abdikarim Mohamud</t>
  </si>
  <si>
    <t>#119 1170 Fisher Ave, Ottawa, ON K1Z 5R7</t>
  </si>
  <si>
    <t>MMJW0733</t>
  </si>
  <si>
    <t>#405 180 Lees Ave, Ottawa, ON K1S 5J6</t>
  </si>
  <si>
    <t>fatouma.traore410@gmail.com</t>
  </si>
  <si>
    <t>MMJW0734</t>
  </si>
  <si>
    <t>Fay Terese D. Mattus</t>
  </si>
  <si>
    <t>8039 Aintree Drive Niagara Falls, ON L2H 1V3</t>
  </si>
  <si>
    <t>MMJW0735</t>
  </si>
  <si>
    <t>Faysal Mohammed Rashid</t>
  </si>
  <si>
    <t>#301 1240 Donald St, Gloucester, ON K1J 8R7</t>
  </si>
  <si>
    <t>MMJW0736</t>
  </si>
  <si>
    <t>Feliciano Abby Lasin</t>
  </si>
  <si>
    <t>5415 Huron St Niagara Falls ON L2E 2K5</t>
  </si>
  <si>
    <t>MMJW0737</t>
  </si>
  <si>
    <t>Felix Geroges Zenker</t>
  </si>
  <si>
    <t>#920 1339 Meadowlands Dr Ottawa ON K2E 7B4</t>
  </si>
  <si>
    <t>MMJW0738</t>
  </si>
  <si>
    <t>Felix Nonnatus Tracy Sarno</t>
  </si>
  <si>
    <t>#37 2825 Gananoque Dr, Mississauga, ON L5N 1V6</t>
  </si>
  <si>
    <t>MMJW0739</t>
  </si>
  <si>
    <t>Feluvin Jayawon Macasiljig</t>
  </si>
  <si>
    <t>6330 Monroe St, Niagara Falls, ON L2G 2G8</t>
  </si>
  <si>
    <t>MMJW0740</t>
  </si>
  <si>
    <t>Flor De Liz Leung</t>
  </si>
  <si>
    <t>allanflordeliz25@gmail.com</t>
  </si>
  <si>
    <t>MMJW0741</t>
  </si>
  <si>
    <t>MMJW0742</t>
  </si>
  <si>
    <t>Florence Perez</t>
  </si>
  <si>
    <t>18 Dignam Ct, Scarborough, ON M1J 2C5</t>
  </si>
  <si>
    <t>MMJW0743</t>
  </si>
  <si>
    <t>Cristy Semblante</t>
  </si>
  <si>
    <t>For Cristy Semblante</t>
  </si>
  <si>
    <t>MMJW0744</t>
  </si>
  <si>
    <t>Fraichel Feliciano</t>
  </si>
  <si>
    <t>8 Bon Echo Ct, Scarborough, ON M1B 6C3</t>
  </si>
  <si>
    <t>MMJW0745</t>
  </si>
  <si>
    <t>Frances Grace G. Perez</t>
  </si>
  <si>
    <t>MMJW0746</t>
  </si>
  <si>
    <t>Franklin Joel Iloke</t>
  </si>
  <si>
    <t>12 Proud Grove, Scarborough, ON M1B 1S2</t>
  </si>
  <si>
    <t>MMJW0747</t>
  </si>
  <si>
    <t>36 Tobosa Trail, Brampton, ON L6R 2B4</t>
  </si>
  <si>
    <t>MMJW0748</t>
  </si>
  <si>
    <t>5832 Raftsman Cove, Mississauga, ON L5M 6N9</t>
  </si>
  <si>
    <t>MMJW0749</t>
  </si>
  <si>
    <t>2297 Walsh Ave, Ottawa, ON K2B 7C1</t>
  </si>
  <si>
    <t>MMJW0750</t>
  </si>
  <si>
    <t>Gaurav Pareshkumar Rana</t>
  </si>
  <si>
    <t>79 Anderson Rd, Brantford, ON N3T 0V3</t>
  </si>
  <si>
    <t>MMJW0751</t>
  </si>
  <si>
    <t>4109 Robin Avenue Niagara Falls ON L2H 2P3</t>
  </si>
  <si>
    <t>MMJW0752</t>
  </si>
  <si>
    <t>Genie Rose Nunez</t>
  </si>
  <si>
    <t>#29 189 Springhead Gardens Richmond Hill ON L4C 5C7</t>
  </si>
  <si>
    <t>MMJW0753</t>
  </si>
  <si>
    <t>George Njoroge</t>
  </si>
  <si>
    <t>MMJW0754</t>
  </si>
  <si>
    <t>Gerome Balote</t>
  </si>
  <si>
    <t>MMJW0755</t>
  </si>
  <si>
    <t>#1111 95 Trailwood Dr, Mississauga, ON L4Z 3L2</t>
  </si>
  <si>
    <t>MMJW0756</t>
  </si>
  <si>
    <t>MMJW0757</t>
  </si>
  <si>
    <t>Gihoza Mbabazi Herve</t>
  </si>
  <si>
    <t>MMJW0758</t>
  </si>
  <si>
    <t>Giladio G. Café</t>
  </si>
  <si>
    <t>#1112 6171 Bathurst St, Toronto, ON M2R 1Z6</t>
  </si>
  <si>
    <t>Jojo</t>
  </si>
  <si>
    <t>For Jojo</t>
  </si>
  <si>
    <t>MMJW0759</t>
  </si>
  <si>
    <t>56 Steeles Ave E Thornhill ON L3T 1A2</t>
  </si>
  <si>
    <t>MMJW0760</t>
  </si>
  <si>
    <t>#42 50 Verne Cres, Scarborough, ON M1B 2X1</t>
  </si>
  <si>
    <t>MMJW0761</t>
  </si>
  <si>
    <t>Giramata Esther</t>
  </si>
  <si>
    <t>MMJW0762</t>
  </si>
  <si>
    <t>Girish Vashist</t>
  </si>
  <si>
    <t>MMJW0763</t>
  </si>
  <si>
    <t>#301D 1720 Baseline Road, Ottawa, ON K2C 0B9</t>
  </si>
  <si>
    <t>MMJW0764</t>
  </si>
  <si>
    <t>Gisille Capitan</t>
  </si>
  <si>
    <t>#1055 193 Dundas St East Mississauga, ON L4Y 3X6</t>
  </si>
  <si>
    <t>Chloe</t>
  </si>
  <si>
    <t>For Chloe</t>
  </si>
  <si>
    <t>MMJW0765</t>
  </si>
  <si>
    <t>Glaiza Rivas</t>
  </si>
  <si>
    <t>1142 Brantford Highway 24 Cambridge ON N1R 5S6</t>
  </si>
  <si>
    <t>MMJW0766</t>
  </si>
  <si>
    <t>Uyglenn5@gmail.com</t>
  </si>
  <si>
    <t>MMJW0767</t>
  </si>
  <si>
    <t>Glycy A. Maliksi</t>
  </si>
  <si>
    <t>3217 Erin Centre Blvd, Mississauga, ON L5M 7T9</t>
  </si>
  <si>
    <t>MMJW0768</t>
  </si>
  <si>
    <t>Glynnet D. Emata</t>
  </si>
  <si>
    <t>70 Lafayette Dr, St. Catharines, ON L2N 6C4</t>
  </si>
  <si>
    <t>MMJW0769</t>
  </si>
  <si>
    <t>MMJW0770</t>
  </si>
  <si>
    <t>Gourav Parui</t>
  </si>
  <si>
    <t>#1 17 Fir St, Waterloo, ON N2L 3H8</t>
  </si>
  <si>
    <t>MMJW0771</t>
  </si>
  <si>
    <t>Gowtham Chandran</t>
  </si>
  <si>
    <t>#2 1094 College St, Toronto, ON M6H 1B3</t>
  </si>
  <si>
    <t>MMJW0772</t>
  </si>
  <si>
    <t>Grace Araneta</t>
  </si>
  <si>
    <t>For Rey</t>
  </si>
  <si>
    <t>MMJW0773</t>
  </si>
  <si>
    <t>Grace Hipona</t>
  </si>
  <si>
    <t>#15 50 Blackwell Ave, Scarborough, ON M1B 1K2</t>
  </si>
  <si>
    <t>MMJW0774</t>
  </si>
  <si>
    <t>Grace Portem</t>
  </si>
  <si>
    <t>66 Abbotsbury Dr, Brampton, ON L6X 0S4</t>
  </si>
  <si>
    <t>MMJW0775</t>
  </si>
  <si>
    <t>#5 80 Strathaven Dr, Mississauga, ON L5R 3V9</t>
  </si>
  <si>
    <t>greggycp@gmail.com</t>
  </si>
  <si>
    <t>MMJW0776</t>
  </si>
  <si>
    <t>101 Granada Crescent, Scarborough, ON M1B 2H6</t>
  </si>
  <si>
    <t>MMJW0777</t>
  </si>
  <si>
    <t>Gurjit Singh Atwal</t>
  </si>
  <si>
    <t>165 Tamarack Blvd, Woodstock, ON N4S 0E2</t>
  </si>
  <si>
    <t>MMJW0778</t>
  </si>
  <si>
    <t>Gurjit Singh Kang</t>
  </si>
  <si>
    <t>17 Great Oak Ct, Brampton, ON L6S 2J9</t>
  </si>
  <si>
    <t>MMJW0779</t>
  </si>
  <si>
    <t>Gurnam Singh Gill</t>
  </si>
  <si>
    <t>3 Sportsman Hill St, Kitchener, ON N2P 0J2</t>
  </si>
  <si>
    <t>MMJW0780</t>
  </si>
  <si>
    <t>Gurparteek Singh</t>
  </si>
  <si>
    <t>70 Routley St, Kitchener, ON N2R 0S2</t>
  </si>
  <si>
    <t>MMJW0781</t>
  </si>
  <si>
    <t>Gurpreet Singh Pal</t>
  </si>
  <si>
    <t>69 Amherst Dr, Kitchener, ON N2P 1E1</t>
  </si>
  <si>
    <t>MMJW0782</t>
  </si>
  <si>
    <t>Gursewak Singh</t>
  </si>
  <si>
    <t>3125 Rankin Ave, Windsor, ON N9E 3B8</t>
  </si>
  <si>
    <t>MMJW0783</t>
  </si>
  <si>
    <t>Gursimranjit Kaur</t>
  </si>
  <si>
    <t>3790 Teeswater Rd, Mississauga, ON L4T 2A4</t>
  </si>
  <si>
    <t>MMJW0784</t>
  </si>
  <si>
    <t>Gursirat Kaur</t>
  </si>
  <si>
    <t>#47 200 Malta Ave., Brampton, ON L6Y 6H8</t>
  </si>
  <si>
    <t>MMJW0785</t>
  </si>
  <si>
    <t>Gurvir Magar</t>
  </si>
  <si>
    <t>90 Cherrytree Dr, Brampton, ON L6Y 3P9</t>
  </si>
  <si>
    <t>MMJW0786</t>
  </si>
  <si>
    <t>Gybson Ntirampeba</t>
  </si>
  <si>
    <t>#11 1408 Meadowbrook Rd. Ottawa ON K1B 1B4</t>
  </si>
  <si>
    <t>Chadrack</t>
  </si>
  <si>
    <t>For Chadrack</t>
  </si>
  <si>
    <t>MMJW0787</t>
  </si>
  <si>
    <t>Hakeem Bakare</t>
  </si>
  <si>
    <t>22 Metropolitan Rd, Scarborough, ON M1R 2T6</t>
  </si>
  <si>
    <t>MMJW0788</t>
  </si>
  <si>
    <t>Halit Yon</t>
  </si>
  <si>
    <t>MMJW0789</t>
  </si>
  <si>
    <t>Hamza Afridi</t>
  </si>
  <si>
    <t>6844 Stokes St, Niagara Falls, ON L2G 2H3</t>
  </si>
  <si>
    <t>MMJW0790</t>
  </si>
  <si>
    <t>Hamza Sango</t>
  </si>
  <si>
    <t>19 Greenholm Circuit, Scarborough, ON M1G 1V3</t>
  </si>
  <si>
    <t>MMJW0791</t>
  </si>
  <si>
    <t>Hardik Joshi</t>
  </si>
  <si>
    <t>7324 Village Walk, Mississauga, ON L5W 1X6</t>
  </si>
  <si>
    <t>MMJW0792</t>
  </si>
  <si>
    <t>Hardip Singh</t>
  </si>
  <si>
    <t>716 Rosedale Ave, Windsor, ON N9C 2N8</t>
  </si>
  <si>
    <t>MMJW0793</t>
  </si>
  <si>
    <t>Harin Tarunbhai Patel</t>
  </si>
  <si>
    <t>#1314 60 Frederick St, Kitchener, ON N2H 0C7</t>
  </si>
  <si>
    <t>MMJW0794</t>
  </si>
  <si>
    <t>Harjeet Singh</t>
  </si>
  <si>
    <t>1039 Campbell Ave, Windsor, ON N9B 2J4</t>
  </si>
  <si>
    <t>MMJW0795</t>
  </si>
  <si>
    <t>Harji Singh</t>
  </si>
  <si>
    <t>MMJW0796</t>
  </si>
  <si>
    <t>Harjot Kaur</t>
  </si>
  <si>
    <t>10 Verity Ct., Brampton, ON L6Y 2L7</t>
  </si>
  <si>
    <t>MMJW0797</t>
  </si>
  <si>
    <t>7086 Darcel Ave, Mississauga, ON L4T 2W9</t>
  </si>
  <si>
    <t>MMJW0798</t>
  </si>
  <si>
    <t>Harlan Gumapas</t>
  </si>
  <si>
    <t>1784 Bainbridge Dr, Pickering, ON L1V 6L8</t>
  </si>
  <si>
    <t>MMJW0799</t>
  </si>
  <si>
    <t>Harley David Futalan</t>
  </si>
  <si>
    <t>165 Ottawa St N, Kitchener, ON N2H 3K7</t>
  </si>
  <si>
    <t>Jo Anne, Rojelisa</t>
  </si>
  <si>
    <t>For Jo Anne and Rojelisa</t>
  </si>
  <si>
    <t>MMJW0800</t>
  </si>
  <si>
    <t>Harman Singh</t>
  </si>
  <si>
    <t>3641 Crabtree Crescent Mississauga ON L4T 1S7</t>
  </si>
  <si>
    <t>MMJW0801</t>
  </si>
  <si>
    <t>71 Michigan Ave, Brampton, ON L6Y 4P1</t>
  </si>
  <si>
    <t>harpreetaujla2014@gmail.com</t>
  </si>
  <si>
    <t>MMJW0802</t>
  </si>
  <si>
    <t>Harpreet Kaur.</t>
  </si>
  <si>
    <t>50 Lockton Crescent, Brampton, ON L6W 1C3</t>
  </si>
  <si>
    <t>MMJW0803</t>
  </si>
  <si>
    <t>Harprit Singh</t>
  </si>
  <si>
    <t>harprit_chohan@yahoo.com</t>
  </si>
  <si>
    <t>MMJW0804</t>
  </si>
  <si>
    <t>Harsh Grover</t>
  </si>
  <si>
    <t>#A415 200 Old Carriage Dr, Kitchener N2P 0C7</t>
  </si>
  <si>
    <t>MMJW0805</t>
  </si>
  <si>
    <t>Harsh Rajeshbhai Bhosle</t>
  </si>
  <si>
    <t>246 Hill Crest Road, Cambridge, ON N3H 1B2</t>
  </si>
  <si>
    <t>MMJW0806</t>
  </si>
  <si>
    <t>Harshita Talwar</t>
  </si>
  <si>
    <t>2075 Hallandale St, Oshawa, ON L1L 0T4</t>
  </si>
  <si>
    <t>MMJW0807</t>
  </si>
  <si>
    <t>Harsimar Kaur</t>
  </si>
  <si>
    <t>MMJW0808</t>
  </si>
  <si>
    <t>Haydee Clare Manuel</t>
  </si>
  <si>
    <t>#515 6030 Bathurst St, North York, ON M2R 1Z9</t>
  </si>
  <si>
    <t>MMJW0809</t>
  </si>
  <si>
    <t>Hazel De Fiesta</t>
  </si>
  <si>
    <t>5 Leameadow Way, Scarborough, ON M1B 2P2</t>
  </si>
  <si>
    <t>MMJW0810</t>
  </si>
  <si>
    <t>Hazel Durban</t>
  </si>
  <si>
    <t>117B Centennial Residence 937 Progress Ave, Scarborough, ON M1G 3T8</t>
  </si>
  <si>
    <t>MMJW0811</t>
  </si>
  <si>
    <t>Hazel Venzon</t>
  </si>
  <si>
    <t>98 Millcar Dr Scarborough ON M1B 6G6</t>
  </si>
  <si>
    <t>MMJW0812</t>
  </si>
  <si>
    <t>Heaven Joseph Ziggy Lagmay</t>
  </si>
  <si>
    <t>471 Templemead Dr, Hamilton, ON L8W 3K6</t>
  </si>
  <si>
    <t>MMJW0813</t>
  </si>
  <si>
    <t>Heida Spoelstra</t>
  </si>
  <si>
    <t>#2 44 Robinson St, Simcoe, ON N3Y 1W6</t>
  </si>
  <si>
    <t>Sneha</t>
  </si>
  <si>
    <t>For Sneha</t>
  </si>
  <si>
    <t>MMJW0814</t>
  </si>
  <si>
    <t>Heide Favor</t>
  </si>
  <si>
    <t>MMJW0815</t>
  </si>
  <si>
    <t>MMJW0816</t>
  </si>
  <si>
    <t>MMJW0817</t>
  </si>
  <si>
    <t>Helen Owoma Onwujei</t>
  </si>
  <si>
    <t>35 Whistling Hills Dr, Scarborough, ON M1V 2B6</t>
  </si>
  <si>
    <t>MMJW0818</t>
  </si>
  <si>
    <t>Hellen Auma Musa</t>
  </si>
  <si>
    <t>295 Powell Ave, Ottawa, ON K1S 2A6</t>
  </si>
  <si>
    <t>MMJW0819</t>
  </si>
  <si>
    <t>Hennie Jardenico</t>
  </si>
  <si>
    <t>988 Alice St, Woodstock, ON N4S 8A9</t>
  </si>
  <si>
    <t>MMJW0820</t>
  </si>
  <si>
    <t>Henry Bermudez</t>
  </si>
  <si>
    <t>MMJW0821</t>
  </si>
  <si>
    <t>Henry Julian Bermudez Rojas</t>
  </si>
  <si>
    <t>#414 15 Roehampton Ave, Toronto, ON M4P 0C2</t>
  </si>
  <si>
    <t>MMJW0822</t>
  </si>
  <si>
    <t>Herra Leigh Versola</t>
  </si>
  <si>
    <t>131 Lilian Dr, Scarborough, ON M1R 3W6</t>
  </si>
  <si>
    <t>Jasmin</t>
  </si>
  <si>
    <t>For Jasmin</t>
  </si>
  <si>
    <t>MMJW0823</t>
  </si>
  <si>
    <t>Heslin Kainda Thoduka</t>
  </si>
  <si>
    <t>335 McEwen Dr, Kingston, ON K7M 3W2</t>
  </si>
  <si>
    <t>MMJW0824</t>
  </si>
  <si>
    <t>20 Deerfield Dr #1609, Nepean, ON K2G 4L1</t>
  </si>
  <si>
    <t>MMJW0825</t>
  </si>
  <si>
    <t>Himil Alpesh Soni</t>
  </si>
  <si>
    <t>61 Lentago Ave., Nepean Ottawa, ON K2J 7A1</t>
  </si>
  <si>
    <t>MMJW0826</t>
  </si>
  <si>
    <t>Hitanshu Patel</t>
  </si>
  <si>
    <t>175 Henhoeffer Crescent, Kitchener, ON N2E 4H1</t>
  </si>
  <si>
    <t>MMJW0827</t>
  </si>
  <si>
    <t>Hitarth Aashikbhai Vagadiya</t>
  </si>
  <si>
    <t>#2004 1 Fountainhead Rd, North York, ON M3J 1K6</t>
  </si>
  <si>
    <t>MMJW0828</t>
  </si>
  <si>
    <t>Holden Abarentos</t>
  </si>
  <si>
    <t>MMJW0829</t>
  </si>
  <si>
    <t>Homer Pasigpasigan</t>
  </si>
  <si>
    <t>PH03 10 Tobermory Drive North York ON M3N 2Y5</t>
  </si>
  <si>
    <t>MMJW0830</t>
  </si>
  <si>
    <t>Hope Mangye Longatie Massa</t>
  </si>
  <si>
    <t>19 Rosemund Crescent Kingston ON K7M 6Y8</t>
  </si>
  <si>
    <t>MMJW0831</t>
  </si>
  <si>
    <t>Hursulla Camara Da Rocha</t>
  </si>
  <si>
    <t>41 Milner Downs Crescent, Ottawa, ON K2M 2S3</t>
  </si>
  <si>
    <t>MMJW0832</t>
  </si>
  <si>
    <t>Ian Gin Lontoc</t>
  </si>
  <si>
    <t>332 Burrows Hall Blvd, Scarborough, ON M1B 1H7</t>
  </si>
  <si>
    <t>MMJW0833</t>
  </si>
  <si>
    <t>Ibrahim Jallow</t>
  </si>
  <si>
    <t>#1107 2750 Carousel Crescent, Ottawa, ON K1T 1Z5</t>
  </si>
  <si>
    <t>MMJW0834</t>
  </si>
  <si>
    <t>Idel Delfino</t>
  </si>
  <si>
    <t>MMJW0835</t>
  </si>
  <si>
    <t>Idris Oyejobi</t>
  </si>
  <si>
    <t>10 Nero Ct, Scarborough, ON M1K 4V5</t>
  </si>
  <si>
    <t>MMJW0836</t>
  </si>
  <si>
    <t>Ifunanya Lorraine Nnachi</t>
  </si>
  <si>
    <t>MMJW0837</t>
  </si>
  <si>
    <t>MMJW0838</t>
  </si>
  <si>
    <t>Imfurayase Cedric</t>
  </si>
  <si>
    <t>16 Rue du Nordet, Gatineau, QC J9A 3L7</t>
  </si>
  <si>
    <t>MMJW0839</t>
  </si>
  <si>
    <t>Imtiaz Jaria</t>
  </si>
  <si>
    <t>Deepak</t>
  </si>
  <si>
    <t>For Deepak</t>
  </si>
  <si>
    <t>MMJW0840</t>
  </si>
  <si>
    <t>Inderpreet Kaur</t>
  </si>
  <si>
    <t>34 Beaconsfield Ave, Brampton, ON L6Y 4S3</t>
  </si>
  <si>
    <t>MMJW0841</t>
  </si>
  <si>
    <t>Ingabire Sylvie</t>
  </si>
  <si>
    <t>768 Lakeridge Dr, Ottawa, ON K4A 0N3</t>
  </si>
  <si>
    <t>Sylvia</t>
  </si>
  <si>
    <t>For Sylvia</t>
  </si>
  <si>
    <t>MMJW0842</t>
  </si>
  <si>
    <t>Iqra Vitina</t>
  </si>
  <si>
    <t>197 Oakmeadow Blvd, Scarborough, ON M1E 4H7</t>
  </si>
  <si>
    <t>MMJW0843</t>
  </si>
  <si>
    <t>Iradukunda Karengera Tresor</t>
  </si>
  <si>
    <t>221 Rolling Meadow Crescent, Orléans, ON K1W 0A8</t>
  </si>
  <si>
    <t>MMJW0844</t>
  </si>
  <si>
    <t>Irakiza Laure Santhiana</t>
  </si>
  <si>
    <t>Appart 9, 43 Rue Claire, Gatineau, QC J8T 2G5</t>
  </si>
  <si>
    <t>MMJW0845</t>
  </si>
  <si>
    <t>Iriah Mirote</t>
  </si>
  <si>
    <t>35 Stonefield Crescent, Scarborough, ON M1E 4J4</t>
  </si>
  <si>
    <t>MMJW0846</t>
  </si>
  <si>
    <t>Itsel Isla</t>
  </si>
  <si>
    <t>MMJW0847</t>
  </si>
  <si>
    <t>Ivan Serrano</t>
  </si>
  <si>
    <t>90 Trellanock Ave, Scarborough, ON M1C 5B8</t>
  </si>
  <si>
    <t>MMJW0848</t>
  </si>
  <si>
    <t>Ivy Shayne Dela Cruz</t>
  </si>
  <si>
    <t>1359 Spring Garden Ct Mississauga, ON L5N 8K6</t>
  </si>
  <si>
    <t>MMJW0849</t>
  </si>
  <si>
    <t>Izunna David Ajaere</t>
  </si>
  <si>
    <t>5 Harty Crescent, Ajax, ON L1T 4E5</t>
  </si>
  <si>
    <t>ajaereizunnadavid@gmail.com</t>
  </si>
  <si>
    <t>MMJW0850</t>
  </si>
  <si>
    <t>Jackie Lyn Flores</t>
  </si>
  <si>
    <t>516 Park Rd S, Oshawa, ON L1J 4J5</t>
  </si>
  <si>
    <t>MMJW0851</t>
  </si>
  <si>
    <t>Jackielyne Penano</t>
  </si>
  <si>
    <t>215 Bellamy Road N Scarborough ON M1J 2L7</t>
  </si>
  <si>
    <t>MMJW0852</t>
  </si>
  <si>
    <t>Jacob Sebastian</t>
  </si>
  <si>
    <t>MMJW0853</t>
  </si>
  <si>
    <t>Jacqueline Arethea Ford Bah</t>
  </si>
  <si>
    <t>#409 2550 Lawrence Ave E, Toronto, ON M1P 4Z3</t>
  </si>
  <si>
    <t>MMJW0854</t>
  </si>
  <si>
    <t>Jacqueline Camille Respicio</t>
  </si>
  <si>
    <t>6 15 Balfour Cres Kitchener ON N2C 1Z6</t>
  </si>
  <si>
    <t>MMJW0855</t>
  </si>
  <si>
    <t>Jacqueline Williams</t>
  </si>
  <si>
    <t>111 Rosswell Dr, Courtice, ON L1E 3K1</t>
  </si>
  <si>
    <t>MMJW0856</t>
  </si>
  <si>
    <t>Jaden Delgado</t>
  </si>
  <si>
    <t>57 Alexmuir Blvd, Scarborough, ON M1V 1H3</t>
  </si>
  <si>
    <t>MMJW0857</t>
  </si>
  <si>
    <t>Jagjot Singh</t>
  </si>
  <si>
    <t>11 Grayson Crescent, Scarborough, ON M1B 5B4</t>
  </si>
  <si>
    <t>MMJW0858</t>
  </si>
  <si>
    <t>Jagtar Singh Ubhi</t>
  </si>
  <si>
    <t>106 Blair Creek Drive, Kitchener, ON N2P 0J1</t>
  </si>
  <si>
    <t>MMJW0859</t>
  </si>
  <si>
    <t>MMJW0860</t>
  </si>
  <si>
    <t>Jaime Vistro</t>
  </si>
  <si>
    <t>1130 Charlton Way Milton Ontario L9T 5Y8</t>
  </si>
  <si>
    <t>Monica</t>
  </si>
  <si>
    <t>For Monica</t>
  </si>
  <si>
    <t>MMJW0861</t>
  </si>
  <si>
    <t>Jairus Musico Fallarme</t>
  </si>
  <si>
    <t>MMJW0862</t>
  </si>
  <si>
    <t>Jamella Shabnam P. Nawaz</t>
  </si>
  <si>
    <t>41 Courville Coachway, North York, ON M2J 3V6</t>
  </si>
  <si>
    <t>MMJW0863</t>
  </si>
  <si>
    <t>James Brucal</t>
  </si>
  <si>
    <t>1025 Thimbleberry Circle, Oshawa, ON L1K 2H2</t>
  </si>
  <si>
    <t>Catherine Galla</t>
  </si>
  <si>
    <t>For Catherine Galla</t>
  </si>
  <si>
    <t>MMJW0864</t>
  </si>
  <si>
    <t>James John Iñido</t>
  </si>
  <si>
    <t>328A Wilson Ave, North York, ON M3H 1S9</t>
  </si>
  <si>
    <t>isiahkentarcay0@gmail.com</t>
  </si>
  <si>
    <t>MMJW0865</t>
  </si>
  <si>
    <t xml:space="preserve">#111 50 Cosburn Ave., East York, ON M4K 2G5 </t>
  </si>
  <si>
    <t>MMJW0866</t>
  </si>
  <si>
    <t>Jandira Vissolela Pedro da Costa</t>
  </si>
  <si>
    <t>MMJW0867</t>
  </si>
  <si>
    <t>Jane Alinaffe Nakyeyune</t>
  </si>
  <si>
    <t>475 Creekview Way, Gloucester, ON K1T 0J4</t>
  </si>
  <si>
    <t>MMJW0868</t>
  </si>
  <si>
    <t>Jane Etcobanez Esmana</t>
  </si>
  <si>
    <t>91 Markland Crescent Nepean ON K2G 5Z6</t>
  </si>
  <si>
    <t>MMJW0869</t>
  </si>
  <si>
    <t>Jannet Lubowa</t>
  </si>
  <si>
    <t>451 Brettonwood Ridge, Ottawa, ON K2T 0L1</t>
  </si>
  <si>
    <t>MMJW0870</t>
  </si>
  <si>
    <t>Janssen Portem</t>
  </si>
  <si>
    <t>MMJW0871</t>
  </si>
  <si>
    <t>Jansson Lagamayo</t>
  </si>
  <si>
    <t>#19 46 Mountainview Rd S, Georgetown, ON L7G 4K5</t>
  </si>
  <si>
    <t>Coson, Nora Lagamayo</t>
  </si>
  <si>
    <t>For Coson and Nora Lagamayo</t>
  </si>
  <si>
    <t>MMJW0872</t>
  </si>
  <si>
    <t>72 Cookview Dr, Brampton, ON L6R 3T7</t>
  </si>
  <si>
    <t>kjasbeer366@gmail.com</t>
  </si>
  <si>
    <t>MMJW0873</t>
  </si>
  <si>
    <t>74 Feather Reed Way, Brampton, ON L6R 2Z9</t>
  </si>
  <si>
    <t>MMJW0874</t>
  </si>
  <si>
    <t>Jashandeep Singh</t>
  </si>
  <si>
    <t>MMJW0875</t>
  </si>
  <si>
    <t>47 Horne Drive Brampton ON L6V 2V2</t>
  </si>
  <si>
    <t>For Jashan Turna</t>
  </si>
  <si>
    <t>MMJW0876</t>
  </si>
  <si>
    <t>29 Ashford Ct, Brampton, ON L6V 3E2</t>
  </si>
  <si>
    <t>jk8788064@gmail.com</t>
  </si>
  <si>
    <t>MMJW0877</t>
  </si>
  <si>
    <t>Jashanpreet Singh</t>
  </si>
  <si>
    <t>MMJW0878</t>
  </si>
  <si>
    <t>Jaskaran Singh</t>
  </si>
  <si>
    <t>MMJW0879</t>
  </si>
  <si>
    <t>108 Cleta Dr, Scarborough, ON M1K 3G7</t>
  </si>
  <si>
    <t>MMJW0880</t>
  </si>
  <si>
    <t>Jasmeet Kaur</t>
  </si>
  <si>
    <t>4625 Sussex Dr, Niagara Falls, ON L2E 6S1</t>
  </si>
  <si>
    <t>MMJW0881</t>
  </si>
  <si>
    <t>#404 3151 Jaguar Valley Dr, Mississauga, ON L5A 2H9</t>
  </si>
  <si>
    <t>MMJW0882</t>
  </si>
  <si>
    <t>Jasmin Malaqui Avisado</t>
  </si>
  <si>
    <t>844 Wilson Avenue North York</t>
  </si>
  <si>
    <t>MMJW0883</t>
  </si>
  <si>
    <t>Jasmin R. Pajalla</t>
  </si>
  <si>
    <t>#610 171 Lees Ave, Ottawa, ON K1S 5P3</t>
  </si>
  <si>
    <t>MMJW0884</t>
  </si>
  <si>
    <t>Jasmin Ramos</t>
  </si>
  <si>
    <t>#509 115 Hillcrest Ave, Mississauga, ON L5B 3Y9</t>
  </si>
  <si>
    <t>MMJW0885</t>
  </si>
  <si>
    <t>Jasper Legayada</t>
  </si>
  <si>
    <t>#3 3222 St Clair Ave E, Toronto, ON M1L 1V7</t>
  </si>
  <si>
    <t>MMJW0886</t>
  </si>
  <si>
    <t>Jasper Reyes</t>
  </si>
  <si>
    <t>RM 4005 Algonquin Residence 1385 Woodroffe Ave, Nepean, ON K2G 1V8</t>
  </si>
  <si>
    <t>MMJW0887</t>
  </si>
  <si>
    <t>Jaspreet Singh</t>
  </si>
  <si>
    <t>MMJW0888</t>
  </si>
  <si>
    <t>Jasreman Singh</t>
  </si>
  <si>
    <t>MMJW0889</t>
  </si>
  <si>
    <t>95 Parity Rd, Brampton, ON L6X 0E7</t>
  </si>
  <si>
    <t>MMJW0890</t>
  </si>
  <si>
    <t>Jay Pauline Florida</t>
  </si>
  <si>
    <t>#2 1476 Barton St. E, Hamilton, ON L8H 2W9</t>
  </si>
  <si>
    <t>MMJW0891</t>
  </si>
  <si>
    <t>Jaydee Solomo</t>
  </si>
  <si>
    <t>MMJW0892</t>
  </si>
  <si>
    <t>46 Field Thistle Dr Brampton ON L6R 3A6</t>
  </si>
  <si>
    <t>MMJW0893</t>
  </si>
  <si>
    <t>Jaykumar Sadaniya</t>
  </si>
  <si>
    <t>MMJW0894</t>
  </si>
  <si>
    <t>Jayna Marie de Castro 594 Dolly Bird Ln Mississauga ON L5W 1G7</t>
  </si>
  <si>
    <t>MMJW0895</t>
  </si>
  <si>
    <t>Jayrhald Verbo</t>
  </si>
  <si>
    <t>#838 10 St Dennis Dr North York, ON M3C 1G2</t>
  </si>
  <si>
    <t>MMJW0896</t>
  </si>
  <si>
    <t>Jayson Cabrera</t>
  </si>
  <si>
    <t>#9 131 Woodridge Crescent Nepean ON K2B 7T2</t>
  </si>
  <si>
    <t>MMJW0897</t>
  </si>
  <si>
    <t>Jayson Javier</t>
  </si>
  <si>
    <t>MMJW0898</t>
  </si>
  <si>
    <t>Jayson Santos</t>
  </si>
  <si>
    <t>MMJW0899</t>
  </si>
  <si>
    <t>Jayson Tolentino</t>
  </si>
  <si>
    <t>MMJW0900</t>
  </si>
  <si>
    <t>MMJW0901</t>
  </si>
  <si>
    <t>MMJW0902</t>
  </si>
  <si>
    <t>Jeanine Irankunda</t>
  </si>
  <si>
    <t>MMJW0903</t>
  </si>
  <si>
    <t>#110 155 Antibes Dr, North York, ON M2R 3G7</t>
  </si>
  <si>
    <t>MMJW0904</t>
  </si>
  <si>
    <t>Jelin Cuizon</t>
  </si>
  <si>
    <t>62 751 Steeles Ave W, North York, ON M2R 2S5</t>
  </si>
  <si>
    <t>Mark Morris Manampan</t>
  </si>
  <si>
    <t>For Mark Morris Manampan</t>
  </si>
  <si>
    <t>MMJW0905</t>
  </si>
  <si>
    <t>#96 14 London Green Court North York ON M3N 1K2</t>
  </si>
  <si>
    <t>MMJW0906</t>
  </si>
  <si>
    <t>c/o Laurentian University SSR M24 935 Ramsey Lake Rd Sudbury ON P3E 6B8</t>
  </si>
  <si>
    <t>MMJW0907</t>
  </si>
  <si>
    <t>Jennifer Okoli</t>
  </si>
  <si>
    <t>368 Berrigan Dr, Nepean, ON K2J 4Z9</t>
  </si>
  <si>
    <t>MMJW0908</t>
  </si>
  <si>
    <t>MMJW0909</t>
  </si>
  <si>
    <t>Jennifer Vessie</t>
  </si>
  <si>
    <t>420 Eleventh St West, #1 Cornwall, ON K6J 3B8</t>
  </si>
  <si>
    <t>MMJW0910</t>
  </si>
  <si>
    <t>Jenny Rulloda</t>
  </si>
  <si>
    <t>30 Redpath Dr, Ottawa, ON K2G 6E4</t>
  </si>
  <si>
    <t>MMJW0911</t>
  </si>
  <si>
    <t>Jercelie C Ipac</t>
  </si>
  <si>
    <t>1279 Albany Dr, Ottawa, ON K2C 2L7</t>
  </si>
  <si>
    <t>Jercelie, Yves</t>
  </si>
  <si>
    <t>For Jercelie and Yves</t>
  </si>
  <si>
    <t>MMJW0912</t>
  </si>
  <si>
    <t>Jeremie Lewis Lamadeline</t>
  </si>
  <si>
    <t>9 Mountshannon Dr, Ottawa, ON K2J 4B8</t>
  </si>
  <si>
    <t>Marie Dufour</t>
  </si>
  <si>
    <t>For Marie Dufour</t>
  </si>
  <si>
    <t>MMJW0913</t>
  </si>
  <si>
    <t>Jeric Bryan Trasga</t>
  </si>
  <si>
    <t>#1809 555 A Sherbourne St, Toronto, ON M4X 0A2</t>
  </si>
  <si>
    <t>MMJW0914</t>
  </si>
  <si>
    <t>Jerick Paraso</t>
  </si>
  <si>
    <t>#3 2979 Lawrence Ave E Scarborough ON M1P 2V6</t>
  </si>
  <si>
    <t>MMJW0915</t>
  </si>
  <si>
    <t>293 La Rose Ave, Etobicoke, ON M9P 1B8</t>
  </si>
  <si>
    <t>MMJW0916</t>
  </si>
  <si>
    <t>#209 217 Morningside Ave Scarborough ON M1E 3E4</t>
  </si>
  <si>
    <t>MMJW0917</t>
  </si>
  <si>
    <t>Jeruz Teodoro</t>
  </si>
  <si>
    <t>Ejiro Olori, Lara, Ralf</t>
  </si>
  <si>
    <t>For Ejiro Olori, Lara and Ralf</t>
  </si>
  <si>
    <t>MMJW0918</t>
  </si>
  <si>
    <t>Jessa R. Perez Dimen</t>
  </si>
  <si>
    <t>625 523 Finch Ave W, North York, ON M2R 1N4</t>
  </si>
  <si>
    <t>For John Benedict</t>
  </si>
  <si>
    <t>MMJW0919</t>
  </si>
  <si>
    <t>Jessanneil C. Calizar</t>
  </si>
  <si>
    <t>37 Levitt Ct, North York, ON M2R 3P8</t>
  </si>
  <si>
    <t>MMJW0920</t>
  </si>
  <si>
    <t>Jessica Joy Rea</t>
  </si>
  <si>
    <t>MMJW0921</t>
  </si>
  <si>
    <t>Jessica Martin</t>
  </si>
  <si>
    <t>21 Martin Rd, Akwesasne, ON K6H 5R7</t>
  </si>
  <si>
    <t>MMJW0922</t>
  </si>
  <si>
    <t>Jessie Benas Barroga</t>
  </si>
  <si>
    <t>154 Grandravine Dr, Toronto, ON M3J 1B5</t>
  </si>
  <si>
    <t>MMJW0923</t>
  </si>
  <si>
    <t>Jester Coloma</t>
  </si>
  <si>
    <t>17 Tedder Street North York ON M6M 4W9</t>
  </si>
  <si>
    <t>MMJW0924</t>
  </si>
  <si>
    <t>Jesus Aranda</t>
  </si>
  <si>
    <t>594 Dolly Bird Lane Mississauga, ON L5W 1G7</t>
  </si>
  <si>
    <t>MMJW0925</t>
  </si>
  <si>
    <t>Jhon Leinard Malunay</t>
  </si>
  <si>
    <t>Edward</t>
  </si>
  <si>
    <t>For Edward. Not used 08-27-2025</t>
  </si>
  <si>
    <t>MMJW0926</t>
  </si>
  <si>
    <t>Jhon Roice Artacho</t>
  </si>
  <si>
    <t>6291 Edenwood Dr, Mississauga, ON L5N 3B6</t>
  </si>
  <si>
    <t>MMJW0927</t>
  </si>
  <si>
    <t>Jhurell Urian</t>
  </si>
  <si>
    <t>702 18 Steeles Ave East Thornhill ON L3T 1A1</t>
  </si>
  <si>
    <t>MMJW0928</t>
  </si>
  <si>
    <t>Jilette Real</t>
  </si>
  <si>
    <t>9488 Sheppard Ave E Scarborough ON M1B 5Z4</t>
  </si>
  <si>
    <t>MMJW0929</t>
  </si>
  <si>
    <t>Jiltch Micho Lacar</t>
  </si>
  <si>
    <t>104 Cole Crescent, Niagara on the Lake, ON L0S 1J0</t>
  </si>
  <si>
    <t>MMJW0930</t>
  </si>
  <si>
    <t>MMJW0931</t>
  </si>
  <si>
    <t>Jim Villaflores</t>
  </si>
  <si>
    <t>#107 1280 Bridletowne Cir, Toronto, ON M1W 2V4</t>
  </si>
  <si>
    <t>For Aika</t>
  </si>
  <si>
    <t>MMJW0932</t>
  </si>
  <si>
    <t>Jiwanjot Singh</t>
  </si>
  <si>
    <t>70 Routley St, Kitchener, ON N2E 3X8</t>
  </si>
  <si>
    <t>MMJW0933</t>
  </si>
  <si>
    <t>Joan Alagala</t>
  </si>
  <si>
    <t>#54 51 John Macdonell St, St. Catharines, ON L2T 4E4</t>
  </si>
  <si>
    <t>MMJW0934</t>
  </si>
  <si>
    <t>Joan Ann Marie Samuel</t>
  </si>
  <si>
    <t>12 Lavan Ln, Ajax, ON L1T 0H1</t>
  </si>
  <si>
    <t>MMJW0935</t>
  </si>
  <si>
    <t>Joan Marie Samuel</t>
  </si>
  <si>
    <t>MMJW0936</t>
  </si>
  <si>
    <t>Joan Tamayao</t>
  </si>
  <si>
    <t>#1010 3043 Finch Ave W, North York, ON M9M 0A4</t>
  </si>
  <si>
    <t>MMJW0937</t>
  </si>
  <si>
    <t>MMJW0938</t>
  </si>
  <si>
    <t>Joanah Mae Suba</t>
  </si>
  <si>
    <t>#504 25 Fisherville Rd, North York, ON M2R 3B7</t>
  </si>
  <si>
    <t>MMJW0939</t>
  </si>
  <si>
    <t>Jocelyn Reyno</t>
  </si>
  <si>
    <t>#18 15 Green Valley Dr Kitchener ON N2P 1K7</t>
  </si>
  <si>
    <t>MMJW0940</t>
  </si>
  <si>
    <t>Jodyan Wade</t>
  </si>
  <si>
    <t>PH 406 5785 Yonge St, North York, ON M2M 4J2</t>
  </si>
  <si>
    <t>MMJW0941</t>
  </si>
  <si>
    <t>Joel Alcantara Leynes</t>
  </si>
  <si>
    <t>56 McAllister Rd North York ON M3H 2N2</t>
  </si>
  <si>
    <t>MMJW0942</t>
  </si>
  <si>
    <t>Joey Mejorada</t>
  </si>
  <si>
    <t>MMJW0943</t>
  </si>
  <si>
    <t>Joey Rodriguez</t>
  </si>
  <si>
    <t>2340 Park Towers Ave, Mississauga, ON L5A 1P9</t>
  </si>
  <si>
    <t>MMJW0944</t>
  </si>
  <si>
    <t>Johanna Marie Dela Cruz</t>
  </si>
  <si>
    <t>MMJW0945</t>
  </si>
  <si>
    <t>203 Ryerson Crescent Oshawa, ON L1G 8A8</t>
  </si>
  <si>
    <t>MMJW0946</t>
  </si>
  <si>
    <t>John Carlo Borja</t>
  </si>
  <si>
    <t>195 Ferguson Dr, #6, Woodstock, ON N4V 1A4</t>
  </si>
  <si>
    <t>MMJW0947</t>
  </si>
  <si>
    <t>John Christian Ayubo</t>
  </si>
  <si>
    <t>57 Guildcrest Dr Scarborough ON M1E 1E2</t>
  </si>
  <si>
    <t>MMJW0948</t>
  </si>
  <si>
    <t>John Dominique Dumlao</t>
  </si>
  <si>
    <t>#211 30 St Dennis Dr, North York, ON M3C 1G4</t>
  </si>
  <si>
    <t>MMJW0949</t>
  </si>
  <si>
    <t>John Edmar Francis Martinez</t>
  </si>
  <si>
    <t>#11 70 Rue Saint Henri Gatineau Quebec J8X 2X9</t>
  </si>
  <si>
    <t>MMJW0950</t>
  </si>
  <si>
    <t>John Erween Rodriguez</t>
  </si>
  <si>
    <t>#701 6020 Bathurst St North York, ON M2R 1Z8</t>
  </si>
  <si>
    <t>MMJW0951</t>
  </si>
  <si>
    <t>John Lord J. Tan</t>
  </si>
  <si>
    <t>#1 1685 Baseline Rd , Ottawa, ON K2C 0B6</t>
  </si>
  <si>
    <t>MMJW0952</t>
  </si>
  <si>
    <t>John Marrol Reyes</t>
  </si>
  <si>
    <t>5956 Valley Way, Niagara Falls, ON L2E 1Y1</t>
  </si>
  <si>
    <t>MMJW0953</t>
  </si>
  <si>
    <t>#301D 1720 Baseline Road Ottawa Ontario K2C 0B9</t>
  </si>
  <si>
    <t>MMJW0954</t>
  </si>
  <si>
    <t>John Philip Duallo</t>
  </si>
  <si>
    <t>168 Fusilier Drive Hamilton ON L9B 2C8</t>
  </si>
  <si>
    <t>MMJW0955</t>
  </si>
  <si>
    <t>John Prakash</t>
  </si>
  <si>
    <t>MMJW0956</t>
  </si>
  <si>
    <t>John Rey Seraspi</t>
  </si>
  <si>
    <t>5823 Byng Ave, Niagara Falls, ON L2G 5E1</t>
  </si>
  <si>
    <t>John Rey, Louise</t>
  </si>
  <si>
    <t>For John Rey and Louise</t>
  </si>
  <si>
    <t>MMJW0957</t>
  </si>
  <si>
    <t>John Wesley Rombaoa</t>
  </si>
  <si>
    <t>MMJW0958</t>
  </si>
  <si>
    <t>Johnson Dardi</t>
  </si>
  <si>
    <t>MMJW0959</t>
  </si>
  <si>
    <t>Jojie David</t>
  </si>
  <si>
    <t>MMJW0960</t>
  </si>
  <si>
    <t>Jojo Guzman</t>
  </si>
  <si>
    <t>2405 Dress Circle Crescent, Oshawa, ON L1L 0L9</t>
  </si>
  <si>
    <t>MMJW0961</t>
  </si>
  <si>
    <t>Jonah Garcia</t>
  </si>
  <si>
    <t>1179 Southwood Dr, Ottawa, ON K2C 3C2</t>
  </si>
  <si>
    <t>For Paulo Garcia</t>
  </si>
  <si>
    <t>MMJW0962</t>
  </si>
  <si>
    <t>412 Dalgleish Trl, Hannon, ON L0R 1P0</t>
  </si>
  <si>
    <t>MMJW0963</t>
  </si>
  <si>
    <t>Jonan Salas</t>
  </si>
  <si>
    <t>17 Colborne Street Thornhill ON L3T 1Z4</t>
  </si>
  <si>
    <t>MMJW0964</t>
  </si>
  <si>
    <t>74 Angus Dr, Toronto, ON M2J 2X1</t>
  </si>
  <si>
    <t>jonasmacaspac03@gmail.com</t>
  </si>
  <si>
    <t>MMJW0965</t>
  </si>
  <si>
    <t>Jonathan Ndizeye</t>
  </si>
  <si>
    <t>#508 260 Rue Mutchmore, Gatineau, QC J8Y 3V3</t>
  </si>
  <si>
    <t>MMJW0966</t>
  </si>
  <si>
    <t>Jonifacio F. Biasca</t>
  </si>
  <si>
    <t>#409 3063 Kingsway Drive, Kitchener, ON N2C 1A9</t>
  </si>
  <si>
    <t>MMJW0967</t>
  </si>
  <si>
    <t>Jonjon Ular</t>
  </si>
  <si>
    <t>#109 1 Terraview Blvd, Toronto, ON M1R 4L5</t>
  </si>
  <si>
    <t>MMJW0968</t>
  </si>
  <si>
    <t>Joo Young Pae</t>
  </si>
  <si>
    <t>3E Crestlea Crescent, Nepean, ON K2G 4N1</t>
  </si>
  <si>
    <t>MMJW0969</t>
  </si>
  <si>
    <t>Jordanilo Sarili</t>
  </si>
  <si>
    <t>#1 1685 Baseline Rd, Ottawa, ON K2C 0Z6</t>
  </si>
  <si>
    <t>For Joanna Sarili</t>
  </si>
  <si>
    <t>MMJW0970</t>
  </si>
  <si>
    <t>Jorge Andres López Charry</t>
  </si>
  <si>
    <t>MMJW0971</t>
  </si>
  <si>
    <t>55 Beckwith Crescent, Markham, ON L3S 1R9</t>
  </si>
  <si>
    <t>jos.rodriguez2728@gmail.com</t>
  </si>
  <si>
    <t>Edgar</t>
  </si>
  <si>
    <t>MMJW0972</t>
  </si>
  <si>
    <t>Jose Bian Caesario Cardenas Suaring</t>
  </si>
  <si>
    <t>1 Terraview Blvd, Toronto, ON M1R 4L5</t>
  </si>
  <si>
    <t>Jose Bian, Joan Dano</t>
  </si>
  <si>
    <t>For Jose Bian and Joan Dano</t>
  </si>
  <si>
    <t>MMJW0973</t>
  </si>
  <si>
    <t>Jose Radam</t>
  </si>
  <si>
    <t>61 Hutcherson Square Scarborough ON M1B 1C5</t>
  </si>
  <si>
    <t>MMJW0974</t>
  </si>
  <si>
    <t>MMJW0975</t>
  </si>
  <si>
    <t>Joshua Baker Jean Baptiste</t>
  </si>
  <si>
    <t>8 Pommiers Private, Ottawa, ON K1K 4G8</t>
  </si>
  <si>
    <t>MMJW0976</t>
  </si>
  <si>
    <t>Joshua Maramba</t>
  </si>
  <si>
    <t>#2009 100 Wingarden Ct, Scarborough, ON M1B 2P4</t>
  </si>
  <si>
    <t>Jozie Sablada</t>
  </si>
  <si>
    <t>For Jozie Sablada</t>
  </si>
  <si>
    <t>MMJW0977</t>
  </si>
  <si>
    <t>Joshua Samson</t>
  </si>
  <si>
    <t>Oliver</t>
  </si>
  <si>
    <t>For Oliver</t>
  </si>
  <si>
    <t>MMJW0978</t>
  </si>
  <si>
    <t>Joshua Soares</t>
  </si>
  <si>
    <t>#524 122 A Bronte St. S, Milton, ON L9T 1Z1</t>
  </si>
  <si>
    <t>MMJW0979</t>
  </si>
  <si>
    <t>Josiah Tsebi</t>
  </si>
  <si>
    <t>#916 75 Silver Springs Blvd, Toronto, ON M1V 1W2</t>
  </si>
  <si>
    <t>MMJW0980</t>
  </si>
  <si>
    <t>Josma Muganzi Buyondo</t>
  </si>
  <si>
    <t>MMJW0981</t>
  </si>
  <si>
    <t>MMJW0982</t>
  </si>
  <si>
    <t>Joye Jamil Talukder</t>
  </si>
  <si>
    <t>1003 Midland Ave, Scarborough, ON M1K 4G7</t>
  </si>
  <si>
    <t>MMJW0983</t>
  </si>
  <si>
    <t>Joysephine Ann Torralba</t>
  </si>
  <si>
    <t>87 Yale Lane Markham ON L6B 1G5</t>
  </si>
  <si>
    <t>MMJW0984</t>
  </si>
  <si>
    <t>Joysephine Torralba</t>
  </si>
  <si>
    <t>MMJW0985</t>
  </si>
  <si>
    <t>Juan Pablo Gutierrez Sagredo</t>
  </si>
  <si>
    <t>#11 322 Cooper Street, Cambridge, ON N3C 3X8</t>
  </si>
  <si>
    <t>For Francisca</t>
  </si>
  <si>
    <t>MMJW0986</t>
  </si>
  <si>
    <t xml:space="preserve">Juan Paolo Yutuc </t>
  </si>
  <si>
    <t>9 Falk Ave, Nepean, ON K2J 1L2</t>
  </si>
  <si>
    <t>MMJW0987</t>
  </si>
  <si>
    <t>Judith Ramirez</t>
  </si>
  <si>
    <t>112 Purvis Crescent, Scarborough, ON M1B 1H9</t>
  </si>
  <si>
    <t>MMJW0988</t>
  </si>
  <si>
    <t>79 Conacher Dr, Kingston, ON K7K 2W6</t>
  </si>
  <si>
    <t>MMJW0989</t>
  </si>
  <si>
    <t>Jules Tyrell J. Ferolin</t>
  </si>
  <si>
    <t>#304 1230 White Oaks Blvd, Oakville, ON L6H 2C1</t>
  </si>
  <si>
    <t>MMJW0990</t>
  </si>
  <si>
    <t>Juliana Rose Zamora</t>
  </si>
  <si>
    <t>MMJW0991</t>
  </si>
  <si>
    <t>Julie Ann Anniban</t>
  </si>
  <si>
    <t>MMJW0992</t>
  </si>
  <si>
    <t>Julie Anne Montano</t>
  </si>
  <si>
    <t>1359 Spring Garden Ct, Mississauga, ON L5N 8K6</t>
  </si>
  <si>
    <t>MMJW0993</t>
  </si>
  <si>
    <t>Julius Jesumodimu</t>
  </si>
  <si>
    <t>1191 Upper Thames Dr, Woodstock, ON N4T 0L3</t>
  </si>
  <si>
    <t>MMJW0994</t>
  </si>
  <si>
    <t>19 Hopewell Crescent, Hamilton, ON L8J 1P3</t>
  </si>
  <si>
    <t>MMJW0995</t>
  </si>
  <si>
    <t>Junel Paus</t>
  </si>
  <si>
    <t>MMJW0996</t>
  </si>
  <si>
    <t>Justin Jjuuko</t>
  </si>
  <si>
    <t>#09 396 Carmen Ave, Vanier, ON K1L 6Y2</t>
  </si>
  <si>
    <t>MMJW0997</t>
  </si>
  <si>
    <t>MMJW0998</t>
  </si>
  <si>
    <t>Justine Blas</t>
  </si>
  <si>
    <t>MMJW0999</t>
  </si>
  <si>
    <t>Kagaga Priscilla Gareeba</t>
  </si>
  <si>
    <t>MMJW1000</t>
  </si>
  <si>
    <t>Kamalpreet Kaur</t>
  </si>
  <si>
    <t>35 Faywood Drive Brampton ON L6Y 4K3</t>
  </si>
  <si>
    <t>MMJW1001</t>
  </si>
  <si>
    <t>MMJW1002</t>
  </si>
  <si>
    <t>Kapil Raj Shrestha</t>
  </si>
  <si>
    <t>MMJW1003</t>
  </si>
  <si>
    <t>Karan</t>
  </si>
  <si>
    <t>#412 3900 Geraedts Dr, Windsor, ON N9G 3C3</t>
  </si>
  <si>
    <t>MMJW1004</t>
  </si>
  <si>
    <t>Karanvir Ghai</t>
  </si>
  <si>
    <t>501 Dunlop Ct, Woodstock, ON N4T 0H1</t>
  </si>
  <si>
    <t>MMJW1005</t>
  </si>
  <si>
    <t>Karel John Gumapas</t>
  </si>
  <si>
    <t>Harlan</t>
  </si>
  <si>
    <t>For Harlan</t>
  </si>
  <si>
    <t>MMJW1006</t>
  </si>
  <si>
    <t>Karen Bucay</t>
  </si>
  <si>
    <t>MMJW1007</t>
  </si>
  <si>
    <t>Karen Grace Panganiban</t>
  </si>
  <si>
    <t>32 Newton Dr, North York, ON M2M 2M7</t>
  </si>
  <si>
    <t>MMJW1008</t>
  </si>
  <si>
    <t>Karl Drexler Cuizon</t>
  </si>
  <si>
    <t>129 Kennevale Drive Nepean ON K2J 3X7</t>
  </si>
  <si>
    <t>MMJW1009</t>
  </si>
  <si>
    <t>Karl Joseph Aporta</t>
  </si>
  <si>
    <t>4 Ferncrest Gate, Scarborough, ON M1W 1C2</t>
  </si>
  <si>
    <t>MMJW1010</t>
  </si>
  <si>
    <t>36 Qualicum St Nepean ON K2H 7G8</t>
  </si>
  <si>
    <t>MMJW1011</t>
  </si>
  <si>
    <t>80 Brigadoon Crescent Scarborough, ON M1T 3C1</t>
  </si>
  <si>
    <t>MMJW1012</t>
  </si>
  <si>
    <t>Katie Balogh Marjerrison</t>
  </si>
  <si>
    <t>936 Laflin St, Cornwall, ON K6J 5J1</t>
  </si>
  <si>
    <t>MMJW1013</t>
  </si>
  <si>
    <t>Katrina Limpio</t>
  </si>
  <si>
    <t>#209 3896 Bathurst St North York ON M3H 3N5</t>
  </si>
  <si>
    <t>MMJW1014</t>
  </si>
  <si>
    <t>Kaustubh Suhas Morye</t>
  </si>
  <si>
    <t>MMJW1015</t>
  </si>
  <si>
    <t>Kayla Cyr</t>
  </si>
  <si>
    <t>95 Lincoln St, Ajax, ON L1S 6C7</t>
  </si>
  <si>
    <t>MMJW1016</t>
  </si>
  <si>
    <t>Kaze Odrina</t>
  </si>
  <si>
    <t>653 St Louis St, Rockland, ON K4K 1K5</t>
  </si>
  <si>
    <t>MMJW1017</t>
  </si>
  <si>
    <t>Ke Ann Olarte</t>
  </si>
  <si>
    <t>18 Benhur Crescent, Scarborough, ON M1H 1P3</t>
  </si>
  <si>
    <t>MMJW1018</t>
  </si>
  <si>
    <t>Kean Joshua Garcia</t>
  </si>
  <si>
    <t>41 Midholm Dr Scarborough ON M1K 3A9</t>
  </si>
  <si>
    <t>MMJW1019</t>
  </si>
  <si>
    <t>Keen Ruvi Reuyan</t>
  </si>
  <si>
    <t>#130 50 Kingsbridge Garden Cir Mississauga ON L5R 1Y2</t>
  </si>
  <si>
    <t>MMJW1020</t>
  </si>
  <si>
    <t>Keisha Guerra</t>
  </si>
  <si>
    <t>27 Colchester Ave, Brampton, ON L6Z 3S7</t>
  </si>
  <si>
    <t>MMJW1021</t>
  </si>
  <si>
    <t>Kelsey Hunter</t>
  </si>
  <si>
    <t>#202 1845 Baseline Rd, Ottawa, ON K2C 3K4</t>
  </si>
  <si>
    <t>MMJW1022</t>
  </si>
  <si>
    <t>Kelsey Wintermute</t>
  </si>
  <si>
    <t>146 Green Rd Stoney Creek ON L8G 3X1</t>
  </si>
  <si>
    <t>MMJW1023</t>
  </si>
  <si>
    <t>Kelvin Jay Rellin</t>
  </si>
  <si>
    <t>MMJW1024</t>
  </si>
  <si>
    <t>Kenneth Osuyi Omorogieva</t>
  </si>
  <si>
    <t>#711 345 Barber St, Ottawa, ON K1N 5R5</t>
  </si>
  <si>
    <t>MMJW1025</t>
  </si>
  <si>
    <t>Keosha Morris</t>
  </si>
  <si>
    <t>#110 160 Argyle Ave, Ottawa, ON K2P 0N2</t>
  </si>
  <si>
    <t>MMJW1026</t>
  </si>
  <si>
    <t>Keshar Thapa</t>
  </si>
  <si>
    <t>126 Colborne St N, Simcoe, ON N3Y 3V1</t>
  </si>
  <si>
    <t>Devendra</t>
  </si>
  <si>
    <t>For Devendra</t>
  </si>
  <si>
    <t>MMJW1027</t>
  </si>
  <si>
    <t>Khaju Luisa Fedcheck</t>
  </si>
  <si>
    <t>466 Brock St, Kingston, ON K7L 1T6</t>
  </si>
  <si>
    <t>MMJW1028</t>
  </si>
  <si>
    <t>Khushbakht Javed</t>
  </si>
  <si>
    <t>MMJW1029</t>
  </si>
  <si>
    <t>Khushi Kafle</t>
  </si>
  <si>
    <t>28 Haggert Ave S, Brampton, ON L6Y 2E2</t>
  </si>
  <si>
    <t>Updated Receiving to Mail Out. (HR-Admin 9/22/2025)</t>
  </si>
  <si>
    <t>MMJW1030</t>
  </si>
  <si>
    <t>Kigozi Racheal</t>
  </si>
  <si>
    <t>#127 725 Bernard St, Ottawa, ON K1K 3H7</t>
  </si>
  <si>
    <t>kigozireycho@gmail.com</t>
  </si>
  <si>
    <t>MMJW1031</t>
  </si>
  <si>
    <t>Kim Kenneth Marikit</t>
  </si>
  <si>
    <t>18 Millhouse Crescent, Scarborough, ON M1B 2E3</t>
  </si>
  <si>
    <t>MMJW1032</t>
  </si>
  <si>
    <t>Kim Russel K. Patio</t>
  </si>
  <si>
    <t xml:space="preserve"> </t>
  </si>
  <si>
    <t>MMJW1033</t>
  </si>
  <si>
    <t>Kiranjot Kaur</t>
  </si>
  <si>
    <t>106 Ravenscliffe Ct, Brampton, ON L6X 4P1</t>
  </si>
  <si>
    <t>MMJW1034</t>
  </si>
  <si>
    <t>Kiranpreet Kaur</t>
  </si>
  <si>
    <t>31 John Carroll Dr, Brampton, ON L6P 0V2</t>
  </si>
  <si>
    <t>MMJW1035</t>
  </si>
  <si>
    <t>Joshua M.</t>
  </si>
  <si>
    <t>For Joshua M.</t>
  </si>
  <si>
    <t>MMJW1036</t>
  </si>
  <si>
    <t>Klaude Niklaus Sali</t>
  </si>
  <si>
    <t>4 Busea Crescent Scarborough ON M1R 4V2</t>
  </si>
  <si>
    <t>MMJW1037</t>
  </si>
  <si>
    <t>Komal Bahadur Gurung</t>
  </si>
  <si>
    <t>80 Howell Square, Scarborough, ON M1B 1C4</t>
  </si>
  <si>
    <t>MMJW1038</t>
  </si>
  <si>
    <t>Komal Nain</t>
  </si>
  <si>
    <t>3691 Darla Drive, Malton, ON L4T 2E1</t>
  </si>
  <si>
    <t>MMJW1039</t>
  </si>
  <si>
    <t>53 Alaskan Summit Court Brampton ON L6R 1P1</t>
  </si>
  <si>
    <t>MMJW1040</t>
  </si>
  <si>
    <t>Krisha Sukhadiya</t>
  </si>
  <si>
    <t>#36 6117 Kelsey Cres, Niagara Falls, ON L2H 0L6</t>
  </si>
  <si>
    <t>MMJW1041</t>
  </si>
  <si>
    <t>Kriss Dianne Sales</t>
  </si>
  <si>
    <t>MMJW1042</t>
  </si>
  <si>
    <t>Kristhia Agub</t>
  </si>
  <si>
    <t>111 Moraine Dr Woodbridge ON L4H 2E5</t>
  </si>
  <si>
    <t>MMJW1043</t>
  </si>
  <si>
    <t>Kristian Angelo Arbes</t>
  </si>
  <si>
    <t>246 Marquette Ave, Oshawa, ON L1J 1W5</t>
  </si>
  <si>
    <t>MMJW1044</t>
  </si>
  <si>
    <t>Kristina Casandra Labasan</t>
  </si>
  <si>
    <t>601A Geneva St St Catharines ON L2N 2J3</t>
  </si>
  <si>
    <t>MMJW1045</t>
  </si>
  <si>
    <t>Kristina De Guzman</t>
  </si>
  <si>
    <t>#49 1300 Oxford St, Oshawa, ON L1J 6C5</t>
  </si>
  <si>
    <t>Leopoldo Jr Macalintal</t>
  </si>
  <si>
    <t>For Leopoldo Jr Macalintal</t>
  </si>
  <si>
    <t>MMJW1046</t>
  </si>
  <si>
    <t>Krizzan Jill Angeles</t>
  </si>
  <si>
    <t>10 Pulford Crescent Ottawa Ontario K2B 6L7</t>
  </si>
  <si>
    <t>MMJW1047</t>
  </si>
  <si>
    <t>Kshitiz Dawadi</t>
  </si>
  <si>
    <t>7196 Para Pl, Mississauga, ON L5W 1L5</t>
  </si>
  <si>
    <t>MMJW1048</t>
  </si>
  <si>
    <t>Kuldeep Singh Sangar</t>
  </si>
  <si>
    <t>For Jaswinder Kaur</t>
  </si>
  <si>
    <t>MMJW1049</t>
  </si>
  <si>
    <t>Kulwinder Singh</t>
  </si>
  <si>
    <t>3 Hawtrey Rd Brampton ON L7A 4X9</t>
  </si>
  <si>
    <t>Ranjeet</t>
  </si>
  <si>
    <t>For Ranjeet</t>
  </si>
  <si>
    <t>MMJW1050</t>
  </si>
  <si>
    <t>Kumbirai Nduramo Gavaza</t>
  </si>
  <si>
    <t>#128 1950 Montreal Rd, Cornwall, ON K6H 6L2</t>
  </si>
  <si>
    <t>MMJW1051</t>
  </si>
  <si>
    <t>6 Gallpoint Crescent, Brampton, ON L6P 1R4</t>
  </si>
  <si>
    <t>MMJW1052</t>
  </si>
  <si>
    <t>Kurt Justin Garcia</t>
  </si>
  <si>
    <t>#1008 100 Lotherton Pathway, North York, ON M6B 2G8</t>
  </si>
  <si>
    <t>MMJW1053</t>
  </si>
  <si>
    <t>Kush Nitinkumar Patel</t>
  </si>
  <si>
    <t>317 Askin Ave, Windsor, ON N9B 2X1</t>
  </si>
  <si>
    <t>MMJW1054</t>
  </si>
  <si>
    <t>19 Sussexvale Drive Brampton ON L6R 3S1</t>
  </si>
  <si>
    <t>MMJW1055</t>
  </si>
  <si>
    <t>Ladie Sabino</t>
  </si>
  <si>
    <t>2683 Priscilla St, Ottawa, ON K2B 7E1</t>
  </si>
  <si>
    <t>MMJW1056</t>
  </si>
  <si>
    <t>Lakhwinder Singh</t>
  </si>
  <si>
    <t>20 Paloma Pl, Scarborough, ON M1J 1P7</t>
  </si>
  <si>
    <t>MMJW1057</t>
  </si>
  <si>
    <t>66 King St E, Hamilton, ON L8N 1A6</t>
  </si>
  <si>
    <t>MMJW1058</t>
  </si>
  <si>
    <t>Lalit Saini (for Rohit)</t>
  </si>
  <si>
    <t>5783 Belmont Ave, Niagara Falls, ON L2H 1J8</t>
  </si>
  <si>
    <t>MMJW1059</t>
  </si>
  <si>
    <t>Lara Omowumi Olabamiji</t>
  </si>
  <si>
    <t>#2235 22 Metropolitan Rd, Scarborough, ON M1R 2T6</t>
  </si>
  <si>
    <t>MMJW1060</t>
  </si>
  <si>
    <t>Lariza Estefania Chontal Castro</t>
  </si>
  <si>
    <t>49 Mercury Rd Etobicoke, ON M9W 3H4</t>
  </si>
  <si>
    <t>MMJW1061</t>
  </si>
  <si>
    <t>Lashauna D Mitchell</t>
  </si>
  <si>
    <t>#4807 898 Portage Pkwy, Concord, ON L4K 0J6</t>
  </si>
  <si>
    <t>MMJW1062</t>
  </si>
  <si>
    <t>Lauren Michelle Bequibel</t>
  </si>
  <si>
    <t>37 Blacktoft Dr, Scarborough, ON M1B 2M7</t>
  </si>
  <si>
    <t>MMJW1063</t>
  </si>
  <si>
    <t>638 Division Street Kingston ON K7K 4B8</t>
  </si>
  <si>
    <t>MMJW1064</t>
  </si>
  <si>
    <t>Laurence G Gabatino</t>
  </si>
  <si>
    <t>6283 Drummond Rd Niagara Falls ON L2G 4M8</t>
  </si>
  <si>
    <t>MMJW1065</t>
  </si>
  <si>
    <t>34 L'Amoreaux Dr, Scarborough, ON M1W 2L9</t>
  </si>
  <si>
    <t>MMJW1066</t>
  </si>
  <si>
    <t>Lawal Fatimah Oyindamola</t>
  </si>
  <si>
    <t>5 Salem Ct, Brampton, ON L6V 4J8</t>
  </si>
  <si>
    <t>MMJW1067</t>
  </si>
  <si>
    <t>Leah Njuguna(for Simon Waweru)</t>
  </si>
  <si>
    <t>#202 485 Eagleson Rd Kanata, ON K2M 1H3</t>
  </si>
  <si>
    <t>MMJW1068</t>
  </si>
  <si>
    <t>Leigh Angelica Gatan</t>
  </si>
  <si>
    <t>293 Strathearne Avenue Hamilton ON L8H 5K8</t>
  </si>
  <si>
    <t>MMJW1069</t>
  </si>
  <si>
    <t>Lenn Matthew P. Bersabal</t>
  </si>
  <si>
    <t>151 Tuxedo Ave S, Hamilton, ON L8K 2S2</t>
  </si>
  <si>
    <t>MMJW1070</t>
  </si>
  <si>
    <t>Leny Sallutal (for Leny and Joy Ramos)</t>
  </si>
  <si>
    <t>MMJW1071</t>
  </si>
  <si>
    <t>Leonard Gutierrez</t>
  </si>
  <si>
    <t>MMJW1072</t>
  </si>
  <si>
    <t>Leonida Azarcon</t>
  </si>
  <si>
    <t>34 L'amoreaux Drive Scarborough ON M1W 2L9</t>
  </si>
  <si>
    <t>MMJW1073</t>
  </si>
  <si>
    <t>Leslie Guillermo</t>
  </si>
  <si>
    <t>#901 15 Oxford Drive Toronto ON M6M 5C4</t>
  </si>
  <si>
    <t>MMJW1074</t>
  </si>
  <si>
    <t>Leyah Ramos</t>
  </si>
  <si>
    <t>2779 Gananoque Dr #120, Mississauga, ON L5N 2E4</t>
  </si>
  <si>
    <t>MMJW1075</t>
  </si>
  <si>
    <t>Liberty Abenoja</t>
  </si>
  <si>
    <t>MMJW1076</t>
  </si>
  <si>
    <t>MMJW1077</t>
  </si>
  <si>
    <t>Lionel Sunny</t>
  </si>
  <si>
    <t>246 Hillcrest Rd Cambridge ON N3H 1B2</t>
  </si>
  <si>
    <t>MMJW1078</t>
  </si>
  <si>
    <t>Lisa Lois Asankoma Tandoh</t>
  </si>
  <si>
    <t>733 A First St E, Cornwall, ON K6H 1M3</t>
  </si>
  <si>
    <t>MMJW1079</t>
  </si>
  <si>
    <t>MMJW1080</t>
  </si>
  <si>
    <t>Lloyd Rex Cubero</t>
  </si>
  <si>
    <t>#1112 6171 Bathurst St, North York, ON M2R 1Z6</t>
  </si>
  <si>
    <t>MMJW1081</t>
  </si>
  <si>
    <t>Lorelyn Gat onen</t>
  </si>
  <si>
    <t>211 Pioneer Dr Kitchener ON N2P 1M9</t>
  </si>
  <si>
    <t>MMJW1082</t>
  </si>
  <si>
    <t>718 - 280 Dundas Street East, Toronto, ON M5A 3W1</t>
  </si>
  <si>
    <t>Lorenzramoneda@gmail.com</t>
  </si>
  <si>
    <t>437-433-3654</t>
  </si>
  <si>
    <t>MMJW1083</t>
  </si>
  <si>
    <t>Lorenzo Bacaltos</t>
  </si>
  <si>
    <t>#2 287 Boulevard D'europe Gatineau QC J9J 0G4</t>
  </si>
  <si>
    <t>MMJW1084</t>
  </si>
  <si>
    <t>Loreto Laslas</t>
  </si>
  <si>
    <t>3343 Brandon Gate Dr, Mississauga, ON L4T 3J7</t>
  </si>
  <si>
    <t>MMJW1085</t>
  </si>
  <si>
    <t>Lorica Joy Ridon</t>
  </si>
  <si>
    <t>3210 Valcourt Crescent, Mississauga, ON L5L 5J9</t>
  </si>
  <si>
    <t>MMJW1086</t>
  </si>
  <si>
    <t>Lorraine Smith</t>
  </si>
  <si>
    <t>MMJW1087</t>
  </si>
  <si>
    <t>Louie Delos Angeles</t>
  </si>
  <si>
    <t>1180 Johnson St Kingston ON K7M 2N8</t>
  </si>
  <si>
    <t>MMJW1088</t>
  </si>
  <si>
    <t>Louige Placibe</t>
  </si>
  <si>
    <t>#26 636 Evans Avenue, Etobicoke, ON M8W 0A8</t>
  </si>
  <si>
    <t>MMJW1089</t>
  </si>
  <si>
    <t>MMJW1090</t>
  </si>
  <si>
    <t>12 Hendricks Crescent, Brampton, ON L6Y 4K9</t>
  </si>
  <si>
    <t>MMJW1091</t>
  </si>
  <si>
    <t>28 Messina Ave Brampton ON L6Y 0M8</t>
  </si>
  <si>
    <t>MMJW1092</t>
  </si>
  <si>
    <t>Lucky Hanshaven Cleaning</t>
  </si>
  <si>
    <t>42 Beaverbook Cres Maple ON L6A 3T3</t>
  </si>
  <si>
    <t>MMJW1093</t>
  </si>
  <si>
    <t>1348 Bloomsbury Crescent, Ottawa, ON K2C 2Y9</t>
  </si>
  <si>
    <t>MMJW1094</t>
  </si>
  <si>
    <t>Lyndon Villavicencio</t>
  </si>
  <si>
    <t>724 Shoal Point Rd, Ajax, ON L1S 7P6</t>
  </si>
  <si>
    <t>MMJW1095</t>
  </si>
  <si>
    <t>#204 25 Bay Mills Blvd, Scarborough, ON M1T 3P4</t>
  </si>
  <si>
    <t>MMJW1096</t>
  </si>
  <si>
    <t>Ma Cristina Garcia Desear</t>
  </si>
  <si>
    <t>6499 Elliott Parliament St, Mississauga, ON L5W 1B7</t>
  </si>
  <si>
    <t>MMJW1097</t>
  </si>
  <si>
    <t>Ma Pia Gegavine</t>
  </si>
  <si>
    <t>166 Deerpath Dr, Guelph, ON N1K 0E2</t>
  </si>
  <si>
    <t>MMJW1098</t>
  </si>
  <si>
    <t>Ma. Bianca Alavera</t>
  </si>
  <si>
    <t>MMJW1099</t>
  </si>
  <si>
    <t>Ma. Czarina Esguerra (for Jefferson Mendoza)</t>
  </si>
  <si>
    <t>MMJW1100</t>
  </si>
  <si>
    <t>Ma. Elena Deleon (for Kathleen and Marlene)</t>
  </si>
  <si>
    <t>MMJW1101</t>
  </si>
  <si>
    <t>Ma. Regina D Furigay (for Regina and Jenalyn DC)</t>
  </si>
  <si>
    <t>#1411 20 Godstone Road North York, Ontario M2J 3C5</t>
  </si>
  <si>
    <t>MMJW1102</t>
  </si>
  <si>
    <t>Maajabu Kalume Merveille</t>
  </si>
  <si>
    <t>1876 Robertson Rd, Ottawa, ON K2H 5B8</t>
  </si>
  <si>
    <t>MMJW1103</t>
  </si>
  <si>
    <t>Mabel Abunas</t>
  </si>
  <si>
    <t>166 Bayly St West, Ajax, ON L1S 0C3</t>
  </si>
  <si>
    <t>MMJW1104</t>
  </si>
  <si>
    <t>Maclenie Letana</t>
  </si>
  <si>
    <t>5826 Leonard Ave, Niagara Falls, ON L2G 4R1</t>
  </si>
  <si>
    <t>MMJW1105</t>
  </si>
  <si>
    <t>Madelaine Favila</t>
  </si>
  <si>
    <t>1161 Oxford St, Oshawa, ON L1J 3W4</t>
  </si>
  <si>
    <t>MMJW1106</t>
  </si>
  <si>
    <t>Mady Custodio</t>
  </si>
  <si>
    <t>MMJW1107</t>
  </si>
  <si>
    <t>#717 1154 Wilson Ave, North York, ON M3M 1J6</t>
  </si>
  <si>
    <t>MMJW1108</t>
  </si>
  <si>
    <t>Mae Concepcion Marquez (for Ella Elline &amp; Judy Anne)</t>
  </si>
  <si>
    <t>59 Rue Wright Gatineau QC J8X 2G2</t>
  </si>
  <si>
    <t>MMJW1109</t>
  </si>
  <si>
    <t>Mafonou Nde Danel Roussel</t>
  </si>
  <si>
    <t>229 Hannah St, Ottawa, ON K1L 7N1</t>
  </si>
  <si>
    <t>MMJW1110</t>
  </si>
  <si>
    <t>Maiylen Denolan</t>
  </si>
  <si>
    <t>A23 2684 Bloor St W Etobicoke ON M8X 1A5</t>
  </si>
  <si>
    <t>MMJW1111</t>
  </si>
  <si>
    <t>Manan Manan</t>
  </si>
  <si>
    <t>#3 214 Pitt St, Cornwall, ON K6J 3P6</t>
  </si>
  <si>
    <t>MMJW1112</t>
  </si>
  <si>
    <t>Mandeep Singh</t>
  </si>
  <si>
    <t>226 Doon Valley Drive, Kitchener, ON N2P 2B5</t>
  </si>
  <si>
    <t>MMJW1113</t>
  </si>
  <si>
    <t>Mandeep Singh GTA</t>
  </si>
  <si>
    <t>7043 Chigwel Ct, Mississauga, ON L4T 1N3</t>
  </si>
  <si>
    <t>MMJW1114</t>
  </si>
  <si>
    <t>manjot51202@gmail.com</t>
  </si>
  <si>
    <t>MMJW1115</t>
  </si>
  <si>
    <t>Manjot Singh</t>
  </si>
  <si>
    <t>46 Creekwood Dr, Brampton, ON L7A 1J3</t>
  </si>
  <si>
    <t>MMJW1116</t>
  </si>
  <si>
    <t>Manjot Singh(Brampton)</t>
  </si>
  <si>
    <t>17 Colbeck Crescent Brampton ON L7A 2P4</t>
  </si>
  <si>
    <t>MMJW1117</t>
  </si>
  <si>
    <t>Manmohit Kaur</t>
  </si>
  <si>
    <t>11 Pine Landing Trail Brampton ON L6R 3H4</t>
  </si>
  <si>
    <t>MMJW1118</t>
  </si>
  <si>
    <t>Manu Mathew</t>
  </si>
  <si>
    <t>16 State St Ottawa ON K2C 4C5</t>
  </si>
  <si>
    <t>MMJW1119</t>
  </si>
  <si>
    <t>MMJW1120</t>
  </si>
  <si>
    <t>Marco Antonio Mirabeth Salinas</t>
  </si>
  <si>
    <t>29 Torrance Woods, Brampton, ON L6Y 2Q1</t>
  </si>
  <si>
    <t>MMJW1121</t>
  </si>
  <si>
    <t>María Alarcón (for Alba)</t>
  </si>
  <si>
    <t>2 359 Erb Street West Waterloo ON N2L 1W4</t>
  </si>
  <si>
    <t>MMJW1122</t>
  </si>
  <si>
    <t>Maria Anna Obien Castro (for Corelie and Eileen)</t>
  </si>
  <si>
    <t>100 Mornelle Crt unit 2098 Scarborough Ontario M1E 4X2</t>
  </si>
  <si>
    <t>MMJW1123</t>
  </si>
  <si>
    <t>Maria Cecilia Evangelista</t>
  </si>
  <si>
    <t>#3, 150 Overbrook Place Toronto ON M3H 4P9</t>
  </si>
  <si>
    <t>MMJW1124</t>
  </si>
  <si>
    <t>Maria Concepcion Sumibcay (for Jay Gomez Springhill, RJ, Sofia, and Mady)</t>
  </si>
  <si>
    <t>MMJW1125</t>
  </si>
  <si>
    <t>Maria del Rosario Yaneth Alvarado</t>
  </si>
  <si>
    <t>1081 50 Exeter Rd Ajax ON L1S 2K1</t>
  </si>
  <si>
    <t>MMJW1126</t>
  </si>
  <si>
    <t>Maria Hewitt</t>
  </si>
  <si>
    <t>#1810 17 Knightsbridge Rd, Brampton, ON L6T 3X9</t>
  </si>
  <si>
    <t>MMJW1127</t>
  </si>
  <si>
    <t>MMJW1128</t>
  </si>
  <si>
    <t>Maria Rossana Tolosa</t>
  </si>
  <si>
    <t>#411 55 Smooth Rose Ct, Toronto, ON M2J 0G7</t>
  </si>
  <si>
    <t>MMJW1129</t>
  </si>
  <si>
    <t>Maria Sydney Ortiz</t>
  </si>
  <si>
    <t>7 Tollerton Ave, North York, ON M2K 2H1</t>
  </si>
  <si>
    <t>MMJW1130</t>
  </si>
  <si>
    <t>Maria Teresa Vinluan (for Joseph Nino De Jesus)</t>
  </si>
  <si>
    <t>8 Lisa St., #103 Brampton, ON L6T 4S6</t>
  </si>
  <si>
    <t>MMJW1131</t>
  </si>
  <si>
    <t>Mariam Nabakooza</t>
  </si>
  <si>
    <t>31 Wallford Way, Ottawa, ON K2E 6B1</t>
  </si>
  <si>
    <t>MMJW1132</t>
  </si>
  <si>
    <t>MMJW1133</t>
  </si>
  <si>
    <t>Marie Ann Abero</t>
  </si>
  <si>
    <t>6322 Charnwood Avenue Niagara Falls Ontario L2H 2K7</t>
  </si>
  <si>
    <t>MMJW1134</t>
  </si>
  <si>
    <t>Marie Ann Respicio</t>
  </si>
  <si>
    <t>MMJW1135</t>
  </si>
  <si>
    <t>Marie Merci Ineza</t>
  </si>
  <si>
    <t>#5 303 Blake Boulevard Vanier ON K1L 6L6</t>
  </si>
  <si>
    <t>MMJW1136</t>
  </si>
  <si>
    <t>Marie Vielle Sillano</t>
  </si>
  <si>
    <t>65 Calverley Trail Scarborough Ontario M1C 3S5</t>
  </si>
  <si>
    <t>MMJW1137</t>
  </si>
  <si>
    <t>Mariecar Perez</t>
  </si>
  <si>
    <t>57 McAllister Rd North York ON M3H 2N1</t>
  </si>
  <si>
    <t>MMJW1138</t>
  </si>
  <si>
    <t>Marieflor Latumbo</t>
  </si>
  <si>
    <t>27 Lunsfield Crescent, Scarborough, ON M1S 3X1</t>
  </si>
  <si>
    <t>MMJW1139</t>
  </si>
  <si>
    <t>Mariel Anne Vallarit</t>
  </si>
  <si>
    <t>MMJW1140</t>
  </si>
  <si>
    <t>Marielle Antoinette Adolfo</t>
  </si>
  <si>
    <t>191 Castle Oaks Cross,Brampton, ON L6P 3X2</t>
  </si>
  <si>
    <t>MMJW1141</t>
  </si>
  <si>
    <t>Marilou Baligad</t>
  </si>
  <si>
    <t>602 Dundee Ave, Oshawa, ON L1J 2X1</t>
  </si>
  <si>
    <t>MMJW1142</t>
  </si>
  <si>
    <t>Marilyn Maclang</t>
  </si>
  <si>
    <t>PH2 Camargue 20 20 Dean Park Rd, Scarborough, ON M1B 3G9</t>
  </si>
  <si>
    <t>MMJW1143</t>
  </si>
  <si>
    <t>Marina M Pereira</t>
  </si>
  <si>
    <t>MMJW1144</t>
  </si>
  <si>
    <t>Marites Tolentino</t>
  </si>
  <si>
    <t>MMJW1145</t>
  </si>
  <si>
    <t>Maritess Lorenzo</t>
  </si>
  <si>
    <t>45 Delatre St #010, Woodstock, ON N4S 6B6</t>
  </si>
  <si>
    <t>MMJW1146</t>
  </si>
  <si>
    <t>2043 Roy Ivor Crescent, Mississauga, ON L5L 3N7</t>
  </si>
  <si>
    <t>MMJW1147</t>
  </si>
  <si>
    <t>Mark Edzel Dela Rosa</t>
  </si>
  <si>
    <t>31 Haymarket Rd North York ON M3L 1H3</t>
  </si>
  <si>
    <t>MMJW1148</t>
  </si>
  <si>
    <t>Mark Gil Puno</t>
  </si>
  <si>
    <t>MMJW1149</t>
  </si>
  <si>
    <t>Mark Russel Sibuma Cordero</t>
  </si>
  <si>
    <t>#1704, 260 Wellesley St E, Toronto, ON M4X 1G6</t>
  </si>
  <si>
    <t>MMJW1150</t>
  </si>
  <si>
    <t>Mark Ryan Jerez</t>
  </si>
  <si>
    <t>#804, 220 Burnhamthorpe Rd West Mississauga ON L5B 4N4</t>
  </si>
  <si>
    <t>MMJW1151</t>
  </si>
  <si>
    <t>Mark Vincent R. Mercado</t>
  </si>
  <si>
    <t>#202 286 Major Mackenzie Dr E, Richmond Hill, ON L4C 8T3</t>
  </si>
  <si>
    <t>MMJW1152</t>
  </si>
  <si>
    <t>Marlene S. Nacino</t>
  </si>
  <si>
    <t>711 2 Mascot Pl, North York, ON M2R 1J5</t>
  </si>
  <si>
    <t>MMJW1153</t>
  </si>
  <si>
    <t>509 2230 Lawrence Ave East Scarborough ON M1P 2R1</t>
  </si>
  <si>
    <t>MMJW1154</t>
  </si>
  <si>
    <t>MMJW1155</t>
  </si>
  <si>
    <t>Martin Ricky Mwayi</t>
  </si>
  <si>
    <t>35 Waller St, Ottawa, ON K1N 7G4</t>
  </si>
  <si>
    <t>MMJW1156</t>
  </si>
  <si>
    <t>Marvin Thampi</t>
  </si>
  <si>
    <t>#806, 77 Delawana Dr Hamilton ON L8E 1G5</t>
  </si>
  <si>
    <t>MMJW1157</t>
  </si>
  <si>
    <t>Mary Ann Barnuevo (for Awais)</t>
  </si>
  <si>
    <t>96 Elvaston Dr North York ON M4A 1N6</t>
  </si>
  <si>
    <t>MMJW1158</t>
  </si>
  <si>
    <t>Mary Ann Factoriza</t>
  </si>
  <si>
    <t>#3 1457 Kingston Rd Scarborough, ON M1N 1R5</t>
  </si>
  <si>
    <t>MMJW1159</t>
  </si>
  <si>
    <t>Mary Ann Guillermo</t>
  </si>
  <si>
    <t>#202 10 Ionview Rd, Scarborough, ON M1K 2Z2</t>
  </si>
  <si>
    <t>MMJW1160</t>
  </si>
  <si>
    <t>Mary Ann Valdehueza</t>
  </si>
  <si>
    <t>1922 800 Lawrence Ave W North York ON M6A 0B1</t>
  </si>
  <si>
    <t>MMJW1161</t>
  </si>
  <si>
    <t>Mary Grace Seminiano (for Rommel)</t>
  </si>
  <si>
    <t>196B Rykert St, St. Catharines, ON L2S 2B7</t>
  </si>
  <si>
    <t>MMJW1162</t>
  </si>
  <si>
    <t>Mary Jane Calunsag</t>
  </si>
  <si>
    <t>61 Epps CrescentAjax, ON L1Z 1G2</t>
  </si>
  <si>
    <t>MMJW1163</t>
  </si>
  <si>
    <t>Mary Lou Cris Palero</t>
  </si>
  <si>
    <t>MMJW1164</t>
  </si>
  <si>
    <t>Mary Love Salarza</t>
  </si>
  <si>
    <t>#1023 100 Mornelle Ct, Scarborough, ON M1E 4X2</t>
  </si>
  <si>
    <t>MMJW1165</t>
  </si>
  <si>
    <t>Mat Rivera Mercado</t>
  </si>
  <si>
    <t>MMJW1166</t>
  </si>
  <si>
    <t>Mateah Gabriella Edghill McTavish</t>
  </si>
  <si>
    <t>4 Clarke Avenue Orangeville ON L9W 5J6</t>
  </si>
  <si>
    <t>MMJW1167</t>
  </si>
  <si>
    <t>Mathews Thomas</t>
  </si>
  <si>
    <t>MMJW1168</t>
  </si>
  <si>
    <t>Matiullah Ahmadzai</t>
  </si>
  <si>
    <t>#111 1465 Baseline Rd, Ottawa, ON K2C 3L9</t>
  </si>
  <si>
    <t>MMJW1169</t>
  </si>
  <si>
    <t>Maureen Alokeseh Ngwelah</t>
  </si>
  <si>
    <t>#201 3400 Eglinton Ave E, Toronto, ON M1J 2H8</t>
  </si>
  <si>
    <t>MMJW1170</t>
  </si>
  <si>
    <t>4424 (Rear) Morrison St, Niagara Falls, ON L2E 2B3</t>
  </si>
  <si>
    <t>MMJW1171</t>
  </si>
  <si>
    <t>May Antonette Minano</t>
  </si>
  <si>
    <t>444 Oaktree Circle Mississauga ON L5W 1V5</t>
  </si>
  <si>
    <t>MMJW1172</t>
  </si>
  <si>
    <t>May Karen Trinidad</t>
  </si>
  <si>
    <t>6295 Ker St, Niagara Falls, ON L2G 1X7</t>
  </si>
  <si>
    <t>MMJW1173</t>
  </si>
  <si>
    <t>Maybelline Fuentes Arevalo</t>
  </si>
  <si>
    <t>MMJW1174</t>
  </si>
  <si>
    <t>Mayleen B. Lista</t>
  </si>
  <si>
    <t>12 Carn Castle Gate, St. Catharines, ON L2N 5V4</t>
  </si>
  <si>
    <t>MMJW1175</t>
  </si>
  <si>
    <t>#2 172 Rue du Ravin Bleu Gatineau QC J8Z 1X8</t>
  </si>
  <si>
    <t>MMJW1176</t>
  </si>
  <si>
    <t>104 Brooklawn Ave, Scarborough, ON M1M 2P6</t>
  </si>
  <si>
    <t>MMJW1177</t>
  </si>
  <si>
    <t>MC PAINTING AND CLEANING SERVICES</t>
  </si>
  <si>
    <t>31 Wheatfield Rd, Brampton, ON L6X 2V4</t>
  </si>
  <si>
    <t>MMJW1178</t>
  </si>
  <si>
    <t>1003 Midland Ave Scarborough ON M1K 4G7</t>
  </si>
  <si>
    <t>MMJW1179</t>
  </si>
  <si>
    <t>Megan Hanson</t>
  </si>
  <si>
    <t>2 Macneil Ct Kanata ON K2L 4E3</t>
  </si>
  <si>
    <t>MMJW1180</t>
  </si>
  <si>
    <t>Megha Paul</t>
  </si>
  <si>
    <t>#603 179 Traynor Ave, Kitchener, ON N2C 1W4</t>
  </si>
  <si>
    <t>MMJW1181</t>
  </si>
  <si>
    <t>Mehakdeep Singh</t>
  </si>
  <si>
    <t>253229 Ninth Line, Amaranth, ON L9W 0H6</t>
  </si>
  <si>
    <t>MMJW1182</t>
  </si>
  <si>
    <t>Melanie Garcia</t>
  </si>
  <si>
    <t>425 Strasburg Rd, Kitchener, ON N2E 1T3</t>
  </si>
  <si>
    <t>Aiden, Dianne P., Diane T., Nikki, Sarah B.</t>
  </si>
  <si>
    <t>For Aiden, Dianne P., Diane T., Nikki, Sarah B.</t>
  </si>
  <si>
    <t>MMJW1183</t>
  </si>
  <si>
    <t>Melodee Anne Nicholas</t>
  </si>
  <si>
    <t>6568 Ralph Ave, Niagara Falls, ON L2G 4H6</t>
  </si>
  <si>
    <t>MMJW1184</t>
  </si>
  <si>
    <t>Melvin Li</t>
  </si>
  <si>
    <t>#1114 Lobby D 325 Bogert Ave, North York, ON M2N 1L8</t>
  </si>
  <si>
    <t>MMJW1185</t>
  </si>
  <si>
    <t>7046 Julie Drive Niagara Falls ON L2H 3L4</t>
  </si>
  <si>
    <t>MMJW1186</t>
  </si>
  <si>
    <t>Michael John Libao</t>
  </si>
  <si>
    <t>#1131 2700 Aquitaine Ave, Mississauga, ON L5N 3J6</t>
  </si>
  <si>
    <t>MMJW1187</t>
  </si>
  <si>
    <t>Michael L. Villanueva</t>
  </si>
  <si>
    <t>#46 441 Military Trail, Toronto, ON M1E 4E8</t>
  </si>
  <si>
    <t>MMJW1188</t>
  </si>
  <si>
    <t>Michael Leyva (for Aira)</t>
  </si>
  <si>
    <t>MMJW1189</t>
  </si>
  <si>
    <t>Michelle Ann Belencion</t>
  </si>
  <si>
    <t>6330 Monroe Street Niagara Falls Ontario L2G 2G8</t>
  </si>
  <si>
    <t>MMJW1190</t>
  </si>
  <si>
    <t>Michelle Georgina robles Rangel</t>
  </si>
  <si>
    <t>2327 Atwater St, Ottawa, ON K1H 6Y5</t>
  </si>
  <si>
    <t>MMJW1191</t>
  </si>
  <si>
    <t>Miguel Angel Polanco Miranda</t>
  </si>
  <si>
    <t>MMJW1192</t>
  </si>
  <si>
    <t>Miguel Nizigiyimana</t>
  </si>
  <si>
    <t>## 704 161 Augusta St, Ottawa, ON K1N 8B6</t>
  </si>
  <si>
    <t>MMJW1193</t>
  </si>
  <si>
    <t>129 Collier Road South Thorold ON L2V 3T3</t>
  </si>
  <si>
    <t>MMJW1194</t>
  </si>
  <si>
    <t>Mina Mosaad</t>
  </si>
  <si>
    <t>43 Brumwell St, Scarborough, ON M1C 2K7</t>
  </si>
  <si>
    <t>MMJW1195</t>
  </si>
  <si>
    <t>Minanshu Bhelley</t>
  </si>
  <si>
    <t>6 London Lane Brampton ON L6S 5V5</t>
  </si>
  <si>
    <t>MMJW1196</t>
  </si>
  <si>
    <t>2 Budworth Drive Scarborough, ON M1E 3H5</t>
  </si>
  <si>
    <t>MMJW1197</t>
  </si>
  <si>
    <t>Minka Ollo Nadine</t>
  </si>
  <si>
    <t>MMJW1198</t>
  </si>
  <si>
    <t>Mitalkumar Ashokbhai Hirpara</t>
  </si>
  <si>
    <t>111 Pinnacle Drive Kitchener ON N2P 1B8</t>
  </si>
  <si>
    <t>MMJW1199</t>
  </si>
  <si>
    <t>Mizero Dorine</t>
  </si>
  <si>
    <t>285 Serena Way, Nepean, ON K2G 4P5</t>
  </si>
  <si>
    <t>MMJW1200</t>
  </si>
  <si>
    <t>Mohamed Ashick Ibrahim</t>
  </si>
  <si>
    <t>#49 535 Margaret St, Cambridge, ON N3H 0A5</t>
  </si>
  <si>
    <t>MMJW1201</t>
  </si>
  <si>
    <t>Mohamed Nabil Nikarathil Nazeer</t>
  </si>
  <si>
    <t>20 Sutton Pl, Kitchener, ON N2E 2W5</t>
  </si>
  <si>
    <t>MMJW1202</t>
  </si>
  <si>
    <t>Mohamed Ziyard</t>
  </si>
  <si>
    <t>67 Lombardy Crescent, Scarborough, ON M1K 4P1</t>
  </si>
  <si>
    <t>MMJW1203</t>
  </si>
  <si>
    <t>Mohamed Ziyard Akbar Hassan</t>
  </si>
  <si>
    <t>MMJW1204</t>
  </si>
  <si>
    <t>Mohammad Saad Sakhawat</t>
  </si>
  <si>
    <t>207 Deercroft Avenue Ottawa ON K2J 5J4</t>
  </si>
  <si>
    <t>MMJW1205</t>
  </si>
  <si>
    <t>Mohammad Sami Alekozai</t>
  </si>
  <si>
    <t>MMJW1206</t>
  </si>
  <si>
    <t>MMJW1207</t>
  </si>
  <si>
    <t>Momodou Jallow</t>
  </si>
  <si>
    <t>#1 2635 Priscilla St, Ottawa, ON K2B 7C8</t>
  </si>
  <si>
    <t>MMJW1208</t>
  </si>
  <si>
    <t>Monette U. Hugo</t>
  </si>
  <si>
    <t>84 Weybridge Dr, Nepean, ON K2J 2Z2</t>
  </si>
  <si>
    <t>MMJW1209</t>
  </si>
  <si>
    <t>Money Bansal</t>
  </si>
  <si>
    <t>41 Queenpost Drive Brampton,ON L6Y 6L2</t>
  </si>
  <si>
    <t>MMJW1210</t>
  </si>
  <si>
    <t>Monica Lewis</t>
  </si>
  <si>
    <t>#219 835 Oxford St, Oshawa, ON L1J 3W2</t>
  </si>
  <si>
    <t>MMJW1211</t>
  </si>
  <si>
    <t>Monilkumar Sanjaykumar Dabgar</t>
  </si>
  <si>
    <t>MMJW1212</t>
  </si>
  <si>
    <t>Moreen Rodriguez</t>
  </si>
  <si>
    <t>MMJW1213</t>
  </si>
  <si>
    <t>Muhammad Qaiser Shahzad</t>
  </si>
  <si>
    <t>32 Pinewoods Dr, Stoney Creek, ON L8J 2T5</t>
  </si>
  <si>
    <t>MMJW1214</t>
  </si>
  <si>
    <t>Mukamana Prisca</t>
  </si>
  <si>
    <t>#406 762 Somerset St W, Ottawa, ON K1R 6P9</t>
  </si>
  <si>
    <t>MMJW1215</t>
  </si>
  <si>
    <t>Mukayamba Naina</t>
  </si>
  <si>
    <t>MMJW1216</t>
  </si>
  <si>
    <t>Munashe Lovette Ruzane</t>
  </si>
  <si>
    <t>#419 6455 Fallsview Blvd, Niagara Falls, ON L2G 3V9</t>
  </si>
  <si>
    <t>MMJW1217</t>
  </si>
  <si>
    <t>#4 3375 Thomas St, Mississauga, ON L5M 0P7</t>
  </si>
  <si>
    <t>munjalchauhan125@gmail.com</t>
  </si>
  <si>
    <t>MMJW1218</t>
  </si>
  <si>
    <t>Musa Jarju</t>
  </si>
  <si>
    <t>1107 2750 Carousel Crescent, Gloucester, ON K1T 1Z5</t>
  </si>
  <si>
    <t>MMJW1219</t>
  </si>
  <si>
    <t>Muskan Arora</t>
  </si>
  <si>
    <t>15 Worth Ave, Brampton, ON L6X 3V9</t>
  </si>
  <si>
    <t>MMJW1220</t>
  </si>
  <si>
    <t>Muskan Muskan</t>
  </si>
  <si>
    <t>41 Tawnberry Circle, Brampton, ON L7A 0J8</t>
  </si>
  <si>
    <t>MMJW1221</t>
  </si>
  <si>
    <t>Mutebi Jordan Musanje</t>
  </si>
  <si>
    <t>#9 396 Carmen Ave, Vanier, ON K1L 6Y2</t>
  </si>
  <si>
    <t>MMJW1222</t>
  </si>
  <si>
    <t>Mynard Bajaro</t>
  </si>
  <si>
    <t>30 Winniett St, Woodstock, ON N4S 5Z3</t>
  </si>
  <si>
    <t>MMJW1223</t>
  </si>
  <si>
    <t>Myra Rhea Castigo Suchit</t>
  </si>
  <si>
    <t>45 Goldpine Avenue, Courtice, ON L1E 1S3</t>
  </si>
  <si>
    <t>MMJW1224</t>
  </si>
  <si>
    <t>Myrlita Fuentes</t>
  </si>
  <si>
    <t>709 5900 Yonge St., North York M2M 3T8</t>
  </si>
  <si>
    <t>MMJW1225</t>
  </si>
  <si>
    <t>Myrna Alcontin</t>
  </si>
  <si>
    <t>101 5795 Yonge St North York ON M2M 4J3</t>
  </si>
  <si>
    <t>MMJW1226</t>
  </si>
  <si>
    <t>#64 4600 Kimbermount Ave, Mississauga, ON L5M 6Z6</t>
  </si>
  <si>
    <t xml:space="preserve">carolvivian1982@gmail.com </t>
  </si>
  <si>
    <t>MMJW1227</t>
  </si>
  <si>
    <t>Nabin Thapa</t>
  </si>
  <si>
    <t>MMJW1228</t>
  </si>
  <si>
    <t>Naeemah Amala White</t>
  </si>
  <si>
    <t>2182a Elmira Dr, Ottawa, ON K2C 1H5</t>
  </si>
  <si>
    <t>MMJW1229</t>
  </si>
  <si>
    <t>MMJW1230</t>
  </si>
  <si>
    <t>Napaleon Dermatas (For Ricardo Manigao)</t>
  </si>
  <si>
    <t>45 Meadowridge St, Kitchener, ON N2P 0E2</t>
  </si>
  <si>
    <t>MMJW1231</t>
  </si>
  <si>
    <t>Napoleon Bustamante</t>
  </si>
  <si>
    <t>Pick up</t>
  </si>
  <si>
    <t>MMJW1232</t>
  </si>
  <si>
    <t>Navdeep Singh</t>
  </si>
  <si>
    <t>2301 Ridgeview Ct, Burlington, ON L7M 4N5</t>
  </si>
  <si>
    <t>MMJW1233</t>
  </si>
  <si>
    <t>MMJW1234</t>
  </si>
  <si>
    <t>Naveen Kumar</t>
  </si>
  <si>
    <t>7254 Sigsbee Dr, Mississauga, ON L4T 4A1</t>
  </si>
  <si>
    <t>MMJW1235</t>
  </si>
  <si>
    <t>Navjot Kaur</t>
  </si>
  <si>
    <t>7340 Wilson Crescent Niagara Falls ON L2G 4S1</t>
  </si>
  <si>
    <t>MMJW1236</t>
  </si>
  <si>
    <t>Navjotpreet Kaur</t>
  </si>
  <si>
    <t>MMJW1237</t>
  </si>
  <si>
    <t>Navneet Lotey (for Baljit Kaur)</t>
  </si>
  <si>
    <t>MMJW1238</t>
  </si>
  <si>
    <t>Navneet Singh</t>
  </si>
  <si>
    <t>3885 Penny Ln, Mississauga, ON L4T 4B8</t>
  </si>
  <si>
    <t>MMJW1239</t>
  </si>
  <si>
    <t>22 Drummondville Dr, Brampton, ON L6P 3M9</t>
  </si>
  <si>
    <t>MMJW1240</t>
  </si>
  <si>
    <t>Navpreet Kaur (for Rajdeep)</t>
  </si>
  <si>
    <t>78 Toba Crescent Brampton ON L6Z 4R8</t>
  </si>
  <si>
    <t>MMJW1241</t>
  </si>
  <si>
    <t>Nayif Abotaeh</t>
  </si>
  <si>
    <t>5244 Bushelgrove Cir, Mississauga, ON L5M 6C5</t>
  </si>
  <si>
    <t>MMJW1242</t>
  </si>
  <si>
    <t>Neal Alejandro Lugo Hernandez</t>
  </si>
  <si>
    <t>50 Rushdale Dr Hamilton, ON L8W 2S6</t>
  </si>
  <si>
    <t>MMJW1243</t>
  </si>
  <si>
    <t>MMJW1244</t>
  </si>
  <si>
    <t>MMJW1245</t>
  </si>
  <si>
    <t>Nelly Villarba</t>
  </si>
  <si>
    <t>7 156 Cactus Ave, North York, ON M2R 2V3</t>
  </si>
  <si>
    <t>MMJW1246</t>
  </si>
  <si>
    <t>Nelson Diez</t>
  </si>
  <si>
    <t>MMJW1247</t>
  </si>
  <si>
    <t>Ngo Njock Bilong Marthe</t>
  </si>
  <si>
    <t>403 201 Friel St, Ottawa, ON K1N 8Z3</t>
  </si>
  <si>
    <t>MMJW1248</t>
  </si>
  <si>
    <t>Nikesh Joshi</t>
  </si>
  <si>
    <t>16 Harrogate Ct, Barrie, ON L4M 0B9</t>
  </si>
  <si>
    <t>MMJW1249</t>
  </si>
  <si>
    <t>MMJW1250</t>
  </si>
  <si>
    <t>Nikhil Sharma</t>
  </si>
  <si>
    <t>MMJW1251</t>
  </si>
  <si>
    <t>Nini Boy Relano</t>
  </si>
  <si>
    <t>MMJW1252</t>
  </si>
  <si>
    <t>Niño V. Lerias</t>
  </si>
  <si>
    <t>MMJW1253</t>
  </si>
  <si>
    <t>Ninoil Aguilar</t>
  </si>
  <si>
    <t>MMJW1254</t>
  </si>
  <si>
    <t>Niyomwungere Alban</t>
  </si>
  <si>
    <t>#1201 2851 Baycrest Dr. Ottawa ON K1V 8V7</t>
  </si>
  <si>
    <t>MMJW1255</t>
  </si>
  <si>
    <t>Niyongere Steffi</t>
  </si>
  <si>
    <t>#1409 180 Argyle Ave, Ottawa, ON K2P 1B7</t>
  </si>
  <si>
    <t>MMJW1256</t>
  </si>
  <si>
    <t>Njikem Mary Taleke</t>
  </si>
  <si>
    <t>102A Laurel Avenue Scarborough, ON M1K 3J9</t>
  </si>
  <si>
    <t>MMJW1257</t>
  </si>
  <si>
    <t>118 Rue Papineau, Gatineau, QC J8X 1V4</t>
  </si>
  <si>
    <t>MMJW1258</t>
  </si>
  <si>
    <t>Noel Shibu</t>
  </si>
  <si>
    <t>746 Partington Ave, Windsor, ON N9B 2N7</t>
  </si>
  <si>
    <t>MMJW1259</t>
  </si>
  <si>
    <t>380 Centrepointe Dr, Ottawa, ON K1G 4Z7</t>
  </si>
  <si>
    <t>MMJW1260</t>
  </si>
  <si>
    <t>MMJW1261</t>
  </si>
  <si>
    <t>Nooria Ebadi</t>
  </si>
  <si>
    <t>27 Woodward Crescent, Ajax, ON L1S 5T7</t>
  </si>
  <si>
    <t>MMJW1262</t>
  </si>
  <si>
    <t>Nora Karina Martinez Noguez</t>
  </si>
  <si>
    <t>MMJW1263</t>
  </si>
  <si>
    <t>26 C Venn Crescent, York, ON M6M 1S4</t>
  </si>
  <si>
    <t>MMJW1264</t>
  </si>
  <si>
    <t>Norsan Fajardo</t>
  </si>
  <si>
    <t>114 Townwood Drive Richmond Hill ON L4E 4T1</t>
  </si>
  <si>
    <t>MMJW1265</t>
  </si>
  <si>
    <t>Novelpreet Singh</t>
  </si>
  <si>
    <t>MMJW1266</t>
  </si>
  <si>
    <t>Novie Joy Dela Cruz</t>
  </si>
  <si>
    <t>6536 Corwin Cres, Niagara Falls, ON L2G 2A3</t>
  </si>
  <si>
    <t>MMJW1267</t>
  </si>
  <si>
    <t>Nyamoita Daniel Camander</t>
  </si>
  <si>
    <t>MMJW1268</t>
  </si>
  <si>
    <t>Odoh Patrick Uchenna</t>
  </si>
  <si>
    <t>19 875 Parkinson Rd, Woodstock, ON N4S 8S7</t>
  </si>
  <si>
    <t>MMJW1269</t>
  </si>
  <si>
    <t>Ojakovo Dorsu Oritsegbubemi Mitchell</t>
  </si>
  <si>
    <t>2 Whispering Willow Pathway, Scarborough, ON M1B 4A8</t>
  </si>
  <si>
    <t>MMJW1270</t>
  </si>
  <si>
    <t>Okolo Itua Emmanuel</t>
  </si>
  <si>
    <t>#1604A 200 Old Carriage Dr, Kitchener, ON N2P 0C7</t>
  </si>
  <si>
    <t>MMJW1271</t>
  </si>
  <si>
    <t>Olabowale Kafila Temitope</t>
  </si>
  <si>
    <t>1012 Braeside St, Woodstock, ON N4S 4T4</t>
  </si>
  <si>
    <t>MMJW1272</t>
  </si>
  <si>
    <t>Oladapo Abiodun Alonge</t>
  </si>
  <si>
    <t>249 Pittock Park Rd, Woodstock, ON N4T 0G2</t>
  </si>
  <si>
    <t>MMJW1273</t>
  </si>
  <si>
    <t>Oladele Gbenga</t>
  </si>
  <si>
    <t>79 Townhouse Crescent Brampton ON L6W 3C4</t>
  </si>
  <si>
    <t>MMJW1274</t>
  </si>
  <si>
    <t>Olalonpe Raolat Ibiyemi</t>
  </si>
  <si>
    <t>287 Waverly St N, Oshawa, ON L1J 5V8</t>
  </si>
  <si>
    <t>MMJW1275</t>
  </si>
  <si>
    <t>Olaoluwa Ajayi</t>
  </si>
  <si>
    <t>104B Eastchester Ave, St. Catharines, ON L2P 2Z1</t>
  </si>
  <si>
    <t>MMJW1276</t>
  </si>
  <si>
    <t>Oliver Aberin</t>
  </si>
  <si>
    <t>MMJW1277</t>
  </si>
  <si>
    <t>Olivier Ndayikeza</t>
  </si>
  <si>
    <t>#1104 1919 St. Laurent Blvd, Ottawa, ON K1G 3R9</t>
  </si>
  <si>
    <t>MMJW1278</t>
  </si>
  <si>
    <t>Olubukola Osifeko</t>
  </si>
  <si>
    <t>351 Rouge Hill Ct, Pickering, ON L1V 6L5</t>
  </si>
  <si>
    <t>MMJW1279</t>
  </si>
  <si>
    <t>495 Notre Dame Ave, Sudbury, ON P3C 2W2</t>
  </si>
  <si>
    <t>MMJW1280</t>
  </si>
  <si>
    <t>Oluwadare Joshua Ojo</t>
  </si>
  <si>
    <t>35 Sugarbush Square, Scarborough, ON M1C 3M6</t>
  </si>
  <si>
    <t>MMJW1281</t>
  </si>
  <si>
    <t>Omer Shareef Mohammed</t>
  </si>
  <si>
    <t>540 Elm Ave, Windsor, ON N9A 5H1</t>
  </si>
  <si>
    <t>MMJW1282</t>
  </si>
  <si>
    <t>315 Holmwood Ave #209, Ottawa, ON K1S 2R2</t>
  </si>
  <si>
    <t>omowunmis056@gmail.com</t>
  </si>
  <si>
    <t>MMJW1283</t>
  </si>
  <si>
    <t>#309 265 Dixon Rd Etobicoke ON M9R 1R7</t>
  </si>
  <si>
    <t>MMJW1284</t>
  </si>
  <si>
    <t>MMJW1285</t>
  </si>
  <si>
    <t>Oscar Uribe</t>
  </si>
  <si>
    <t>#409 793 Colborne St Brantford ON N3S 7J3</t>
  </si>
  <si>
    <t>For Scarlett</t>
  </si>
  <si>
    <t>MMJW1286</t>
  </si>
  <si>
    <t>12 Hobart Drive North York ON M2J 3J5</t>
  </si>
  <si>
    <t>MMJW1287</t>
  </si>
  <si>
    <t>#1 1170 Clyde Ave, Ottawa, ON K2C 1Y6</t>
  </si>
  <si>
    <t>MMJW1288</t>
  </si>
  <si>
    <t>Oyetayo Mayowa Sunday</t>
  </si>
  <si>
    <t>4019 Jockvale Road, Ottawa, ON K2J 4J7</t>
  </si>
  <si>
    <t>MMJW1289</t>
  </si>
  <si>
    <t>Pakary Jobateh</t>
  </si>
  <si>
    <t>116 4 Lebreton St N, Ottawa, ON K1R 7H4</t>
  </si>
  <si>
    <t>MMJW1290</t>
  </si>
  <si>
    <t>Pamela Quiano Bañez</t>
  </si>
  <si>
    <t>287 Niagara Dr, Oshawa, ON L1G 8A8</t>
  </si>
  <si>
    <t>MMJW1291</t>
  </si>
  <si>
    <t>Paola López Aguilar</t>
  </si>
  <si>
    <t>Axel</t>
  </si>
  <si>
    <t>For Axel</t>
  </si>
  <si>
    <t>MMJW1292</t>
  </si>
  <si>
    <t>Paramjeet Kaur</t>
  </si>
  <si>
    <t>6515 Thorold Stone Road Niagara Falls ON L2J 1B2</t>
  </si>
  <si>
    <t>MMJW1293</t>
  </si>
  <si>
    <t>Paramjit Singh Sandhu</t>
  </si>
  <si>
    <t>124 Stokely Crescent, Whitby, ON L1N 9S9</t>
  </si>
  <si>
    <t>MMJW1294</t>
  </si>
  <si>
    <t>Paramuir Singh Ghataurey</t>
  </si>
  <si>
    <t>12 Danielsgate Rd Brampton ON L6R 0B3</t>
  </si>
  <si>
    <t>MMJW1295</t>
  </si>
  <si>
    <t>Pardeep Kumar</t>
  </si>
  <si>
    <t>28 Ortona Dr, Brampton, ON L6Y 3C8</t>
  </si>
  <si>
    <t>MMJW1296</t>
  </si>
  <si>
    <t>MMJW1297</t>
  </si>
  <si>
    <t>MMJW1298</t>
  </si>
  <si>
    <t>Parth Maniya</t>
  </si>
  <si>
    <t>41 Hollywood Court Cambridge ON N1R 0C7</t>
  </si>
  <si>
    <t>MMJW1299</t>
  </si>
  <si>
    <t>Patel Kenil Jiteshkumar</t>
  </si>
  <si>
    <t>MMJW1300</t>
  </si>
  <si>
    <t>Patil Harsh Rameshchandra</t>
  </si>
  <si>
    <t>MMJW1301</t>
  </si>
  <si>
    <t>Patricia Ann Darrow</t>
  </si>
  <si>
    <t>1251 Janette Ave, Windsor, ON N8X 1Y7</t>
  </si>
  <si>
    <t>MMJW1302</t>
  </si>
  <si>
    <t>Patricia Mbombo Kapinga</t>
  </si>
  <si>
    <t>133 Stewart St Ottawa ON K1N 6J2</t>
  </si>
  <si>
    <t>MMJW1303</t>
  </si>
  <si>
    <t>#46 1131 Sandhurst Cir, Scarborough, ON M1V 1V5</t>
  </si>
  <si>
    <t>MMJW1304</t>
  </si>
  <si>
    <t>Patrick Lester Corciga</t>
  </si>
  <si>
    <t>PH2 3201 Lawrence Ave East Scarborough ON M1H 1A3</t>
  </si>
  <si>
    <t>MMJW1305</t>
  </si>
  <si>
    <t>Paul Laurence Arceo</t>
  </si>
  <si>
    <t>#215 3161 Eglinton Ave E, Scarborough, ON M1J 2G7</t>
  </si>
  <si>
    <t>MMJW1306</t>
  </si>
  <si>
    <t>Pauline Alday</t>
  </si>
  <si>
    <t>20 120 Murison Blvd, Scarborough, ON M1B 2V6</t>
  </si>
  <si>
    <t>Mark Clavio</t>
  </si>
  <si>
    <t>For Mark Clavio</t>
  </si>
  <si>
    <t>MMJW1307</t>
  </si>
  <si>
    <t>Pauline Monica Peralta</t>
  </si>
  <si>
    <t>6548 Laguna Ct, Niagara Falls, ON L2H 2W3</t>
  </si>
  <si>
    <t>For Carol</t>
  </si>
  <si>
    <t>MMJW1308</t>
  </si>
  <si>
    <t>MMJW1309</t>
  </si>
  <si>
    <t>Paulo Popoola</t>
  </si>
  <si>
    <t>paulompopoola@megacontacts.ca</t>
  </si>
  <si>
    <t>For Ibrahim Kamara. Not used anymore 08 22 2025</t>
  </si>
  <si>
    <t>MMJW1310</t>
  </si>
  <si>
    <t>Pawanpreet Singh</t>
  </si>
  <si>
    <t>#504 303 Westcourt Pl, Waterloo, ON N2L 6P5</t>
  </si>
  <si>
    <t>MMJW1311</t>
  </si>
  <si>
    <t>703 20 Stonehill Ct, Scarborough, ON M1W 2Y6</t>
  </si>
  <si>
    <t>paxsonfig09@gmail.com</t>
  </si>
  <si>
    <t>MMJW1312</t>
  </si>
  <si>
    <t xml:space="preserve">Perla Izamar Guillen Duarte </t>
  </si>
  <si>
    <t>#122 67 Godstone Rd, North York, ON M2J 3C8</t>
  </si>
  <si>
    <t>MMJW1313</t>
  </si>
  <si>
    <t>Petr Krejza</t>
  </si>
  <si>
    <t>4424 Ellis Street Niagara Falls ON L2E 1H4</t>
  </si>
  <si>
    <t>MMJW1314</t>
  </si>
  <si>
    <t>Petronila Ramos</t>
  </si>
  <si>
    <t>#1107 370 McCowan Road Scarborough ON M1J 1J3</t>
  </si>
  <si>
    <t>MMJW1315</t>
  </si>
  <si>
    <t>Phyllis Kay F. Isaloc</t>
  </si>
  <si>
    <t>6 Haynes Court Niagara on the lake ON L0S 1J0</t>
  </si>
  <si>
    <t>MMJW1316</t>
  </si>
  <si>
    <t>Pinka Patel</t>
  </si>
  <si>
    <t>#504 140 Wellington St S, Hamilton, ON L8N 2R5</t>
  </si>
  <si>
    <t>MMJW1317</t>
  </si>
  <si>
    <t>Pinkal Nileshkumar Maisuria</t>
  </si>
  <si>
    <t>MMJW1318</t>
  </si>
  <si>
    <t>Polovych Volodomyr</t>
  </si>
  <si>
    <t>6501 Meltzer Mews, Mississauga, ON L5N 3K7</t>
  </si>
  <si>
    <t>MMJW1319</t>
  </si>
  <si>
    <t>Prabhas Sapkota</t>
  </si>
  <si>
    <t>518 Leacock Dr, Barrie, ON L4N 7A5</t>
  </si>
  <si>
    <t>MMJW1320</t>
  </si>
  <si>
    <t>52 Sweet Oak Ct, Brampton, ON L6Y 3S4</t>
  </si>
  <si>
    <t>psekhon681@gmail.com</t>
  </si>
  <si>
    <t>MMJW1321</t>
  </si>
  <si>
    <t>Prabjot Kaur Bhullar</t>
  </si>
  <si>
    <t>#5 399 Pioneer Dr, Kitchener, ON N2P 1L8</t>
  </si>
  <si>
    <t>MMJW1322</t>
  </si>
  <si>
    <t>Pradhyumna Kosaraju</t>
  </si>
  <si>
    <t>668 Mill St, Windsor, ON N9C 2R9</t>
  </si>
  <si>
    <t>MMJW1323</t>
  </si>
  <si>
    <t>Pragya Parajuli</t>
  </si>
  <si>
    <t>MMJW1324</t>
  </si>
  <si>
    <t>1 Massey Square #915, East York, ON M4C 5L4</t>
  </si>
  <si>
    <t>MMJW1325</t>
  </si>
  <si>
    <t>Pratima Shrestha</t>
  </si>
  <si>
    <t>190 Elizabeth St, Oshawa, ON L1J 8M1</t>
  </si>
  <si>
    <t>MMJW1326</t>
  </si>
  <si>
    <t>Preet Kamal</t>
  </si>
  <si>
    <t>583 Commonwealth Crescent, Kitchener, ON N2E 4K1</t>
  </si>
  <si>
    <t>MMJW1327</t>
  </si>
  <si>
    <t>Prince Vaughn Xenos Malana</t>
  </si>
  <si>
    <t>623 77 Huntley St, Toronto, ON M4Y 2P3</t>
  </si>
  <si>
    <t>Ma. Xynnia</t>
  </si>
  <si>
    <t>For Ma. Xynnia</t>
  </si>
  <si>
    <t>MMJW1328</t>
  </si>
  <si>
    <t>Pritsie Feby Sadava</t>
  </si>
  <si>
    <t>#14 203 Fairway Road North, Kitchener ON N2A 2N7</t>
  </si>
  <si>
    <t>MMJW1329</t>
  </si>
  <si>
    <t xml:space="preserve">Priya </t>
  </si>
  <si>
    <t>153 Cordgrass Crescent Brampton ON L6R 2A3</t>
  </si>
  <si>
    <t>MMJW1330</t>
  </si>
  <si>
    <t>Priyankaben K Patel</t>
  </si>
  <si>
    <t>#15 130 Woodridge Crescent, Ottawa, ON K2B 7S9</t>
  </si>
  <si>
    <t>MMJW1331</t>
  </si>
  <si>
    <t>Quadient Canada Ltd.</t>
  </si>
  <si>
    <t>150 Steelcase Rd W, Markham, ON L3R 3J9</t>
  </si>
  <si>
    <t>MMJW1332</t>
  </si>
  <si>
    <t>Rahael Fondong</t>
  </si>
  <si>
    <t>611 Brittania Crescent, Kitchener, ON N2R 0B1</t>
  </si>
  <si>
    <t>MMJW1333</t>
  </si>
  <si>
    <t>Rahul Bhalla</t>
  </si>
  <si>
    <t>67 Tufton Crescent Brampton ON L7A 3J2</t>
  </si>
  <si>
    <t>MMJW1334</t>
  </si>
  <si>
    <t>Rahul Rahul</t>
  </si>
  <si>
    <t>MMJW1335</t>
  </si>
  <si>
    <t>Raicel Mae Abria</t>
  </si>
  <si>
    <t>564 McRoberts Avenue York Ontario M6E 4R6</t>
  </si>
  <si>
    <t>MMJW1336</t>
  </si>
  <si>
    <t>Raj V Rajput</t>
  </si>
  <si>
    <t>MMJW1337</t>
  </si>
  <si>
    <t>MMJW1338</t>
  </si>
  <si>
    <t>Ralfh and Roy</t>
  </si>
  <si>
    <t>MMJW1339</t>
  </si>
  <si>
    <t>Ramandeep Kaur</t>
  </si>
  <si>
    <t>952 Concession Rd, Cambridge, ON N3H 4L6</t>
  </si>
  <si>
    <t>MMJW1340</t>
  </si>
  <si>
    <t>Ramandeep Singh</t>
  </si>
  <si>
    <t>MMJW1341</t>
  </si>
  <si>
    <t>Rami Harven Gallego</t>
  </si>
  <si>
    <t>#4 53 Rue Wright Gatineau QC J8X 2G2</t>
  </si>
  <si>
    <t>MMJW1342</t>
  </si>
  <si>
    <t>Ramon Mesa Gomez</t>
  </si>
  <si>
    <t>MMJW1343</t>
  </si>
  <si>
    <t>Randeep Kaur</t>
  </si>
  <si>
    <t>MMJW1344</t>
  </si>
  <si>
    <t>Ranjeet Singh</t>
  </si>
  <si>
    <t>28 Lloyd Crescent Brampton ON L7A 4J5</t>
  </si>
  <si>
    <t>MMJW1345</t>
  </si>
  <si>
    <t>92 Nabob Crescent, Scarborough, ON M1B 2Z2</t>
  </si>
  <si>
    <t>MMJW1346</t>
  </si>
  <si>
    <t>Ranzmiler Panganiban</t>
  </si>
  <si>
    <t>MMJW1347</t>
  </si>
  <si>
    <t>Ravi Goswami</t>
  </si>
  <si>
    <t>471 Templemead Drive Hamilton ON L8W 3K6</t>
  </si>
  <si>
    <t>MMJW1348</t>
  </si>
  <si>
    <t>Rayman Caballero</t>
  </si>
  <si>
    <t>MMJW1349</t>
  </si>
  <si>
    <t>Raymart P. Mandani</t>
  </si>
  <si>
    <t>7046 Julie Dr, Niagara Falls, ON L2H 3L4</t>
  </si>
  <si>
    <t>Martie</t>
  </si>
  <si>
    <t>For Martie</t>
  </si>
  <si>
    <t>MMJW1350</t>
  </si>
  <si>
    <t>72 Francis St Hamilton ON L8L 3V3</t>
  </si>
  <si>
    <t>MMJW1351</t>
  </si>
  <si>
    <t>Rebecca Ayugi</t>
  </si>
  <si>
    <t>MMJW1352</t>
  </si>
  <si>
    <t>Rebecca Tan Apolonia</t>
  </si>
  <si>
    <t>4206 Bloor St W, Etobicoke, ON M9C 1Z4</t>
  </si>
  <si>
    <t>MMJW1353</t>
  </si>
  <si>
    <t>Rechell Bernales</t>
  </si>
  <si>
    <t>#604 180 Queen Mary Road Kingston ON K7M 2A8</t>
  </si>
  <si>
    <t>MMJW1354</t>
  </si>
  <si>
    <t>Regan Sherwin Rama</t>
  </si>
  <si>
    <t>30 Mansur Terrace North York ON M3J 3R1</t>
  </si>
  <si>
    <t>MMJW1355</t>
  </si>
  <si>
    <t>Reggie Beth De Guzman</t>
  </si>
  <si>
    <t>8 Ashcott St, Scarborough, ON M1V 5G5</t>
  </si>
  <si>
    <t>MMJW1356</t>
  </si>
  <si>
    <t>Regine Lacar</t>
  </si>
  <si>
    <t>48 Stevens Dr, Niagara on the Lake, ON L0S 1J0</t>
  </si>
  <si>
    <t>MMJW1357</t>
  </si>
  <si>
    <t>#21 939 Eiffel Ave, Ottawa, ON K2C 0J3</t>
  </si>
  <si>
    <t>MMJW1358</t>
  </si>
  <si>
    <t>Renato M. Darjuan Jr.</t>
  </si>
  <si>
    <t>#901 120 Old Carriage Dr, Kitchener, ON N2P 1Z4</t>
  </si>
  <si>
    <t>MMJW1359</t>
  </si>
  <si>
    <t>Renelyn Osa Ting Omila</t>
  </si>
  <si>
    <t>MMJW1360</t>
  </si>
  <si>
    <t>Resham Adhikari</t>
  </si>
  <si>
    <t>MMJW1361</t>
  </si>
  <si>
    <t>Rey Barrita</t>
  </si>
  <si>
    <t>MMJW1362</t>
  </si>
  <si>
    <t>Rey Carrascal</t>
  </si>
  <si>
    <t>#1110 5 Fisherville Rd, North York, ON M2R 3B6</t>
  </si>
  <si>
    <t>MMJW1363</t>
  </si>
  <si>
    <t>Rey Sales</t>
  </si>
  <si>
    <t>salesrey3@gmail.com</t>
  </si>
  <si>
    <t>MMJW1364</t>
  </si>
  <si>
    <t>Reyna April Seduco</t>
  </si>
  <si>
    <t>2 Sweetland Rd Etobicoke ON M9P 3K9</t>
  </si>
  <si>
    <t>MMJW1365</t>
  </si>
  <si>
    <t>Reynald James Lapina</t>
  </si>
  <si>
    <t>632 Bourne Place, Kingston, ON K7M 6P1</t>
  </si>
  <si>
    <t>MMJW1366</t>
  </si>
  <si>
    <t>Reynaldo Batoon Jr.</t>
  </si>
  <si>
    <t>1025 Thimbleberry Cir, Oshawa, ON L1K 2H2</t>
  </si>
  <si>
    <t>MMJW1367</t>
  </si>
  <si>
    <t>Reynante Villareal</t>
  </si>
  <si>
    <t>#716 140 Adanac Dr, Scarborough, ON M1M 2E8</t>
  </si>
  <si>
    <t>MMJW1368</t>
  </si>
  <si>
    <t>Reynolyn Maruquin</t>
  </si>
  <si>
    <t>For Daisy Pailma</t>
  </si>
  <si>
    <t>MMJW1369</t>
  </si>
  <si>
    <t>Reza Alishahi</t>
  </si>
  <si>
    <t>2 Berkindale Drive North York, ON M2L 1Z5</t>
  </si>
  <si>
    <t>MMJW1370</t>
  </si>
  <si>
    <t>1755 Valley Rd, Huntsville, ON G6S 0P2</t>
  </si>
  <si>
    <t>maynovsob@gmail.com</t>
  </si>
  <si>
    <t>Carl (Muskoka)</t>
  </si>
  <si>
    <t>MMJW1371</t>
  </si>
  <si>
    <t>Rhodora Ubando</t>
  </si>
  <si>
    <t>MMJW1372</t>
  </si>
  <si>
    <t>Ria Eula May B. Calantoc</t>
  </si>
  <si>
    <t>3059 Finch Ave West #39 Toronto ON M9M 0A7</t>
  </si>
  <si>
    <t>MMJW1373</t>
  </si>
  <si>
    <t>1111 95 Trailwood Drive Mississauga ON L4Z 3L2</t>
  </si>
  <si>
    <t>MMJW1374</t>
  </si>
  <si>
    <t>Ricardo Funes Hernandez</t>
  </si>
  <si>
    <t>787A Ridgewood Ave, Ottawa, ON K1V 6M8</t>
  </si>
  <si>
    <t>MMJW1375</t>
  </si>
  <si>
    <t>MMJW1376</t>
  </si>
  <si>
    <t>Rico Diola</t>
  </si>
  <si>
    <t>#20 4140 Lawrence Ave E Scarborough, ON M1E 2R8</t>
  </si>
  <si>
    <t>MMJW1377</t>
  </si>
  <si>
    <t>Rico Rodriguez Jr</t>
  </si>
  <si>
    <t>18 Danesbury Crescent, Brampton, ON L6T 1T3</t>
  </si>
  <si>
    <t>MMJW1378</t>
  </si>
  <si>
    <t>78 Periwinkle Dr, Hamilton, ON L0R 1P0</t>
  </si>
  <si>
    <t>MMJW1379</t>
  </si>
  <si>
    <t>6000 Grossbeak Dr, Mississauga, ON L5N 5W8</t>
  </si>
  <si>
    <t>MMJW1380</t>
  </si>
  <si>
    <t>Rishabh Bumb</t>
  </si>
  <si>
    <t>7258 Dime Crescent, Mississauga, ON L5W 1K6</t>
  </si>
  <si>
    <t>MMJW1381</t>
  </si>
  <si>
    <t>Rishabh Mittal</t>
  </si>
  <si>
    <t>3630 Crabtree Crescent, Mississauga, ON L4T 1S6</t>
  </si>
  <si>
    <t>MMJW1382</t>
  </si>
  <si>
    <t>Ritika Thapa</t>
  </si>
  <si>
    <t>20 Falls Crescent, Simcoe, ON N3Y 5K5</t>
  </si>
  <si>
    <t>Nikesh</t>
  </si>
  <si>
    <t>For Nikesh</t>
  </si>
  <si>
    <t>MMJW1383</t>
  </si>
  <si>
    <t>Riya</t>
  </si>
  <si>
    <t>MMJW1384</t>
  </si>
  <si>
    <t>Rizette Joy Bilog</t>
  </si>
  <si>
    <t>MMJW1385</t>
  </si>
  <si>
    <t>Rizza Jean Pineda</t>
  </si>
  <si>
    <t>MMJW1386</t>
  </si>
  <si>
    <t>Roberto Eagle Mendieta</t>
  </si>
  <si>
    <t>MMJW1387</t>
  </si>
  <si>
    <t>Robertson Lasala</t>
  </si>
  <si>
    <t>#42 50 Verne Crescent Scarborough ON M1B 2X1</t>
  </si>
  <si>
    <t>Bryzzel</t>
  </si>
  <si>
    <t>For Bryzzel</t>
  </si>
  <si>
    <t>MMJW1388</t>
  </si>
  <si>
    <t>rochellannmagtangob@gmail.com</t>
  </si>
  <si>
    <t>MMJW1389</t>
  </si>
  <si>
    <t>Rodel Ligoyligoy</t>
  </si>
  <si>
    <t>56 Coyote Crescent Scarborough ON M1B 6H1</t>
  </si>
  <si>
    <t>MMJW1390</t>
  </si>
  <si>
    <t>Rodolfo Trinidad</t>
  </si>
  <si>
    <t>#1 844 Wilson Ave., North York, ON M3K 1E5</t>
  </si>
  <si>
    <t>MMJW1391</t>
  </si>
  <si>
    <t>Rodrigo Palmiro (for Charisse Relano)</t>
  </si>
  <si>
    <t>MMJW1392</t>
  </si>
  <si>
    <t>Rodrigo Palmiro (for Nini Boy Relano)</t>
  </si>
  <si>
    <t>MMJW1393</t>
  </si>
  <si>
    <t>Rodrigue Nduwayo</t>
  </si>
  <si>
    <t>#5 2412 Clementine Blvd, Ottawa, ON K1V 8E2</t>
  </si>
  <si>
    <t>MMJW1394</t>
  </si>
  <si>
    <t>Roel Mercado</t>
  </si>
  <si>
    <t>MMJW1395</t>
  </si>
  <si>
    <t>Rojean Angelica Martin</t>
  </si>
  <si>
    <t>7 Birchcrest Ct, Scarborough, ON M1W 4A4</t>
  </si>
  <si>
    <t>MMJW1396</t>
  </si>
  <si>
    <t>Roland Karchnak</t>
  </si>
  <si>
    <t>19 East 22nd Street Hamilton ON L8V 2V4</t>
  </si>
  <si>
    <t>MMJW1397</t>
  </si>
  <si>
    <t>MMJW1398</t>
  </si>
  <si>
    <t>Rommel Quibuyen</t>
  </si>
  <si>
    <t>109 1 Terraview Blvd Toronto ON M1R 4L5</t>
  </si>
  <si>
    <t>MMJW1399</t>
  </si>
  <si>
    <t>Ron Alvin Dacanay</t>
  </si>
  <si>
    <t>MMJW1400</t>
  </si>
  <si>
    <t>Ron Jaycob Atiga Cadalso</t>
  </si>
  <si>
    <t>810 Clarity Ave, Ottawa, ON K2J 6L9</t>
  </si>
  <si>
    <t>MMJW1401</t>
  </si>
  <si>
    <t>Ronak Chauhan</t>
  </si>
  <si>
    <t>380 Chappelle Ave, Windsor, ON N9C 3C7</t>
  </si>
  <si>
    <t>MMJW1402</t>
  </si>
  <si>
    <t>Ronak Mayank Tandon</t>
  </si>
  <si>
    <t>197 Rosenberg Way, Kitchener, ON N2R 0T2</t>
  </si>
  <si>
    <t>MMJW1403</t>
  </si>
  <si>
    <t>Ronald Fajardo</t>
  </si>
  <si>
    <t>19 Walford Rd, Markham, ON L3S 2S6</t>
  </si>
  <si>
    <t>MMJW1404</t>
  </si>
  <si>
    <t>Ronila J. Hutalle</t>
  </si>
  <si>
    <t>MMJW1405</t>
  </si>
  <si>
    <t>Ronnie Bacaycay Castro</t>
  </si>
  <si>
    <t>1032 Karsh Drive Ottawa ON K1G 4M9</t>
  </si>
  <si>
    <t>MMJW1406</t>
  </si>
  <si>
    <t>Rosa Nida Villarosa</t>
  </si>
  <si>
    <t>MMJW1407</t>
  </si>
  <si>
    <t>Rosalie Someros</t>
  </si>
  <si>
    <t>12 Windy Ridge Drive Scarborough ON M1M 1H5</t>
  </si>
  <si>
    <t>MMJW1408</t>
  </si>
  <si>
    <t>Rosario Ello</t>
  </si>
  <si>
    <t>5377 Menzie St, Niagara Falls, ON L2E 2V7</t>
  </si>
  <si>
    <t>MMJW1409</t>
  </si>
  <si>
    <t>MMJW1410</t>
  </si>
  <si>
    <t>309 Royal Salisbury Way, Brampton, ON L6V 3G4</t>
  </si>
  <si>
    <t>MMJW1411</t>
  </si>
  <si>
    <t>Rosie Mae Parandas</t>
  </si>
  <si>
    <t>#717 25 Cole St Toronto, ON M5A 4M3</t>
  </si>
  <si>
    <t>MMJW1412</t>
  </si>
  <si>
    <t>Ross vie Sabalones</t>
  </si>
  <si>
    <t>MMJW1413</t>
  </si>
  <si>
    <t>Rowena Virgo</t>
  </si>
  <si>
    <t>33 Priory Drive Whitby ON L1P 0L1</t>
  </si>
  <si>
    <t>For Rachel</t>
  </si>
  <si>
    <t>MMJW1414</t>
  </si>
  <si>
    <t>7 Vincent Street Brampton ON L6R 0G8</t>
  </si>
  <si>
    <t>MMJW1415</t>
  </si>
  <si>
    <t>Ruel John Aguilar</t>
  </si>
  <si>
    <t>5963 Ladyburn Crescent, Mississauga, ON L5M 4V7</t>
  </si>
  <si>
    <t>MMJW1416</t>
  </si>
  <si>
    <t>Russian Dan Rasco (for Joanna Oakville)</t>
  </si>
  <si>
    <t>MMJW1417</t>
  </si>
  <si>
    <t>Rutul Manishbhai Patel</t>
  </si>
  <si>
    <t>PH 08 220 Steeles Ave W, Brampton, ON L6Y 2K3</t>
  </si>
  <si>
    <t>MMJW1418</t>
  </si>
  <si>
    <t>Rutulkumar Patel</t>
  </si>
  <si>
    <t>7 Del Grappa St, Town Of Caledon, ON L7C 1Z9</t>
  </si>
  <si>
    <t>MMJW1419</t>
  </si>
  <si>
    <t>Ryan Bromfield</t>
  </si>
  <si>
    <t>MMJW1420</t>
  </si>
  <si>
    <t>Ryka Mae Torres</t>
  </si>
  <si>
    <t>10 Pulford Crescent St Ottawa ON K2B 6L7</t>
  </si>
  <si>
    <t>MMJW1421</t>
  </si>
  <si>
    <t>Sabadjot Singh</t>
  </si>
  <si>
    <t>#6 985 Pelissier St, Windsor, ON N9A 4L6</t>
  </si>
  <si>
    <t>MMJW1422</t>
  </si>
  <si>
    <t>MMJW1423</t>
  </si>
  <si>
    <t>Sadhvi Thakur</t>
  </si>
  <si>
    <t>MMJW1424</t>
  </si>
  <si>
    <t>Saheed Ajao Mohammed</t>
  </si>
  <si>
    <t>#203 25 Broadoaks Dr, North York, ON M3J 1E3</t>
  </si>
  <si>
    <t>MMJW1425</t>
  </si>
  <si>
    <t>Sahil Kumar</t>
  </si>
  <si>
    <t>MMJW1426</t>
  </si>
  <si>
    <t>Saimy Simon</t>
  </si>
  <si>
    <t>75 Stafford St, Woodstock, ON N4S 3Z8</t>
  </si>
  <si>
    <t>MMJW1427</t>
  </si>
  <si>
    <t>Sainet Matta</t>
  </si>
  <si>
    <t>MMJW1428</t>
  </si>
  <si>
    <t>Saira Khim Abad</t>
  </si>
  <si>
    <t>7248 Lionshead Avenue Niagara Falls ON L2G 0A6</t>
  </si>
  <si>
    <t>MMJW1429</t>
  </si>
  <si>
    <t>Saksham Tandon</t>
  </si>
  <si>
    <t>MMJW1430</t>
  </si>
  <si>
    <t>Salvador Andrew Sitay</t>
  </si>
  <si>
    <t>303 1457 Kingston Rd Scarborough ON M1N 1R5</t>
  </si>
  <si>
    <t>MMJW1431</t>
  </si>
  <si>
    <t>Sam Perez</t>
  </si>
  <si>
    <t>MMJW1432</t>
  </si>
  <si>
    <t>29 Depew St, Hamilton, ON L8L 7H7</t>
  </si>
  <si>
    <t>MMJW1433</t>
  </si>
  <si>
    <t>MMJW1434</t>
  </si>
  <si>
    <t>103 6040 Bathurst St, Toronto, ON M2R 2A1</t>
  </si>
  <si>
    <t>Pat**</t>
  </si>
  <si>
    <t>MMJW1435</t>
  </si>
  <si>
    <t>Samuel Olulana</t>
  </si>
  <si>
    <t>102 St David's Rd, St. Catharines, ON L2T 1P9</t>
  </si>
  <si>
    <t>MMJW1436</t>
  </si>
  <si>
    <t>102 St David's Rd Thorold ON L2T 1P9</t>
  </si>
  <si>
    <t>MMJW1437</t>
  </si>
  <si>
    <t>Sandip Lama</t>
  </si>
  <si>
    <t>MMJW1438</t>
  </si>
  <si>
    <t>551 E 27th St, Hamilton, ON L8V 3H4</t>
  </si>
  <si>
    <t>MMJW1439</t>
  </si>
  <si>
    <t>Sandra Taggart</t>
  </si>
  <si>
    <t>#5 1362 Trenton Ave, Ottawa, ON K1Z 8K4</t>
  </si>
  <si>
    <t>MMJW1440</t>
  </si>
  <si>
    <t>Sangwa Kevine</t>
  </si>
  <si>
    <t>MMJW1441</t>
  </si>
  <si>
    <t>Sanjaya Nepal</t>
  </si>
  <si>
    <t>66 King St E #2, Hamilton, ON L8N 1A6</t>
  </si>
  <si>
    <t>MMJW1442</t>
  </si>
  <si>
    <t>MMJW1443</t>
  </si>
  <si>
    <t>Sara Mae Garciano</t>
  </si>
  <si>
    <t>697 Malibu Terrace, Ottawa, ON K2C 3T9</t>
  </si>
  <si>
    <t>MMJW1444</t>
  </si>
  <si>
    <t>Sarah Jean M Morente</t>
  </si>
  <si>
    <t>1032 Karsh Drive, Ottawa ON K1G 4M9</t>
  </si>
  <si>
    <t>MMJW1445</t>
  </si>
  <si>
    <t>Sarah Nakimuli</t>
  </si>
  <si>
    <t>MMJW1446</t>
  </si>
  <si>
    <t>1284 Prince of Wales Dr, Ottawa, ON K2C 1N3</t>
  </si>
  <si>
    <t>MMJW1447</t>
  </si>
  <si>
    <t>825 Quartet Ave Gloucester ON K1X 0C4</t>
  </si>
  <si>
    <t>MMJW1448</t>
  </si>
  <si>
    <t>1548 Winville Rd, Pickering, ON L1X 0C5</t>
  </si>
  <si>
    <t>sayeedah.hashimi@gmail.com</t>
  </si>
  <si>
    <t>MMJW1449</t>
  </si>
  <si>
    <t>Scarlett Flores Vivallo</t>
  </si>
  <si>
    <t>MMJW1450</t>
  </si>
  <si>
    <t>Secia Ramos</t>
  </si>
  <si>
    <t>MMJW1451</t>
  </si>
  <si>
    <t>Seigfred Impas</t>
  </si>
  <si>
    <t>4551 Drummond Rd, Niagara Falls, ON L2E 6C8</t>
  </si>
  <si>
    <t>MMJW1452</t>
  </si>
  <si>
    <t>Sejalben Dhrupal Tilava (for Haresh)</t>
  </si>
  <si>
    <t>#103, 220 Woodridge Crescent Ottawa ON K2B 8G1</t>
  </si>
  <si>
    <t>MMJW1453</t>
  </si>
  <si>
    <t>Sekinat Ojo</t>
  </si>
  <si>
    <t>sektoyin1977@gmail.com</t>
  </si>
  <si>
    <t>MMJW1454</t>
  </si>
  <si>
    <t>Senen Capinpin</t>
  </si>
  <si>
    <t>15 N Park Rd #1101, Vaughan, ON L4J 0A1</t>
  </si>
  <si>
    <t>MMJW1455</t>
  </si>
  <si>
    <t>Senjin Ryner de Sagun</t>
  </si>
  <si>
    <t>6287 Taylor Street Niagara Falls ON L2G 2E9</t>
  </si>
  <si>
    <t>MMJW1456</t>
  </si>
  <si>
    <t>Serena</t>
  </si>
  <si>
    <t>MMJW1457</t>
  </si>
  <si>
    <t>Shabnam</t>
  </si>
  <si>
    <t>MMJW1458</t>
  </si>
  <si>
    <t>Shaerylle Love Carriaga</t>
  </si>
  <si>
    <t>MMJW1459</t>
  </si>
  <si>
    <t>Shahnawaz Shamsealam Shaikh</t>
  </si>
  <si>
    <t>493 Parkview Crescent, Cambridge, ON N3H 4Y3</t>
  </si>
  <si>
    <t>MMJW1460</t>
  </si>
  <si>
    <t>Shahzadi Firdous</t>
  </si>
  <si>
    <t>#318 402 Queen St, Ottawa, ON K1R 5A7</t>
  </si>
  <si>
    <t>MMJW1461</t>
  </si>
  <si>
    <t>MMJW1462</t>
  </si>
  <si>
    <t>Shaniqua Clarke</t>
  </si>
  <si>
    <t>MMJW1463</t>
  </si>
  <si>
    <t>Sharanjit Kaur</t>
  </si>
  <si>
    <t>MMJW1464</t>
  </si>
  <si>
    <t>Sharell Rosario</t>
  </si>
  <si>
    <t>2 Orlanda Rd, Stoney Creek, ON L8G 2J8</t>
  </si>
  <si>
    <t>MMJW1465</t>
  </si>
  <si>
    <t>Sharief Gayle Inocente</t>
  </si>
  <si>
    <t>#315 80 Grandravine Dr, North York, ON M3J 1B2</t>
  </si>
  <si>
    <t>MMJW1466</t>
  </si>
  <si>
    <t>Sharon Cabrera</t>
  </si>
  <si>
    <t>24 1615 Dundas St. East, Toronto, ON M4L 1L2</t>
  </si>
  <si>
    <t>MMJW1467</t>
  </si>
  <si>
    <t>Sharon Jacobs</t>
  </si>
  <si>
    <t>110 236 Dixon Rd Etobicoke ON M9P 2M3</t>
  </si>
  <si>
    <t>MMJW1468</t>
  </si>
  <si>
    <t>Sharuti</t>
  </si>
  <si>
    <t>MMJW1469</t>
  </si>
  <si>
    <t>Sheena Bitalac</t>
  </si>
  <si>
    <t>608 McGill Ln, Woodstock, ON N4S 0L3</t>
  </si>
  <si>
    <t>MMJW1470</t>
  </si>
  <si>
    <t>Sheenider Lyson Joseph</t>
  </si>
  <si>
    <t>#104 1975 St. Laurent Blvd, Ottawa, ON K1G 3S7</t>
  </si>
  <si>
    <t>MMJW1471</t>
  </si>
  <si>
    <t>Sheikh Omar Jallow (for Saikou)</t>
  </si>
  <si>
    <t>MMJW1472</t>
  </si>
  <si>
    <t>Sheil Rio Marchan (for May D.)</t>
  </si>
  <si>
    <t>5604 Avenue McLynn Montreal QC H3X 2R1</t>
  </si>
  <si>
    <t>MMJW1473</t>
  </si>
  <si>
    <t>MMJW1474</t>
  </si>
  <si>
    <t>Shekhar Saini</t>
  </si>
  <si>
    <t>#3 385 Pioneer Drive Kitchener ON N2P 1L8</t>
  </si>
  <si>
    <t>MMJW1475</t>
  </si>
  <si>
    <t>MMJW1476</t>
  </si>
  <si>
    <t>#1702 5 Tangreen Ct, North York, ON M2M 3Z1</t>
  </si>
  <si>
    <t>MMJW1477</t>
  </si>
  <si>
    <t>Sherwin Ragudos</t>
  </si>
  <si>
    <t>MMJW1478</t>
  </si>
  <si>
    <t>Sheryl C. Policarpio</t>
  </si>
  <si>
    <t>MMJW1479</t>
  </si>
  <si>
    <t>Sheryl Tecson</t>
  </si>
  <si>
    <t>MMJW1480</t>
  </si>
  <si>
    <t>Sheryll Lagutan (for Gian Lagutan)</t>
  </si>
  <si>
    <t>3F 187 Park St S, Hamilton, ON L8P 3E9</t>
  </si>
  <si>
    <t>MMJW1481</t>
  </si>
  <si>
    <t>Shiela Marie Villanueva</t>
  </si>
  <si>
    <t>35 Rue Lionel Groulx Gatineau QC J8T 1T5</t>
  </si>
  <si>
    <t>MMJW1482</t>
  </si>
  <si>
    <t>Shirley Brunet</t>
  </si>
  <si>
    <t>107 Eighth St W, Cornwall, ON K6J 2Z3</t>
  </si>
  <si>
    <t>MMJW1483</t>
  </si>
  <si>
    <t>5622 Osprey Avenue, Niagara Falls, ON L2H 0M2</t>
  </si>
  <si>
    <t>MMJW1484</t>
  </si>
  <si>
    <t>Shubh Kansara</t>
  </si>
  <si>
    <t>1409B 220 Ira Needles Blvd, Kitchener, ON N2N 3K6</t>
  </si>
  <si>
    <t>MMJW1485</t>
  </si>
  <si>
    <t>Shweta Naidu</t>
  </si>
  <si>
    <t>2185 Dominion Blvd, Windsor, ON N9B 3H8</t>
  </si>
  <si>
    <t>MMJW1486</t>
  </si>
  <si>
    <t>Siboka Thompson (for Shanna)</t>
  </si>
  <si>
    <t>MMJW1487</t>
  </si>
  <si>
    <t>Sibonile Dube</t>
  </si>
  <si>
    <t>#B122 1950 Montreal Rd, Cornwall, ON K6H 6L2</t>
  </si>
  <si>
    <t>MMJW1488</t>
  </si>
  <si>
    <t>Siddharth Kadam</t>
  </si>
  <si>
    <t>960 Curry Ave, Windsor, ON N9B 2C5</t>
  </si>
  <si>
    <t>MMJW1489</t>
  </si>
  <si>
    <t>Sidhart Sunil</t>
  </si>
  <si>
    <t>15 Weatherall Ave, Cambridge, ON N3H 0C4</t>
  </si>
  <si>
    <t>MMJW1490</t>
  </si>
  <si>
    <t>Simarbir</t>
  </si>
  <si>
    <t>Form Response REQUIRED</t>
  </si>
  <si>
    <t>MMJW1491</t>
  </si>
  <si>
    <t>#301 485 Eagleson Rd, Kanata, ON K2M 1H3</t>
  </si>
  <si>
    <t>s.chege18@yahoo.com</t>
  </si>
  <si>
    <t>MMJW1492</t>
  </si>
  <si>
    <t>MMJW1493</t>
  </si>
  <si>
    <t>Simranjeet Kaur (Bloom)</t>
  </si>
  <si>
    <t>9 Heatherside Ct, Brampton, ON L6S 1N9</t>
  </si>
  <si>
    <t>MMJW1494</t>
  </si>
  <si>
    <t>25 Candy Crescent, Brampton, ON L6X 3Z4</t>
  </si>
  <si>
    <t>MMJW1495</t>
  </si>
  <si>
    <t>Simranjit Kaur Sohal</t>
  </si>
  <si>
    <t>25 Acadian Heights, Brampton, ON L6Y 4H5</t>
  </si>
  <si>
    <t>MMJW1496</t>
  </si>
  <si>
    <t>Sinan Temel</t>
  </si>
  <si>
    <t>#413 5700 Stanley Ave, Niagara Falls, ON L2G 3X5</t>
  </si>
  <si>
    <t>MMJW1497</t>
  </si>
  <si>
    <t>Sirach Miguel Jael</t>
  </si>
  <si>
    <t>#38 6540 Falconer Dr, Mississauga, ON L5N 1M1</t>
  </si>
  <si>
    <t>MMJW1498</t>
  </si>
  <si>
    <t>Smit Jayesh Solanki</t>
  </si>
  <si>
    <t>MMJW1499</t>
  </si>
  <si>
    <t>Snezana Balog</t>
  </si>
  <si>
    <t>#1601 15 Cougar Ct Scarborough, ON M1J 3E4</t>
  </si>
  <si>
    <t>MMJW1500</t>
  </si>
  <si>
    <t>Sofia Bonifacio</t>
  </si>
  <si>
    <t>MMJW1501</t>
  </si>
  <si>
    <t>#6 410 Chapel St Ottawa, ON K1N 7Z8</t>
  </si>
  <si>
    <t>MMJW1502</t>
  </si>
  <si>
    <t>Soham Dineshbhai Findoriya</t>
  </si>
  <si>
    <t>961 Curry Ave, Windsor, ON N9B 2C4</t>
  </si>
  <si>
    <t>MMJW1503</t>
  </si>
  <si>
    <t>Soham Joshi</t>
  </si>
  <si>
    <t>#1015, 1 Fountainhead Road North York ON M3J 1K6</t>
  </si>
  <si>
    <t>MMJW1504</t>
  </si>
  <si>
    <t>Sonal Chawla</t>
  </si>
  <si>
    <t>MMJW1505</t>
  </si>
  <si>
    <t>#1114 325 Bogert Ave, Old Toronto, ON M2N 1L8</t>
  </si>
  <si>
    <t>sonia.dailay@gmail.com</t>
  </si>
  <si>
    <t>MMJW1506</t>
  </si>
  <si>
    <t>7229 Darcel Avenue, Mississauga, ON L4T 2X4</t>
  </si>
  <si>
    <t>Harshbedi3465@gmail.com</t>
  </si>
  <si>
    <t>437-667-9389</t>
  </si>
  <si>
    <t>MMJW1507</t>
  </si>
  <si>
    <t>Sony Lucero</t>
  </si>
  <si>
    <t>#104 93 Milford Ave, Waterloo, ON N2L 3Z5</t>
  </si>
  <si>
    <t>MMJW1508</t>
  </si>
  <si>
    <t xml:space="preserve">Sourabh </t>
  </si>
  <si>
    <t>MMJW1509</t>
  </si>
  <si>
    <t>Sourav Garg</t>
  </si>
  <si>
    <t>MMJW1510</t>
  </si>
  <si>
    <t>Srushti Manubhai Patel</t>
  </si>
  <si>
    <t>MMJW1511</t>
  </si>
  <si>
    <t>Stacey Sedoriosa</t>
  </si>
  <si>
    <t>275 Fleming Dr, London, ON N5V 4Y7</t>
  </si>
  <si>
    <t>MMJW1512</t>
  </si>
  <si>
    <t>Subramaniam Udayakumar</t>
  </si>
  <si>
    <t>60 Mapleview Ave, Brampton, ON L6R 1M3</t>
  </si>
  <si>
    <t>MMJW1513</t>
  </si>
  <si>
    <t>Sudha Sapkota</t>
  </si>
  <si>
    <t>MMJW1514</t>
  </si>
  <si>
    <t>Sujata Oli</t>
  </si>
  <si>
    <t>MMJW1515</t>
  </si>
  <si>
    <t>Sukhpreet Kaur</t>
  </si>
  <si>
    <t>1 Aron Dr, Brampton, ON L6Y 2S3</t>
  </si>
  <si>
    <t>MMJW1516</t>
  </si>
  <si>
    <t>Sukhpreet Kaur Billing</t>
  </si>
  <si>
    <t>7222 Sharon Ave, Niagara Falls, ON L2G 5W7</t>
  </si>
  <si>
    <t>MMJW1517</t>
  </si>
  <si>
    <t>Sukhpreet Singh Jaswinder Singh Bhamrha</t>
  </si>
  <si>
    <t>#10 100 Dufay Rd, Brampton, ON L7A 4S3</t>
  </si>
  <si>
    <t>MMJW1518</t>
  </si>
  <si>
    <t>18 Moffatt Ave, Brampton, ON L6Y 2M8</t>
  </si>
  <si>
    <t>MMJW1519</t>
  </si>
  <si>
    <t>Sunaina Sunaina</t>
  </si>
  <si>
    <t>32 Lakeview Dr, Stoney Creek, ON L8E 4X2</t>
  </si>
  <si>
    <t>MMJW1520</t>
  </si>
  <si>
    <t>Sunday Prince Edidiong</t>
  </si>
  <si>
    <t>Huntington University 935 Ramsey Lake Rd, Sudbury, ON P3E 2C6</t>
  </si>
  <si>
    <t>935 Ramsey Lake Rd, Sudbury, ON P3E 2C6</t>
  </si>
  <si>
    <t>MMJW1521</t>
  </si>
  <si>
    <t>Sunny Antil</t>
  </si>
  <si>
    <t>81 Henley Crescent, Etobicoke, ON M9W 2X4</t>
  </si>
  <si>
    <t>MMJW1522</t>
  </si>
  <si>
    <t>36 Lachlan Dr, Ajax, ON L1T 1N6</t>
  </si>
  <si>
    <t>MMJW1523</t>
  </si>
  <si>
    <t>Sushila Lamichhane</t>
  </si>
  <si>
    <t>#1019 2460 Eglinton Ave E, Scarborough, ON M1K 5J7</t>
  </si>
  <si>
    <t>MMJW1524</t>
  </si>
  <si>
    <t>Sushima Dhital</t>
  </si>
  <si>
    <t>#19 160 Stanley St, Simcoe, ON N3Y 0G6</t>
  </si>
  <si>
    <t>MMJW1525</t>
  </si>
  <si>
    <t>Sushmita Paudyal</t>
  </si>
  <si>
    <t>MMJW1526</t>
  </si>
  <si>
    <t>Suzette Sales</t>
  </si>
  <si>
    <t>#215 1265 Sixth Line, Oakville, ON L6H 1X2</t>
  </si>
  <si>
    <t>MMJW1527</t>
  </si>
  <si>
    <t>Syed Bilal</t>
  </si>
  <si>
    <t>57 Angora St, Scarborough, ON M1G 1L6</t>
  </si>
  <si>
    <t>MMJW1528</t>
  </si>
  <si>
    <t>Sylvanus Ndinacho Isalingi</t>
  </si>
  <si>
    <t>805 Kennacraig Private, Nepean, ON K2J 5T5</t>
  </si>
  <si>
    <t>MMJW1529</t>
  </si>
  <si>
    <t>Sylvia Jones</t>
  </si>
  <si>
    <t>96 Dawson Crescent, Brampton, ON L6V 3M6</t>
  </si>
  <si>
    <t>Arlene Jones</t>
  </si>
  <si>
    <t>For Arlene Jones</t>
  </si>
  <si>
    <t>MMJW1530</t>
  </si>
  <si>
    <t>Talwinderjit Singh</t>
  </si>
  <si>
    <t>MMJW1531</t>
  </si>
  <si>
    <t>Taranpreet Kaur</t>
  </si>
  <si>
    <t>39 Forster St, St. Catharines, ON L2N 2A4</t>
  </si>
  <si>
    <t>MMJW1532</t>
  </si>
  <si>
    <t>Taranveer Singh</t>
  </si>
  <si>
    <t>MMJW1533</t>
  </si>
  <si>
    <t>Teddy Dioud</t>
  </si>
  <si>
    <t>25 Ramsgate Private, Ottawa, ON K1V 8M4</t>
  </si>
  <si>
    <t>MMJW1534</t>
  </si>
  <si>
    <t>Tedie Lynne Valerio</t>
  </si>
  <si>
    <t>MMJW1535</t>
  </si>
  <si>
    <t>Teodora Alarcón</t>
  </si>
  <si>
    <t>#2 359 Erb St. W, Waterloo, ON N2L 1W4</t>
  </si>
  <si>
    <t>MMJW1536</t>
  </si>
  <si>
    <t>Terence Molina Lumaguey</t>
  </si>
  <si>
    <t>8466 Heikoop Crescent Niagara Falls ON L2H 3J7</t>
  </si>
  <si>
    <t>MMJW1537</t>
  </si>
  <si>
    <t>Teresita Sula</t>
  </si>
  <si>
    <t>66 Cristina Crescent Scarborough ON M1R 4H8</t>
  </si>
  <si>
    <t>MMJW1538</t>
  </si>
  <si>
    <t>Thannia Pasten Garcia</t>
  </si>
  <si>
    <t>69 Park Avenue Brantford ON N3S 5H4</t>
  </si>
  <si>
    <t>For Fidel</t>
  </si>
  <si>
    <t>MMJW1539</t>
  </si>
  <si>
    <t>Thao Trinh</t>
  </si>
  <si>
    <t>#2 145 East Avenue N, Hamilton, ON L8L 5H9</t>
  </si>
  <si>
    <t>MMJW1540</t>
  </si>
  <si>
    <t>theodorakevinenana@gmail.com</t>
  </si>
  <si>
    <t>MMJW1541</t>
  </si>
  <si>
    <t>Thi Ngoc Han Vo</t>
  </si>
  <si>
    <t>MMJW1542</t>
  </si>
  <si>
    <t>Tiburcio Viterbo (for Armand Viterbo)</t>
  </si>
  <si>
    <t>228 Shale Crescent, Maple, ON L6A 4N3</t>
  </si>
  <si>
    <t>MMJW1543</t>
  </si>
  <si>
    <t>Tiffany Monfero (for Jonor Monfero)</t>
  </si>
  <si>
    <t>24 Queensgate Ct, Markham, ON L3R 8L5</t>
  </si>
  <si>
    <t>MMJW1544</t>
  </si>
  <si>
    <t>Tomai Victoria Creary</t>
  </si>
  <si>
    <t>22 St Dennis Dr, Toronto, ON M3C 1E8</t>
  </si>
  <si>
    <t>MMJW1545</t>
  </si>
  <si>
    <t>Tonia Graciella Inarukundo</t>
  </si>
  <si>
    <t>1383 Lepage Ave, Ottawa, ON K1Z 8M8</t>
  </si>
  <si>
    <t>MMJW1546</t>
  </si>
  <si>
    <t>Tope Anjorn</t>
  </si>
  <si>
    <t>#303 180 Dalhousie Street Brantford ON N3T 2J6</t>
  </si>
  <si>
    <t>MMJW1547</t>
  </si>
  <si>
    <t>Tracyann Josephs</t>
  </si>
  <si>
    <t>7214 Shallford Rd, Mississauga, ON L4T 2P7</t>
  </si>
  <si>
    <t>MMJW1548</t>
  </si>
  <si>
    <t>Tran Thy Mai Khomitskyi</t>
  </si>
  <si>
    <t>307 6161 Bathurst St North York ON M2R 1Z5</t>
  </si>
  <si>
    <t>MMJW1549</t>
  </si>
  <si>
    <t>Trisia Claudine Bernardo (for Tristan)</t>
  </si>
  <si>
    <t>20 Shoreview Dr Scarborough ON M1E 3R2</t>
  </si>
  <si>
    <t>MMJW1550</t>
  </si>
  <si>
    <t>Tristan Ravfor Bernardo</t>
  </si>
  <si>
    <t>MMJW1551</t>
  </si>
  <si>
    <t>Trixie Arendayen</t>
  </si>
  <si>
    <t>2073 Audley Rd Ajax ON L1Z 1T4</t>
  </si>
  <si>
    <t>MMJW1552</t>
  </si>
  <si>
    <t>Trupti Patel</t>
  </si>
  <si>
    <t>2371 Dobbinton St, Oshawa, ON L1H 7K4</t>
  </si>
  <si>
    <t>MMJW1553</t>
  </si>
  <si>
    <t>Twinkle Sharma</t>
  </si>
  <si>
    <t>9 Westpointe Crescent Ottawa ON K2G 5Z1</t>
  </si>
  <si>
    <t>MMJW1554</t>
  </si>
  <si>
    <t>Ugochukwu Vincent Osuagwu</t>
  </si>
  <si>
    <t>#303 120 Carruthers Avenue Ottawa, ON K1Y 1N5</t>
  </si>
  <si>
    <t>MMJW1555</t>
  </si>
  <si>
    <t>Ugochukwu Vincent Osuagwu (UPDATE ADDRESS)</t>
  </si>
  <si>
    <t>731 Runnymede Rd Toronto, ON M6N 3V7</t>
  </si>
  <si>
    <t>MMJW1556</t>
  </si>
  <si>
    <t>MMJW1557</t>
  </si>
  <si>
    <t>Umapathy Valipuram</t>
  </si>
  <si>
    <t>1205 10 Tapscott Rd, Scarborough, ON M1B 3L9</t>
  </si>
  <si>
    <t>MMJW1558</t>
  </si>
  <si>
    <t>Umesh Sharma</t>
  </si>
  <si>
    <t>MMJW1559</t>
  </si>
  <si>
    <t>Umugwaneza Rita</t>
  </si>
  <si>
    <t>218 Rue Auguste Renoir Gatineau, QC J8P 0A1</t>
  </si>
  <si>
    <t>MMJW1560</t>
  </si>
  <si>
    <t>Upeshika Jayasingha Kankanamge</t>
  </si>
  <si>
    <t>207 Park Rd S, Oshawa, ON L1J 4H1</t>
  </si>
  <si>
    <t>MMJW1561</t>
  </si>
  <si>
    <t>301 485 Eagleson Rd, Kanata, ON K2M 1H3</t>
  </si>
  <si>
    <t>MMJW1562</t>
  </si>
  <si>
    <t>Val Dominic Adan</t>
  </si>
  <si>
    <t>MMJW1563</t>
  </si>
  <si>
    <t>Valeria Thommen</t>
  </si>
  <si>
    <t>MMJW1564</t>
  </si>
  <si>
    <t>16 Draycott Ave, Ajax, ON L1Z 0K2</t>
  </si>
  <si>
    <t>MMJW1565</t>
  </si>
  <si>
    <t>Vanessa Asis</t>
  </si>
  <si>
    <t>MMJW1566</t>
  </si>
  <si>
    <t>Vanessa Ishimwe Murego</t>
  </si>
  <si>
    <t>990 Debra Ave, Ottawa, ON K2C 0J4</t>
  </si>
  <si>
    <t>MMJW1567</t>
  </si>
  <si>
    <t>Vanessa Virtudazo</t>
  </si>
  <si>
    <t>51 Glengarry Road St Catharines ON L2T 2V4</t>
  </si>
  <si>
    <t>MMJW1568</t>
  </si>
  <si>
    <t>MMJW1569</t>
  </si>
  <si>
    <t>Varinder Singh</t>
  </si>
  <si>
    <t>21 Coin St, Brampton, ON L6Y 5R5</t>
  </si>
  <si>
    <t>MMJW1570</t>
  </si>
  <si>
    <t>5622 Osprey Avenue, Niagara Falls, ON L2H 0G2</t>
  </si>
  <si>
    <t>MMJW1571</t>
  </si>
  <si>
    <t>Varun Shukla</t>
  </si>
  <si>
    <t>MMJW1572</t>
  </si>
  <si>
    <t>8224 Post Rd, Niagara Falls, ON L2H 2E4</t>
  </si>
  <si>
    <t>MMJW1573</t>
  </si>
  <si>
    <t>Venus C. Autida</t>
  </si>
  <si>
    <t>MMJW1574</t>
  </si>
  <si>
    <t>Verlyn Dabu</t>
  </si>
  <si>
    <t>#19 875 Parkinson Rd, Woodstock, ON N4S 8S7</t>
  </si>
  <si>
    <t>MMJW1575</t>
  </si>
  <si>
    <t>Veronica Wanjiru</t>
  </si>
  <si>
    <t>#202 485 Eagleson Rd, Kanata, ON K2M 1H3</t>
  </si>
  <si>
    <t>MMJW1576</t>
  </si>
  <si>
    <t>Veverly Ramos</t>
  </si>
  <si>
    <t>28 Brillinger St, Richmond Hill, ON L4C 8Y5</t>
  </si>
  <si>
    <t>MMJW1577</t>
  </si>
  <si>
    <t>Via Mae Malunay</t>
  </si>
  <si>
    <t>For Edward. Previous: Jhon Leinard Malunay</t>
  </si>
  <si>
    <t>MMJW1578</t>
  </si>
  <si>
    <t>Vibhav Wadhwa</t>
  </si>
  <si>
    <t>59 Poplar Crescent, Welland, ON L3C 6W2</t>
  </si>
  <si>
    <t>MMJW1579</t>
  </si>
  <si>
    <t xml:space="preserve">Viendolyn Autor ( </t>
  </si>
  <si>
    <t>#407 682 Northcliffe Blvd Toronto ON M6E 3M5</t>
  </si>
  <si>
    <t>Rodolfo, Mercy</t>
  </si>
  <si>
    <t>For Rodolfo and Mercy</t>
  </si>
  <si>
    <t>MMJW1580</t>
  </si>
  <si>
    <t>MMJW1581</t>
  </si>
  <si>
    <t>509 2221 Yonge Street Toronto ON M4A 0B8</t>
  </si>
  <si>
    <t>MMJW1582</t>
  </si>
  <si>
    <t>Vinay Vishak Prabhu</t>
  </si>
  <si>
    <t>522 Lana Terrace, Mississauga, ON L5A 3B3</t>
  </si>
  <si>
    <t>MMJW1583</t>
  </si>
  <si>
    <t>Vishal</t>
  </si>
  <si>
    <t>MMJW1584</t>
  </si>
  <si>
    <t>Vishal L. Sodvadiya</t>
  </si>
  <si>
    <t>24 Pickard Lane, Brampton, ON L6Y 2M5</t>
  </si>
  <si>
    <t>MMJW1585</t>
  </si>
  <si>
    <t>106 Hansen Rd N Brampton ON L6V 2G6</t>
  </si>
  <si>
    <t>MMJW1586</t>
  </si>
  <si>
    <t>Vishal Valeja</t>
  </si>
  <si>
    <t>43 Horsham St, Brampton, ON L6X 3R4</t>
  </si>
  <si>
    <t>MMJW1587</t>
  </si>
  <si>
    <t>Vivian B. Guitering</t>
  </si>
  <si>
    <t>100 Promenade Circle #1410 Thornhill Ontario L4J 7W7</t>
  </si>
  <si>
    <t>Eugene</t>
  </si>
  <si>
    <t>For Eugene</t>
  </si>
  <si>
    <t>MMJW1588</t>
  </si>
  <si>
    <t>Waqar Ahmed Awan</t>
  </si>
  <si>
    <t>210 Danis Ave, Cornwall, ON K6H 5E7</t>
  </si>
  <si>
    <t>MMJW1589</t>
  </si>
  <si>
    <t>Wendy Hernandez</t>
  </si>
  <si>
    <t>60 Cliffwood Rd, North York, ON M2H 3J7</t>
  </si>
  <si>
    <t>MMJW1590</t>
  </si>
  <si>
    <t>Wilfredo Jr. Carpio</t>
  </si>
  <si>
    <t>4 Greentree Court #B2 Toronto ON M6M 2A5</t>
  </si>
  <si>
    <t>MMJW1591</t>
  </si>
  <si>
    <t>MMJW1592</t>
  </si>
  <si>
    <t>Willian Constantino Nenes</t>
  </si>
  <si>
    <t>#1408 70 McEwen Ave, Ottawa, ON K2B 5M3</t>
  </si>
  <si>
    <t>MMJW1593</t>
  </si>
  <si>
    <t>Winnielyn Garcia (for Eileen)</t>
  </si>
  <si>
    <t>425 Strasburg Rd Kitchener ON N2E 1T3</t>
  </si>
  <si>
    <t>MMJW1594</t>
  </si>
  <si>
    <t>Winny Layne Calubaquib</t>
  </si>
  <si>
    <t>4905 6th Ave, Niagara Falls, ON L2E 4V1</t>
  </si>
  <si>
    <t>MMJW1595</t>
  </si>
  <si>
    <t>Winston Joseph Batino</t>
  </si>
  <si>
    <t>MMJW1596</t>
  </si>
  <si>
    <t>MMJW1597</t>
  </si>
  <si>
    <t>Yasmine Mohamud</t>
  </si>
  <si>
    <t>345 Murray St, Ottawa, ON K1N 5N5</t>
  </si>
  <si>
    <t>MMJW1598</t>
  </si>
  <si>
    <t>Yogeswaran Sinnathurai</t>
  </si>
  <si>
    <t>#206 40 Gordonridge Pl, Scarborough, ON M1K 4H8</t>
  </si>
  <si>
    <t>MMJW1599</t>
  </si>
  <si>
    <t>diolazoanalyn@gmail.com</t>
  </si>
  <si>
    <t>MMJW1600</t>
  </si>
  <si>
    <t>Yugpreet</t>
  </si>
  <si>
    <t>107 Crittenden Square, Scarborough, ON M1B 1V2</t>
  </si>
  <si>
    <t>jenuson04@gmail.com</t>
  </si>
  <si>
    <t>MMJW1601</t>
  </si>
  <si>
    <t>Yunice Lyka Arcenas</t>
  </si>
  <si>
    <t>#806 3275 Sheppard Ave E, Scarborough, ON M1T 3P1</t>
  </si>
  <si>
    <t>MMJW1602</t>
  </si>
  <si>
    <t>Yuvraj Singh</t>
  </si>
  <si>
    <t>MMJW1603</t>
  </si>
  <si>
    <t>Yves Souvenir</t>
  </si>
  <si>
    <t>#504 1192 Meadowlands Dr E, Nepean, ON K2E 6J9</t>
  </si>
  <si>
    <t>MMJW1604</t>
  </si>
  <si>
    <t>Yvette Arakaza</t>
  </si>
  <si>
    <t>MMJW1605</t>
  </si>
  <si>
    <t>Yvonne Wanjiru</t>
  </si>
  <si>
    <t>vs926245@gmail.com</t>
  </si>
  <si>
    <t>MMJW1606</t>
  </si>
  <si>
    <t>khushikafle19@gmail.com</t>
  </si>
  <si>
    <t>MMJW1607</t>
  </si>
  <si>
    <t>Zidane Joel Tchebong Kamtchouang</t>
  </si>
  <si>
    <t>692 Borthwick Ave Ottawa ON K1K 2M2</t>
  </si>
  <si>
    <t>MMJW1608</t>
  </si>
  <si>
    <t>Zoleka Mtanase</t>
  </si>
  <si>
    <t>53 Woodridge Crescent, Ottawa, ON K2B 7T2</t>
  </si>
  <si>
    <t>MMJW1609</t>
  </si>
  <si>
    <t>95 Wentworth St S, Hamilton, ON L8N 2Y7 (NEED UNIT NUMBER)</t>
  </si>
  <si>
    <t>Alenramos13@yahoo.com</t>
  </si>
  <si>
    <t>365 378 8812</t>
  </si>
  <si>
    <t>Arlene</t>
  </si>
  <si>
    <t>MMJW1610</t>
  </si>
  <si>
    <t>#608 - 35 Saranac Blvd, North York, ON M6A 2G4</t>
  </si>
  <si>
    <t>437 799 1960</t>
  </si>
  <si>
    <t>MMJW1611</t>
  </si>
  <si>
    <t>Princess Joy Lungayan</t>
  </si>
  <si>
    <t>109 - 3400 Keele St, North York, ON M3J 1L7</t>
  </si>
  <si>
    <t>pjlungayan@gmail.com</t>
  </si>
  <si>
    <t>647-303-3827</t>
  </si>
  <si>
    <t>MMJW1612</t>
  </si>
  <si>
    <t>Adefunke Coker</t>
  </si>
  <si>
    <t>804 - 55 Clarington Boulevard, Bowmanville, ON L1C 0A1</t>
  </si>
  <si>
    <t>adefunkeadeseye14@gmail.com</t>
  </si>
  <si>
    <t>289-886-3325</t>
  </si>
  <si>
    <t>MMJW1613</t>
  </si>
  <si>
    <t>Grace Adeoye</t>
  </si>
  <si>
    <t>1A - 1292 Scugog Avenue, Oshawa, ON L1J 1J6</t>
  </si>
  <si>
    <t>ammrsfemi@gmail.com</t>
  </si>
  <si>
    <t>437-328-3267</t>
  </si>
  <si>
    <t>MMJW1614</t>
  </si>
  <si>
    <t>Sanluisglenn06@gmail.com</t>
  </si>
  <si>
    <t>437-996-0618</t>
  </si>
  <si>
    <t>MJ,Gill,Roger,Zess</t>
  </si>
  <si>
    <t>4 person work that day</t>
  </si>
  <si>
    <t>MMJW1615</t>
  </si>
  <si>
    <t>Vanissa Marie Largosa Ang</t>
  </si>
  <si>
    <t>435 Hensall Circle, Mississauga, ON L5A 4P1</t>
  </si>
  <si>
    <t>arvinbautista_55@yahoo.com</t>
  </si>
  <si>
    <t>647-684-8886</t>
  </si>
  <si>
    <t>MMJW1616</t>
  </si>
  <si>
    <t>Jagjit Singh Walia</t>
  </si>
  <si>
    <t>218 St Andrews Dr, Hamilton, ON L8K 5K3</t>
  </si>
  <si>
    <t>mickywalia13@gmail.com</t>
  </si>
  <si>
    <t>905-818-6114</t>
  </si>
  <si>
    <t>MMJW1617</t>
  </si>
  <si>
    <t>180 Queensdale Ave Eas,t Hamilton, ON L9A 1K3</t>
  </si>
  <si>
    <t>mhel.cayabyab@yahoo.com</t>
  </si>
  <si>
    <t>905-920-6608</t>
  </si>
  <si>
    <t>Kevin San Antonio</t>
  </si>
  <si>
    <t>MMJW1618</t>
  </si>
  <si>
    <t>2 - 2088 Leanne Blvd, Mississauga, ON L5K 2S7</t>
  </si>
  <si>
    <t>437-240-6569</t>
  </si>
  <si>
    <t>MMJW1619</t>
  </si>
  <si>
    <t>sapnakumari20000720@gmail.com</t>
  </si>
  <si>
    <t>365-866-0720</t>
  </si>
  <si>
    <t>MMJW1620</t>
  </si>
  <si>
    <t>MMJW1621</t>
  </si>
  <si>
    <t>MMJW1622</t>
  </si>
  <si>
    <t>MMJW1623</t>
  </si>
  <si>
    <t>MMJW1624</t>
  </si>
  <si>
    <t>MMJW1625</t>
  </si>
  <si>
    <t>MMJW1626</t>
  </si>
  <si>
    <t>MMJW1627</t>
  </si>
  <si>
    <t>MMJW1628</t>
  </si>
  <si>
    <t>MMJW1629</t>
  </si>
  <si>
    <t>MMJW1630</t>
  </si>
  <si>
    <t>MMJW1631</t>
  </si>
  <si>
    <t>MMJW1632</t>
  </si>
  <si>
    <t>MMJW1633</t>
  </si>
  <si>
    <t>MMJW1634</t>
  </si>
  <si>
    <t>MMJW1635</t>
  </si>
  <si>
    <t>MMJW1636</t>
  </si>
  <si>
    <t>MMJW1637</t>
  </si>
  <si>
    <t>MMJW1638</t>
  </si>
  <si>
    <t>MMJW1639</t>
  </si>
  <si>
    <t>MMJW1640</t>
  </si>
  <si>
    <t>MMJW1641</t>
  </si>
  <si>
    <t>MMJW1642</t>
  </si>
  <si>
    <t>MMJW1643</t>
  </si>
  <si>
    <t>MMJW1644</t>
  </si>
  <si>
    <t>MMJW1645</t>
  </si>
  <si>
    <t>MMJW1646</t>
  </si>
  <si>
    <t>MMJW1647</t>
  </si>
  <si>
    <t>MMJW1648</t>
  </si>
  <si>
    <t>MMJW1649</t>
  </si>
  <si>
    <t>MMJW1650</t>
  </si>
  <si>
    <t>MMJW1651</t>
  </si>
  <si>
    <t>MMJW1652</t>
  </si>
  <si>
    <t>MMJW1653</t>
  </si>
  <si>
    <t>MMJW1654</t>
  </si>
  <si>
    <t>MMJW1655</t>
  </si>
  <si>
    <t>MMJW1656</t>
  </si>
  <si>
    <t>MMJW1657</t>
  </si>
  <si>
    <t>MMJW1658</t>
  </si>
  <si>
    <t>MMJW1659</t>
  </si>
  <si>
    <t>MMJW1660</t>
  </si>
  <si>
    <t>MMJW1661</t>
  </si>
  <si>
    <t>MMJW1662</t>
  </si>
  <si>
    <t>MMJW1663</t>
  </si>
  <si>
    <t>MMJW1664</t>
  </si>
  <si>
    <t>MMJW1665</t>
  </si>
  <si>
    <t>MMJW1666</t>
  </si>
  <si>
    <t>MMJW1667</t>
  </si>
  <si>
    <t>MMJW1668</t>
  </si>
  <si>
    <t>MMJW1669</t>
  </si>
  <si>
    <t>MMJW1670</t>
  </si>
  <si>
    <t>MMJW1671</t>
  </si>
  <si>
    <t>MMJW1672</t>
  </si>
  <si>
    <t>MMJW1673</t>
  </si>
  <si>
    <t>MMJW1674</t>
  </si>
  <si>
    <t>MMJW1675</t>
  </si>
  <si>
    <t>MMJW1676</t>
  </si>
  <si>
    <t>MMJW1677</t>
  </si>
  <si>
    <t>MMJW1678</t>
  </si>
  <si>
    <t>MMJW1679</t>
  </si>
  <si>
    <t>MMJW1680</t>
  </si>
  <si>
    <t>MMJW1681</t>
  </si>
  <si>
    <t>MMJW1682</t>
  </si>
  <si>
    <t>MMJW1683</t>
  </si>
  <si>
    <t>MMJW1684</t>
  </si>
  <si>
    <t>MMJW1685</t>
  </si>
  <si>
    <t>MMJW1686</t>
  </si>
  <si>
    <t>MMJW1687</t>
  </si>
  <si>
    <t>MMJW1688</t>
  </si>
  <si>
    <t>MMJW1689</t>
  </si>
  <si>
    <t>MMJW1690</t>
  </si>
  <si>
    <t>MMJW1691</t>
  </si>
  <si>
    <t>MMJW1692</t>
  </si>
  <si>
    <t>MMJW1693</t>
  </si>
  <si>
    <t>MMJW1694</t>
  </si>
  <si>
    <t>MMJW1695</t>
  </si>
  <si>
    <t>MMJW1696</t>
  </si>
  <si>
    <t>MMJW1697</t>
  </si>
  <si>
    <t>MMJW1698</t>
  </si>
  <si>
    <t>MMJW1699</t>
  </si>
  <si>
    <t>MMJW1700</t>
  </si>
  <si>
    <t>MMJW1701</t>
  </si>
  <si>
    <t>MMJW1702</t>
  </si>
  <si>
    <t>MMJW1703</t>
  </si>
  <si>
    <t>MMJW1704</t>
  </si>
  <si>
    <t>MMJW1705</t>
  </si>
  <si>
    <t>MMJW1706</t>
  </si>
  <si>
    <t>MMJW1707</t>
  </si>
  <si>
    <t>MMJW1708</t>
  </si>
  <si>
    <t>MMJW1709</t>
  </si>
  <si>
    <t>MMJW1710</t>
  </si>
  <si>
    <t>MMJW1711</t>
  </si>
  <si>
    <t>MMJW1712</t>
  </si>
  <si>
    <t>MMJW1713</t>
  </si>
  <si>
    <t>MMJW1714</t>
  </si>
  <si>
    <t>MMJW1715</t>
  </si>
  <si>
    <t>MMJW1716</t>
  </si>
  <si>
    <t>MMJW1717</t>
  </si>
  <si>
    <t>MMJW1718</t>
  </si>
  <si>
    <t>MMJW1719</t>
  </si>
  <si>
    <t>MMJW1720</t>
  </si>
  <si>
    <t>MMJW1721</t>
  </si>
  <si>
    <t>MMJW1722</t>
  </si>
  <si>
    <t>MMJW1723</t>
  </si>
  <si>
    <t>MMJW1724</t>
  </si>
  <si>
    <t>MMJW1725</t>
  </si>
  <si>
    <t>MMJW1726</t>
  </si>
  <si>
    <t>MMJW1727</t>
  </si>
  <si>
    <t>MMJW1728</t>
  </si>
  <si>
    <t>MMJW1729</t>
  </si>
  <si>
    <t>MMJW1730</t>
  </si>
  <si>
    <t>MMJW1731</t>
  </si>
  <si>
    <t>MMJW1732</t>
  </si>
  <si>
    <t>MMJW1733</t>
  </si>
  <si>
    <t>priya.dogra.uihmt13@gmail.com</t>
  </si>
  <si>
    <t>ernestogampon@yahoo.com</t>
  </si>
  <si>
    <t>23 Martin Byrne Drive, Brampton, ON L6P 4G2</t>
  </si>
  <si>
    <t>thenavneetkaur01@gmail.com</t>
  </si>
  <si>
    <t>647-489-3775</t>
  </si>
  <si>
    <t>PAY PERIOD November 15 - 28, 2025</t>
  </si>
  <si>
    <t>Harsh Kumar Sharma</t>
  </si>
  <si>
    <t>Hedi FD</t>
  </si>
  <si>
    <t>Tolulope Opeyemi Gbenga-Olufeyisan</t>
  </si>
  <si>
    <t>Gabriel Oloro Oloro</t>
  </si>
  <si>
    <t>Guilherme Augusto Coscarelli</t>
  </si>
  <si>
    <t>Inderjit Kaur</t>
  </si>
  <si>
    <t>Komal Preet Kaur</t>
  </si>
  <si>
    <t>Nuuradin Hassan</t>
  </si>
  <si>
    <t>Naima</t>
  </si>
  <si>
    <t>Rafael</t>
  </si>
  <si>
    <t>Ritesh Kumar</t>
  </si>
  <si>
    <t>Shifa Ibrahim</t>
  </si>
  <si>
    <t>Olawale Onabanjo</t>
  </si>
  <si>
    <t>Quadri Adewale Durosinmi</t>
  </si>
  <si>
    <t>Oreoluwa Elizabeth Oladele</t>
  </si>
  <si>
    <t>Parth Goswami- BT</t>
  </si>
  <si>
    <t>Soha</t>
  </si>
  <si>
    <t>Mirzi</t>
  </si>
  <si>
    <t>JM</t>
  </si>
  <si>
    <t>Mar</t>
  </si>
  <si>
    <t>Neeru</t>
  </si>
  <si>
    <t>Hrs</t>
  </si>
  <si>
    <t>Burlington</t>
  </si>
  <si>
    <t>Oshawa</t>
  </si>
  <si>
    <t>290 Derry</t>
  </si>
  <si>
    <t>3400 Steeles</t>
  </si>
  <si>
    <t>Richmond Hill</t>
  </si>
  <si>
    <t>Ramada Cornwall</t>
  </si>
  <si>
    <t>Manitou</t>
  </si>
  <si>
    <t>Mirzi Lisa Pangan</t>
  </si>
  <si>
    <t>Jean Martin Junio (JM)</t>
  </si>
  <si>
    <t>Willy</t>
  </si>
  <si>
    <t>Huberto</t>
  </si>
  <si>
    <t>Manitou Springs Resort and Mineral Spa (302 MacLachlan Ave)</t>
  </si>
  <si>
    <t>NONE</t>
  </si>
  <si>
    <t>Manmeet</t>
  </si>
  <si>
    <t>Willy (Less $64.52 Accommodation for 4 days)</t>
  </si>
  <si>
    <t>Jan</t>
  </si>
  <si>
    <t>Antonio</t>
  </si>
  <si>
    <t>PAY PERIOD January 10 - 23, 2025</t>
  </si>
  <si>
    <t>Theresa Blackman</t>
  </si>
  <si>
    <t>Leslie Bacares</t>
  </si>
  <si>
    <t>above are PAID</t>
  </si>
  <si>
    <t>Leslie Bacares - PAID</t>
  </si>
  <si>
    <t>Theresa Blackman - PAID</t>
  </si>
  <si>
    <t>Niloufar Shirvani</t>
  </si>
  <si>
    <t>Niloufar Shirvani BT</t>
  </si>
  <si>
    <t>#911 75 Silver Springs Blvd, Scarborough, On M1V 1W2</t>
  </si>
  <si>
    <t>122 Tremaine St, Cobourg, ON K9A 2Z3</t>
  </si>
  <si>
    <t>chauhan.rijul@yahoo.com</t>
  </si>
  <si>
    <t xml:space="preserve">Glennallen Gurango </t>
  </si>
  <si>
    <t>Navneet Kaur (NEETU)</t>
  </si>
  <si>
    <t>Aavash Silwal</t>
  </si>
  <si>
    <t>268 Pressed Brick Dr, Brampton, ON L6V 4L4</t>
  </si>
  <si>
    <t>silwalaavash486@gmail.com</t>
  </si>
  <si>
    <t>437-989-5413</t>
  </si>
  <si>
    <t>3165 - 3165 Millicent Avenue, Oakville, ON L6H 0V2</t>
  </si>
  <si>
    <t>onabanjoolawale@gmail.com</t>
  </si>
  <si>
    <t>437-433-0067</t>
  </si>
  <si>
    <t>Gabriel Oloro</t>
  </si>
  <si>
    <t>47 Amboise Crescent, Brampton, ON L7A 3H2</t>
  </si>
  <si>
    <t>g.olorocsi@gmail.com</t>
  </si>
  <si>
    <t>437-499-5410</t>
  </si>
  <si>
    <t>20 Cassander Crescent, Brampton, ON L6Z 1Z2</t>
  </si>
  <si>
    <t>riteshkumardnn9077@gmail.com</t>
  </si>
  <si>
    <t>437-983-5412</t>
  </si>
  <si>
    <t>604 - 85 Acorn Place, Mississauga, ON L4Z 3N2</t>
  </si>
  <si>
    <t>Shifa_ibrahim@outlook.com</t>
  </si>
  <si>
    <t>437-575-5115</t>
  </si>
  <si>
    <t>4011 Gerard PI, Victoria, BC V8Z 7L7</t>
  </si>
  <si>
    <t>harshsharma048@gmail.com</t>
  </si>
  <si>
    <t>438-483-0295</t>
  </si>
  <si>
    <t>Olamilekan Oyebanjo</t>
  </si>
  <si>
    <t>2 - 160 Penetanguishene Road, Barrie, ON L4M 7C3</t>
  </si>
  <si>
    <t>damilohun6@gmail.com</t>
  </si>
  <si>
    <t>416-731-2556</t>
  </si>
  <si>
    <t>7 - 2440 Bromsgrove Road, Mississauga, ON L5J 4J7</t>
  </si>
  <si>
    <t>q.durosinmi101@gmail.com</t>
  </si>
  <si>
    <t>825-964-0094</t>
  </si>
  <si>
    <t>Kamaljit.kotia@gmail.com</t>
  </si>
  <si>
    <t>437-577-2317</t>
  </si>
  <si>
    <t>Jaspreet Kaur</t>
  </si>
  <si>
    <t>8942 - 150A St, Surrey, BC V3R 6X3</t>
  </si>
  <si>
    <t>Kaurjass0024@gmail.com</t>
  </si>
  <si>
    <t>672-553-3963</t>
  </si>
  <si>
    <t>25 Nabob Cres, Scarborough, ON M1B 2Z1</t>
  </si>
  <si>
    <t>oreoluwaoladele97@gmail.com</t>
  </si>
  <si>
    <t>647-573-5803</t>
  </si>
  <si>
    <t>29 Fairlight Street, Brampton, ON L6Z 3W2</t>
  </si>
  <si>
    <t>Bhullarkaur4455@gmail.com</t>
  </si>
  <si>
    <t>416-605-2956</t>
  </si>
  <si>
    <t>Mariam Ali</t>
  </si>
  <si>
    <t>1920 Weston Road, Toronto, ON M9N 1W5</t>
  </si>
  <si>
    <t>Qarbatee123@yahoo.com</t>
  </si>
  <si>
    <t>647-819-3227</t>
  </si>
  <si>
    <t>Jide Falaki</t>
  </si>
  <si>
    <t>301 Broadacre Dr, Kitchener, ON N2R 0S6</t>
  </si>
  <si>
    <t>bluetolu@yahoo.co.uk</t>
  </si>
  <si>
    <t>226-581-7797</t>
  </si>
  <si>
    <t>408 - 920 Inverhouse Dr, Mississauga, ON L5J 4B5</t>
  </si>
  <si>
    <t>Mariam</t>
  </si>
  <si>
    <t>1515 - 700 Ontario St, Toronto, ON M4X 1N2</t>
  </si>
  <si>
    <t>gcoscarelli94@gmail.com</t>
  </si>
  <si>
    <t>437-419-0653</t>
  </si>
  <si>
    <t>parthbgoswami@gmail.com</t>
  </si>
  <si>
    <t>647-766-4789</t>
  </si>
  <si>
    <t>Oluwatoyin Akande</t>
  </si>
  <si>
    <t>488 A S Service Rd, Mississauga, ON L5G 2S5</t>
  </si>
  <si>
    <t>aoluwatoyinesther@gmail.com</t>
  </si>
  <si>
    <t>Jashandeep Kaur (BC)</t>
  </si>
  <si>
    <t>3420 Quadra St, Victoria, BC V8X 1G6</t>
  </si>
  <si>
    <t>kaurjashandeep973@gmail.com</t>
  </si>
  <si>
    <t>604-849-4904</t>
  </si>
  <si>
    <t>28 Yarmouth St, Brampton, ON L7A 4X6</t>
  </si>
  <si>
    <t>Babajide</t>
  </si>
  <si>
    <t>Naima Maalim Hussein</t>
  </si>
  <si>
    <t>249 - 3680 Keele S,t Toronto, ON M3J 1M2</t>
  </si>
  <si>
    <t>Naimamaalim100@gmail.com</t>
  </si>
  <si>
    <t>647-513-3080</t>
  </si>
  <si>
    <t>Marisol Martinez Leal</t>
  </si>
  <si>
    <t>791 Pandora Ave, Victoria, BC V8W 1N9</t>
  </si>
  <si>
    <t>r.jutard@gmail.com</t>
  </si>
  <si>
    <t>418-770-5678</t>
  </si>
  <si>
    <t>Neeru Chauhan</t>
  </si>
  <si>
    <t>217 - 157 Gorge Road East, Victoria BC V9A 6Y1</t>
  </si>
  <si>
    <t>Rajputneeru128@gmail.com</t>
  </si>
  <si>
    <t>778-322-7026</t>
  </si>
  <si>
    <t>Soha Alpeshbhai Patel</t>
  </si>
  <si>
    <t>Apsoha1980@gmail.com</t>
  </si>
  <si>
    <t>902-322-9015</t>
  </si>
  <si>
    <t>Simran Rani</t>
  </si>
  <si>
    <t>97 Archdekin Dr, Brampton, ON L6V 1Y8</t>
  </si>
  <si>
    <t>Casimran745@gmail.com</t>
  </si>
  <si>
    <t>437-661-5992</t>
  </si>
  <si>
    <t>Please interac me on my provided id ... casimran745@gmail.com</t>
  </si>
  <si>
    <t>Bisharo Sheikh Mohamed</t>
  </si>
  <si>
    <t>Apt 316 - 2111 Roche Court, Mississauga, ON L5K 1T4</t>
  </si>
  <si>
    <t>bisharomohamed2018@gmail.com</t>
  </si>
  <si>
    <t>647-766-0995</t>
  </si>
  <si>
    <t>May Cinderella Longara</t>
  </si>
  <si>
    <t>61 Wardlaw Pl, Woodbridge, ON L4H 0Z8</t>
  </si>
  <si>
    <t>longaramaycinderella@yahoo.com</t>
  </si>
  <si>
    <t>647-646-6026</t>
  </si>
  <si>
    <t>Zeinab Salad Abdi</t>
  </si>
  <si>
    <t>Apt 721 - 2111 Roche Court, Mississauga, ON L5K 1T4</t>
  </si>
  <si>
    <t>Princessmuniraa@gmail.com</t>
  </si>
  <si>
    <t>647-425-4923</t>
  </si>
  <si>
    <t>Hanifa Hassan Hussein</t>
  </si>
  <si>
    <t>801 - 1920 Weston Road, Toronto, ON M9N 1W5</t>
  </si>
  <si>
    <t>hernefa1@gmail.com</t>
  </si>
  <si>
    <t>437-473-7703</t>
  </si>
  <si>
    <t>Sandeep Kaur</t>
  </si>
  <si>
    <t>27 Beresford Crescent, Brampton, ON L6P 2M2</t>
  </si>
  <si>
    <t>Jassucanada3@gmail.com</t>
  </si>
  <si>
    <t>437-878-9984</t>
  </si>
  <si>
    <t>Sanjana Sanjana</t>
  </si>
  <si>
    <t>54 McMullen Crescent, Brampton, ON L6S 3M2</t>
  </si>
  <si>
    <t>sanjukaur760@gmail.com</t>
  </si>
  <si>
    <t>647-502-8612</t>
  </si>
  <si>
    <t>Bennyamin Jacob</t>
  </si>
  <si>
    <t>264 John Tabor Trail, Scarborough, ON M1B 2R7</t>
  </si>
  <si>
    <t>bennyaminjacob@gmail.com</t>
  </si>
  <si>
    <t>226-868-2802</t>
  </si>
  <si>
    <t>42 Glenthorne Dr, Scarborough, ON M1C 3X4</t>
  </si>
  <si>
    <t>theresablackman75@yahoo.com</t>
  </si>
  <si>
    <t>647-334-5280</t>
  </si>
  <si>
    <t>Sudip Gurung</t>
  </si>
  <si>
    <t>37 Castleford Dr, Scarborough, ON M1T 3X4</t>
  </si>
  <si>
    <t>gurungsdp48@gmail.com</t>
  </si>
  <si>
    <t>437-663-3189</t>
  </si>
  <si>
    <t>Samrat Adhikari</t>
  </si>
  <si>
    <t>126 Burlington St E , Hamilton, ON L8L 4G9</t>
  </si>
  <si>
    <t>adhikarisamrat100@gmail.com</t>
  </si>
  <si>
    <t>437-933-9466</t>
  </si>
  <si>
    <t>Please interac me my wages.</t>
  </si>
  <si>
    <t>Khalid Abdulkadir Mohamud</t>
  </si>
  <si>
    <t>402 - 1795 Jane St, Toronto, ON M9N 2S7</t>
  </si>
  <si>
    <t>Samiir23cade@gmail.com</t>
  </si>
  <si>
    <t>416-806-1706</t>
  </si>
  <si>
    <t>Harsad Jha</t>
  </si>
  <si>
    <t>Harshadjha99@gmail.com</t>
  </si>
  <si>
    <t>437-601-4616</t>
  </si>
  <si>
    <t>5395 W Saanich Rd, Victoria, BC V9E 1L7</t>
  </si>
  <si>
    <t>jmalmazan01@gmail.com</t>
  </si>
  <si>
    <t>368-889-6286</t>
  </si>
  <si>
    <t>mirzilisapangan@gmail.com</t>
  </si>
  <si>
    <t>368-889-4065</t>
  </si>
  <si>
    <t>Thanish Thurairethinam</t>
  </si>
  <si>
    <t>2107 5 Etobicoke ON M9B 6B5</t>
  </si>
  <si>
    <t>t.thanish.official@gmail.com</t>
  </si>
  <si>
    <t>437-477-8053</t>
  </si>
  <si>
    <t>Clement Fola Akinyele</t>
  </si>
  <si>
    <t>1105 Henry St, Whitby, ON L1N 5E7</t>
  </si>
  <si>
    <t>clementakinyele42@gmail.com</t>
  </si>
  <si>
    <t>905-922-8708</t>
  </si>
  <si>
    <t>This is Clement, am waiting for my payment. 
Thanks</t>
  </si>
  <si>
    <t>Abiola Idowu</t>
  </si>
  <si>
    <t>406 - 20 Milner Business Court, Scarborough, ON, M1B 3M6</t>
  </si>
  <si>
    <t>abiolaidowu4040@gmail.com</t>
  </si>
  <si>
    <t>416-624-6037</t>
  </si>
  <si>
    <t>Amolak Singh Panesar</t>
  </si>
  <si>
    <t>31 Massey Street, Brampton, ON L6S 2V7</t>
  </si>
  <si>
    <t>amolak26@gmail.com</t>
  </si>
  <si>
    <t>289-623-3289</t>
  </si>
  <si>
    <t>Anan Abdi Adan</t>
  </si>
  <si>
    <t>609 - 7095 Rexwood Road, Mississauga, ON L4T 4J6</t>
  </si>
  <si>
    <t>adanhanan05@gmail.com</t>
  </si>
  <si>
    <t>647-225-3766</t>
  </si>
  <si>
    <t>Natasha Musonda</t>
  </si>
  <si>
    <t>46 Roseglor Crescent, Scarborough, ON M1P 3T6</t>
  </si>
  <si>
    <t>nmusonda586@gmail.com</t>
  </si>
  <si>
    <t>437-696-1998</t>
  </si>
  <si>
    <t>Angelo Maione</t>
  </si>
  <si>
    <t>61 Storer Dr, Toronto, ON M9M 1X6</t>
  </si>
  <si>
    <t>maioneangelo09@gmail.com</t>
  </si>
  <si>
    <t>647-818-9227</t>
  </si>
  <si>
    <t>28 Eatonville St, Brampton, ON L7A 0M7</t>
  </si>
  <si>
    <t>437-928-6077</t>
  </si>
  <si>
    <t>Kunjkumar Mahendrakumar Modi</t>
  </si>
  <si>
    <t>modikunjkumar@gmail.com</t>
  </si>
  <si>
    <t>416-824-4562</t>
  </si>
  <si>
    <t>Kindly interac money</t>
  </si>
  <si>
    <t>David Bryan Buenavista</t>
  </si>
  <si>
    <t>35 Henry Welsh Dr, North York, ON M2R 3P3</t>
  </si>
  <si>
    <t>buenavistadavidbryan082405@gmail.com</t>
  </si>
  <si>
    <t>437-424-7720</t>
  </si>
  <si>
    <t>Bishnu Prasad Paudel</t>
  </si>
  <si>
    <t>48 Fallen Oak Court, Brampton, ON L6Y 3T4</t>
  </si>
  <si>
    <t>bishnu1378@gmail.com</t>
  </si>
  <si>
    <t>587-435-3963</t>
  </si>
  <si>
    <t>Please kindly do needful as soon as possible</t>
  </si>
  <si>
    <t>Vincenzo Castiello</t>
  </si>
  <si>
    <t>NEED UNIT NUMBER - 20 Blue Jays Way, Toronto, ON M5V 3W6</t>
  </si>
  <si>
    <t>vincicast7@gmail.com</t>
  </si>
  <si>
    <t>942-667-7778</t>
  </si>
  <si>
    <t>Parminder Dhillon</t>
  </si>
  <si>
    <t>74 Twistleton Street, Caledon, ON L7C 4B5</t>
  </si>
  <si>
    <t>Parminderdhillon959@gmail.com</t>
  </si>
  <si>
    <t>416-988-3395</t>
  </si>
  <si>
    <t>Azeumo Nguegang Junicia</t>
  </si>
  <si>
    <t>255 Assiniboine Rd, Toronto, ON M3J 0C8</t>
  </si>
  <si>
    <t>Junicianguegang@gmail.com</t>
  </si>
  <si>
    <t>613-328-8793</t>
  </si>
  <si>
    <t>Siddikahamed Mohamed Ali</t>
  </si>
  <si>
    <t>303 - 10 Meadowglen Pl, Toronto, ON M1G 0A8</t>
  </si>
  <si>
    <t>siddikaafiyah@gmail.com</t>
  </si>
  <si>
    <t>647-466-2997</t>
  </si>
  <si>
    <t>Rebecca Bobrovskis</t>
  </si>
  <si>
    <t>1414 - 77 Howard St, Toronto, ON M4X 1J9</t>
  </si>
  <si>
    <t>beki.thefullpotentialofus@gmail.com</t>
  </si>
  <si>
    <t>647-887-6002</t>
  </si>
  <si>
    <t>Simranjeet Singh</t>
  </si>
  <si>
    <t>203 - 1312 Hillside Ave, Victoria, BC V8T 2B4</t>
  </si>
  <si>
    <t>singhsimran0720@gmail.com</t>
  </si>
  <si>
    <t>672-866-3005</t>
  </si>
  <si>
    <t>Justine Joy Reyes</t>
  </si>
  <si>
    <t>515 - 90 Warren Rd, Toronto, ON M4V 2S2</t>
  </si>
  <si>
    <t>justinejoyreyes620@gmail.com</t>
  </si>
  <si>
    <t>647-606-9540</t>
  </si>
  <si>
    <t>Jeffrey V. Dacalos</t>
  </si>
  <si>
    <t>404b 1059b North York ON M3C 1X1 ??????</t>
  </si>
  <si>
    <t>Jeffreydacalos102@gmail.com</t>
  </si>
  <si>
    <t>437-607-5665</t>
  </si>
  <si>
    <t>Theresah Amissah</t>
  </si>
  <si>
    <t>9 Umbria Crescent, Woodbridge, ON L4H 2E1</t>
  </si>
  <si>
    <t>Theresahami233@gmail.com</t>
  </si>
  <si>
    <t>437-365-3873</t>
  </si>
  <si>
    <t>Jeanie Rose Vidal</t>
  </si>
  <si>
    <t>505 380 Pelissier St Windsor ON N9A 6V7</t>
  </si>
  <si>
    <t>vidaljeanierose@gmail.com</t>
  </si>
  <si>
    <t>437-605-0685</t>
  </si>
  <si>
    <t>Deepak Deepak</t>
  </si>
  <si>
    <t>137 Zaph Ave, Scarborough, ON M1C 1M9</t>
  </si>
  <si>
    <t>26deepak2001@gmail.com</t>
  </si>
  <si>
    <t>437-662-8634</t>
  </si>
  <si>
    <t>Mitchelle Nunez</t>
  </si>
  <si>
    <t>1203 - 3455 Glen Erin Dr, Mississauga, ON L5L 2G2</t>
  </si>
  <si>
    <t>ryachey04@gmail.com</t>
  </si>
  <si>
    <t>647-860-8975</t>
  </si>
  <si>
    <t>Please issue me a cheque for payment. Not e-transfer pls. Thank you.</t>
  </si>
  <si>
    <t>I have one uber ride to be paid was told that will be coverred by Mmj</t>
  </si>
  <si>
    <t>1263 - 365 Valleyway Dr, Brampton, ON L6X 5S7</t>
  </si>
  <si>
    <t>kkaurjaspreet690@gmail.com</t>
  </si>
  <si>
    <t>437-366-0710</t>
  </si>
  <si>
    <t>Please intrac my pay</t>
  </si>
  <si>
    <t>Suzaine Capillan</t>
  </si>
  <si>
    <t>27 Streamdale Ct, Toronto, ON M3M 3J7</t>
  </si>
  <si>
    <t>madzdiana33@gmail.com</t>
  </si>
  <si>
    <t>437-441-7654</t>
  </si>
  <si>
    <t>Kindly interact my salary to madzdiana33@gmail.com</t>
  </si>
  <si>
    <t>Lacey</t>
  </si>
  <si>
    <t>25 Navaho Dr, North York, ON M2H 2X2</t>
  </si>
  <si>
    <t>shirvaninli@gmail.com</t>
  </si>
  <si>
    <t>647-325-4817</t>
  </si>
  <si>
    <t>Robert Anthony Samuels</t>
  </si>
  <si>
    <t>76 Perivale Crescent, Scarborough, ON M1J 2C3</t>
  </si>
  <si>
    <t>tjrasam@yahoo.com</t>
  </si>
  <si>
    <t>437-667-7641</t>
  </si>
  <si>
    <t>Rachel Dela Cruz</t>
  </si>
  <si>
    <t>hercules_franklin@yahoo.com</t>
  </si>
  <si>
    <t>437-772-2547</t>
  </si>
  <si>
    <t>No file for void cheque</t>
  </si>
  <si>
    <t>Winnielyn Garcia</t>
  </si>
  <si>
    <t>garcia.winnielyn@yahoo.com</t>
  </si>
  <si>
    <t>647-545-1426</t>
  </si>
  <si>
    <t>86 - 405 Hyacinthe Blvd, Mississauga, ON L5A 3N1</t>
  </si>
  <si>
    <t>Bacaresleslie@gmail.com</t>
  </si>
  <si>
    <t>416-725-1936</t>
  </si>
  <si>
    <t>I'd rather get paid by vheck or e-transfer. Not etf</t>
  </si>
  <si>
    <t>Anthony Molina</t>
  </si>
  <si>
    <t>Hockey Ave, Victoria, BC V9B 2V7</t>
  </si>
  <si>
    <t>maryannecrispo@yahoo.ca</t>
  </si>
  <si>
    <t>250-889-0278</t>
  </si>
  <si>
    <t>Payment transaction must be sent thru Cousin Bank Account (I don't have Bank Account)</t>
  </si>
  <si>
    <t>84 Jessie St, Brampton, ON L6Y 1L7</t>
  </si>
  <si>
    <t>437-974-5098</t>
  </si>
  <si>
    <t xml:space="preserve">I worked through mmj at two places one IS hyatt 
And other for CAE 
</t>
  </si>
  <si>
    <t>Theresa Blackman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</si>
</sst>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164" formatCode="&quot;$&quot;#,##0.00_);\(&quot;$&quot;#,##0.00\)"/>
    <numFmt numFmtId="165" formatCode="&quot;$&quot;#,##0.00_);[Red]\(&quot;$&quot;#,##0.00\)"/>
    <numFmt numFmtId="166" formatCode="_(&quot;$&quot;* #,##0.00_);_(&quot;$&quot;* \(#,##0.00\);_(&quot;$&quot;* &quot;-&quot;??_);_(@_)"/>
    <numFmt numFmtId="167" formatCode="_(* #,##0.00_);_(* \(#,##0.00\);_(* &quot;-&quot;??_);_(@_)"/>
    <numFmt numFmtId="168" formatCode="0.00_);\(0.00\)"/>
    <numFmt numFmtId="169" formatCode="[$-F800]dddd\,\ mmmm\ dd\,\ yyyy"/>
    <numFmt numFmtId="170" formatCode="0.00000"/>
    <numFmt numFmtId="171" formatCode="h:mm;@"/>
    <numFmt numFmtId="172" formatCode="0.00;[Red]0.00"/>
    <numFmt numFmtId="173" formatCode="mm/dd/yy;@"/>
    <numFmt numFmtId="174" formatCode="yyyy\-mm\-dd;@"/>
  </numFmts>
  <fonts count="12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10"/>
      <color theme="1"/>
      <name val="Calibri"/>
      <family val="2"/>
      <scheme val="minor"/>
    </font>
    <font>
      <sz val="12"/>
      <color rgb="FF000000"/>
      <name val="Calibri"/>
      <family val="2"/>
      <scheme val="minor"/>
    </font>
    <font>
      <sz val="11"/>
      <color rgb="FF3F3F76"/>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theme="0"/>
      <name val="Calibri"/>
      <family val="2"/>
      <scheme val="minor"/>
    </font>
    <font>
      <sz val="14"/>
      <color theme="1"/>
      <name val="Calibri"/>
      <family val="2"/>
      <scheme val="minor"/>
    </font>
    <font>
      <b/>
      <sz val="14"/>
      <color theme="1"/>
      <name val="Calibri"/>
      <family val="2"/>
      <scheme val="minor"/>
    </font>
    <font>
      <b/>
      <sz val="14"/>
      <color rgb="FF000000"/>
      <name val="Calibri"/>
      <family val="2"/>
      <scheme val="minor"/>
    </font>
    <font>
      <sz val="22"/>
      <color theme="1"/>
      <name val="Calibri"/>
      <family val="2"/>
      <scheme val="minor"/>
    </font>
    <font>
      <sz val="20"/>
      <color theme="1"/>
      <name val="Calibri"/>
      <family val="2"/>
      <scheme val="minor"/>
    </font>
    <font>
      <sz val="22"/>
      <color rgb="FF000000"/>
      <name val="Calibri"/>
      <family val="2"/>
    </font>
    <font>
      <b/>
      <sz val="22"/>
      <color rgb="FF000000"/>
      <name val="Calibri"/>
      <family val="2"/>
      <scheme val="minor"/>
    </font>
    <font>
      <u/>
      <sz val="11"/>
      <color rgb="FF000000"/>
      <name val="Calibri"/>
      <family val="2"/>
      <scheme val="minor"/>
    </font>
    <font>
      <sz val="22"/>
      <name val="Calibri"/>
      <family val="2"/>
    </font>
    <font>
      <sz val="22"/>
      <name val="Calibri"/>
      <family val="2"/>
      <scheme val="minor"/>
    </font>
    <font>
      <sz val="22"/>
      <color theme="1"/>
      <name val="Calibri"/>
      <family val="2"/>
    </font>
    <font>
      <sz val="20"/>
      <color theme="1"/>
      <name val="Calibri"/>
      <family val="2"/>
    </font>
    <font>
      <b/>
      <sz val="18"/>
      <color rgb="FF000000"/>
      <name val="Calibri"/>
      <family val="2"/>
      <scheme val="minor"/>
    </font>
    <font>
      <sz val="22"/>
      <color rgb="FF000000"/>
      <name val="Calibri"/>
      <family val="2"/>
      <scheme val="minor"/>
    </font>
    <font>
      <b/>
      <sz val="20"/>
      <color rgb="FF000000"/>
      <name val="Calibri"/>
      <family val="2"/>
      <scheme val="minor"/>
    </font>
    <font>
      <b/>
      <sz val="22"/>
      <color theme="1"/>
      <name val="Calibri"/>
      <family val="2"/>
      <scheme val="minor"/>
    </font>
    <font>
      <b/>
      <sz val="20"/>
      <color theme="1"/>
      <name val="Calibri"/>
      <family val="2"/>
      <scheme val="minor"/>
    </font>
    <font>
      <sz val="13"/>
      <color theme="1"/>
      <name val="Calibri"/>
      <family val="2"/>
      <scheme val="minor"/>
    </font>
    <font>
      <b/>
      <sz val="16"/>
      <color theme="1"/>
      <name val="Calibri"/>
      <family val="2"/>
      <scheme val="minor"/>
    </font>
    <font>
      <sz val="13"/>
      <color rgb="FF000000"/>
      <name val="Calibri"/>
      <family val="2"/>
    </font>
    <font>
      <sz val="12"/>
      <name val="Calibri"/>
      <family val="2"/>
      <scheme val="minor"/>
    </font>
    <font>
      <b/>
      <sz val="13"/>
      <color rgb="FF000000"/>
      <name val="Calibri"/>
      <family val="2"/>
      <scheme val="minor"/>
    </font>
    <font>
      <sz val="11"/>
      <name val="Calibri"/>
      <family val="2"/>
      <scheme val="minor"/>
    </font>
    <font>
      <sz val="13"/>
      <name val="Calibri"/>
      <family val="2"/>
    </font>
    <font>
      <sz val="13"/>
      <color theme="1"/>
      <name val="Calibri"/>
      <family val="2"/>
    </font>
    <font>
      <sz val="13"/>
      <name val="Calibri"/>
      <family val="2"/>
      <scheme val="minor"/>
    </font>
    <font>
      <b/>
      <sz val="12"/>
      <name val="Calibri"/>
      <family val="2"/>
      <scheme val="minor"/>
    </font>
    <font>
      <b/>
      <u/>
      <sz val="13"/>
      <name val="Calibri"/>
      <family val="2"/>
      <scheme val="minor"/>
    </font>
    <font>
      <b/>
      <u/>
      <sz val="13"/>
      <name val="Calibri"/>
      <family val="2"/>
    </font>
    <font>
      <b/>
      <u/>
      <sz val="13"/>
      <color rgb="FF000000"/>
      <name val="Calibri"/>
      <family val="2"/>
      <scheme val="minor"/>
    </font>
    <font>
      <b/>
      <u/>
      <sz val="11"/>
      <color rgb="FF000000"/>
      <name val="Calibri"/>
      <family val="2"/>
      <scheme val="minor"/>
    </font>
    <font>
      <b/>
      <sz val="9"/>
      <name val="Tahoma"/>
      <family val="2"/>
    </font>
    <font>
      <sz val="11"/>
      <color theme="1"/>
      <name val="Calibri"/>
      <family val="2"/>
      <scheme val="minor"/>
    </font>
    <font>
      <sz val="8"/>
      <name val="Calibri"/>
      <family val="2"/>
      <scheme val="minor"/>
    </font>
    <font>
      <b/>
      <sz val="13"/>
      <name val="Calibri"/>
      <family val="2"/>
    </font>
    <font>
      <b/>
      <sz val="13"/>
      <name val="Calibri"/>
      <family val="2"/>
      <scheme val="minor"/>
    </font>
    <font>
      <b/>
      <sz val="11"/>
      <name val="Calibri"/>
      <family val="2"/>
      <scheme val="minor"/>
    </font>
    <font>
      <b/>
      <u/>
      <sz val="11"/>
      <name val="Calibri"/>
      <family val="2"/>
      <scheme val="minor"/>
    </font>
    <font>
      <sz val="11"/>
      <name val="Calibri"/>
      <family val="2"/>
    </font>
    <font>
      <b/>
      <u/>
      <sz val="14"/>
      <color theme="1"/>
      <name val="Calibri"/>
      <family val="2"/>
      <scheme val="minor"/>
    </font>
    <font>
      <b/>
      <u/>
      <sz val="14"/>
      <name val="Calibri"/>
      <family val="2"/>
      <scheme val="minor"/>
    </font>
    <font>
      <b/>
      <u/>
      <sz val="14"/>
      <name val="Calibri"/>
      <family val="2"/>
    </font>
    <font>
      <b/>
      <u/>
      <sz val="14"/>
      <color rgb="FF000000"/>
      <name val="Calibri"/>
      <family val="2"/>
      <scheme val="minor"/>
    </font>
    <font>
      <b/>
      <sz val="14"/>
      <name val="Calibri"/>
      <family val="2"/>
      <scheme val="minor"/>
    </font>
    <font>
      <sz val="9"/>
      <color indexed="81"/>
      <name val="Tahoma"/>
      <family val="2"/>
    </font>
    <font>
      <b/>
      <sz val="9"/>
      <color indexed="81"/>
      <name val="Tahoma"/>
      <family val="2"/>
    </font>
    <font>
      <b/>
      <sz val="11"/>
      <color rgb="FFFF0000"/>
      <name val="Calibri"/>
      <family val="2"/>
      <scheme val="minor"/>
    </font>
    <font>
      <b/>
      <u val="singleAccounting"/>
      <sz val="12"/>
      <name val="Calibri"/>
      <family val="2"/>
      <scheme val="minor"/>
    </font>
    <font>
      <b/>
      <sz val="13"/>
      <color theme="1"/>
      <name val="Calibri"/>
      <family val="2"/>
      <scheme val="minor"/>
    </font>
    <font>
      <sz val="12"/>
      <name val="Calibri"/>
      <family val="2"/>
    </font>
    <font>
      <sz val="12"/>
      <color rgb="FF000000"/>
      <name val="Calibri"/>
      <family val="2"/>
    </font>
    <font>
      <b/>
      <u val="doubleAccounting"/>
      <sz val="12"/>
      <name val="Calibri"/>
      <family val="2"/>
      <scheme val="minor"/>
    </font>
    <font>
      <b/>
      <sz val="26"/>
      <name val="Calibri"/>
      <family val="2"/>
      <scheme val="minor"/>
    </font>
    <font>
      <b/>
      <u val="singleAccounting"/>
      <sz val="13"/>
      <name val="Calibri"/>
      <family val="2"/>
      <scheme val="minor"/>
    </font>
    <font>
      <sz val="11"/>
      <color rgb="FFFF0000"/>
      <name val="Calibri"/>
      <family val="2"/>
      <scheme val="minor"/>
    </font>
    <font>
      <sz val="10"/>
      <color indexed="8"/>
      <name val="Arial"/>
      <family val="2"/>
    </font>
    <font>
      <sz val="10"/>
      <name val="Arial"/>
      <family val="2"/>
    </font>
    <font>
      <sz val="11"/>
      <color rgb="FF0070C0"/>
      <name val="Calibri"/>
      <family val="2"/>
      <scheme val="minor"/>
    </font>
    <font>
      <b/>
      <sz val="11"/>
      <color theme="0"/>
      <name val="Calibri"/>
      <family val="2"/>
      <scheme val="minor"/>
    </font>
    <font>
      <b/>
      <sz val="20"/>
      <color rgb="FFFF0000"/>
      <name val="Calibri"/>
      <family val="2"/>
      <scheme val="minor"/>
    </font>
    <font>
      <u/>
      <sz val="13"/>
      <name val="Calibri"/>
      <family val="2"/>
      <scheme val="minor"/>
    </font>
    <font>
      <u/>
      <sz val="13"/>
      <color rgb="FF000000"/>
      <name val="Calibri"/>
      <family val="2"/>
      <scheme val="minor"/>
    </font>
    <font>
      <u/>
      <sz val="11"/>
      <color theme="10"/>
      <name val="Calibri"/>
      <family val="2"/>
      <scheme val="minor"/>
    </font>
    <font>
      <sz val="10"/>
      <color rgb="FF000000"/>
      <name val="Calibri"/>
      <family val="2"/>
      <scheme val="minor"/>
    </font>
    <font>
      <b/>
      <sz val="13"/>
      <color theme="1"/>
      <name val="Arial"/>
      <family val="2"/>
    </font>
    <font>
      <b/>
      <sz val="13"/>
      <color theme="1"/>
      <name val="&quot;Aptos Narrow&quot;"/>
    </font>
    <font>
      <sz val="29"/>
      <color theme="1"/>
      <name val="&quot;Aptos Narrow&quot;"/>
    </font>
    <font>
      <sz val="29"/>
      <color theme="1"/>
      <name val="Calibri"/>
      <family val="2"/>
      <scheme val="minor"/>
    </font>
    <font>
      <sz val="29"/>
      <color theme="1"/>
      <name val="Arial"/>
      <family val="2"/>
    </font>
    <font>
      <sz val="29"/>
      <color theme="1"/>
      <name val="Calibri"/>
      <family val="2"/>
    </font>
    <font>
      <sz val="29"/>
      <color rgb="FF000000"/>
      <name val="&quot;Aptos Narrow&quot;"/>
    </font>
    <font>
      <sz val="29"/>
      <color rgb="FF000000"/>
      <name val="Calibri"/>
      <family val="2"/>
    </font>
    <font>
      <sz val="29"/>
      <color rgb="FF000000"/>
      <name val="Arial"/>
      <family val="2"/>
    </font>
    <font>
      <sz val="12"/>
      <color rgb="FF000000"/>
      <name val="Aptos"/>
      <family val="2"/>
    </font>
    <font>
      <sz val="11"/>
      <color theme="1"/>
      <name val="Calibri"/>
      <family val="2"/>
      <scheme val="minor"/>
    </font>
    <font>
      <sz val="8"/>
      <name val="Calibri"/>
      <family val="2"/>
      <scheme val="minor"/>
    </font>
    <font>
      <b/>
      <sz val="12"/>
      <color rgb="FF000000"/>
      <name val="Calibri"/>
      <family val="2"/>
      <scheme val="minor"/>
    </font>
    <font>
      <sz val="12"/>
      <color rgb="FFFF0000"/>
      <name val="Calibri"/>
      <family val="2"/>
      <scheme val="minor"/>
    </font>
    <font>
      <sz val="16"/>
      <name val="Calibri"/>
      <family val="2"/>
    </font>
    <font>
      <u/>
      <sz val="14"/>
      <name val="Calibri"/>
      <family val="2"/>
      <scheme val="minor"/>
    </font>
    <font>
      <b/>
      <sz val="16"/>
      <name val="Calibri"/>
      <family val="2"/>
      <scheme val="minor"/>
    </font>
    <font>
      <sz val="11"/>
      <color rgb="FFFFFFFF"/>
      <name val="Calibri"/>
      <family val="2"/>
      <scheme val="minor"/>
    </font>
    <font>
      <b/>
      <sz val="14"/>
      <color theme="1"/>
      <name val="Aptos Black"/>
      <family val="2"/>
    </font>
    <font>
      <sz val="11"/>
      <color theme="1"/>
      <name val="Abadi Extra Light"/>
      <family val="2"/>
    </font>
    <font>
      <b/>
      <sz val="11"/>
      <color indexed="81"/>
      <name val="Tahoma"/>
      <family val="2"/>
    </font>
    <font>
      <sz val="12"/>
      <color indexed="81"/>
      <name val="Tahoma"/>
      <family val="2"/>
    </font>
    <font>
      <sz val="14"/>
      <color indexed="81"/>
      <name val="Tahoma"/>
      <family val="2"/>
    </font>
    <font>
      <sz val="16"/>
      <color indexed="81"/>
      <name val="Tahoma"/>
      <family val="2"/>
    </font>
    <font>
      <sz val="14"/>
      <name val="Calibri"/>
      <family val="2"/>
      <scheme val="minor"/>
    </font>
  </fonts>
  <fills count="4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2CC"/>
        <bgColor indexed="64"/>
      </patternFill>
    </fill>
    <fill>
      <patternFill patternType="solid">
        <fgColor rgb="FFFFCC99"/>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8"/>
        <bgColor indexed="64"/>
      </patternFill>
    </fill>
    <fill>
      <patternFill patternType="solid">
        <fgColor rgb="FFB4C6E7"/>
        <bgColor indexed="64"/>
      </patternFill>
    </fill>
    <fill>
      <patternFill patternType="solid">
        <fgColor theme="9" tint="0.79973754081850645"/>
        <bgColor indexed="64"/>
      </patternFill>
    </fill>
    <fill>
      <patternFill patternType="solid">
        <fgColor rgb="FFFB8181"/>
        <bgColor indexed="64"/>
      </patternFill>
    </fill>
    <fill>
      <patternFill patternType="solid">
        <fgColor theme="0"/>
        <bgColor indexed="64"/>
      </patternFill>
    </fill>
    <fill>
      <patternFill patternType="solid">
        <fgColor rgb="FFFF0000"/>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rgb="FFFF5757"/>
        <bgColor indexed="64"/>
      </patternFill>
    </fill>
    <fill>
      <patternFill patternType="solid">
        <fgColor theme="5" tint="0.79998168889431442"/>
        <bgColor indexed="64"/>
      </patternFill>
    </fill>
    <fill>
      <patternFill patternType="solid">
        <fgColor rgb="FFF785E9"/>
        <bgColor indexed="64"/>
      </patternFill>
    </fill>
    <fill>
      <patternFill patternType="solid">
        <fgColor theme="7" tint="0.79998168889431442"/>
        <bgColor indexed="64"/>
      </patternFill>
    </fill>
    <fill>
      <patternFill patternType="solid">
        <fgColor rgb="FF00B050"/>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theme="9" tint="0.79998168889431442"/>
        <bgColor indexed="64"/>
      </patternFill>
    </fill>
    <fill>
      <patternFill patternType="solid">
        <fgColor rgb="FF9966FF"/>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FFFFFF"/>
        <bgColor indexed="64"/>
      </patternFill>
    </fill>
    <fill>
      <patternFill patternType="solid">
        <fgColor theme="7" tint="0.39997558519241921"/>
        <bgColor indexed="64"/>
      </patternFill>
    </fill>
    <fill>
      <patternFill patternType="solid">
        <fgColor rgb="FF92D050"/>
        <bgColor indexed="64"/>
      </patternFill>
    </fill>
    <fill>
      <patternFill patternType="solid">
        <fgColor theme="5"/>
        <bgColor indexed="64"/>
      </patternFill>
    </fill>
    <fill>
      <patternFill patternType="solid">
        <fgColor theme="6" tint="-0.249977111117893"/>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9"/>
        <bgColor indexed="64"/>
      </patternFill>
    </fill>
    <fill>
      <patternFill patternType="solid">
        <fgColor theme="7"/>
        <bgColor indexed="64"/>
      </patternFill>
    </fill>
    <fill>
      <patternFill patternType="solid">
        <fgColor theme="2" tint="-0.749992370372631"/>
        <bgColor indexed="64"/>
      </patternFill>
    </fill>
    <fill>
      <patternFill patternType="solid">
        <fgColor theme="5" tint="0.59999389629810485"/>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7030A0"/>
        <bgColor indexed="64"/>
      </patternFill>
    </fill>
  </fills>
  <borders count="10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auto="1"/>
      </left>
      <right style="thin">
        <color rgb="FF000000"/>
      </right>
      <top/>
      <bottom style="thin">
        <color rgb="FF000000"/>
      </bottom>
      <diagonal/>
    </border>
    <border>
      <left style="medium">
        <color auto="1"/>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auto="1"/>
      </left>
      <right style="thin">
        <color rgb="FF000000"/>
      </right>
      <top style="thin">
        <color rgb="FF000000"/>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000000"/>
      </left>
      <right style="thin">
        <color rgb="FF000000"/>
      </right>
      <top/>
      <bottom style="medium">
        <color auto="1"/>
      </bottom>
      <diagonal/>
    </border>
    <border>
      <left style="thin">
        <color auto="1"/>
      </left>
      <right style="thin">
        <color auto="1"/>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medium">
        <color rgb="FF000000"/>
      </bottom>
      <diagonal/>
    </border>
    <border>
      <left style="thin">
        <color auto="1"/>
      </left>
      <right style="medium">
        <color rgb="FF000000"/>
      </right>
      <top/>
      <bottom style="thin">
        <color auto="1"/>
      </bottom>
      <diagonal/>
    </border>
    <border>
      <left style="thin">
        <color auto="1"/>
      </left>
      <right style="medium">
        <color rgb="FF000000"/>
      </right>
      <top style="thin">
        <color auto="1"/>
      </top>
      <bottom style="thin">
        <color auto="1"/>
      </bottom>
      <diagonal/>
    </border>
    <border>
      <left style="thin">
        <color auto="1"/>
      </left>
      <right style="medium">
        <color rgb="FF000000"/>
      </right>
      <top style="thin">
        <color auto="1"/>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bottom style="medium">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auto="1"/>
      </bottom>
      <diagonal/>
    </border>
    <border>
      <left/>
      <right style="thin">
        <color auto="1"/>
      </right>
      <top style="thin">
        <color auto="1"/>
      </top>
      <bottom style="thin">
        <color auto="1"/>
      </bottom>
      <diagonal/>
    </border>
    <border>
      <left style="thin">
        <color rgb="FF000000"/>
      </left>
      <right style="medium">
        <color auto="1"/>
      </right>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style="thin">
        <color rgb="FF000000"/>
      </right>
      <top/>
      <bottom style="medium">
        <color auto="1"/>
      </bottom>
      <diagonal/>
    </border>
    <border>
      <left style="thin">
        <color auto="1"/>
      </left>
      <right style="thin">
        <color auto="1"/>
      </right>
      <top style="thin">
        <color auto="1"/>
      </top>
      <bottom style="medium">
        <color rgb="FF000000"/>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medium">
        <color rgb="FF000000"/>
      </right>
      <top style="thin">
        <color auto="1"/>
      </top>
      <bottom style="medium">
        <color rgb="FF000000"/>
      </bottom>
      <diagonal/>
    </border>
    <border>
      <left style="thin">
        <color rgb="FF000000"/>
      </left>
      <right/>
      <top style="thin">
        <color rgb="FF000000"/>
      </top>
      <bottom style="medium">
        <color auto="1"/>
      </bottom>
      <diagonal/>
    </border>
    <border>
      <left/>
      <right style="medium">
        <color rgb="FF000000"/>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rgb="FF000000"/>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rgb="FF000000"/>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rgb="FF000000"/>
      </top>
      <bottom/>
      <diagonal/>
    </border>
    <border>
      <left/>
      <right style="medium">
        <color rgb="FF000000"/>
      </right>
      <top style="medium">
        <color rgb="FF000000"/>
      </top>
      <bottom/>
      <diagonal/>
    </border>
    <border>
      <left style="thin">
        <color rgb="FF000000"/>
      </left>
      <right/>
      <top/>
      <bottom/>
      <diagonal/>
    </border>
    <border>
      <left/>
      <right style="thin">
        <color rgb="FF000000"/>
      </right>
      <top/>
      <bottom/>
      <diagonal/>
    </border>
    <border>
      <left style="thin">
        <color auto="1"/>
      </left>
      <right style="thin">
        <color auto="1"/>
      </right>
      <top/>
      <bottom/>
      <diagonal/>
    </border>
    <border>
      <left/>
      <right/>
      <top/>
      <bottom style="thin">
        <color rgb="FF000000"/>
      </bottom>
      <diagonal/>
    </border>
    <border>
      <left style="thin">
        <color rgb="FF000000"/>
      </left>
      <right/>
      <top style="thin">
        <color rgb="FF000000"/>
      </top>
      <bottom style="medium">
        <color rgb="FF000000"/>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medium">
        <color auto="1"/>
      </right>
      <top/>
      <bottom style="medium">
        <color auto="1"/>
      </bottom>
      <diagonal/>
    </border>
    <border>
      <left/>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diagonal/>
    </border>
    <border>
      <left/>
      <right/>
      <top style="thin">
        <color auto="1"/>
      </top>
      <bottom style="thin">
        <color auto="1"/>
      </bottom>
      <diagonal/>
    </border>
    <border>
      <left style="thin">
        <color rgb="FF000000"/>
      </left>
      <right/>
      <top style="medium">
        <color indexed="64"/>
      </top>
      <bottom style="medium">
        <color indexed="64"/>
      </bottom>
      <diagonal/>
    </border>
    <border>
      <left style="thin">
        <color rgb="FF000000"/>
      </left>
      <right style="medium">
        <color auto="1"/>
      </right>
      <top/>
      <bottom/>
      <diagonal/>
    </border>
    <border>
      <left/>
      <right style="medium">
        <color rgb="FF000000"/>
      </right>
      <top/>
      <bottom/>
      <diagonal/>
    </border>
    <border>
      <left style="thin">
        <color rgb="FF000000"/>
      </left>
      <right style="thin">
        <color auto="1"/>
      </right>
      <top/>
      <bottom style="thin">
        <color rgb="FF000000"/>
      </bottom>
      <diagonal/>
    </border>
    <border>
      <left/>
      <right style="medium">
        <color auto="1"/>
      </right>
      <top style="medium">
        <color rgb="FF000000"/>
      </top>
      <bottom style="medium">
        <color rgb="FF000000"/>
      </bottom>
      <diagonal/>
    </border>
    <border>
      <left style="medium">
        <color auto="1"/>
      </left>
      <right/>
      <top style="thin">
        <color rgb="FF000000"/>
      </top>
      <bottom style="thin">
        <color rgb="FF000000"/>
      </bottom>
      <diagonal/>
    </border>
    <border>
      <left style="thick">
        <color rgb="FF000000"/>
      </left>
      <right style="thick">
        <color rgb="FF000000"/>
      </right>
      <top style="thick">
        <color rgb="FF000000"/>
      </top>
      <bottom style="thick">
        <color rgb="FF000000"/>
      </bottom>
      <diagonal/>
    </border>
    <border>
      <left/>
      <right/>
      <top/>
      <bottom style="medium">
        <color rgb="FF000000"/>
      </bottom>
      <diagonal/>
    </border>
    <border>
      <left style="medium">
        <color auto="1"/>
      </left>
      <right/>
      <top/>
      <bottom style="thin">
        <color rgb="FF000000"/>
      </bottom>
      <diagonal/>
    </border>
    <border>
      <left style="medium">
        <color auto="1"/>
      </left>
      <right style="thin">
        <color rgb="FF000000"/>
      </right>
      <top style="thin">
        <color rgb="FF000000"/>
      </top>
      <bottom/>
      <diagonal/>
    </border>
    <border>
      <left style="medium">
        <color indexed="64"/>
      </left>
      <right style="thin">
        <color auto="1"/>
      </right>
      <top/>
      <bottom style="medium">
        <color indexed="64"/>
      </bottom>
      <diagonal/>
    </border>
    <border>
      <left/>
      <right style="thin">
        <color auto="1"/>
      </right>
      <top/>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right/>
      <top style="thin">
        <color rgb="FF000000"/>
      </top>
      <bottom style="thin">
        <color rgb="FF000000"/>
      </bottom>
      <diagonal/>
    </border>
    <border>
      <left style="medium">
        <color auto="1"/>
      </left>
      <right style="thin">
        <color rgb="FF000000"/>
      </right>
      <top/>
      <bottom/>
      <diagonal/>
    </border>
    <border>
      <left style="thin">
        <color rgb="FF000000"/>
      </left>
      <right style="medium">
        <color rgb="FF000000"/>
      </right>
      <top/>
      <bottom/>
      <diagonal/>
    </border>
    <border>
      <left style="thin">
        <color indexed="64"/>
      </left>
      <right style="thin">
        <color indexed="64"/>
      </right>
      <top style="thin">
        <color indexed="64"/>
      </top>
      <bottom style="thin">
        <color theme="0"/>
      </bottom>
      <diagonal/>
    </border>
  </borders>
  <cellStyleXfs count="22">
    <xf numFmtId="0" fontId="0" fillId="0" borderId="0"/>
    <xf numFmtId="166" fontId="66" fillId="0" borderId="0" applyFont="0" applyFill="0" applyBorder="0" applyAlignment="0" applyProtection="0"/>
    <xf numFmtId="0" fontId="29" fillId="5" borderId="3" applyNumberFormat="0" applyAlignment="0" applyProtection="0"/>
    <xf numFmtId="0" fontId="30" fillId="6" borderId="0" applyNumberFormat="0" applyBorder="0" applyAlignment="0" applyProtection="0"/>
    <xf numFmtId="0" fontId="31" fillId="7" borderId="0" applyNumberFormat="0" applyBorder="0" applyAlignment="0" applyProtection="0"/>
    <xf numFmtId="0" fontId="32" fillId="8" borderId="0" applyNumberFormat="0" applyBorder="0" applyAlignment="0" applyProtection="0"/>
    <xf numFmtId="0" fontId="33" fillId="9" borderId="0" applyNumberFormat="0" applyBorder="0" applyAlignment="0" applyProtection="0"/>
    <xf numFmtId="0" fontId="22" fillId="0" borderId="0"/>
    <xf numFmtId="0" fontId="21" fillId="0" borderId="0"/>
    <xf numFmtId="0" fontId="20" fillId="0" borderId="0"/>
    <xf numFmtId="166" fontId="20" fillId="0" borderId="0" applyFont="0" applyFill="0" applyBorder="0" applyAlignment="0" applyProtection="0"/>
    <xf numFmtId="0" fontId="96" fillId="0" borderId="0" applyNumberFormat="0" applyFill="0" applyBorder="0" applyAlignment="0" applyProtection="0"/>
    <xf numFmtId="0" fontId="97" fillId="0" borderId="0"/>
    <xf numFmtId="167" fontId="108" fillId="0" borderId="0" applyFont="0" applyFill="0" applyBorder="0" applyAlignment="0" applyProtection="0"/>
    <xf numFmtId="0" fontId="17" fillId="0" borderId="0"/>
    <xf numFmtId="166" fontId="17" fillId="0" borderId="0" applyFont="0" applyFill="0" applyBorder="0" applyAlignment="0" applyProtection="0"/>
    <xf numFmtId="0" fontId="16" fillId="0" borderId="0"/>
    <xf numFmtId="0" fontId="16" fillId="0" borderId="0"/>
    <xf numFmtId="0" fontId="16" fillId="0" borderId="0"/>
    <xf numFmtId="0" fontId="15" fillId="0" borderId="0"/>
    <xf numFmtId="0" fontId="15" fillId="0" borderId="0"/>
    <xf numFmtId="44" fontId="6" fillId="0" borderId="0" applyFont="0" applyFill="0" applyBorder="0" applyAlignment="0" applyProtection="0"/>
  </cellStyleXfs>
  <cellXfs count="1080">
    <xf numFmtId="0" fontId="0" fillId="0" borderId="0" xfId="0"/>
    <xf numFmtId="0" fontId="0" fillId="2" borderId="0" xfId="0" applyFill="1"/>
    <xf numFmtId="0" fontId="0" fillId="3" borderId="0" xfId="0" applyFill="1"/>
    <xf numFmtId="0" fontId="23" fillId="2" borderId="0" xfId="0" applyFont="1" applyFill="1"/>
    <xf numFmtId="0" fontId="0" fillId="0" borderId="0" xfId="0" applyAlignment="1">
      <alignment horizontal="center" vertical="center"/>
    </xf>
    <xf numFmtId="0" fontId="24" fillId="0" borderId="1" xfId="0" applyFont="1" applyBorder="1"/>
    <xf numFmtId="0" fontId="25" fillId="0" borderId="1" xfId="0" applyFont="1" applyBorder="1" applyAlignment="1">
      <alignment horizontal="center"/>
    </xf>
    <xf numFmtId="0" fontId="25" fillId="0" borderId="1" xfId="0" applyFont="1" applyBorder="1" applyAlignment="1">
      <alignment horizontal="center" vertical="center"/>
    </xf>
    <xf numFmtId="0" fontId="24" fillId="0" borderId="0" xfId="0" applyFont="1"/>
    <xf numFmtId="0" fontId="24" fillId="0" borderId="1" xfId="0" applyFont="1" applyBorder="1" applyAlignment="1">
      <alignment horizontal="center"/>
    </xf>
    <xf numFmtId="0" fontId="0" fillId="2" borderId="2" xfId="0" applyFill="1" applyBorder="1"/>
    <xf numFmtId="0" fontId="24" fillId="0" borderId="1" xfId="0" applyFont="1" applyBorder="1" applyAlignment="1">
      <alignment horizontal="center" vertical="center"/>
    </xf>
    <xf numFmtId="0" fontId="24" fillId="2" borderId="1" xfId="0" applyFont="1" applyFill="1" applyBorder="1" applyAlignment="1">
      <alignment horizontal="center"/>
    </xf>
    <xf numFmtId="0" fontId="26" fillId="2" borderId="2" xfId="0" applyFont="1" applyFill="1" applyBorder="1"/>
    <xf numFmtId="0" fontId="24" fillId="2" borderId="1" xfId="0" applyFont="1" applyFill="1" applyBorder="1" applyAlignment="1">
      <alignment horizontal="center" vertical="center"/>
    </xf>
    <xf numFmtId="0" fontId="24" fillId="2" borderId="0" xfId="0" applyFont="1" applyFill="1"/>
    <xf numFmtId="0" fontId="27" fillId="0" borderId="1" xfId="0" applyFont="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24" fillId="3" borderId="1" xfId="0" applyFont="1" applyFill="1" applyBorder="1" applyAlignment="1">
      <alignment horizontal="center"/>
    </xf>
    <xf numFmtId="0" fontId="0" fillId="3" borderId="2" xfId="0" applyFill="1" applyBorder="1"/>
    <xf numFmtId="0" fontId="0" fillId="3" borderId="1" xfId="0" applyFill="1" applyBorder="1" applyAlignment="1">
      <alignment horizontal="center" vertical="center"/>
    </xf>
    <xf numFmtId="0" fontId="23" fillId="2" borderId="2" xfId="0" applyFont="1" applyFill="1" applyBorder="1"/>
    <xf numFmtId="0" fontId="0" fillId="2" borderId="1" xfId="0" applyFill="1" applyBorder="1" applyAlignment="1">
      <alignment horizontal="left" vertical="center"/>
    </xf>
    <xf numFmtId="0" fontId="28" fillId="2" borderId="1" xfId="0" applyFont="1" applyFill="1" applyBorder="1" applyAlignment="1">
      <alignment horizontal="center"/>
    </xf>
    <xf numFmtId="0" fontId="23" fillId="2" borderId="1" xfId="0" applyFont="1" applyFill="1" applyBorder="1" applyAlignment="1">
      <alignment horizontal="center" vertical="center"/>
    </xf>
    <xf numFmtId="0" fontId="23" fillId="2" borderId="1" xfId="0" applyFont="1" applyFill="1" applyBorder="1" applyAlignment="1">
      <alignment horizontal="left" vertical="center"/>
    </xf>
    <xf numFmtId="0" fontId="26" fillId="2" borderId="0" xfId="0" applyFont="1" applyFill="1"/>
    <xf numFmtId="0" fontId="26" fillId="0" borderId="0" xfId="0" applyFont="1" applyAlignment="1">
      <alignment horizontal="center"/>
    </xf>
    <xf numFmtId="0" fontId="0" fillId="4" borderId="0" xfId="0" applyFill="1"/>
    <xf numFmtId="0" fontId="29" fillId="5" borderId="3" xfId="2"/>
    <xf numFmtId="0" fontId="30" fillId="6" borderId="0" xfId="3" applyBorder="1"/>
    <xf numFmtId="0" fontId="31" fillId="7" borderId="0" xfId="4" applyBorder="1"/>
    <xf numFmtId="0" fontId="30" fillId="6" borderId="0" xfId="3" applyBorder="1" applyAlignment="1">
      <alignment horizontal="left"/>
    </xf>
    <xf numFmtId="0" fontId="32" fillId="8" borderId="0" xfId="5" applyBorder="1"/>
    <xf numFmtId="0" fontId="30" fillId="6" borderId="3" xfId="3" applyBorder="1"/>
    <xf numFmtId="0" fontId="33" fillId="9" borderId="0" xfId="6" applyBorder="1"/>
    <xf numFmtId="0" fontId="34" fillId="0" borderId="0" xfId="0" applyFont="1"/>
    <xf numFmtId="0" fontId="26" fillId="0" borderId="0" xfId="0" applyFont="1" applyAlignment="1">
      <alignment horizontal="center" vertical="center"/>
    </xf>
    <xf numFmtId="0" fontId="35" fillId="0" borderId="4" xfId="0" applyFont="1" applyBorder="1" applyAlignment="1">
      <alignment horizontal="center" vertical="center" wrapText="1"/>
    </xf>
    <xf numFmtId="0" fontId="35" fillId="0" borderId="4" xfId="0" applyFont="1" applyBorder="1" applyAlignment="1">
      <alignment horizontal="center" vertical="center"/>
    </xf>
    <xf numFmtId="166" fontId="35" fillId="0" borderId="4" xfId="1" applyFont="1" applyFill="1" applyBorder="1" applyAlignment="1">
      <alignment horizontal="center" vertical="center"/>
    </xf>
    <xf numFmtId="0" fontId="0" fillId="0" borderId="0" xfId="0" applyAlignment="1">
      <alignment vertical="center"/>
    </xf>
    <xf numFmtId="168" fontId="0" fillId="2" borderId="2" xfId="0" applyNumberFormat="1" applyFill="1" applyBorder="1"/>
    <xf numFmtId="164" fontId="0" fillId="2" borderId="2" xfId="0" applyNumberFormat="1" applyFill="1" applyBorder="1"/>
    <xf numFmtId="164" fontId="35" fillId="2" borderId="2" xfId="0" applyNumberFormat="1" applyFont="1" applyFill="1" applyBorder="1"/>
    <xf numFmtId="0" fontId="0" fillId="0" borderId="2" xfId="0" applyBorder="1"/>
    <xf numFmtId="168" fontId="0" fillId="0" borderId="2" xfId="0" applyNumberFormat="1" applyBorder="1"/>
    <xf numFmtId="164" fontId="0" fillId="0" borderId="2" xfId="0" applyNumberFormat="1" applyBorder="1"/>
    <xf numFmtId="164" fontId="35" fillId="0" borderId="2" xfId="0" applyNumberFormat="1" applyFont="1" applyBorder="1"/>
    <xf numFmtId="168" fontId="0" fillId="3" borderId="2" xfId="0" applyNumberFormat="1" applyFill="1" applyBorder="1"/>
    <xf numFmtId="164" fontId="0" fillId="3" borderId="2" xfId="0" applyNumberFormat="1" applyFill="1" applyBorder="1"/>
    <xf numFmtId="164" fontId="35" fillId="3" borderId="2" xfId="0" applyNumberFormat="1" applyFont="1" applyFill="1" applyBorder="1"/>
    <xf numFmtId="168" fontId="23" fillId="2" borderId="2" xfId="0" applyNumberFormat="1" applyFont="1" applyFill="1" applyBorder="1"/>
    <xf numFmtId="164" fontId="23" fillId="2" borderId="2" xfId="0" applyNumberFormat="1" applyFont="1" applyFill="1" applyBorder="1"/>
    <xf numFmtId="164" fontId="36" fillId="2" borderId="2" xfId="0" applyNumberFormat="1" applyFont="1" applyFill="1" applyBorder="1"/>
    <xf numFmtId="0" fontId="26" fillId="10" borderId="0" xfId="0" applyFont="1" applyFill="1" applyAlignment="1">
      <alignment horizontal="center"/>
    </xf>
    <xf numFmtId="169" fontId="0" fillId="0" borderId="0" xfId="0" applyNumberFormat="1"/>
    <xf numFmtId="0" fontId="37" fillId="0" borderId="0" xfId="0" applyFont="1" applyAlignment="1">
      <alignment horizontal="left" wrapText="1"/>
    </xf>
    <xf numFmtId="0" fontId="38" fillId="0" borderId="0" xfId="0" applyFont="1" applyAlignment="1">
      <alignment horizontal="center"/>
    </xf>
    <xf numFmtId="166" fontId="37" fillId="0" borderId="0" xfId="1" applyFont="1" applyFill="1" applyBorder="1" applyAlignment="1">
      <alignment horizontal="center"/>
    </xf>
    <xf numFmtId="0" fontId="0" fillId="0" borderId="0" xfId="0" applyAlignment="1">
      <alignment horizontal="left" wrapText="1"/>
    </xf>
    <xf numFmtId="0" fontId="39" fillId="0" borderId="1" xfId="0" applyFont="1" applyBorder="1" applyAlignment="1">
      <alignment vertical="center" wrapText="1"/>
    </xf>
    <xf numFmtId="166" fontId="37" fillId="0" borderId="1" xfId="1" applyFont="1" applyFill="1" applyBorder="1" applyAlignment="1">
      <alignment horizontal="center" vertical="center"/>
    </xf>
    <xf numFmtId="0" fontId="40" fillId="0" borderId="1" xfId="0" applyFont="1" applyBorder="1" applyAlignment="1">
      <alignment horizontal="center" vertical="center" wrapText="1"/>
    </xf>
    <xf numFmtId="0" fontId="0" fillId="0" borderId="0" xfId="0" applyAlignment="1">
      <alignment horizontal="center"/>
    </xf>
    <xf numFmtId="166" fontId="0" fillId="0" borderId="0" xfId="1" applyFont="1" applyFill="1" applyBorder="1" applyAlignment="1">
      <alignment horizontal="center"/>
    </xf>
    <xf numFmtId="0" fontId="41" fillId="0" borderId="0" xfId="0" applyFont="1" applyAlignment="1">
      <alignment horizontal="center"/>
    </xf>
    <xf numFmtId="0" fontId="42" fillId="0" borderId="1" xfId="0" applyFont="1" applyBorder="1" applyAlignment="1">
      <alignment vertical="center" wrapText="1"/>
    </xf>
    <xf numFmtId="0" fontId="43" fillId="0" borderId="1" xfId="0" applyFont="1" applyBorder="1" applyAlignment="1">
      <alignment horizontal="center" vertical="center"/>
    </xf>
    <xf numFmtId="0" fontId="44" fillId="0" borderId="1" xfId="0" applyFont="1" applyBorder="1" applyAlignment="1">
      <alignment vertical="center" wrapText="1"/>
    </xf>
    <xf numFmtId="0" fontId="37" fillId="0" borderId="1" xfId="0" applyFont="1" applyBorder="1" applyAlignment="1">
      <alignment horizontal="left" vertical="center" wrapText="1"/>
    </xf>
    <xf numFmtId="166" fontId="43" fillId="0" borderId="1" xfId="1" applyFont="1" applyFill="1" applyBorder="1" applyAlignment="1">
      <alignment horizontal="center" vertical="center"/>
    </xf>
    <xf numFmtId="0" fontId="45" fillId="0" borderId="1" xfId="0" applyFont="1" applyBorder="1" applyAlignment="1">
      <alignment vertical="center" wrapText="1"/>
    </xf>
    <xf numFmtId="0" fontId="46" fillId="0" borderId="1" xfId="0" applyFont="1" applyBorder="1" applyAlignment="1">
      <alignment horizontal="center" vertical="center" wrapText="1"/>
    </xf>
    <xf numFmtId="166" fontId="47" fillId="0" borderId="1" xfId="1" applyFont="1" applyFill="1" applyBorder="1" applyAlignment="1">
      <alignment horizontal="center" vertical="center"/>
    </xf>
    <xf numFmtId="0" fontId="37" fillId="0" borderId="1" xfId="0" applyFont="1" applyBorder="1" applyAlignment="1">
      <alignment vertical="center" wrapText="1"/>
    </xf>
    <xf numFmtId="0" fontId="48" fillId="0" borderId="1" xfId="0" applyFont="1" applyBorder="1" applyAlignment="1">
      <alignment horizontal="center" vertical="center" wrapText="1"/>
    </xf>
    <xf numFmtId="0" fontId="43" fillId="0" borderId="1" xfId="0" applyFont="1" applyBorder="1" applyAlignment="1">
      <alignment horizontal="left" vertical="center" wrapText="1"/>
    </xf>
    <xf numFmtId="0" fontId="37" fillId="0" borderId="1" xfId="0" applyFont="1" applyBorder="1" applyAlignment="1">
      <alignment horizontal="left" vertical="center"/>
    </xf>
    <xf numFmtId="0" fontId="47" fillId="0" borderId="1" xfId="0" applyFont="1" applyBorder="1" applyAlignment="1">
      <alignment horizontal="center" vertical="center" wrapText="1"/>
    </xf>
    <xf numFmtId="0" fontId="49" fillId="0" borderId="1" xfId="0" applyFont="1" applyBorder="1" applyAlignment="1">
      <alignment horizontal="left" vertical="center" wrapText="1"/>
    </xf>
    <xf numFmtId="0" fontId="49" fillId="0" borderId="1" xfId="0" applyFont="1" applyBorder="1" applyAlignment="1">
      <alignment horizontal="center" vertical="center"/>
    </xf>
    <xf numFmtId="166" fontId="50" fillId="0" borderId="1" xfId="1" applyFont="1" applyFill="1" applyBorder="1" applyAlignment="1">
      <alignment horizontal="center" vertical="center"/>
    </xf>
    <xf numFmtId="166" fontId="38" fillId="0" borderId="1" xfId="1" applyFont="1" applyFill="1" applyBorder="1" applyAlignment="1">
      <alignment horizontal="center" vertical="center"/>
    </xf>
    <xf numFmtId="0" fontId="51" fillId="0" borderId="0" xfId="0" applyFont="1" applyAlignment="1">
      <alignment horizontal="left" vertical="center" wrapText="1"/>
    </xf>
    <xf numFmtId="0" fontId="24" fillId="0" borderId="0" xfId="0" applyFont="1" applyAlignment="1">
      <alignment horizontal="center" vertical="center"/>
    </xf>
    <xf numFmtId="166" fontId="24" fillId="0" borderId="0" xfId="1" applyFont="1" applyFill="1" applyBorder="1" applyAlignment="1">
      <alignment horizontal="center" vertical="center"/>
    </xf>
    <xf numFmtId="0" fontId="0" fillId="0" borderId="0" xfId="0" applyAlignment="1">
      <alignment horizontal="left" vertical="center"/>
    </xf>
    <xf numFmtId="0" fontId="52" fillId="0" borderId="1" xfId="0" applyFont="1" applyBorder="1" applyAlignment="1">
      <alignment horizontal="center" vertical="center" wrapText="1"/>
    </xf>
    <xf numFmtId="0" fontId="52" fillId="0" borderId="1" xfId="0" applyFont="1" applyBorder="1" applyAlignment="1">
      <alignment horizontal="center" vertical="center"/>
    </xf>
    <xf numFmtId="166" fontId="52" fillId="0" borderId="1" xfId="1" applyFont="1" applyFill="1" applyBorder="1" applyAlignment="1">
      <alignment horizontal="center" vertical="center"/>
    </xf>
    <xf numFmtId="166" fontId="52" fillId="0" borderId="1" xfId="1" applyFont="1" applyFill="1" applyBorder="1" applyAlignment="1">
      <alignment horizontal="left" vertical="center"/>
    </xf>
    <xf numFmtId="0" fontId="53" fillId="11" borderId="1" xfId="0" applyFont="1" applyFill="1" applyBorder="1" applyAlignment="1">
      <alignment vertical="center" wrapText="1"/>
    </xf>
    <xf numFmtId="0" fontId="54" fillId="0" borderId="1" xfId="0" applyFont="1" applyBorder="1" applyAlignment="1">
      <alignment horizontal="center" vertical="center"/>
    </xf>
    <xf numFmtId="166" fontId="24" fillId="0" borderId="1" xfId="1" applyFont="1" applyFill="1" applyBorder="1" applyAlignment="1">
      <alignment horizontal="center" vertical="center"/>
    </xf>
    <xf numFmtId="0" fontId="55" fillId="0" borderId="1" xfId="0" applyFont="1" applyBorder="1" applyAlignment="1">
      <alignment horizontal="left" vertical="center"/>
    </xf>
    <xf numFmtId="0" fontId="51" fillId="0" borderId="1" xfId="0" applyFont="1" applyBorder="1" applyAlignment="1">
      <alignment horizontal="left" vertical="center" wrapText="1"/>
    </xf>
    <xf numFmtId="0" fontId="56" fillId="0" borderId="0" xfId="0" applyFont="1" applyAlignment="1">
      <alignment horizontal="center"/>
    </xf>
    <xf numFmtId="0" fontId="57" fillId="3" borderId="1" xfId="0" applyFont="1" applyFill="1" applyBorder="1" applyAlignment="1">
      <alignment vertical="center" wrapText="1"/>
    </xf>
    <xf numFmtId="0" fontId="55" fillId="3" borderId="1" xfId="0" applyFont="1" applyFill="1" applyBorder="1" applyAlignment="1">
      <alignment horizontal="left" vertical="center"/>
    </xf>
    <xf numFmtId="0" fontId="57" fillId="12" borderId="1" xfId="0" applyFont="1" applyFill="1" applyBorder="1" applyAlignment="1">
      <alignment vertical="center" wrapText="1"/>
    </xf>
    <xf numFmtId="0" fontId="58" fillId="0" borderId="1" xfId="0" applyFont="1" applyBorder="1" applyAlignment="1">
      <alignment vertical="center" wrapText="1"/>
    </xf>
    <xf numFmtId="0" fontId="53" fillId="0" borderId="1" xfId="0" applyFont="1" applyBorder="1" applyAlignment="1">
      <alignment vertical="center" wrapText="1"/>
    </xf>
    <xf numFmtId="0" fontId="51" fillId="3" borderId="1" xfId="0" applyFont="1" applyFill="1" applyBorder="1" applyAlignment="1">
      <alignment horizontal="left" vertical="center" wrapText="1"/>
    </xf>
    <xf numFmtId="0" fontId="59" fillId="3" borderId="1" xfId="0" applyFont="1" applyFill="1" applyBorder="1" applyAlignment="1">
      <alignment horizontal="left" vertical="center" wrapText="1"/>
    </xf>
    <xf numFmtId="0" fontId="51" fillId="12" borderId="1" xfId="0" applyFont="1" applyFill="1" applyBorder="1" applyAlignment="1">
      <alignment horizontal="left" vertical="center" wrapText="1"/>
    </xf>
    <xf numFmtId="0" fontId="54" fillId="13" borderId="1" xfId="0" applyFont="1" applyFill="1" applyBorder="1" applyAlignment="1">
      <alignment horizontal="center" vertical="center"/>
    </xf>
    <xf numFmtId="0" fontId="51" fillId="0" borderId="5" xfId="0" applyFont="1" applyBorder="1" applyAlignment="1">
      <alignment horizontal="left" vertical="center" wrapText="1"/>
    </xf>
    <xf numFmtId="0" fontId="24" fillId="0" borderId="5" xfId="0" applyFont="1" applyBorder="1" applyAlignment="1">
      <alignment horizontal="center" vertical="center"/>
    </xf>
    <xf numFmtId="0" fontId="25" fillId="0" borderId="5" xfId="0" applyFont="1" applyBorder="1" applyAlignment="1">
      <alignment horizontal="left" vertical="center"/>
    </xf>
    <xf numFmtId="166" fontId="25" fillId="0" borderId="5" xfId="1" applyFont="1" applyFill="1" applyBorder="1" applyAlignment="1">
      <alignment horizontal="center" vertical="center"/>
    </xf>
    <xf numFmtId="166" fontId="56" fillId="0" borderId="1" xfId="1" applyFont="1" applyFill="1" applyBorder="1" applyAlignment="1">
      <alignment horizontal="center"/>
    </xf>
    <xf numFmtId="0" fontId="0" fillId="0" borderId="61"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0" xfId="0" applyAlignment="1">
      <alignment horizontal="center" vertical="center" wrapText="1"/>
    </xf>
    <xf numFmtId="0" fontId="0" fillId="0" borderId="61" xfId="0" applyBorder="1" applyAlignment="1">
      <alignment horizontal="left" vertical="center"/>
    </xf>
    <xf numFmtId="171" fontId="0" fillId="0" borderId="0" xfId="0" applyNumberFormat="1" applyAlignment="1">
      <alignment horizontal="center" vertical="center"/>
    </xf>
    <xf numFmtId="0" fontId="0" fillId="0" borderId="60" xfId="0" applyBorder="1" applyAlignment="1">
      <alignment vertical="center"/>
    </xf>
    <xf numFmtId="0" fontId="26" fillId="0" borderId="60" xfId="0" applyFont="1" applyBorder="1" applyAlignment="1">
      <alignment horizontal="center" vertical="center"/>
    </xf>
    <xf numFmtId="0" fontId="0" fillId="0" borderId="59" xfId="0" applyBorder="1" applyAlignment="1">
      <alignment vertical="center"/>
    </xf>
    <xf numFmtId="0" fontId="0" fillId="0" borderId="62" xfId="0" applyBorder="1" applyAlignment="1">
      <alignment vertical="center"/>
    </xf>
    <xf numFmtId="0" fontId="0" fillId="0" borderId="63" xfId="0" applyBorder="1" applyAlignment="1">
      <alignment horizontal="center" vertical="center"/>
    </xf>
    <xf numFmtId="0" fontId="26" fillId="0" borderId="64" xfId="0" applyFont="1" applyBorder="1" applyAlignment="1">
      <alignment vertical="center"/>
    </xf>
    <xf numFmtId="0" fontId="0" fillId="0" borderId="64" xfId="0" applyBorder="1" applyAlignment="1">
      <alignment vertical="center"/>
    </xf>
    <xf numFmtId="0" fontId="56" fillId="0" borderId="1" xfId="0" applyFont="1" applyBorder="1" applyAlignment="1">
      <alignment horizontal="center"/>
    </xf>
    <xf numFmtId="0" fontId="26" fillId="0" borderId="1" xfId="0" applyFont="1" applyBorder="1" applyAlignment="1">
      <alignment horizontal="center"/>
    </xf>
    <xf numFmtId="165" fontId="26" fillId="0" borderId="1" xfId="0" applyNumberFormat="1" applyFont="1" applyBorder="1" applyAlignment="1">
      <alignment horizontal="center"/>
    </xf>
    <xf numFmtId="166" fontId="26" fillId="0" borderId="1" xfId="1" applyFont="1" applyFill="1" applyBorder="1" applyAlignment="1">
      <alignment horizontal="center"/>
    </xf>
    <xf numFmtId="0" fontId="64" fillId="0" borderId="1" xfId="0" applyFont="1" applyBorder="1" applyAlignment="1">
      <alignment horizontal="center"/>
    </xf>
    <xf numFmtId="0" fontId="69" fillId="0" borderId="1" xfId="0" applyFont="1" applyBorder="1" applyAlignment="1">
      <alignment horizontal="center"/>
    </xf>
    <xf numFmtId="0" fontId="69" fillId="0" borderId="1" xfId="0" applyFont="1" applyBorder="1" applyAlignment="1">
      <alignment horizontal="left"/>
    </xf>
    <xf numFmtId="0" fontId="61" fillId="0" borderId="1" xfId="0" applyFont="1" applyBorder="1" applyAlignment="1">
      <alignment horizontal="center"/>
    </xf>
    <xf numFmtId="0" fontId="59" fillId="0" borderId="1" xfId="0" applyFont="1" applyBorder="1" applyAlignment="1">
      <alignment horizontal="left"/>
    </xf>
    <xf numFmtId="0" fontId="59" fillId="0" borderId="1" xfId="0" applyFont="1" applyBorder="1" applyAlignment="1">
      <alignment horizontal="center"/>
    </xf>
    <xf numFmtId="0" fontId="59" fillId="0" borderId="1" xfId="0" applyFont="1" applyBorder="1"/>
    <xf numFmtId="0" fontId="62" fillId="0" borderId="1" xfId="0" applyFont="1" applyBorder="1" applyAlignment="1">
      <alignment horizontal="center"/>
    </xf>
    <xf numFmtId="0" fontId="59" fillId="0" borderId="0" xfId="0" applyFont="1" applyAlignment="1">
      <alignment horizontal="left"/>
    </xf>
    <xf numFmtId="0" fontId="59" fillId="0" borderId="0" xfId="0" applyFont="1"/>
    <xf numFmtId="0" fontId="63" fillId="0" borderId="1" xfId="0" applyFont="1" applyBorder="1" applyAlignment="1">
      <alignment horizontal="center"/>
    </xf>
    <xf numFmtId="0" fontId="59" fillId="0" borderId="0" xfId="0" applyFont="1" applyAlignment="1">
      <alignment horizontal="center"/>
    </xf>
    <xf numFmtId="0" fontId="56" fillId="13" borderId="1" xfId="0" applyFont="1" applyFill="1" applyBorder="1" applyAlignment="1">
      <alignment horizontal="center"/>
    </xf>
    <xf numFmtId="166" fontId="56" fillId="13" borderId="1" xfId="1" applyFont="1" applyFill="1" applyBorder="1" applyAlignment="1">
      <alignment horizontal="center"/>
    </xf>
    <xf numFmtId="0" fontId="71" fillId="0" borderId="1" xfId="0" applyFont="1" applyBorder="1" applyAlignment="1">
      <alignment horizontal="center"/>
    </xf>
    <xf numFmtId="0" fontId="72" fillId="0" borderId="1" xfId="0" applyFont="1" applyBorder="1"/>
    <xf numFmtId="0" fontId="56" fillId="0" borderId="1" xfId="0" applyFont="1" applyBorder="1" applyAlignment="1">
      <alignment horizontal="left"/>
    </xf>
    <xf numFmtId="0" fontId="56" fillId="0" borderId="1" xfId="3" applyFont="1" applyFill="1" applyBorder="1" applyAlignment="1">
      <alignment horizontal="center" vertical="center"/>
    </xf>
    <xf numFmtId="2" fontId="0" fillId="0" borderId="0" xfId="0" applyNumberFormat="1" applyAlignment="1">
      <alignment horizontal="center" vertical="center"/>
    </xf>
    <xf numFmtId="2" fontId="26" fillId="0" borderId="64" xfId="0" applyNumberFormat="1" applyFont="1" applyBorder="1" applyAlignment="1">
      <alignment horizontal="center" vertical="center"/>
    </xf>
    <xf numFmtId="2" fontId="59" fillId="0" borderId="1" xfId="0" applyNumberFormat="1" applyFont="1" applyBorder="1" applyAlignment="1">
      <alignment horizontal="center"/>
    </xf>
    <xf numFmtId="0" fontId="56" fillId="0" borderId="1" xfId="0" applyFont="1" applyBorder="1" applyAlignment="1">
      <alignment horizontal="center" vertical="center" wrapText="1"/>
    </xf>
    <xf numFmtId="0" fontId="56" fillId="0" borderId="1" xfId="0" applyFont="1" applyBorder="1" applyAlignment="1">
      <alignment horizontal="center" vertical="center"/>
    </xf>
    <xf numFmtId="0" fontId="56" fillId="0" borderId="12" xfId="0" applyFont="1" applyBorder="1" applyAlignment="1">
      <alignment horizontal="center" vertical="center"/>
    </xf>
    <xf numFmtId="0" fontId="56" fillId="0" borderId="1" xfId="0" applyFont="1" applyBorder="1" applyAlignment="1">
      <alignment horizontal="center" vertical="center" textRotation="45"/>
    </xf>
    <xf numFmtId="0" fontId="0" fillId="0" borderId="8" xfId="0" applyBorder="1" applyAlignment="1">
      <alignment horizontal="center" vertical="center"/>
    </xf>
    <xf numFmtId="0" fontId="56" fillId="0" borderId="0" xfId="0" applyFont="1" applyAlignment="1">
      <alignment horizontal="center" vertical="center" wrapText="1"/>
    </xf>
    <xf numFmtId="0" fontId="0" fillId="0" borderId="23" xfId="0" applyBorder="1" applyAlignment="1">
      <alignment horizontal="center" vertical="center" textRotation="45"/>
    </xf>
    <xf numFmtId="0" fontId="0" fillId="0" borderId="47" xfId="0" applyBorder="1" applyAlignment="1">
      <alignment horizontal="center" vertical="center" textRotation="45"/>
    </xf>
    <xf numFmtId="0" fontId="0" fillId="0" borderId="47" xfId="0" applyBorder="1" applyAlignment="1">
      <alignment horizontal="center" vertical="center" textRotation="45" wrapText="1"/>
    </xf>
    <xf numFmtId="0" fontId="0" fillId="0" borderId="0" xfId="0" applyAlignment="1">
      <alignment horizontal="center" vertical="center" textRotation="45"/>
    </xf>
    <xf numFmtId="0" fontId="0" fillId="0" borderId="5" xfId="0" applyBorder="1" applyAlignment="1">
      <alignment horizontal="center" vertical="center" textRotation="45"/>
    </xf>
    <xf numFmtId="0" fontId="0" fillId="0" borderId="5" xfId="0" applyBorder="1" applyAlignment="1">
      <alignment vertical="center"/>
    </xf>
    <xf numFmtId="0" fontId="0" fillId="0" borderId="9" xfId="0" applyBorder="1" applyAlignment="1">
      <alignment horizontal="left" vertical="center"/>
    </xf>
    <xf numFmtId="0" fontId="0" fillId="0" borderId="1" xfId="0" applyBorder="1" applyAlignment="1">
      <alignment horizontal="center"/>
    </xf>
    <xf numFmtId="0" fontId="0" fillId="0" borderId="48" xfId="0" applyBorder="1" applyAlignment="1">
      <alignment horizontal="center"/>
    </xf>
    <xf numFmtId="0" fontId="0" fillId="0" borderId="2" xfId="0" applyBorder="1" applyAlignment="1">
      <alignment horizontal="center"/>
    </xf>
    <xf numFmtId="0" fontId="0" fillId="0" borderId="1" xfId="0" applyBorder="1" applyAlignment="1">
      <alignment horizontal="center" textRotation="45"/>
    </xf>
    <xf numFmtId="0" fontId="0" fillId="0" borderId="42" xfId="0" applyBorder="1" applyAlignment="1">
      <alignment horizontal="center"/>
    </xf>
    <xf numFmtId="0" fontId="0" fillId="0" borderId="24" xfId="0" applyBorder="1" applyAlignment="1">
      <alignment horizontal="center"/>
    </xf>
    <xf numFmtId="0" fontId="0" fillId="0" borderId="49" xfId="0" applyBorder="1" applyAlignment="1">
      <alignment horizontal="center"/>
    </xf>
    <xf numFmtId="0" fontId="0" fillId="0" borderId="45" xfId="0" applyBorder="1"/>
    <xf numFmtId="0" fontId="0" fillId="0" borderId="26" xfId="0" applyBorder="1"/>
    <xf numFmtId="0" fontId="0" fillId="0" borderId="41" xfId="0" applyBorder="1" applyAlignment="1">
      <alignment horizontal="center"/>
    </xf>
    <xf numFmtId="0" fontId="0" fillId="0" borderId="51" xfId="0" applyBorder="1" applyAlignment="1">
      <alignment horizontal="center"/>
    </xf>
    <xf numFmtId="0" fontId="26" fillId="0" borderId="74" xfId="0" applyFont="1" applyBorder="1"/>
    <xf numFmtId="0" fontId="25" fillId="0" borderId="75" xfId="0" applyFont="1" applyBorder="1" applyAlignment="1">
      <alignment horizontal="center"/>
    </xf>
    <xf numFmtId="0" fontId="0" fillId="0" borderId="13" xfId="0" applyBorder="1" applyAlignment="1">
      <alignment horizontal="center"/>
    </xf>
    <xf numFmtId="0" fontId="26" fillId="0" borderId="23" xfId="0" applyFont="1" applyBorder="1" applyAlignment="1">
      <alignment horizontal="center" vertical="center" textRotation="45"/>
    </xf>
    <xf numFmtId="0" fontId="0" fillId="0" borderId="5" xfId="0" applyBorder="1" applyAlignment="1">
      <alignment horizontal="center" vertical="center" wrapText="1"/>
    </xf>
    <xf numFmtId="0" fontId="0" fillId="0" borderId="36" xfId="0" applyBorder="1" applyAlignment="1">
      <alignment horizontal="center" vertical="center"/>
    </xf>
    <xf numFmtId="0" fontId="0" fillId="0" borderId="30" xfId="0" applyBorder="1" applyAlignment="1">
      <alignment horizontal="center" vertical="center" textRotation="45"/>
    </xf>
    <xf numFmtId="0" fontId="0" fillId="0" borderId="1" xfId="0" applyBorder="1" applyAlignment="1">
      <alignment horizontal="center" vertical="center" textRotation="45"/>
    </xf>
    <xf numFmtId="0" fontId="0" fillId="0" borderId="10" xfId="0" applyBorder="1" applyAlignment="1">
      <alignment horizontal="left"/>
    </xf>
    <xf numFmtId="0" fontId="0" fillId="0" borderId="52" xfId="0" applyBorder="1" applyAlignment="1">
      <alignment horizontal="center"/>
    </xf>
    <xf numFmtId="0" fontId="0" fillId="0" borderId="1" xfId="0" applyBorder="1" applyAlignment="1">
      <alignment horizontal="left" vertical="center"/>
    </xf>
    <xf numFmtId="0" fontId="0" fillId="0" borderId="23" xfId="0" applyBorder="1" applyAlignment="1">
      <alignment horizontal="center"/>
    </xf>
    <xf numFmtId="0" fontId="0" fillId="0" borderId="47" xfId="0" applyBorder="1" applyAlignment="1">
      <alignment horizontal="center"/>
    </xf>
    <xf numFmtId="0" fontId="0" fillId="0" borderId="5" xfId="0" applyBorder="1"/>
    <xf numFmtId="0" fontId="0" fillId="0" borderId="23" xfId="0" applyBorder="1" applyAlignment="1">
      <alignment horizontal="center" textRotation="45"/>
    </xf>
    <xf numFmtId="0" fontId="0" fillId="0" borderId="30" xfId="0" applyBorder="1" applyAlignment="1">
      <alignment horizontal="center" textRotation="45"/>
    </xf>
    <xf numFmtId="0" fontId="0" fillId="0" borderId="31" xfId="0" applyBorder="1" applyAlignment="1">
      <alignment horizontal="center"/>
    </xf>
    <xf numFmtId="0" fontId="0" fillId="0" borderId="8" xfId="0" applyBorder="1" applyAlignment="1">
      <alignment horizontal="left" vertical="center"/>
    </xf>
    <xf numFmtId="0" fontId="0" fillId="0" borderId="1" xfId="0" applyBorder="1"/>
    <xf numFmtId="0" fontId="0" fillId="0" borderId="32" xfId="0" applyBorder="1" applyAlignment="1">
      <alignment horizontal="center"/>
    </xf>
    <xf numFmtId="0" fontId="0" fillId="0" borderId="35" xfId="0" applyBorder="1"/>
    <xf numFmtId="0" fontId="0" fillId="0" borderId="12" xfId="0" applyBorder="1"/>
    <xf numFmtId="0" fontId="0" fillId="0" borderId="12" xfId="0" applyBorder="1" applyAlignment="1">
      <alignment horizontal="center"/>
    </xf>
    <xf numFmtId="0" fontId="0" fillId="0" borderId="20" xfId="0" applyBorder="1" applyAlignment="1">
      <alignment horizontal="center"/>
    </xf>
    <xf numFmtId="0" fontId="0" fillId="0" borderId="5" xfId="0" applyBorder="1" applyAlignment="1">
      <alignment horizontal="center" textRotation="45"/>
    </xf>
    <xf numFmtId="0" fontId="0" fillId="0" borderId="39" xfId="0" applyBorder="1" applyAlignment="1">
      <alignment horizontal="center" textRotation="45"/>
    </xf>
    <xf numFmtId="0" fontId="0" fillId="0" borderId="33" xfId="0" applyBorder="1" applyAlignment="1">
      <alignment horizontal="center"/>
    </xf>
    <xf numFmtId="0" fontId="0" fillId="0" borderId="53" xfId="0" applyBorder="1" applyAlignment="1">
      <alignment horizontal="center"/>
    </xf>
    <xf numFmtId="0" fontId="0" fillId="0" borderId="54" xfId="0" applyBorder="1" applyAlignment="1">
      <alignment horizontal="center"/>
    </xf>
    <xf numFmtId="0" fontId="0" fillId="0" borderId="21" xfId="0" applyBorder="1"/>
    <xf numFmtId="0" fontId="0" fillId="0" borderId="41" xfId="0" applyBorder="1"/>
    <xf numFmtId="0" fontId="0" fillId="0" borderId="36" xfId="0" applyBorder="1" applyAlignment="1">
      <alignment horizontal="center"/>
    </xf>
    <xf numFmtId="0" fontId="0" fillId="0" borderId="5" xfId="0" applyBorder="1" applyAlignment="1">
      <alignment horizontal="center" wrapText="1"/>
    </xf>
    <xf numFmtId="0" fontId="57" fillId="0" borderId="1" xfId="0" applyFont="1" applyBorder="1" applyAlignment="1">
      <alignment horizontal="left" textRotation="45"/>
    </xf>
    <xf numFmtId="0" fontId="59" fillId="0" borderId="1" xfId="0" applyFont="1" applyBorder="1" applyAlignment="1">
      <alignment textRotation="45"/>
    </xf>
    <xf numFmtId="0" fontId="0" fillId="0" borderId="5" xfId="0" applyBorder="1" applyAlignment="1">
      <alignment horizontal="center"/>
    </xf>
    <xf numFmtId="0" fontId="0" fillId="0" borderId="28" xfId="0" applyBorder="1" applyAlignment="1">
      <alignment horizontal="center"/>
    </xf>
    <xf numFmtId="0" fontId="0" fillId="0" borderId="55" xfId="0" applyBorder="1" applyAlignment="1">
      <alignment horizontal="center"/>
    </xf>
    <xf numFmtId="0" fontId="0" fillId="0" borderId="47" xfId="0" applyBorder="1" applyAlignment="1">
      <alignment horizontal="center" textRotation="45"/>
    </xf>
    <xf numFmtId="0" fontId="53" fillId="0" borderId="1" xfId="0" applyFont="1" applyBorder="1" applyAlignment="1">
      <alignment textRotation="45"/>
    </xf>
    <xf numFmtId="0" fontId="59" fillId="0" borderId="1" xfId="0" applyFont="1" applyBorder="1" applyAlignment="1">
      <alignment horizontal="left" textRotation="45"/>
    </xf>
    <xf numFmtId="0" fontId="56" fillId="0" borderId="0" xfId="0" applyFont="1"/>
    <xf numFmtId="0" fontId="0" fillId="0" borderId="5" xfId="0" applyBorder="1" applyAlignment="1">
      <alignment textRotation="45" wrapText="1"/>
    </xf>
    <xf numFmtId="0" fontId="0" fillId="0" borderId="10" xfId="0" applyBorder="1" applyAlignment="1">
      <alignment horizontal="center"/>
    </xf>
    <xf numFmtId="0" fontId="23" fillId="0" borderId="0" xfId="0" applyFont="1"/>
    <xf numFmtId="0" fontId="26" fillId="0" borderId="0" xfId="0" applyFont="1"/>
    <xf numFmtId="0" fontId="56" fillId="0" borderId="48" xfId="0" applyFont="1" applyBorder="1" applyAlignment="1">
      <alignment horizontal="center" vertical="center"/>
    </xf>
    <xf numFmtId="0" fontId="0" fillId="0" borderId="25" xfId="0" applyBorder="1" applyAlignment="1">
      <alignment horizontal="center"/>
    </xf>
    <xf numFmtId="0" fontId="0" fillId="0" borderId="11" xfId="0" applyBorder="1"/>
    <xf numFmtId="0" fontId="0" fillId="0" borderId="46" xfId="0" applyBorder="1" applyAlignment="1">
      <alignment horizontal="center"/>
    </xf>
    <xf numFmtId="0" fontId="0" fillId="0" borderId="50" xfId="0" applyBorder="1" applyAlignment="1">
      <alignment horizontal="center"/>
    </xf>
    <xf numFmtId="0" fontId="56" fillId="0" borderId="0" xfId="0" applyFont="1" applyAlignment="1">
      <alignment horizontal="center" vertical="center" textRotation="45"/>
    </xf>
    <xf numFmtId="0" fontId="56" fillId="0" borderId="0" xfId="0" applyFont="1" applyAlignment="1">
      <alignment vertical="center"/>
    </xf>
    <xf numFmtId="0" fontId="56" fillId="0" borderId="8" xfId="0" applyFont="1" applyBorder="1" applyAlignment="1">
      <alignment horizontal="center" vertical="center"/>
    </xf>
    <xf numFmtId="0" fontId="56" fillId="0" borderId="5" xfId="0" applyFont="1" applyBorder="1" applyAlignment="1">
      <alignment horizontal="center" vertical="center" textRotation="45"/>
    </xf>
    <xf numFmtId="0" fontId="56" fillId="0" borderId="18" xfId="0" applyFont="1" applyBorder="1" applyAlignment="1">
      <alignment horizontal="center" vertical="center" textRotation="45"/>
    </xf>
    <xf numFmtId="0" fontId="56" fillId="0" borderId="23" xfId="0" applyFont="1" applyBorder="1" applyAlignment="1">
      <alignment horizontal="center" vertical="center" textRotation="45"/>
    </xf>
    <xf numFmtId="0" fontId="56" fillId="0" borderId="9" xfId="0" applyFont="1" applyBorder="1" applyAlignment="1">
      <alignment horizontal="left" vertical="center"/>
    </xf>
    <xf numFmtId="0" fontId="56" fillId="0" borderId="10" xfId="0" applyFont="1" applyBorder="1" applyAlignment="1">
      <alignment horizontal="center" vertical="center"/>
    </xf>
    <xf numFmtId="0" fontId="56" fillId="0" borderId="2" xfId="0" applyFont="1" applyBorder="1" applyAlignment="1">
      <alignment horizontal="center" vertical="center"/>
    </xf>
    <xf numFmtId="0" fontId="56" fillId="0" borderId="19" xfId="0" applyFont="1" applyBorder="1" applyAlignment="1">
      <alignment horizontal="center" vertical="center"/>
    </xf>
    <xf numFmtId="0" fontId="56" fillId="0" borderId="24" xfId="0" applyFont="1" applyBorder="1" applyAlignment="1">
      <alignment horizontal="center" vertical="center"/>
    </xf>
    <xf numFmtId="0" fontId="56" fillId="0" borderId="11" xfId="0" applyFont="1" applyBorder="1" applyAlignment="1">
      <alignment vertical="center"/>
    </xf>
    <xf numFmtId="0" fontId="56" fillId="0" borderId="13" xfId="0" applyFont="1" applyBorder="1" applyAlignment="1">
      <alignment horizontal="center" vertical="center"/>
    </xf>
    <xf numFmtId="0" fontId="56" fillId="0" borderId="20" xfId="0" applyFont="1" applyBorder="1" applyAlignment="1">
      <alignment horizontal="center" vertical="center"/>
    </xf>
    <xf numFmtId="0" fontId="56" fillId="0" borderId="27" xfId="0" applyFont="1" applyBorder="1" applyAlignment="1">
      <alignment horizontal="center" vertical="center"/>
    </xf>
    <xf numFmtId="0" fontId="56" fillId="0" borderId="28" xfId="0" applyFont="1" applyBorder="1" applyAlignment="1">
      <alignment horizontal="center" vertical="center" textRotation="45"/>
    </xf>
    <xf numFmtId="0" fontId="56" fillId="0" borderId="33" xfId="0" applyFont="1" applyBorder="1" applyAlignment="1">
      <alignment horizontal="center" vertical="center"/>
    </xf>
    <xf numFmtId="0" fontId="56" fillId="0" borderId="16" xfId="0" applyFont="1" applyBorder="1" applyAlignment="1">
      <alignment horizontal="center" vertical="center"/>
    </xf>
    <xf numFmtId="0" fontId="56" fillId="0" borderId="29" xfId="0" applyFont="1" applyBorder="1" applyAlignment="1">
      <alignment horizontal="center" vertical="center"/>
    </xf>
    <xf numFmtId="0" fontId="56" fillId="0" borderId="40" xfId="0" applyFont="1" applyBorder="1" applyAlignment="1">
      <alignment horizontal="center" vertical="center" textRotation="45"/>
    </xf>
    <xf numFmtId="0" fontId="70" fillId="0" borderId="0" xfId="0" applyFont="1" applyAlignment="1">
      <alignment horizontal="center" vertical="center"/>
    </xf>
    <xf numFmtId="0" fontId="56" fillId="0" borderId="23" xfId="0" applyFont="1" applyBorder="1" applyAlignment="1">
      <alignment horizontal="center" vertical="center" wrapText="1"/>
    </xf>
    <xf numFmtId="0" fontId="56" fillId="0" borderId="36" xfId="0" applyFont="1" applyBorder="1" applyAlignment="1">
      <alignment horizontal="center" vertical="center" textRotation="45"/>
    </xf>
    <xf numFmtId="0" fontId="56" fillId="0" borderId="39" xfId="0" applyFont="1" applyBorder="1" applyAlignment="1">
      <alignment horizontal="center" vertical="center" textRotation="45"/>
    </xf>
    <xf numFmtId="0" fontId="56" fillId="0" borderId="5" xfId="0" applyFont="1" applyBorder="1" applyAlignment="1">
      <alignment horizontal="center" vertical="center"/>
    </xf>
    <xf numFmtId="0" fontId="56" fillId="0" borderId="4" xfId="0" applyFont="1" applyBorder="1" applyAlignment="1">
      <alignment horizontal="center" vertical="center"/>
    </xf>
    <xf numFmtId="0" fontId="56" fillId="0" borderId="34" xfId="0" applyFont="1" applyBorder="1" applyAlignment="1">
      <alignment horizontal="center" vertical="center"/>
    </xf>
    <xf numFmtId="0" fontId="56" fillId="0" borderId="36" xfId="0" applyFont="1" applyBorder="1" applyAlignment="1">
      <alignment horizontal="center" vertical="center"/>
    </xf>
    <xf numFmtId="0" fontId="56" fillId="0" borderId="38" xfId="0" applyFont="1" applyBorder="1" applyAlignment="1">
      <alignment horizontal="center" vertical="center"/>
    </xf>
    <xf numFmtId="0" fontId="56" fillId="0" borderId="37" xfId="0" applyFont="1" applyBorder="1" applyAlignment="1">
      <alignment horizontal="center" vertical="center"/>
    </xf>
    <xf numFmtId="0" fontId="56" fillId="0" borderId="35" xfId="0" applyFont="1" applyBorder="1" applyAlignment="1">
      <alignment vertical="center"/>
    </xf>
    <xf numFmtId="0" fontId="56" fillId="0" borderId="13" xfId="0" applyFont="1" applyBorder="1" applyAlignment="1">
      <alignment vertical="center"/>
    </xf>
    <xf numFmtId="0" fontId="56" fillId="0" borderId="1" xfId="0" applyFont="1" applyBorder="1" applyAlignment="1">
      <alignment vertical="center"/>
    </xf>
    <xf numFmtId="0" fontId="56" fillId="0" borderId="39" xfId="0" applyFont="1" applyBorder="1" applyAlignment="1">
      <alignment horizontal="center" vertical="center"/>
    </xf>
    <xf numFmtId="0" fontId="56" fillId="0" borderId="41" xfId="0" applyFont="1" applyBorder="1" applyAlignment="1">
      <alignment horizontal="center" vertical="center"/>
    </xf>
    <xf numFmtId="0" fontId="56" fillId="0" borderId="71" xfId="0" applyFont="1" applyBorder="1" applyAlignment="1">
      <alignment horizontal="center" vertical="center"/>
    </xf>
    <xf numFmtId="0" fontId="70" fillId="0" borderId="2" xfId="0" applyFont="1" applyBorder="1" applyAlignment="1">
      <alignment horizontal="center" vertical="center"/>
    </xf>
    <xf numFmtId="170" fontId="56" fillId="0" borderId="0" xfId="0" applyNumberFormat="1" applyFont="1" applyAlignment="1">
      <alignment horizontal="center" vertical="center" textRotation="45"/>
    </xf>
    <xf numFmtId="0" fontId="56" fillId="0" borderId="23" xfId="0" applyFont="1" applyBorder="1" applyAlignment="1">
      <alignment horizontal="center" vertical="center"/>
    </xf>
    <xf numFmtId="0" fontId="56" fillId="0" borderId="44" xfId="0" applyFont="1" applyBorder="1" applyAlignment="1">
      <alignment horizontal="center" vertical="center"/>
    </xf>
    <xf numFmtId="0" fontId="56" fillId="0" borderId="43" xfId="0" applyFont="1" applyBorder="1" applyAlignment="1">
      <alignment horizontal="center" vertical="center" textRotation="45"/>
    </xf>
    <xf numFmtId="0" fontId="56" fillId="0" borderId="70" xfId="0" applyFont="1" applyBorder="1" applyAlignment="1">
      <alignment horizontal="center" vertical="center" textRotation="45"/>
    </xf>
    <xf numFmtId="0" fontId="35" fillId="0" borderId="1" xfId="0" applyFont="1" applyBorder="1" applyAlignment="1">
      <alignment horizontal="center"/>
    </xf>
    <xf numFmtId="0" fontId="35" fillId="0" borderId="1" xfId="0" applyFont="1" applyBorder="1" applyAlignment="1">
      <alignment horizontal="left"/>
    </xf>
    <xf numFmtId="0" fontId="59" fillId="0" borderId="1" xfId="0" applyFont="1" applyBorder="1" applyAlignment="1">
      <alignment horizontal="left" vertical="center" wrapText="1"/>
    </xf>
    <xf numFmtId="0" fontId="69" fillId="0" borderId="1" xfId="0" applyFont="1" applyBorder="1" applyAlignment="1">
      <alignment horizontal="center" vertical="center" wrapText="1"/>
    </xf>
    <xf numFmtId="0" fontId="59" fillId="0" borderId="1" xfId="0" applyFont="1" applyBorder="1" applyAlignment="1">
      <alignment horizontal="center" vertical="center" wrapText="1"/>
    </xf>
    <xf numFmtId="0" fontId="0" fillId="16" borderId="41" xfId="0" applyFill="1" applyBorder="1" applyAlignment="1">
      <alignment horizontal="center"/>
    </xf>
    <xf numFmtId="0" fontId="56" fillId="0" borderId="26" xfId="0" applyFont="1" applyBorder="1" applyAlignment="1">
      <alignment horizontal="center" vertical="center"/>
    </xf>
    <xf numFmtId="0" fontId="57" fillId="0" borderId="1" xfId="0" applyFont="1" applyBorder="1" applyAlignment="1">
      <alignment horizontal="left" vertical="center" wrapText="1"/>
    </xf>
    <xf numFmtId="0" fontId="59" fillId="0" borderId="0" xfId="0" applyFont="1" applyAlignment="1">
      <alignment vertical="center" wrapText="1"/>
    </xf>
    <xf numFmtId="0" fontId="73" fillId="0" borderId="1" xfId="0" applyFont="1" applyBorder="1"/>
    <xf numFmtId="0" fontId="35" fillId="0" borderId="0" xfId="0" applyFont="1"/>
    <xf numFmtId="0" fontId="74" fillId="0" borderId="1" xfId="0" applyFont="1" applyBorder="1" applyAlignment="1">
      <alignment horizontal="left"/>
    </xf>
    <xf numFmtId="0" fontId="34" fillId="0" borderId="1" xfId="0" applyFont="1" applyBorder="1" applyAlignment="1">
      <alignment horizontal="left"/>
    </xf>
    <xf numFmtId="0" fontId="75" fillId="0" borderId="1" xfId="0" applyFont="1" applyBorder="1" applyAlignment="1">
      <alignment horizontal="left"/>
    </xf>
    <xf numFmtId="0" fontId="34" fillId="0" borderId="1" xfId="0" applyFont="1" applyBorder="1"/>
    <xf numFmtId="0" fontId="34" fillId="0" borderId="0" xfId="0" applyFont="1" applyAlignment="1">
      <alignment horizontal="left"/>
    </xf>
    <xf numFmtId="0" fontId="59" fillId="0" borderId="1" xfId="0" applyFont="1" applyBorder="1" applyAlignment="1">
      <alignment horizontal="left" vertical="center"/>
    </xf>
    <xf numFmtId="0" fontId="57" fillId="0" borderId="1" xfId="0" applyFont="1" applyBorder="1" applyAlignment="1">
      <alignment horizontal="left" vertical="center" textRotation="45"/>
    </xf>
    <xf numFmtId="0" fontId="59" fillId="0" borderId="1" xfId="0" applyFont="1" applyBorder="1" applyAlignment="1">
      <alignment vertical="center" textRotation="45"/>
    </xf>
    <xf numFmtId="0" fontId="53" fillId="0" borderId="1" xfId="0" applyFont="1" applyBorder="1" applyAlignment="1">
      <alignment vertical="center" textRotation="45"/>
    </xf>
    <xf numFmtId="0" fontId="83" fillId="0" borderId="1" xfId="0" applyFont="1" applyBorder="1" applyAlignment="1">
      <alignment horizontal="left" vertical="center" textRotation="45"/>
    </xf>
    <xf numFmtId="0" fontId="54" fillId="0" borderId="1" xfId="0" applyFont="1" applyBorder="1" applyAlignment="1">
      <alignment vertical="center" textRotation="45"/>
    </xf>
    <xf numFmtId="0" fontId="84" fillId="0" borderId="1" xfId="0" applyFont="1" applyBorder="1" applyAlignment="1">
      <alignment vertical="center" textRotation="45"/>
    </xf>
    <xf numFmtId="0" fontId="24" fillId="0" borderId="23" xfId="0" applyFont="1" applyBorder="1" applyAlignment="1">
      <alignment horizontal="center" vertical="center" textRotation="45"/>
    </xf>
    <xf numFmtId="0" fontId="24" fillId="0" borderId="47" xfId="0" applyFont="1" applyBorder="1" applyAlignment="1">
      <alignment horizontal="center" vertical="center" textRotation="45"/>
    </xf>
    <xf numFmtId="0" fontId="0" fillId="0" borderId="5" xfId="0" applyBorder="1" applyAlignment="1">
      <alignment vertical="center" textRotation="45"/>
    </xf>
    <xf numFmtId="0" fontId="61" fillId="17" borderId="1" xfId="0" applyFont="1" applyFill="1" applyBorder="1" applyAlignment="1">
      <alignment horizontal="center"/>
    </xf>
    <xf numFmtId="0" fontId="59" fillId="17" borderId="1" xfId="0" applyFont="1" applyFill="1" applyBorder="1" applyAlignment="1">
      <alignment horizontal="center"/>
    </xf>
    <xf numFmtId="166" fontId="54" fillId="0" borderId="0" xfId="1" applyFont="1" applyFill="1" applyBorder="1" applyAlignment="1">
      <alignment horizontal="center" vertical="center" wrapText="1"/>
    </xf>
    <xf numFmtId="0" fontId="61" fillId="0" borderId="0" xfId="0" applyFont="1" applyAlignment="1">
      <alignment horizontal="center" vertical="center" wrapText="1"/>
    </xf>
    <xf numFmtId="166" fontId="59" fillId="0" borderId="1" xfId="1" applyFont="1" applyFill="1" applyBorder="1" applyAlignment="1">
      <alignment horizontal="center" vertical="center"/>
    </xf>
    <xf numFmtId="166" fontId="69" fillId="0" borderId="23" xfId="1" applyFont="1" applyFill="1" applyBorder="1" applyAlignment="1">
      <alignment horizontal="center" vertical="center" wrapText="1"/>
    </xf>
    <xf numFmtId="166" fontId="59" fillId="0" borderId="1" xfId="1" applyFont="1" applyFill="1" applyBorder="1" applyAlignment="1">
      <alignment horizontal="center" vertical="center" wrapText="1"/>
    </xf>
    <xf numFmtId="166" fontId="59" fillId="0" borderId="0" xfId="1" applyFont="1" applyFill="1" applyBorder="1" applyAlignment="1">
      <alignment horizontal="center" vertical="center" wrapText="1"/>
    </xf>
    <xf numFmtId="166" fontId="59" fillId="0" borderId="0" xfId="1" applyFont="1" applyFill="1" applyBorder="1" applyAlignment="1">
      <alignment horizontal="center" vertical="center"/>
    </xf>
    <xf numFmtId="166" fontId="69" fillId="0" borderId="1" xfId="1" applyFont="1" applyFill="1" applyBorder="1" applyAlignment="1">
      <alignment horizontal="center" vertical="center" wrapText="1"/>
    </xf>
    <xf numFmtId="0" fontId="89" fillId="0" borderId="1" xfId="0" applyFont="1" applyBorder="1" applyAlignment="1">
      <alignment horizontal="center"/>
    </xf>
    <xf numFmtId="2" fontId="80" fillId="0" borderId="78" xfId="0" applyNumberFormat="1" applyFont="1" applyBorder="1" applyAlignment="1">
      <alignment horizontal="center"/>
    </xf>
    <xf numFmtId="0" fontId="70" fillId="0" borderId="0" xfId="0" applyFont="1" applyAlignment="1">
      <alignment horizontal="left"/>
    </xf>
    <xf numFmtId="2" fontId="91" fillId="0" borderId="81" xfId="0" applyNumberFormat="1" applyFont="1" applyBorder="1" applyAlignment="1">
      <alignment horizontal="center"/>
    </xf>
    <xf numFmtId="0" fontId="19" fillId="0" borderId="0" xfId="0" applyFont="1"/>
    <xf numFmtId="0" fontId="19" fillId="0" borderId="0" xfId="0" applyFont="1" applyAlignment="1">
      <alignment horizontal="center"/>
    </xf>
    <xf numFmtId="166" fontId="19" fillId="0" borderId="0" xfId="1" applyFont="1" applyFill="1" applyBorder="1" applyAlignment="1">
      <alignment horizontal="center"/>
    </xf>
    <xf numFmtId="0" fontId="19" fillId="0" borderId="0" xfId="0" applyFont="1" applyAlignment="1">
      <alignment horizontal="left"/>
    </xf>
    <xf numFmtId="166" fontId="69" fillId="0" borderId="1" xfId="1" applyFont="1" applyFill="1" applyBorder="1" applyAlignment="1">
      <alignment horizontal="center"/>
    </xf>
    <xf numFmtId="0" fontId="51" fillId="0" borderId="0" xfId="0" applyFont="1"/>
    <xf numFmtId="166" fontId="59" fillId="0" borderId="1" xfId="1" applyFont="1" applyFill="1" applyBorder="1" applyAlignment="1">
      <alignment horizontal="center"/>
    </xf>
    <xf numFmtId="0" fontId="51" fillId="13" borderId="0" xfId="0" applyFont="1" applyFill="1"/>
    <xf numFmtId="0" fontId="57" fillId="0" borderId="1" xfId="0" applyFont="1" applyBorder="1" applyAlignment="1">
      <alignment vertical="center"/>
    </xf>
    <xf numFmtId="0" fontId="59" fillId="0" borderId="1" xfId="0" applyFont="1" applyBorder="1" applyAlignment="1">
      <alignment vertical="center"/>
    </xf>
    <xf numFmtId="166" fontId="59" fillId="0" borderId="0" xfId="1" applyFont="1" applyFill="1" applyBorder="1" applyAlignment="1">
      <alignment horizontal="center"/>
    </xf>
    <xf numFmtId="166" fontId="59" fillId="17" borderId="1" xfId="1" applyFont="1" applyFill="1" applyBorder="1" applyAlignment="1">
      <alignment horizontal="center"/>
    </xf>
    <xf numFmtId="0" fontId="59" fillId="0" borderId="1" xfId="0" applyFont="1" applyBorder="1" applyAlignment="1">
      <alignment vertical="center" wrapText="1"/>
    </xf>
    <xf numFmtId="0" fontId="51" fillId="0" borderId="0" xfId="0" applyFont="1" applyAlignment="1">
      <alignment vertical="center" wrapText="1"/>
    </xf>
    <xf numFmtId="0" fontId="59" fillId="0" borderId="0" xfId="0" applyFont="1" applyAlignment="1">
      <alignment horizontal="left" vertical="center" wrapText="1"/>
    </xf>
    <xf numFmtId="0" fontId="59" fillId="0" borderId="0" xfId="0" applyFont="1" applyAlignment="1">
      <alignment horizontal="center" vertical="center" wrapText="1"/>
    </xf>
    <xf numFmtId="0" fontId="54" fillId="0" borderId="0" xfId="0" applyFont="1" applyAlignment="1">
      <alignment horizontal="center" vertical="center" wrapText="1"/>
    </xf>
    <xf numFmtId="166" fontId="69" fillId="0" borderId="1" xfId="1" applyFont="1" applyFill="1" applyBorder="1" applyAlignment="1">
      <alignment horizontal="center" vertical="center"/>
    </xf>
    <xf numFmtId="0" fontId="51" fillId="0" borderId="0" xfId="0" applyFont="1" applyAlignment="1">
      <alignment vertical="center"/>
    </xf>
    <xf numFmtId="0" fontId="59" fillId="0" borderId="0" xfId="0" applyFont="1" applyAlignment="1">
      <alignment vertical="center"/>
    </xf>
    <xf numFmtId="0" fontId="70" fillId="0" borderId="1" xfId="0" applyFont="1" applyBorder="1" applyAlignment="1">
      <alignment horizontal="center" vertical="center"/>
    </xf>
    <xf numFmtId="0" fontId="56" fillId="0" borderId="0" xfId="0" applyFont="1" applyAlignment="1">
      <alignment horizontal="center" vertical="center"/>
    </xf>
    <xf numFmtId="0" fontId="61" fillId="19" borderId="1" xfId="0" applyFont="1" applyFill="1" applyBorder="1" applyAlignment="1">
      <alignment horizontal="center"/>
    </xf>
    <xf numFmtId="0" fontId="59" fillId="19" borderId="1" xfId="0" applyFont="1" applyFill="1" applyBorder="1" applyAlignment="1">
      <alignment horizontal="center"/>
    </xf>
    <xf numFmtId="166" fontId="59" fillId="19" borderId="1" xfId="1" applyFont="1" applyFill="1" applyBorder="1" applyAlignment="1">
      <alignment horizontal="center"/>
    </xf>
    <xf numFmtId="0" fontId="59" fillId="19" borderId="1" xfId="0" applyFont="1" applyFill="1" applyBorder="1" applyAlignment="1">
      <alignment horizontal="left"/>
    </xf>
    <xf numFmtId="2" fontId="59" fillId="19" borderId="1" xfId="0" applyNumberFormat="1" applyFont="1" applyFill="1" applyBorder="1" applyAlignment="1">
      <alignment horizontal="center"/>
    </xf>
    <xf numFmtId="0" fontId="74" fillId="0" borderId="1" xfId="0" applyFont="1" applyBorder="1" applyAlignment="1">
      <alignment horizontal="center" vertical="center" wrapText="1"/>
    </xf>
    <xf numFmtId="0" fontId="59" fillId="17" borderId="1" xfId="0" applyFont="1" applyFill="1" applyBorder="1" applyAlignment="1">
      <alignment horizontal="left"/>
    </xf>
    <xf numFmtId="2" fontId="59" fillId="17" borderId="1" xfId="0" applyNumberFormat="1" applyFont="1" applyFill="1" applyBorder="1" applyAlignment="1">
      <alignment horizontal="center"/>
    </xf>
    <xf numFmtId="2" fontId="92" fillId="15" borderId="81" xfId="0" applyNumberFormat="1" applyFont="1" applyFill="1" applyBorder="1" applyAlignment="1">
      <alignment horizontal="center"/>
    </xf>
    <xf numFmtId="2" fontId="92" fillId="15" borderId="81" xfId="0" applyNumberFormat="1" applyFont="1" applyFill="1" applyBorder="1" applyAlignment="1">
      <alignment horizontal="center" vertical="center"/>
    </xf>
    <xf numFmtId="0" fontId="0" fillId="17" borderId="12" xfId="0" applyFill="1" applyBorder="1" applyAlignment="1">
      <alignment horizontal="center"/>
    </xf>
    <xf numFmtId="0" fontId="0" fillId="17" borderId="2" xfId="0" applyFill="1" applyBorder="1" applyAlignment="1">
      <alignment horizontal="center"/>
    </xf>
    <xf numFmtId="2" fontId="25" fillId="0" borderId="75" xfId="0" applyNumberFormat="1" applyFont="1" applyBorder="1" applyAlignment="1">
      <alignment horizontal="center"/>
    </xf>
    <xf numFmtId="0" fontId="69" fillId="0" borderId="23" xfId="0" applyFont="1" applyBorder="1" applyAlignment="1">
      <alignment horizontal="center" vertical="center" wrapText="1"/>
    </xf>
    <xf numFmtId="0" fontId="82" fillId="0" borderId="0" xfId="0" applyFont="1" applyAlignment="1">
      <alignment horizontal="left" vertical="center" wrapText="1"/>
    </xf>
    <xf numFmtId="0" fontId="57" fillId="0" borderId="0" xfId="0" applyFont="1" applyAlignment="1">
      <alignment vertical="center" wrapText="1"/>
    </xf>
    <xf numFmtId="0" fontId="61" fillId="0" borderId="77" xfId="0" applyFont="1" applyBorder="1" applyAlignment="1">
      <alignment horizontal="center" vertical="center" wrapText="1"/>
    </xf>
    <xf numFmtId="0" fontId="59" fillId="0" borderId="1" xfId="0" applyFont="1" applyBorder="1" applyAlignment="1">
      <alignment horizontal="center" vertical="center"/>
    </xf>
    <xf numFmtId="0" fontId="61" fillId="0" borderId="1" xfId="0" applyFont="1" applyBorder="1" applyAlignment="1">
      <alignment horizontal="center" vertical="center"/>
    </xf>
    <xf numFmtId="0" fontId="51" fillId="0" borderId="23" xfId="0" applyFont="1" applyBorder="1" applyAlignment="1">
      <alignment vertical="center" wrapText="1"/>
    </xf>
    <xf numFmtId="0" fontId="51" fillId="0" borderId="0" xfId="0" applyFont="1" applyAlignment="1">
      <alignment horizontal="left" vertical="center"/>
    </xf>
    <xf numFmtId="0" fontId="59" fillId="0" borderId="0" xfId="0" applyFont="1" applyAlignment="1">
      <alignment horizontal="center" vertical="center"/>
    </xf>
    <xf numFmtId="0" fontId="69" fillId="0" borderId="0" xfId="0" applyFont="1" applyAlignment="1">
      <alignment horizontal="center" vertical="center"/>
    </xf>
    <xf numFmtId="44" fontId="51" fillId="0" borderId="0" xfId="0" applyNumberFormat="1" applyFont="1" applyAlignment="1">
      <alignment vertical="center" wrapText="1"/>
    </xf>
    <xf numFmtId="166" fontId="80" fillId="0" borderId="0" xfId="0" applyNumberFormat="1" applyFont="1" applyAlignment="1">
      <alignment horizontal="left"/>
    </xf>
    <xf numFmtId="1" fontId="56" fillId="0" borderId="1" xfId="0" applyNumberFormat="1" applyFont="1" applyBorder="1" applyAlignment="1">
      <alignment horizontal="center"/>
    </xf>
    <xf numFmtId="2" fontId="92" fillId="22" borderId="81" xfId="0" applyNumberFormat="1" applyFont="1" applyFill="1" applyBorder="1" applyAlignment="1">
      <alignment horizontal="center"/>
    </xf>
    <xf numFmtId="0" fontId="70" fillId="0" borderId="58" xfId="0" applyFont="1" applyBorder="1" applyAlignment="1">
      <alignment vertical="center"/>
    </xf>
    <xf numFmtId="0" fontId="25" fillId="0" borderId="15" xfId="0" applyFont="1" applyBorder="1" applyAlignment="1">
      <alignment horizontal="center"/>
    </xf>
    <xf numFmtId="0" fontId="25" fillId="0" borderId="86" xfId="0" applyFont="1" applyBorder="1" applyAlignment="1">
      <alignment horizontal="center"/>
    </xf>
    <xf numFmtId="0" fontId="56" fillId="0" borderId="47" xfId="0" applyFont="1" applyBorder="1" applyAlignment="1">
      <alignment horizontal="center" vertical="center" textRotation="45"/>
    </xf>
    <xf numFmtId="0" fontId="56" fillId="0" borderId="87" xfId="0" applyFont="1" applyBorder="1" applyAlignment="1">
      <alignment horizontal="center" vertical="center" textRotation="45"/>
    </xf>
    <xf numFmtId="0" fontId="56" fillId="0" borderId="69" xfId="0" applyFont="1" applyBorder="1" applyAlignment="1">
      <alignment horizontal="center" vertical="center" textRotation="45"/>
    </xf>
    <xf numFmtId="0" fontId="56" fillId="0" borderId="84" xfId="0" applyFont="1" applyBorder="1" applyAlignment="1">
      <alignment horizontal="center" vertical="center" textRotation="45"/>
    </xf>
    <xf numFmtId="0" fontId="56" fillId="0" borderId="51" xfId="0" applyFont="1" applyBorder="1" applyAlignment="1">
      <alignment horizontal="center" vertical="center"/>
    </xf>
    <xf numFmtId="0" fontId="56" fillId="0" borderId="23" xfId="0" applyFont="1" applyBorder="1" applyAlignment="1">
      <alignment vertical="center"/>
    </xf>
    <xf numFmtId="0" fontId="56" fillId="0" borderId="1" xfId="0" applyFont="1" applyBorder="1" applyAlignment="1">
      <alignment horizontal="left" vertical="center"/>
    </xf>
    <xf numFmtId="0" fontId="26" fillId="0" borderId="1" xfId="0" applyFont="1" applyBorder="1"/>
    <xf numFmtId="0" fontId="26" fillId="0" borderId="14" xfId="0" applyFont="1" applyBorder="1"/>
    <xf numFmtId="0" fontId="56" fillId="0" borderId="23" xfId="3" applyFont="1" applyFill="1" applyBorder="1" applyAlignment="1">
      <alignment horizontal="center" vertical="center" textRotation="45"/>
    </xf>
    <xf numFmtId="0" fontId="51" fillId="0" borderId="23" xfId="0" applyFont="1" applyBorder="1" applyAlignment="1">
      <alignment horizontal="center" vertical="center" textRotation="45"/>
    </xf>
    <xf numFmtId="0" fontId="56" fillId="0" borderId="48" xfId="0" applyFont="1" applyBorder="1" applyAlignment="1">
      <alignment horizontal="center"/>
    </xf>
    <xf numFmtId="0" fontId="56" fillId="0" borderId="24" xfId="0" applyFont="1" applyBorder="1" applyAlignment="1">
      <alignment horizontal="center"/>
    </xf>
    <xf numFmtId="0" fontId="57" fillId="0" borderId="23" xfId="0" applyFont="1" applyBorder="1" applyAlignment="1">
      <alignment horizontal="left" vertical="center" textRotation="45"/>
    </xf>
    <xf numFmtId="0" fontId="57" fillId="0" borderId="23" xfId="0" applyFont="1" applyBorder="1" applyAlignment="1">
      <alignment horizontal="left" vertical="center" textRotation="45" wrapText="1"/>
    </xf>
    <xf numFmtId="0" fontId="56" fillId="0" borderId="2" xfId="0" applyFont="1" applyBorder="1" applyAlignment="1">
      <alignment horizontal="center"/>
    </xf>
    <xf numFmtId="0" fontId="0" fillId="0" borderId="69" xfId="0" applyBorder="1" applyAlignment="1">
      <alignment horizontal="center"/>
    </xf>
    <xf numFmtId="0" fontId="0" fillId="0" borderId="68" xfId="0" applyBorder="1" applyAlignment="1">
      <alignment horizontal="center"/>
    </xf>
    <xf numFmtId="0" fontId="0" fillId="0" borderId="24" xfId="0" applyBorder="1" applyAlignment="1">
      <alignment horizontal="center" vertical="center"/>
    </xf>
    <xf numFmtId="0" fontId="0" fillId="0" borderId="23" xfId="0" applyBorder="1" applyAlignment="1">
      <alignment horizontal="center" vertical="center"/>
    </xf>
    <xf numFmtId="0" fontId="0" fillId="0" borderId="61" xfId="0" applyBorder="1"/>
    <xf numFmtId="0" fontId="0" fillId="0" borderId="88" xfId="0" applyBorder="1" applyAlignment="1">
      <alignment horizontal="center"/>
    </xf>
    <xf numFmtId="0" fontId="0" fillId="0" borderId="89" xfId="0" applyBorder="1" applyAlignment="1">
      <alignment horizontal="center" vertical="center" wrapText="1"/>
    </xf>
    <xf numFmtId="0" fontId="26" fillId="0" borderId="12" xfId="0" applyFont="1" applyBorder="1" applyAlignment="1">
      <alignment horizontal="center"/>
    </xf>
    <xf numFmtId="0" fontId="26" fillId="0" borderId="22" xfId="0" applyFont="1" applyBorder="1"/>
    <xf numFmtId="0" fontId="56" fillId="0" borderId="42" xfId="0" applyFont="1" applyBorder="1" applyAlignment="1">
      <alignment horizontal="center" vertical="center"/>
    </xf>
    <xf numFmtId="0" fontId="70" fillId="0" borderId="12" xfId="0" applyFont="1" applyBorder="1" applyAlignment="1">
      <alignment horizontal="center" vertical="center"/>
    </xf>
    <xf numFmtId="0" fontId="59" fillId="0" borderId="23" xfId="0" applyFont="1" applyBorder="1" applyAlignment="1">
      <alignment horizontal="left" textRotation="45"/>
    </xf>
    <xf numFmtId="0" fontId="59" fillId="0" borderId="47" xfId="0" applyFont="1" applyBorder="1" applyAlignment="1">
      <alignment horizontal="left" textRotation="45"/>
    </xf>
    <xf numFmtId="0" fontId="0" fillId="0" borderId="76" xfId="0" applyBorder="1" applyAlignment="1">
      <alignment horizontal="center"/>
    </xf>
    <xf numFmtId="0" fontId="0" fillId="23" borderId="1" xfId="0" applyFill="1" applyBorder="1" applyAlignment="1">
      <alignment horizontal="center"/>
    </xf>
    <xf numFmtId="0" fontId="0" fillId="0" borderId="26" xfId="0" applyBorder="1" applyAlignment="1">
      <alignment horizontal="center"/>
    </xf>
    <xf numFmtId="0" fontId="61" fillId="0" borderId="0" xfId="0" applyFont="1" applyAlignment="1">
      <alignment horizontal="center"/>
    </xf>
    <xf numFmtId="0" fontId="69" fillId="0" borderId="23" xfId="0" applyFont="1" applyBorder="1" applyAlignment="1">
      <alignment horizontal="center"/>
    </xf>
    <xf numFmtId="0" fontId="59" fillId="0" borderId="23" xfId="0" applyFont="1" applyBorder="1" applyAlignment="1">
      <alignment horizontal="left"/>
    </xf>
    <xf numFmtId="0" fontId="51" fillId="0" borderId="23" xfId="0" applyFont="1" applyBorder="1" applyAlignment="1">
      <alignment horizontal="left"/>
    </xf>
    <xf numFmtId="0" fontId="57" fillId="0" borderId="1" xfId="0" applyFont="1" applyBorder="1"/>
    <xf numFmtId="0" fontId="51" fillId="0" borderId="1" xfId="0" applyFont="1" applyBorder="1" applyAlignment="1">
      <alignment horizontal="left" vertical="center"/>
    </xf>
    <xf numFmtId="0" fontId="51" fillId="0" borderId="1" xfId="0" applyFont="1" applyBorder="1"/>
    <xf numFmtId="0" fontId="57" fillId="0" borderId="1" xfId="0" applyFont="1" applyBorder="1" applyAlignment="1">
      <alignment horizontal="left"/>
    </xf>
    <xf numFmtId="0" fontId="51" fillId="0" borderId="5" xfId="0" applyFont="1" applyBorder="1" applyAlignment="1">
      <alignment horizontal="left" vertical="center"/>
    </xf>
    <xf numFmtId="0" fontId="53" fillId="0" borderId="1" xfId="0" applyFont="1" applyBorder="1"/>
    <xf numFmtId="0" fontId="59" fillId="0" borderId="1" xfId="0" applyFont="1" applyBorder="1" applyAlignment="1">
      <alignment wrapText="1"/>
    </xf>
    <xf numFmtId="0" fontId="59" fillId="0" borderId="18" xfId="0" applyFont="1" applyBorder="1" applyAlignment="1">
      <alignment horizontal="left"/>
    </xf>
    <xf numFmtId="0" fontId="51" fillId="0" borderId="1" xfId="0" applyFont="1" applyBorder="1" applyAlignment="1">
      <alignment horizontal="left"/>
    </xf>
    <xf numFmtId="0" fontId="51" fillId="0" borderId="1" xfId="0" applyFont="1" applyBorder="1" applyAlignment="1">
      <alignment horizontal="center"/>
    </xf>
    <xf numFmtId="0" fontId="56" fillId="0" borderId="0" xfId="3" applyFont="1" applyFill="1" applyBorder="1" applyAlignment="1">
      <alignment horizontal="center" vertical="center"/>
    </xf>
    <xf numFmtId="0" fontId="0" fillId="18" borderId="1" xfId="0" applyFill="1" applyBorder="1" applyAlignment="1">
      <alignment horizontal="center"/>
    </xf>
    <xf numFmtId="0" fontId="59" fillId="0" borderId="24" xfId="0" applyFont="1" applyBorder="1" applyAlignment="1">
      <alignment horizontal="left"/>
    </xf>
    <xf numFmtId="0" fontId="59" fillId="0" borderId="24" xfId="0" applyFont="1" applyBorder="1" applyAlignment="1">
      <alignment horizontal="center"/>
    </xf>
    <xf numFmtId="166" fontId="59" fillId="0" borderId="24" xfId="1" applyFont="1" applyFill="1" applyBorder="1" applyAlignment="1">
      <alignment horizontal="center"/>
    </xf>
    <xf numFmtId="0" fontId="59" fillId="0" borderId="23" xfId="0" applyFont="1" applyBorder="1" applyAlignment="1">
      <alignment horizontal="center"/>
    </xf>
    <xf numFmtId="166" fontId="59" fillId="0" borderId="23" xfId="1" applyFont="1" applyFill="1" applyBorder="1" applyAlignment="1">
      <alignment horizontal="center"/>
    </xf>
    <xf numFmtId="0" fontId="90" fillId="0" borderId="1" xfId="0" applyFont="1" applyBorder="1" applyAlignment="1">
      <alignment horizontal="center"/>
    </xf>
    <xf numFmtId="0" fontId="69" fillId="9" borderId="23" xfId="0" applyFont="1" applyFill="1" applyBorder="1" applyAlignment="1">
      <alignment horizontal="center"/>
    </xf>
    <xf numFmtId="0" fontId="69" fillId="9" borderId="1" xfId="0" applyFont="1" applyFill="1" applyBorder="1" applyAlignment="1">
      <alignment horizontal="center"/>
    </xf>
    <xf numFmtId="166" fontId="69" fillId="9" borderId="1" xfId="1" applyFont="1" applyFill="1" applyBorder="1" applyAlignment="1">
      <alignment horizontal="center"/>
    </xf>
    <xf numFmtId="0" fontId="69" fillId="9" borderId="1" xfId="0" applyFont="1" applyFill="1" applyBorder="1"/>
    <xf numFmtId="0" fontId="61" fillId="9" borderId="1" xfId="0" applyFont="1" applyFill="1" applyBorder="1" applyAlignment="1">
      <alignment horizontal="center"/>
    </xf>
    <xf numFmtId="0" fontId="59" fillId="9" borderId="1" xfId="0" applyFont="1" applyFill="1" applyBorder="1" applyAlignment="1">
      <alignment horizontal="center"/>
    </xf>
    <xf numFmtId="166" fontId="59" fillId="9" borderId="1" xfId="1" applyFont="1" applyFill="1" applyBorder="1" applyAlignment="1">
      <alignment horizontal="center"/>
    </xf>
    <xf numFmtId="0" fontId="77" fillId="9" borderId="1" xfId="0" applyFont="1" applyFill="1" applyBorder="1" applyAlignment="1">
      <alignment horizontal="center" vertical="center"/>
    </xf>
    <xf numFmtId="0" fontId="70" fillId="9" borderId="1" xfId="0" applyFont="1" applyFill="1" applyBorder="1" applyAlignment="1">
      <alignment vertical="center"/>
    </xf>
    <xf numFmtId="0" fontId="59" fillId="9" borderId="23" xfId="0" applyFont="1" applyFill="1" applyBorder="1" applyAlignment="1">
      <alignment horizontal="left"/>
    </xf>
    <xf numFmtId="0" fontId="59" fillId="9" borderId="23" xfId="0" applyFont="1" applyFill="1" applyBorder="1" applyAlignment="1">
      <alignment horizontal="center"/>
    </xf>
    <xf numFmtId="166" fontId="59" fillId="9" borderId="23" xfId="1" applyFont="1" applyFill="1" applyBorder="1" applyAlignment="1">
      <alignment horizontal="center"/>
    </xf>
    <xf numFmtId="166" fontId="69" fillId="9" borderId="23" xfId="1" applyFont="1" applyFill="1" applyBorder="1" applyAlignment="1">
      <alignment horizontal="center"/>
    </xf>
    <xf numFmtId="0" fontId="68" fillId="9" borderId="1" xfId="0" applyFont="1" applyFill="1" applyBorder="1" applyAlignment="1">
      <alignment horizontal="center"/>
    </xf>
    <xf numFmtId="0" fontId="63" fillId="9" borderId="0" xfId="0" applyFont="1" applyFill="1" applyAlignment="1">
      <alignment horizontal="center"/>
    </xf>
    <xf numFmtId="0" fontId="61" fillId="9" borderId="0" xfId="0" applyFont="1" applyFill="1" applyAlignment="1">
      <alignment horizontal="center"/>
    </xf>
    <xf numFmtId="0" fontId="68" fillId="9" borderId="0" xfId="0" applyFont="1" applyFill="1" applyAlignment="1">
      <alignment horizontal="center"/>
    </xf>
    <xf numFmtId="0" fontId="69" fillId="9" borderId="24" xfId="0" applyFont="1" applyFill="1" applyBorder="1" applyAlignment="1">
      <alignment horizontal="center"/>
    </xf>
    <xf numFmtId="0" fontId="59" fillId="9" borderId="24" xfId="0" applyFont="1" applyFill="1" applyBorder="1" applyAlignment="1">
      <alignment horizontal="center"/>
    </xf>
    <xf numFmtId="166" fontId="59" fillId="9" borderId="24" xfId="1" applyFont="1" applyFill="1" applyBorder="1" applyAlignment="1">
      <alignment horizontal="center"/>
    </xf>
    <xf numFmtId="0" fontId="63" fillId="9" borderId="1" xfId="0" applyFont="1" applyFill="1" applyBorder="1" applyAlignment="1">
      <alignment horizontal="center"/>
    </xf>
    <xf numFmtId="0" fontId="57" fillId="9" borderId="1" xfId="0" applyFont="1" applyFill="1" applyBorder="1" applyAlignment="1">
      <alignment horizontal="left"/>
    </xf>
    <xf numFmtId="0" fontId="59" fillId="9" borderId="1" xfId="0" applyFont="1" applyFill="1" applyBorder="1" applyAlignment="1">
      <alignment horizontal="left"/>
    </xf>
    <xf numFmtId="0" fontId="57" fillId="9" borderId="1" xfId="0" applyFont="1" applyFill="1" applyBorder="1"/>
    <xf numFmtId="0" fontId="59" fillId="9" borderId="1" xfId="0" applyFont="1" applyFill="1" applyBorder="1" applyAlignment="1">
      <alignment horizontal="left" vertical="center"/>
    </xf>
    <xf numFmtId="0" fontId="59" fillId="9" borderId="1" xfId="0" applyFont="1" applyFill="1" applyBorder="1"/>
    <xf numFmtId="0" fontId="59" fillId="9" borderId="1" xfId="0" applyFont="1" applyFill="1" applyBorder="1" applyAlignment="1">
      <alignment horizontal="left" vertical="center" wrapText="1"/>
    </xf>
    <xf numFmtId="0" fontId="59" fillId="9" borderId="24" xfId="0" applyFont="1" applyFill="1" applyBorder="1" applyAlignment="1">
      <alignment horizontal="left"/>
    </xf>
    <xf numFmtId="0" fontId="61" fillId="24" borderId="1" xfId="0" applyFont="1" applyFill="1" applyBorder="1" applyAlignment="1">
      <alignment horizontal="center"/>
    </xf>
    <xf numFmtId="0" fontId="69" fillId="24" borderId="1" xfId="0" applyFont="1" applyFill="1" applyBorder="1" applyAlignment="1">
      <alignment horizontal="center"/>
    </xf>
    <xf numFmtId="166" fontId="69" fillId="24" borderId="1" xfId="1" applyFont="1" applyFill="1" applyBorder="1" applyAlignment="1">
      <alignment horizontal="center"/>
    </xf>
    <xf numFmtId="0" fontId="59" fillId="24" borderId="23" xfId="0" applyFont="1" applyFill="1" applyBorder="1" applyAlignment="1">
      <alignment horizontal="left"/>
    </xf>
    <xf numFmtId="0" fontId="59" fillId="24" borderId="1" xfId="0" applyFont="1" applyFill="1" applyBorder="1" applyAlignment="1">
      <alignment horizontal="center"/>
    </xf>
    <xf numFmtId="166" fontId="59" fillId="24" borderId="1" xfId="1" applyFont="1" applyFill="1" applyBorder="1" applyAlignment="1">
      <alignment horizontal="center"/>
    </xf>
    <xf numFmtId="0" fontId="69" fillId="24" borderId="23" xfId="0" applyFont="1" applyFill="1" applyBorder="1" applyAlignment="1">
      <alignment horizontal="center"/>
    </xf>
    <xf numFmtId="0" fontId="34" fillId="0" borderId="1" xfId="0" applyFont="1" applyBorder="1" applyAlignment="1">
      <alignment horizontal="left" wrapText="1"/>
    </xf>
    <xf numFmtId="2" fontId="34" fillId="0" borderId="1" xfId="0" applyNumberFormat="1" applyFont="1" applyBorder="1" applyAlignment="1">
      <alignment horizontal="left"/>
    </xf>
    <xf numFmtId="0" fontId="56" fillId="14" borderId="0" xfId="0" applyFont="1" applyFill="1" applyAlignment="1">
      <alignment vertical="center"/>
    </xf>
    <xf numFmtId="0" fontId="0" fillId="14" borderId="0" xfId="0" applyFill="1"/>
    <xf numFmtId="0" fontId="25" fillId="0" borderId="0" xfId="0" applyFont="1" applyAlignment="1">
      <alignment horizontal="center"/>
    </xf>
    <xf numFmtId="0" fontId="77" fillId="0" borderId="1" xfId="0" applyFont="1" applyBorder="1" applyAlignment="1">
      <alignment horizontal="left"/>
    </xf>
    <xf numFmtId="0" fontId="35" fillId="0" borderId="1" xfId="0" applyFont="1" applyBorder="1"/>
    <xf numFmtId="0" fontId="76" fillId="0" borderId="1" xfId="0" applyFont="1" applyBorder="1" applyAlignment="1">
      <alignment horizontal="left"/>
    </xf>
    <xf numFmtId="0" fontId="51" fillId="14" borderId="0" xfId="0" applyFont="1" applyFill="1"/>
    <xf numFmtId="0" fontId="56" fillId="0" borderId="1" xfId="3" applyFont="1" applyFill="1" applyBorder="1" applyAlignment="1">
      <alignment horizontal="center" vertical="center" textRotation="45"/>
    </xf>
    <xf numFmtId="0" fontId="0" fillId="0" borderId="91" xfId="0" applyBorder="1" applyAlignment="1">
      <alignment horizontal="left" vertical="center"/>
    </xf>
    <xf numFmtId="0" fontId="56" fillId="0" borderId="91" xfId="0" applyFont="1" applyBorder="1" applyAlignment="1">
      <alignment horizontal="left" vertical="center"/>
    </xf>
    <xf numFmtId="0" fontId="25" fillId="0" borderId="76" xfId="0" applyFont="1" applyBorder="1" applyAlignment="1">
      <alignment horizontal="center"/>
    </xf>
    <xf numFmtId="0" fontId="56" fillId="0" borderId="23" xfId="3" applyFont="1" applyFill="1" applyBorder="1" applyAlignment="1">
      <alignment horizontal="center" vertical="center"/>
    </xf>
    <xf numFmtId="0" fontId="56" fillId="0" borderId="69" xfId="3" applyFont="1" applyFill="1" applyBorder="1" applyAlignment="1">
      <alignment horizontal="center" vertical="center" textRotation="45"/>
    </xf>
    <xf numFmtId="0" fontId="56" fillId="25" borderId="2" xfId="0" applyFont="1" applyFill="1" applyBorder="1" applyAlignment="1">
      <alignment horizontal="center" vertical="center"/>
    </xf>
    <xf numFmtId="0" fontId="56" fillId="25" borderId="10" xfId="0" applyFont="1" applyFill="1" applyBorder="1" applyAlignment="1">
      <alignment horizontal="center" vertical="center"/>
    </xf>
    <xf numFmtId="0" fontId="56" fillId="25" borderId="1" xfId="0" applyFont="1" applyFill="1" applyBorder="1" applyAlignment="1">
      <alignment horizontal="center" vertical="center"/>
    </xf>
    <xf numFmtId="0" fontId="56" fillId="25" borderId="19" xfId="0" applyFont="1" applyFill="1" applyBorder="1" applyAlignment="1">
      <alignment horizontal="center" vertical="center"/>
    </xf>
    <xf numFmtId="0" fontId="0" fillId="25" borderId="1" xfId="0" applyFill="1" applyBorder="1" applyAlignment="1">
      <alignment horizontal="center" wrapText="1"/>
    </xf>
    <xf numFmtId="0" fontId="24" fillId="25" borderId="1" xfId="0" applyFont="1" applyFill="1" applyBorder="1" applyAlignment="1">
      <alignment horizontal="center" vertical="center" wrapText="1"/>
    </xf>
    <xf numFmtId="0" fontId="24" fillId="25" borderId="0" xfId="0" applyFont="1" applyFill="1" applyAlignment="1">
      <alignment horizontal="center"/>
    </xf>
    <xf numFmtId="0" fontId="89" fillId="25" borderId="1" xfId="0" applyFont="1" applyFill="1" applyBorder="1" applyAlignment="1">
      <alignment horizontal="center"/>
    </xf>
    <xf numFmtId="0" fontId="24" fillId="25" borderId="1" xfId="0" applyFont="1" applyFill="1" applyBorder="1" applyAlignment="1">
      <alignment horizontal="center"/>
    </xf>
    <xf numFmtId="0" fontId="82" fillId="0" borderId="0" xfId="0" applyFont="1" applyAlignment="1">
      <alignment vertical="center"/>
    </xf>
    <xf numFmtId="0" fontId="69" fillId="0" borderId="74" xfId="0" applyFont="1" applyBorder="1" applyAlignment="1">
      <alignment horizontal="center" vertical="center" wrapText="1"/>
    </xf>
    <xf numFmtId="0" fontId="69" fillId="0" borderId="82" xfId="0" applyFont="1" applyBorder="1" applyAlignment="1">
      <alignment horizontal="center" vertical="center" wrapText="1"/>
    </xf>
    <xf numFmtId="166" fontId="69" fillId="0" borderId="82" xfId="1" applyFont="1" applyFill="1" applyBorder="1" applyAlignment="1">
      <alignment horizontal="center" vertical="center" wrapText="1"/>
    </xf>
    <xf numFmtId="166" fontId="69" fillId="0" borderId="83" xfId="1" applyFont="1" applyFill="1" applyBorder="1" applyAlignment="1">
      <alignment horizontal="center" vertical="center" wrapText="1"/>
    </xf>
    <xf numFmtId="0" fontId="74" fillId="0" borderId="0" xfId="0" applyFont="1" applyAlignment="1">
      <alignment horizontal="center" vertical="center" wrapText="1"/>
    </xf>
    <xf numFmtId="0" fontId="0" fillId="26" borderId="1" xfId="0" applyFill="1" applyBorder="1" applyAlignment="1">
      <alignment horizontal="center"/>
    </xf>
    <xf numFmtId="0" fontId="59" fillId="27" borderId="1" xfId="0" applyFont="1" applyFill="1" applyBorder="1"/>
    <xf numFmtId="0" fontId="59" fillId="27" borderId="1" xfId="0" applyFont="1" applyFill="1" applyBorder="1" applyAlignment="1">
      <alignment horizontal="center"/>
    </xf>
    <xf numFmtId="166" fontId="59" fillId="27" borderId="1" xfId="1" applyFont="1" applyFill="1" applyBorder="1" applyAlignment="1">
      <alignment horizontal="center"/>
    </xf>
    <xf numFmtId="0" fontId="56" fillId="28" borderId="1" xfId="0" applyFont="1" applyFill="1" applyBorder="1" applyAlignment="1">
      <alignment horizontal="center" vertical="center"/>
    </xf>
    <xf numFmtId="0" fontId="0" fillId="29" borderId="1" xfId="0" applyFill="1" applyBorder="1" applyAlignment="1">
      <alignment horizontal="center"/>
    </xf>
    <xf numFmtId="0" fontId="56" fillId="30" borderId="1" xfId="0" applyFont="1" applyFill="1" applyBorder="1" applyAlignment="1">
      <alignment horizontal="center" vertical="center"/>
    </xf>
    <xf numFmtId="0" fontId="56" fillId="30" borderId="42" xfId="0" applyFont="1" applyFill="1" applyBorder="1" applyAlignment="1">
      <alignment horizontal="center" vertical="center"/>
    </xf>
    <xf numFmtId="0" fontId="56" fillId="30" borderId="1" xfId="0" quotePrefix="1" applyFont="1" applyFill="1" applyBorder="1" applyAlignment="1">
      <alignment horizontal="center" vertical="center"/>
    </xf>
    <xf numFmtId="0" fontId="56" fillId="30" borderId="24" xfId="0" applyFont="1" applyFill="1" applyBorder="1" applyAlignment="1">
      <alignment horizontal="center" vertical="center"/>
    </xf>
    <xf numFmtId="0" fontId="56" fillId="30" borderId="2" xfId="0" applyFont="1" applyFill="1" applyBorder="1" applyAlignment="1">
      <alignment horizontal="center" vertical="center"/>
    </xf>
    <xf numFmtId="0" fontId="51" fillId="0" borderId="0" xfId="0" applyFont="1" applyAlignment="1">
      <alignment horizontal="center" vertical="center" wrapText="1"/>
    </xf>
    <xf numFmtId="0" fontId="74" fillId="0" borderId="77" xfId="0" applyFont="1" applyBorder="1" applyAlignment="1">
      <alignment horizontal="center" vertical="center" wrapText="1"/>
    </xf>
    <xf numFmtId="0" fontId="95" fillId="0" borderId="1" xfId="0" applyFont="1" applyBorder="1" applyAlignment="1">
      <alignment horizontal="center" vertical="center" wrapText="1"/>
    </xf>
    <xf numFmtId="0" fontId="94" fillId="0" borderId="1" xfId="0" applyFont="1" applyBorder="1" applyAlignment="1">
      <alignment horizontal="center" vertical="center" wrapText="1"/>
    </xf>
    <xf numFmtId="0" fontId="18" fillId="0" borderId="0" xfId="0" applyFont="1" applyAlignment="1">
      <alignment vertical="center" wrapText="1"/>
    </xf>
    <xf numFmtId="0" fontId="98" fillId="0" borderId="92" xfId="12" applyFont="1" applyBorder="1" applyAlignment="1">
      <alignment horizontal="center"/>
    </xf>
    <xf numFmtId="0" fontId="99" fillId="0" borderId="92" xfId="12" applyFont="1" applyBorder="1" applyAlignment="1">
      <alignment horizontal="center"/>
    </xf>
    <xf numFmtId="0" fontId="97" fillId="0" borderId="0" xfId="12"/>
    <xf numFmtId="0" fontId="100" fillId="0" borderId="5" xfId="12" applyFont="1" applyBorder="1" applyAlignment="1">
      <alignment horizontal="left" vertical="center"/>
    </xf>
    <xf numFmtId="0" fontId="100" fillId="0" borderId="36" xfId="12" applyFont="1" applyBorder="1" applyAlignment="1">
      <alignment horizontal="left" vertical="center"/>
    </xf>
    <xf numFmtId="0" fontId="101" fillId="0" borderId="0" xfId="12" applyFont="1" applyAlignment="1">
      <alignment vertical="center"/>
    </xf>
    <xf numFmtId="0" fontId="100" fillId="0" borderId="5" xfId="12" applyFont="1" applyBorder="1" applyAlignment="1">
      <alignment vertical="center"/>
    </xf>
    <xf numFmtId="0" fontId="102" fillId="0" borderId="36" xfId="12" applyFont="1" applyBorder="1" applyAlignment="1">
      <alignment horizontal="left" vertical="center"/>
    </xf>
    <xf numFmtId="0" fontId="103" fillId="0" borderId="5" xfId="12" applyFont="1" applyBorder="1" applyAlignment="1">
      <alignment horizontal="left" vertical="center"/>
    </xf>
    <xf numFmtId="0" fontId="104" fillId="0" borderId="36" xfId="12" applyFont="1" applyBorder="1" applyAlignment="1">
      <alignment vertical="center"/>
    </xf>
    <xf numFmtId="0" fontId="105" fillId="0" borderId="5" xfId="12" applyFont="1" applyBorder="1" applyAlignment="1">
      <alignment vertical="center"/>
    </xf>
    <xf numFmtId="0" fontId="106" fillId="0" borderId="36" xfId="12" applyFont="1" applyBorder="1" applyAlignment="1">
      <alignment vertical="center"/>
    </xf>
    <xf numFmtId="0" fontId="103" fillId="0" borderId="5" xfId="12" applyFont="1" applyBorder="1" applyAlignment="1">
      <alignment vertical="center"/>
    </xf>
    <xf numFmtId="0" fontId="102" fillId="0" borderId="5" xfId="12" applyFont="1" applyBorder="1" applyAlignment="1">
      <alignment vertical="center"/>
    </xf>
    <xf numFmtId="0" fontId="104" fillId="0" borderId="5" xfId="12" applyFont="1" applyBorder="1" applyAlignment="1">
      <alignment vertical="center"/>
    </xf>
    <xf numFmtId="0" fontId="104" fillId="0" borderId="5" xfId="12" applyFont="1" applyBorder="1" applyAlignment="1">
      <alignment horizontal="left" vertical="center"/>
    </xf>
    <xf numFmtId="0" fontId="96" fillId="0" borderId="36" xfId="11" applyBorder="1" applyAlignment="1">
      <alignment horizontal="left" vertical="center"/>
    </xf>
    <xf numFmtId="0" fontId="59" fillId="27" borderId="1" xfId="0" applyFont="1" applyFill="1" applyBorder="1" applyAlignment="1">
      <alignment horizontal="left"/>
    </xf>
    <xf numFmtId="0" fontId="59" fillId="27" borderId="1" xfId="0" applyFont="1" applyFill="1" applyBorder="1" applyAlignment="1">
      <alignment vertical="center"/>
    </xf>
    <xf numFmtId="0" fontId="56" fillId="26" borderId="33" xfId="0" applyFont="1" applyFill="1" applyBorder="1" applyAlignment="1">
      <alignment horizontal="center" vertical="center"/>
    </xf>
    <xf numFmtId="0" fontId="56" fillId="26" borderId="2" xfId="0" applyFont="1" applyFill="1" applyBorder="1" applyAlignment="1">
      <alignment horizontal="center" vertical="center"/>
    </xf>
    <xf numFmtId="0" fontId="56" fillId="26" borderId="1" xfId="0" applyFont="1" applyFill="1" applyBorder="1" applyAlignment="1">
      <alignment horizontal="center" vertical="center"/>
    </xf>
    <xf numFmtId="0" fontId="57" fillId="27" borderId="1" xfId="0" applyFont="1" applyFill="1" applyBorder="1"/>
    <xf numFmtId="0" fontId="59" fillId="31" borderId="1" xfId="0" applyFont="1" applyFill="1" applyBorder="1" applyAlignment="1">
      <alignment horizontal="left" vertical="center"/>
    </xf>
    <xf numFmtId="0" fontId="59" fillId="31" borderId="1" xfId="0" applyFont="1" applyFill="1" applyBorder="1" applyAlignment="1">
      <alignment horizontal="center"/>
    </xf>
    <xf numFmtId="166" fontId="59" fillId="31" borderId="1" xfId="1" applyFont="1" applyFill="1" applyBorder="1" applyAlignment="1">
      <alignment horizontal="center"/>
    </xf>
    <xf numFmtId="0" fontId="56" fillId="31" borderId="2" xfId="0" applyFont="1" applyFill="1" applyBorder="1" applyAlignment="1">
      <alignment horizontal="center" vertical="center"/>
    </xf>
    <xf numFmtId="0" fontId="100" fillId="0" borderId="39" xfId="12" applyFont="1" applyBorder="1" applyAlignment="1">
      <alignment vertical="center"/>
    </xf>
    <xf numFmtId="0" fontId="100" fillId="0" borderId="1" xfId="12" applyFont="1" applyBorder="1" applyAlignment="1">
      <alignment horizontal="left" vertical="center"/>
    </xf>
    <xf numFmtId="0" fontId="0" fillId="33" borderId="76" xfId="0" applyFill="1" applyBorder="1" applyAlignment="1">
      <alignment horizontal="center"/>
    </xf>
    <xf numFmtId="0" fontId="88" fillId="0" borderId="33" xfId="0" applyFont="1" applyBorder="1" applyAlignment="1">
      <alignment horizontal="center" vertical="center"/>
    </xf>
    <xf numFmtId="0" fontId="88" fillId="0" borderId="2" xfId="0" applyFont="1" applyBorder="1" applyAlignment="1">
      <alignment horizontal="center" vertical="center"/>
    </xf>
    <xf numFmtId="2" fontId="59" fillId="34" borderId="1" xfId="0" applyNumberFormat="1" applyFont="1" applyFill="1" applyBorder="1" applyAlignment="1">
      <alignment horizontal="center"/>
    </xf>
    <xf numFmtId="0" fontId="88" fillId="0" borderId="1" xfId="0" applyFont="1" applyBorder="1" applyAlignment="1">
      <alignment horizontal="center" vertical="center"/>
    </xf>
    <xf numFmtId="0" fontId="51" fillId="27" borderId="0" xfId="0" applyFont="1" applyFill="1"/>
    <xf numFmtId="0" fontId="0" fillId="35" borderId="1" xfId="0" applyFill="1" applyBorder="1" applyAlignment="1">
      <alignment horizontal="center"/>
    </xf>
    <xf numFmtId="0" fontId="56" fillId="0" borderId="70" xfId="0" applyFont="1" applyBorder="1" applyAlignment="1">
      <alignment horizontal="center" vertical="center"/>
    </xf>
    <xf numFmtId="0" fontId="69" fillId="0" borderId="1" xfId="0" applyFont="1" applyBorder="1" applyAlignment="1">
      <alignment horizontal="left" vertical="center"/>
    </xf>
    <xf numFmtId="0" fontId="24" fillId="0" borderId="0" xfId="0" applyFont="1" applyAlignment="1">
      <alignment horizontal="center" vertical="center" wrapText="1"/>
    </xf>
    <xf numFmtId="0" fontId="28" fillId="0" borderId="1" xfId="0" applyFont="1" applyBorder="1" applyAlignment="1">
      <alignment horizontal="center" vertical="center" wrapText="1"/>
    </xf>
    <xf numFmtId="166" fontId="51" fillId="0" borderId="0" xfId="0" applyNumberFormat="1" applyFont="1" applyAlignment="1">
      <alignment vertical="center"/>
    </xf>
    <xf numFmtId="0" fontId="59" fillId="0" borderId="48" xfId="0" applyFont="1" applyBorder="1" applyAlignment="1">
      <alignment vertical="center" wrapText="1"/>
    </xf>
    <xf numFmtId="0" fontId="59" fillId="0" borderId="85" xfId="0" applyFont="1" applyBorder="1" applyAlignment="1">
      <alignment horizontal="center" vertical="center" wrapText="1"/>
    </xf>
    <xf numFmtId="0" fontId="59" fillId="0" borderId="42" xfId="0" applyFont="1" applyBorder="1" applyAlignment="1">
      <alignment horizontal="center" vertical="center" wrapText="1"/>
    </xf>
    <xf numFmtId="0" fontId="59" fillId="0" borderId="48" xfId="0" applyFont="1" applyBorder="1" applyAlignment="1">
      <alignment horizontal="center" vertical="center" wrapText="1"/>
    </xf>
    <xf numFmtId="166" fontId="59" fillId="0" borderId="42" xfId="1" applyFont="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56" fillId="37" borderId="1" xfId="0" applyFont="1" applyFill="1" applyBorder="1" applyAlignment="1">
      <alignment horizontal="center" vertical="center"/>
    </xf>
    <xf numFmtId="0" fontId="88" fillId="37" borderId="1" xfId="0" applyFont="1" applyFill="1" applyBorder="1" applyAlignment="1">
      <alignment horizontal="center" vertical="center"/>
    </xf>
    <xf numFmtId="0" fontId="0" fillId="37" borderId="1" xfId="13" applyNumberFormat="1" applyFont="1" applyFill="1" applyBorder="1" applyAlignment="1">
      <alignment horizontal="center"/>
    </xf>
    <xf numFmtId="0" fontId="56" fillId="37" borderId="1" xfId="0" applyFont="1" applyFill="1" applyBorder="1" applyAlignment="1">
      <alignment horizontal="left" vertical="center"/>
    </xf>
    <xf numFmtId="0" fontId="56" fillId="37" borderId="1" xfId="3" applyFont="1" applyFill="1" applyBorder="1" applyAlignment="1">
      <alignment horizontal="center" vertical="center"/>
    </xf>
    <xf numFmtId="0" fontId="56" fillId="37" borderId="0" xfId="0" applyFont="1" applyFill="1" applyAlignment="1">
      <alignment vertical="center"/>
    </xf>
    <xf numFmtId="0" fontId="56" fillId="37" borderId="0" xfId="0" applyFont="1" applyFill="1" applyAlignment="1">
      <alignment horizontal="center" vertical="center"/>
    </xf>
    <xf numFmtId="0" fontId="56" fillId="37" borderId="1" xfId="0" applyFont="1" applyFill="1" applyBorder="1" applyAlignment="1">
      <alignment vertical="center"/>
    </xf>
    <xf numFmtId="0" fontId="56" fillId="37" borderId="8" xfId="0" applyFont="1" applyFill="1" applyBorder="1" applyAlignment="1">
      <alignment horizontal="center" vertical="center"/>
    </xf>
    <xf numFmtId="0" fontId="56" fillId="37" borderId="23" xfId="0" applyFont="1" applyFill="1" applyBorder="1" applyAlignment="1">
      <alignment horizontal="center" vertical="center" wrapText="1"/>
    </xf>
    <xf numFmtId="0" fontId="56" fillId="37" borderId="1" xfId="0" applyFont="1" applyFill="1" applyBorder="1" applyAlignment="1">
      <alignment horizontal="center" vertical="center" textRotation="45"/>
    </xf>
    <xf numFmtId="0" fontId="56" fillId="37" borderId="1" xfId="0" applyFont="1" applyFill="1" applyBorder="1" applyAlignment="1">
      <alignment horizontal="center" vertical="center" wrapText="1"/>
    </xf>
    <xf numFmtId="0" fontId="56" fillId="37" borderId="1" xfId="3" applyFont="1" applyFill="1" applyBorder="1" applyAlignment="1">
      <alignment horizontal="center" vertical="center" textRotation="45"/>
    </xf>
    <xf numFmtId="0" fontId="56" fillId="37" borderId="9" xfId="0" applyFont="1" applyFill="1" applyBorder="1" applyAlignment="1">
      <alignment horizontal="left" vertical="center"/>
    </xf>
    <xf numFmtId="0" fontId="61" fillId="9" borderId="1" xfId="0" applyFont="1" applyFill="1" applyBorder="1" applyAlignment="1">
      <alignment horizontal="left"/>
    </xf>
    <xf numFmtId="0" fontId="59" fillId="27" borderId="1" xfId="0" applyFont="1" applyFill="1" applyBorder="1" applyAlignment="1">
      <alignment horizontal="left" vertical="center"/>
    </xf>
    <xf numFmtId="0" fontId="26" fillId="0" borderId="15" xfId="0" applyFont="1" applyBorder="1"/>
    <xf numFmtId="0" fontId="51" fillId="27" borderId="23" xfId="0" applyFont="1" applyFill="1" applyBorder="1" applyAlignment="1">
      <alignment horizontal="left"/>
    </xf>
    <xf numFmtId="0" fontId="0" fillId="28" borderId="1" xfId="0" applyFill="1" applyBorder="1" applyAlignment="1">
      <alignment horizontal="center"/>
    </xf>
    <xf numFmtId="0" fontId="51" fillId="0" borderId="23" xfId="0" applyFont="1" applyBorder="1" applyAlignment="1">
      <alignment horizontal="left" textRotation="45"/>
    </xf>
    <xf numFmtId="0" fontId="51" fillId="27" borderId="1" xfId="0" applyFont="1" applyFill="1" applyBorder="1"/>
    <xf numFmtId="0" fontId="56" fillId="32" borderId="33" xfId="0" applyFont="1" applyFill="1" applyBorder="1" applyAlignment="1">
      <alignment horizontal="center" vertical="center"/>
    </xf>
    <xf numFmtId="0" fontId="56" fillId="32" borderId="2" xfId="0" applyFont="1" applyFill="1" applyBorder="1" applyAlignment="1">
      <alignment horizontal="center" vertical="center"/>
    </xf>
    <xf numFmtId="0" fontId="56" fillId="18" borderId="13" xfId="0" applyFont="1" applyFill="1" applyBorder="1" applyAlignment="1">
      <alignment horizontal="center" vertical="center"/>
    </xf>
    <xf numFmtId="0" fontId="56" fillId="28" borderId="23" xfId="0" applyFont="1" applyFill="1" applyBorder="1" applyAlignment="1">
      <alignment horizontal="center" vertical="center"/>
    </xf>
    <xf numFmtId="0" fontId="56" fillId="28" borderId="19" xfId="0" applyFont="1" applyFill="1" applyBorder="1" applyAlignment="1">
      <alignment horizontal="center" vertical="center"/>
    </xf>
    <xf numFmtId="0" fontId="56" fillId="28" borderId="13" xfId="0" applyFont="1" applyFill="1" applyBorder="1" applyAlignment="1">
      <alignment horizontal="center" vertical="center"/>
    </xf>
    <xf numFmtId="0" fontId="0" fillId="26" borderId="0" xfId="0" applyFill="1" applyAlignment="1">
      <alignment horizontal="center"/>
    </xf>
    <xf numFmtId="0" fontId="0" fillId="9" borderId="42" xfId="0" applyFill="1" applyBorder="1" applyAlignment="1">
      <alignment horizontal="center"/>
    </xf>
    <xf numFmtId="0" fontId="59" fillId="27" borderId="23" xfId="0" applyFont="1" applyFill="1" applyBorder="1" applyAlignment="1">
      <alignment horizontal="left"/>
    </xf>
    <xf numFmtId="0" fontId="0" fillId="0" borderId="93" xfId="0" applyBorder="1" applyAlignment="1">
      <alignment horizontal="center"/>
    </xf>
    <xf numFmtId="0" fontId="56" fillId="38" borderId="9" xfId="0" applyFont="1" applyFill="1" applyBorder="1" applyAlignment="1">
      <alignment horizontal="left" vertical="center"/>
    </xf>
    <xf numFmtId="0" fontId="56" fillId="38" borderId="1" xfId="0" applyFont="1" applyFill="1" applyBorder="1" applyAlignment="1">
      <alignment horizontal="center" vertical="center"/>
    </xf>
    <xf numFmtId="0" fontId="56" fillId="38" borderId="0" xfId="0" applyFont="1" applyFill="1" applyAlignment="1">
      <alignment vertical="center"/>
    </xf>
    <xf numFmtId="0" fontId="56" fillId="38" borderId="1" xfId="3" applyFont="1" applyFill="1" applyBorder="1" applyAlignment="1">
      <alignment horizontal="center" vertical="center"/>
    </xf>
    <xf numFmtId="0" fontId="59" fillId="27" borderId="23" xfId="0" applyFont="1" applyFill="1" applyBorder="1" applyAlignment="1">
      <alignment horizontal="left" vertical="center"/>
    </xf>
    <xf numFmtId="0" fontId="0" fillId="26" borderId="94" xfId="0" applyFill="1" applyBorder="1" applyAlignment="1">
      <alignment horizontal="center" vertical="center"/>
    </xf>
    <xf numFmtId="0" fontId="0" fillId="26" borderId="91" xfId="0" applyFill="1" applyBorder="1" applyAlignment="1">
      <alignment horizontal="left" vertical="center"/>
    </xf>
    <xf numFmtId="0" fontId="0" fillId="26" borderId="1" xfId="0" applyFill="1" applyBorder="1" applyAlignment="1">
      <alignment horizontal="center" vertical="center"/>
    </xf>
    <xf numFmtId="0" fontId="26" fillId="26" borderId="74" xfId="0" applyFont="1" applyFill="1" applyBorder="1"/>
    <xf numFmtId="0" fontId="25" fillId="26" borderId="76" xfId="0" applyFont="1" applyFill="1" applyBorder="1" applyAlignment="1">
      <alignment horizontal="center"/>
    </xf>
    <xf numFmtId="0" fontId="0" fillId="26" borderId="23" xfId="0" applyFill="1" applyBorder="1" applyAlignment="1">
      <alignment horizontal="center"/>
    </xf>
    <xf numFmtId="0" fontId="0" fillId="26" borderId="12" xfId="0" applyFill="1" applyBorder="1" applyAlignment="1">
      <alignment horizontal="center"/>
    </xf>
    <xf numFmtId="0" fontId="0" fillId="26" borderId="8" xfId="0" applyFill="1" applyBorder="1" applyAlignment="1">
      <alignment horizontal="center" vertical="center"/>
    </xf>
    <xf numFmtId="0" fontId="0" fillId="26" borderId="9" xfId="0" applyFill="1" applyBorder="1" applyAlignment="1">
      <alignment horizontal="left" vertical="center"/>
    </xf>
    <xf numFmtId="0" fontId="0" fillId="26" borderId="24" xfId="0" applyFill="1" applyBorder="1" applyAlignment="1">
      <alignment horizontal="center"/>
    </xf>
    <xf numFmtId="0" fontId="0" fillId="26" borderId="24" xfId="0" applyFill="1" applyBorder="1" applyAlignment="1">
      <alignment horizontal="center" vertical="center"/>
    </xf>
    <xf numFmtId="0" fontId="0" fillId="26" borderId="36" xfId="0" applyFill="1" applyBorder="1" applyAlignment="1">
      <alignment horizontal="center"/>
    </xf>
    <xf numFmtId="0" fontId="0" fillId="26" borderId="23" xfId="0" applyFill="1" applyBorder="1" applyAlignment="1">
      <alignment horizontal="center" vertical="center"/>
    </xf>
    <xf numFmtId="0" fontId="0" fillId="26" borderId="10" xfId="0" applyFill="1" applyBorder="1" applyAlignment="1">
      <alignment horizontal="center"/>
    </xf>
    <xf numFmtId="0" fontId="0" fillId="26" borderId="34" xfId="0" applyFill="1" applyBorder="1" applyAlignment="1">
      <alignment horizontal="center"/>
    </xf>
    <xf numFmtId="0" fontId="0" fillId="26" borderId="95" xfId="0" applyFill="1" applyBorder="1" applyAlignment="1">
      <alignment horizontal="left" vertical="center"/>
    </xf>
    <xf numFmtId="0" fontId="26" fillId="26" borderId="96" xfId="0" applyFont="1" applyFill="1" applyBorder="1"/>
    <xf numFmtId="0" fontId="26" fillId="26" borderId="0" xfId="0" applyFont="1" applyFill="1"/>
    <xf numFmtId="0" fontId="25" fillId="26" borderId="0" xfId="0" applyFont="1" applyFill="1" applyAlignment="1">
      <alignment horizontal="center"/>
    </xf>
    <xf numFmtId="0" fontId="0" fillId="26" borderId="61" xfId="0" applyFill="1" applyBorder="1"/>
    <xf numFmtId="0" fontId="0" fillId="26" borderId="0" xfId="0" applyFill="1"/>
    <xf numFmtId="0" fontId="0" fillId="26" borderId="88" xfId="0" applyFill="1" applyBorder="1" applyAlignment="1">
      <alignment horizontal="center"/>
    </xf>
    <xf numFmtId="0" fontId="57" fillId="0" borderId="23" xfId="0" applyFont="1" applyBorder="1" applyAlignment="1">
      <alignment horizontal="left" vertical="center"/>
    </xf>
    <xf numFmtId="0" fontId="57" fillId="27" borderId="23" xfId="0" applyFont="1" applyFill="1" applyBorder="1" applyAlignment="1">
      <alignment horizontal="left" vertical="center"/>
    </xf>
    <xf numFmtId="0" fontId="59" fillId="0" borderId="23" xfId="0" applyFont="1" applyBorder="1" applyAlignment="1">
      <alignment horizontal="left" vertical="center"/>
    </xf>
    <xf numFmtId="0" fontId="56" fillId="28" borderId="2" xfId="0" applyFont="1" applyFill="1" applyBorder="1" applyAlignment="1">
      <alignment horizontal="center" vertical="center"/>
    </xf>
    <xf numFmtId="0" fontId="56" fillId="28" borderId="0" xfId="0" applyFont="1" applyFill="1" applyAlignment="1">
      <alignment vertical="center"/>
    </xf>
    <xf numFmtId="0" fontId="56" fillId="28" borderId="10" xfId="0" applyFont="1" applyFill="1" applyBorder="1" applyAlignment="1">
      <alignment horizontal="center" vertical="center"/>
    </xf>
    <xf numFmtId="0" fontId="0" fillId="18" borderId="9" xfId="0" applyFill="1" applyBorder="1" applyAlignment="1">
      <alignment horizontal="left" vertical="center"/>
    </xf>
    <xf numFmtId="0" fontId="0" fillId="18" borderId="23" xfId="0" applyFill="1" applyBorder="1" applyAlignment="1">
      <alignment horizontal="center"/>
    </xf>
    <xf numFmtId="0" fontId="0" fillId="18" borderId="36" xfId="0" applyFill="1" applyBorder="1" applyAlignment="1">
      <alignment horizontal="center"/>
    </xf>
    <xf numFmtId="0" fontId="0" fillId="18" borderId="23" xfId="0" applyFill="1" applyBorder="1" applyAlignment="1">
      <alignment horizontal="center" vertical="center"/>
    </xf>
    <xf numFmtId="0" fontId="0" fillId="18" borderId="10" xfId="0" applyFill="1" applyBorder="1" applyAlignment="1">
      <alignment horizontal="center"/>
    </xf>
    <xf numFmtId="0" fontId="0" fillId="18" borderId="1" xfId="0" applyFill="1" applyBorder="1" applyAlignment="1">
      <alignment horizontal="center" vertical="center"/>
    </xf>
    <xf numFmtId="0" fontId="0" fillId="39" borderId="0" xfId="0" applyFill="1" applyAlignment="1">
      <alignment horizontal="center"/>
    </xf>
    <xf numFmtId="0" fontId="0" fillId="30" borderId="91" xfId="0" applyFill="1" applyBorder="1" applyAlignment="1">
      <alignment horizontal="left" vertical="center"/>
    </xf>
    <xf numFmtId="0" fontId="0" fillId="30" borderId="1" xfId="0" applyFill="1" applyBorder="1" applyAlignment="1">
      <alignment horizontal="center"/>
    </xf>
    <xf numFmtId="0" fontId="0" fillId="30" borderId="1" xfId="0" applyFill="1" applyBorder="1" applyAlignment="1">
      <alignment horizontal="center" vertical="center"/>
    </xf>
    <xf numFmtId="0" fontId="0" fillId="30" borderId="23" xfId="0" applyFill="1" applyBorder="1" applyAlignment="1">
      <alignment horizontal="center"/>
    </xf>
    <xf numFmtId="0" fontId="26" fillId="30" borderId="74" xfId="0" applyFont="1" applyFill="1" applyBorder="1"/>
    <xf numFmtId="0" fontId="25" fillId="30" borderId="76" xfId="0" applyFont="1" applyFill="1" applyBorder="1" applyAlignment="1">
      <alignment horizontal="center"/>
    </xf>
    <xf numFmtId="0" fontId="0" fillId="30" borderId="12" xfId="0" applyFill="1" applyBorder="1" applyAlignment="1">
      <alignment horizontal="center"/>
    </xf>
    <xf numFmtId="0" fontId="0" fillId="30" borderId="9" xfId="0" applyFill="1" applyBorder="1" applyAlignment="1">
      <alignment horizontal="left" vertical="center"/>
    </xf>
    <xf numFmtId="0" fontId="0" fillId="30" borderId="10" xfId="0" applyFill="1" applyBorder="1" applyAlignment="1">
      <alignment horizontal="center"/>
    </xf>
    <xf numFmtId="0" fontId="0" fillId="30" borderId="24" xfId="0" applyFill="1" applyBorder="1" applyAlignment="1">
      <alignment horizontal="center"/>
    </xf>
    <xf numFmtId="0" fontId="0" fillId="30" borderId="34" xfId="0" applyFill="1" applyBorder="1" applyAlignment="1">
      <alignment horizontal="center"/>
    </xf>
    <xf numFmtId="0" fontId="0" fillId="30" borderId="24" xfId="0" applyFill="1" applyBorder="1" applyAlignment="1">
      <alignment horizontal="center" vertical="center"/>
    </xf>
    <xf numFmtId="0" fontId="0" fillId="9" borderId="0" xfId="0" applyFill="1" applyAlignment="1">
      <alignment horizontal="center"/>
    </xf>
    <xf numFmtId="0" fontId="59" fillId="0" borderId="24" xfId="0" applyFont="1" applyBorder="1" applyAlignment="1">
      <alignment horizontal="left" vertical="center"/>
    </xf>
    <xf numFmtId="0" fontId="69" fillId="0" borderId="15" xfId="0" applyFont="1" applyBorder="1" applyAlignment="1">
      <alignment horizontal="center" vertical="center"/>
    </xf>
    <xf numFmtId="0" fontId="110" fillId="0" borderId="1" xfId="0" applyFont="1" applyBorder="1" applyAlignment="1">
      <alignment horizontal="center" vertical="center" wrapText="1"/>
    </xf>
    <xf numFmtId="0" fontId="56" fillId="0" borderId="23" xfId="0" applyFont="1" applyBorder="1" applyAlignment="1">
      <alignment horizontal="center" wrapText="1"/>
    </xf>
    <xf numFmtId="0" fontId="56" fillId="0" borderId="23" xfId="0" applyFont="1" applyBorder="1" applyAlignment="1">
      <alignment horizontal="center" textRotation="45"/>
    </xf>
    <xf numFmtId="0" fontId="56" fillId="0" borderId="5" xfId="0" applyFont="1" applyBorder="1" applyAlignment="1">
      <alignment horizontal="center" textRotation="45"/>
    </xf>
    <xf numFmtId="0" fontId="56" fillId="0" borderId="18" xfId="0" applyFont="1" applyBorder="1" applyAlignment="1">
      <alignment horizontal="center" textRotation="45"/>
    </xf>
    <xf numFmtId="0" fontId="56" fillId="17" borderId="1" xfId="3" applyFont="1" applyFill="1" applyBorder="1" applyAlignment="1">
      <alignment horizontal="center" vertical="center"/>
    </xf>
    <xf numFmtId="0" fontId="56" fillId="31" borderId="5" xfId="0" applyFont="1" applyFill="1" applyBorder="1" applyAlignment="1">
      <alignment horizontal="center" textRotation="45"/>
    </xf>
    <xf numFmtId="0" fontId="57" fillId="0" borderId="23" xfId="0" applyFont="1" applyBorder="1" applyAlignment="1">
      <alignment horizontal="left" textRotation="45"/>
    </xf>
    <xf numFmtId="0" fontId="57" fillId="0" borderId="23" xfId="0" applyFont="1" applyBorder="1" applyAlignment="1">
      <alignment horizontal="left" textRotation="45" wrapText="1"/>
    </xf>
    <xf numFmtId="0" fontId="51" fillId="0" borderId="23" xfId="0" applyFont="1" applyBorder="1" applyAlignment="1">
      <alignment horizontal="center" textRotation="45"/>
    </xf>
    <xf numFmtId="0" fontId="57" fillId="0" borderId="23" xfId="0" applyFont="1" applyBorder="1" applyAlignment="1">
      <alignment horizontal="center" textRotation="45"/>
    </xf>
    <xf numFmtId="0" fontId="57" fillId="0" borderId="23" xfId="0" applyFont="1" applyBorder="1" applyAlignment="1">
      <alignment horizontal="center" textRotation="45" wrapText="1"/>
    </xf>
    <xf numFmtId="0" fontId="57" fillId="0" borderId="23" xfId="0" applyFont="1" applyBorder="1" applyAlignment="1">
      <alignment horizontal="center" vertical="center" textRotation="45"/>
    </xf>
    <xf numFmtId="0" fontId="56" fillId="0" borderId="39" xfId="0" applyFont="1" applyBorder="1" applyAlignment="1">
      <alignment horizontal="center" textRotation="45"/>
    </xf>
    <xf numFmtId="0" fontId="56" fillId="0" borderId="67" xfId="0" applyFont="1" applyBorder="1" applyAlignment="1">
      <alignment horizontal="center" textRotation="45"/>
    </xf>
    <xf numFmtId="0" fontId="59" fillId="27" borderId="24" xfId="0" applyFont="1" applyFill="1" applyBorder="1" applyAlignment="1">
      <alignment horizontal="left"/>
    </xf>
    <xf numFmtId="0" fontId="59" fillId="27" borderId="1" xfId="0" applyFont="1" applyFill="1" applyBorder="1" applyAlignment="1">
      <alignment horizontal="center" vertical="center"/>
    </xf>
    <xf numFmtId="166" fontId="59" fillId="27" borderId="1" xfId="1" applyFont="1" applyFill="1" applyBorder="1" applyAlignment="1">
      <alignment horizontal="center" vertical="center"/>
    </xf>
    <xf numFmtId="0" fontId="69" fillId="0" borderId="0" xfId="0" applyFont="1" applyAlignment="1">
      <alignment horizontal="center"/>
    </xf>
    <xf numFmtId="0" fontId="82" fillId="0" borderId="0" xfId="0" applyFont="1" applyAlignment="1">
      <alignment horizontal="left"/>
    </xf>
    <xf numFmtId="0" fontId="51" fillId="0" borderId="23" xfId="0" applyFont="1" applyBorder="1" applyAlignment="1">
      <alignment horizontal="left" vertical="center"/>
    </xf>
    <xf numFmtId="0" fontId="51" fillId="27" borderId="23" xfId="0" applyFont="1" applyFill="1" applyBorder="1" applyAlignment="1">
      <alignment horizontal="left" vertical="center"/>
    </xf>
    <xf numFmtId="0" fontId="24" fillId="0" borderId="72" xfId="0" applyFont="1" applyBorder="1" applyAlignment="1">
      <alignment horizontal="center" textRotation="45"/>
    </xf>
    <xf numFmtId="0" fontId="24" fillId="0" borderId="23" xfId="0" applyFont="1" applyBorder="1" applyAlignment="1">
      <alignment horizontal="center" textRotation="45"/>
    </xf>
    <xf numFmtId="0" fontId="24" fillId="0" borderId="73" xfId="0" applyFont="1" applyBorder="1" applyAlignment="1">
      <alignment horizontal="center" textRotation="45"/>
    </xf>
    <xf numFmtId="0" fontId="24" fillId="0" borderId="1" xfId="0" applyFont="1" applyBorder="1" applyAlignment="1">
      <alignment horizontal="center" textRotation="45"/>
    </xf>
    <xf numFmtId="0" fontId="24" fillId="33" borderId="73" xfId="0" applyFont="1" applyFill="1" applyBorder="1" applyAlignment="1">
      <alignment horizontal="center" textRotation="45"/>
    </xf>
    <xf numFmtId="0" fontId="24" fillId="9" borderId="1" xfId="0" applyFont="1" applyFill="1" applyBorder="1" applyAlignment="1">
      <alignment horizontal="center" textRotation="45"/>
    </xf>
    <xf numFmtId="0" fontId="24" fillId="35" borderId="1" xfId="0" applyFont="1" applyFill="1" applyBorder="1" applyAlignment="1">
      <alignment horizontal="center" textRotation="45"/>
    </xf>
    <xf numFmtId="0" fontId="24" fillId="29" borderId="73" xfId="0" applyFont="1" applyFill="1" applyBorder="1" applyAlignment="1">
      <alignment horizontal="center" textRotation="45"/>
    </xf>
    <xf numFmtId="0" fontId="24" fillId="36" borderId="73" xfId="0" applyFont="1" applyFill="1" applyBorder="1" applyAlignment="1">
      <alignment horizontal="center" textRotation="45"/>
    </xf>
    <xf numFmtId="0" fontId="24" fillId="18" borderId="73" xfId="0" applyFont="1" applyFill="1" applyBorder="1" applyAlignment="1">
      <alignment horizontal="center" textRotation="45"/>
    </xf>
    <xf numFmtId="0" fontId="24" fillId="20" borderId="73" xfId="0" applyFont="1" applyFill="1" applyBorder="1" applyAlignment="1">
      <alignment horizontal="center" textRotation="45"/>
    </xf>
    <xf numFmtId="0" fontId="24" fillId="40" borderId="23" xfId="0" applyFont="1" applyFill="1" applyBorder="1" applyAlignment="1">
      <alignment horizontal="center" textRotation="45"/>
    </xf>
    <xf numFmtId="166" fontId="0" fillId="0" borderId="0" xfId="0" applyNumberFormat="1" applyAlignment="1">
      <alignment horizontal="center" vertical="center"/>
    </xf>
    <xf numFmtId="0" fontId="51" fillId="27" borderId="0" xfId="0" applyFont="1" applyFill="1" applyAlignment="1">
      <alignment horizontal="left" vertical="center"/>
    </xf>
    <xf numFmtId="0" fontId="59" fillId="27" borderId="24" xfId="0" applyFont="1" applyFill="1" applyBorder="1" applyAlignment="1">
      <alignment horizontal="center"/>
    </xf>
    <xf numFmtId="166" fontId="59" fillId="27" borderId="24" xfId="1" applyFont="1" applyFill="1" applyBorder="1" applyAlignment="1">
      <alignment horizontal="center"/>
    </xf>
    <xf numFmtId="0" fontId="57" fillId="0" borderId="23" xfId="0" applyFont="1" applyBorder="1" applyAlignment="1">
      <alignment horizontal="left" vertical="center" wrapText="1"/>
    </xf>
    <xf numFmtId="166" fontId="59" fillId="0" borderId="0" xfId="0" applyNumberFormat="1" applyFont="1" applyAlignment="1">
      <alignment vertical="center"/>
    </xf>
    <xf numFmtId="0" fontId="56" fillId="0" borderId="23" xfId="0" applyFont="1" applyBorder="1" applyAlignment="1">
      <alignment textRotation="45"/>
    </xf>
    <xf numFmtId="0" fontId="0" fillId="26" borderId="97" xfId="0" applyFill="1" applyBorder="1" applyAlignment="1">
      <alignment horizontal="center"/>
    </xf>
    <xf numFmtId="0" fontId="26" fillId="26" borderId="0" xfId="0" applyFont="1" applyFill="1" applyAlignment="1">
      <alignment horizontal="center"/>
    </xf>
    <xf numFmtId="0" fontId="0" fillId="30" borderId="0" xfId="0" applyFill="1" applyAlignment="1">
      <alignment horizontal="center"/>
    </xf>
    <xf numFmtId="0" fontId="0" fillId="30" borderId="97" xfId="0" applyFill="1" applyBorder="1" applyAlignment="1">
      <alignment horizontal="center"/>
    </xf>
    <xf numFmtId="0" fontId="24" fillId="0" borderId="1" xfId="0" applyFont="1" applyBorder="1" applyAlignment="1" applyProtection="1">
      <alignment horizontal="center"/>
      <protection locked="0"/>
    </xf>
    <xf numFmtId="0" fontId="24" fillId="9" borderId="1" xfId="0" applyFont="1" applyFill="1" applyBorder="1" applyAlignment="1">
      <alignment horizontal="center"/>
    </xf>
    <xf numFmtId="0" fontId="24" fillId="35" borderId="1" xfId="0" applyFont="1" applyFill="1" applyBorder="1" applyAlignment="1">
      <alignment horizontal="center"/>
    </xf>
    <xf numFmtId="0" fontId="24" fillId="33" borderId="1" xfId="0" applyFont="1" applyFill="1" applyBorder="1" applyAlignment="1">
      <alignment horizontal="center"/>
    </xf>
    <xf numFmtId="0" fontId="24" fillId="26" borderId="1" xfId="0" applyFont="1" applyFill="1" applyBorder="1" applyAlignment="1">
      <alignment horizontal="center"/>
    </xf>
    <xf numFmtId="0" fontId="24" fillId="26" borderId="0" xfId="0" applyFont="1" applyFill="1" applyAlignment="1">
      <alignment horizontal="center"/>
    </xf>
    <xf numFmtId="0" fontId="56" fillId="34" borderId="9" xfId="0" applyFont="1" applyFill="1" applyBorder="1" applyAlignment="1">
      <alignment horizontal="left" vertical="center"/>
    </xf>
    <xf numFmtId="0" fontId="56" fillId="34" borderId="1" xfId="0" applyFont="1" applyFill="1" applyBorder="1" applyAlignment="1">
      <alignment horizontal="center" vertical="center"/>
    </xf>
    <xf numFmtId="0" fontId="56" fillId="34" borderId="0" xfId="0" applyFont="1" applyFill="1" applyAlignment="1">
      <alignment vertical="center"/>
    </xf>
    <xf numFmtId="0" fontId="56" fillId="34" borderId="1" xfId="3" applyFont="1" applyFill="1" applyBorder="1" applyAlignment="1">
      <alignment horizontal="center" vertical="center"/>
    </xf>
    <xf numFmtId="0" fontId="0" fillId="0" borderId="48" xfId="0" applyBorder="1" applyAlignment="1">
      <alignment horizontal="center" vertical="center"/>
    </xf>
    <xf numFmtId="0" fontId="0" fillId="0" borderId="2" xfId="0" applyBorder="1" applyAlignment="1">
      <alignment horizontal="center" vertical="center"/>
    </xf>
    <xf numFmtId="0" fontId="56" fillId="0" borderId="8" xfId="0" applyFont="1" applyBorder="1" applyAlignment="1">
      <alignment horizontal="center"/>
    </xf>
    <xf numFmtId="0" fontId="59" fillId="42" borderId="23" xfId="0" applyFont="1" applyFill="1" applyBorder="1" applyAlignment="1">
      <alignment horizontal="left" textRotation="45"/>
    </xf>
    <xf numFmtId="0" fontId="51" fillId="42" borderId="23" xfId="0" applyFont="1" applyFill="1" applyBorder="1" applyAlignment="1">
      <alignment horizontal="left" textRotation="45"/>
    </xf>
    <xf numFmtId="0" fontId="56" fillId="42" borderId="1" xfId="0" applyFont="1" applyFill="1" applyBorder="1" applyAlignment="1">
      <alignment horizontal="center" vertical="center"/>
    </xf>
    <xf numFmtId="0" fontId="0" fillId="42" borderId="1" xfId="0" applyFill="1" applyBorder="1" applyAlignment="1">
      <alignment horizontal="center"/>
    </xf>
    <xf numFmtId="0" fontId="0" fillId="42" borderId="1" xfId="0" applyFill="1" applyBorder="1"/>
    <xf numFmtId="0" fontId="0" fillId="42" borderId="0" xfId="0" applyFill="1"/>
    <xf numFmtId="0" fontId="0" fillId="42" borderId="24" xfId="0" applyFill="1" applyBorder="1" applyAlignment="1">
      <alignment horizontal="center"/>
    </xf>
    <xf numFmtId="0" fontId="56" fillId="42" borderId="24" xfId="0" applyFont="1" applyFill="1" applyBorder="1" applyAlignment="1">
      <alignment horizontal="center"/>
    </xf>
    <xf numFmtId="0" fontId="0" fillId="42" borderId="41" xfId="0" applyFill="1" applyBorder="1" applyAlignment="1">
      <alignment horizontal="center"/>
    </xf>
    <xf numFmtId="0" fontId="54" fillId="0" borderId="1" xfId="0" applyFont="1" applyBorder="1" applyAlignment="1">
      <alignment horizontal="center" vertical="center" wrapText="1"/>
    </xf>
    <xf numFmtId="166" fontId="24" fillId="0" borderId="0" xfId="0" applyNumberFormat="1" applyFont="1" applyAlignment="1">
      <alignment horizontal="center" vertical="center" wrapText="1"/>
    </xf>
    <xf numFmtId="0" fontId="24" fillId="41" borderId="73" xfId="0" applyFont="1" applyFill="1" applyBorder="1" applyAlignment="1">
      <alignment horizontal="center" textRotation="45"/>
    </xf>
    <xf numFmtId="0" fontId="24" fillId="41" borderId="1" xfId="0" applyFont="1" applyFill="1" applyBorder="1" applyAlignment="1">
      <alignment horizontal="center"/>
    </xf>
    <xf numFmtId="0" fontId="0" fillId="41" borderId="1" xfId="0" applyFill="1" applyBorder="1" applyAlignment="1">
      <alignment horizontal="center"/>
    </xf>
    <xf numFmtId="0" fontId="24" fillId="27" borderId="73" xfId="0" applyFont="1" applyFill="1" applyBorder="1" applyAlignment="1">
      <alignment horizontal="center" textRotation="45"/>
    </xf>
    <xf numFmtId="0" fontId="24" fillId="27" borderId="1" xfId="0" applyFont="1" applyFill="1" applyBorder="1" applyAlignment="1">
      <alignment horizontal="center"/>
    </xf>
    <xf numFmtId="172" fontId="0" fillId="0" borderId="0" xfId="0" applyNumberFormat="1" applyAlignment="1">
      <alignment horizontal="center" vertical="center"/>
    </xf>
    <xf numFmtId="0" fontId="57" fillId="27" borderId="1" xfId="0" applyFont="1" applyFill="1" applyBorder="1" applyAlignment="1">
      <alignment vertical="center"/>
    </xf>
    <xf numFmtId="0" fontId="51" fillId="28" borderId="23" xfId="0" applyFont="1" applyFill="1" applyBorder="1" applyAlignment="1">
      <alignment horizontal="center" vertical="center" textRotation="45"/>
    </xf>
    <xf numFmtId="0" fontId="0" fillId="28" borderId="24" xfId="0" applyFill="1" applyBorder="1" applyAlignment="1">
      <alignment horizontal="center"/>
    </xf>
    <xf numFmtId="0" fontId="59" fillId="27" borderId="1" xfId="0" applyFont="1" applyFill="1" applyBorder="1" applyAlignment="1">
      <alignment wrapText="1"/>
    </xf>
    <xf numFmtId="0" fontId="24" fillId="27" borderId="1" xfId="0" applyFont="1" applyFill="1" applyBorder="1" applyAlignment="1">
      <alignment horizontal="center" textRotation="45"/>
    </xf>
    <xf numFmtId="0" fontId="0" fillId="27" borderId="23" xfId="0" applyFill="1" applyBorder="1" applyAlignment="1">
      <alignment horizontal="center"/>
    </xf>
    <xf numFmtId="0" fontId="24" fillId="43" borderId="73" xfId="0" applyFont="1" applyFill="1" applyBorder="1" applyAlignment="1">
      <alignment horizontal="center" textRotation="45"/>
    </xf>
    <xf numFmtId="0" fontId="24" fillId="43" borderId="1" xfId="0" applyFont="1" applyFill="1" applyBorder="1" applyAlignment="1">
      <alignment horizontal="center"/>
    </xf>
    <xf numFmtId="0" fontId="0" fillId="43" borderId="1" xfId="0" applyFill="1" applyBorder="1" applyAlignment="1">
      <alignment horizontal="center"/>
    </xf>
    <xf numFmtId="0" fontId="24" fillId="0" borderId="8" xfId="0" applyFont="1" applyBorder="1" applyAlignment="1">
      <alignment horizontal="center" vertical="center"/>
    </xf>
    <xf numFmtId="0" fontId="24" fillId="0" borderId="73" xfId="0" applyFont="1" applyBorder="1" applyAlignment="1">
      <alignment horizontal="center" vertical="center" textRotation="45"/>
    </xf>
    <xf numFmtId="0" fontId="24" fillId="0" borderId="9" xfId="0" applyFont="1" applyBorder="1" applyAlignment="1">
      <alignment horizontal="left" vertical="center"/>
    </xf>
    <xf numFmtId="0" fontId="24" fillId="36" borderId="1" xfId="0" applyFont="1" applyFill="1" applyBorder="1" applyAlignment="1">
      <alignment horizontal="center"/>
    </xf>
    <xf numFmtId="0" fontId="24" fillId="18" borderId="1" xfId="0" applyFont="1" applyFill="1" applyBorder="1" applyAlignment="1">
      <alignment horizontal="center"/>
    </xf>
    <xf numFmtId="0" fontId="24" fillId="0" borderId="0" xfId="0" applyFont="1" applyAlignment="1">
      <alignment horizontal="center"/>
    </xf>
    <xf numFmtId="0" fontId="24" fillId="20" borderId="1" xfId="0" applyFont="1" applyFill="1" applyBorder="1" applyAlignment="1">
      <alignment horizontal="center"/>
    </xf>
    <xf numFmtId="0" fontId="24" fillId="36" borderId="1" xfId="0" applyFont="1" applyFill="1" applyBorder="1" applyAlignment="1" applyProtection="1">
      <alignment horizontal="center"/>
      <protection locked="0"/>
    </xf>
    <xf numFmtId="0" fontId="24" fillId="18" borderId="1" xfId="0" applyFont="1" applyFill="1" applyBorder="1" applyAlignment="1" applyProtection="1">
      <alignment horizontal="center"/>
      <protection locked="0"/>
    </xf>
    <xf numFmtId="0" fontId="24" fillId="20" borderId="1" xfId="0" applyFont="1" applyFill="1" applyBorder="1" applyAlignment="1" applyProtection="1">
      <alignment horizontal="center"/>
      <protection locked="0"/>
    </xf>
    <xf numFmtId="0" fontId="54" fillId="0" borderId="1" xfId="0" applyFont="1" applyBorder="1" applyAlignment="1">
      <alignment horizontal="center"/>
    </xf>
    <xf numFmtId="0" fontId="28" fillId="26" borderId="1" xfId="0" applyFont="1" applyFill="1" applyBorder="1" applyAlignment="1">
      <alignment horizontal="center"/>
    </xf>
    <xf numFmtId="0" fontId="28" fillId="40" borderId="1" xfId="0" applyFont="1" applyFill="1" applyBorder="1" applyAlignment="1">
      <alignment horizontal="center"/>
    </xf>
    <xf numFmtId="0" fontId="28" fillId="36" borderId="1" xfId="0" applyFont="1" applyFill="1" applyBorder="1" applyAlignment="1">
      <alignment horizontal="center"/>
    </xf>
    <xf numFmtId="0" fontId="24" fillId="40" borderId="1" xfId="0" applyFont="1" applyFill="1" applyBorder="1" applyAlignment="1">
      <alignment horizontal="center"/>
    </xf>
    <xf numFmtId="0" fontId="24" fillId="0" borderId="26" xfId="0" applyFont="1" applyBorder="1" applyAlignment="1">
      <alignment horizontal="center"/>
    </xf>
    <xf numFmtId="0" fontId="24" fillId="40" borderId="26" xfId="0" applyFont="1" applyFill="1" applyBorder="1" applyAlignment="1">
      <alignment horizontal="center"/>
    </xf>
    <xf numFmtId="0" fontId="24" fillId="0" borderId="23" xfId="0" applyFont="1" applyBorder="1" applyAlignment="1">
      <alignment horizontal="center"/>
    </xf>
    <xf numFmtId="0" fontId="24" fillId="0" borderId="76" xfId="0" applyFont="1" applyBorder="1" applyAlignment="1">
      <alignment horizontal="center"/>
    </xf>
    <xf numFmtId="0" fontId="24" fillId="36" borderId="76" xfId="0" applyFont="1" applyFill="1" applyBorder="1" applyAlignment="1">
      <alignment horizontal="center"/>
    </xf>
    <xf numFmtId="0" fontId="24" fillId="18" borderId="76" xfId="0" applyFont="1" applyFill="1" applyBorder="1" applyAlignment="1">
      <alignment horizontal="center"/>
    </xf>
    <xf numFmtId="0" fontId="24" fillId="20" borderId="76" xfId="0" applyFont="1" applyFill="1" applyBorder="1" applyAlignment="1">
      <alignment horizontal="center"/>
    </xf>
    <xf numFmtId="0" fontId="24" fillId="36" borderId="0" xfId="0" applyFont="1" applyFill="1" applyAlignment="1">
      <alignment horizontal="center"/>
    </xf>
    <xf numFmtId="0" fontId="54" fillId="0" borderId="23" xfId="0" applyFont="1" applyBorder="1" applyAlignment="1">
      <alignment horizontal="center" wrapText="1"/>
    </xf>
    <xf numFmtId="0" fontId="24" fillId="0" borderId="23" xfId="0" applyFont="1" applyBorder="1" applyAlignment="1">
      <alignment horizontal="center" vertical="center" textRotation="45" wrapText="1"/>
    </xf>
    <xf numFmtId="0" fontId="54" fillId="0" borderId="33" xfId="0" applyFont="1" applyBorder="1" applyAlignment="1">
      <alignment horizontal="center" vertical="center"/>
    </xf>
    <xf numFmtId="0" fontId="24" fillId="0" borderId="42" xfId="0" applyFont="1" applyBorder="1" applyAlignment="1">
      <alignment horizontal="center"/>
    </xf>
    <xf numFmtId="0" fontId="28" fillId="0" borderId="1" xfId="0" applyFont="1" applyBorder="1" applyAlignment="1">
      <alignment horizontal="center"/>
    </xf>
    <xf numFmtId="0" fontId="24" fillId="0" borderId="24" xfId="0" applyFont="1" applyBorder="1" applyAlignment="1">
      <alignment horizontal="center"/>
    </xf>
    <xf numFmtId="0" fontId="24" fillId="0" borderId="41" xfId="0" applyFont="1" applyBorder="1" applyAlignment="1">
      <alignment horizontal="center"/>
    </xf>
    <xf numFmtId="166" fontId="24" fillId="0" borderId="0" xfId="1" applyFont="1"/>
    <xf numFmtId="0" fontId="28" fillId="0" borderId="2" xfId="0" applyFont="1" applyBorder="1" applyAlignment="1">
      <alignment horizontal="center" vertical="center"/>
    </xf>
    <xf numFmtId="0" fontId="28" fillId="40" borderId="2" xfId="0" applyFont="1" applyFill="1" applyBorder="1" applyAlignment="1">
      <alignment horizontal="center" vertical="center"/>
    </xf>
    <xf numFmtId="0" fontId="28" fillId="13" borderId="2" xfId="0" applyFont="1" applyFill="1" applyBorder="1" applyAlignment="1">
      <alignment horizontal="center" vertical="center"/>
    </xf>
    <xf numFmtId="0" fontId="24" fillId="0" borderId="74" xfId="0" applyFont="1" applyBorder="1"/>
    <xf numFmtId="2" fontId="24" fillId="0" borderId="75" xfId="0" applyNumberFormat="1" applyFont="1" applyBorder="1" applyAlignment="1">
      <alignment horizontal="center"/>
    </xf>
    <xf numFmtId="2"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57" fillId="0" borderId="23" xfId="0" applyFont="1" applyBorder="1" applyAlignment="1">
      <alignment horizontal="left"/>
    </xf>
    <xf numFmtId="0" fontId="57" fillId="0" borderId="23" xfId="0" applyFont="1" applyBorder="1" applyAlignment="1">
      <alignment horizontal="left" wrapText="1"/>
    </xf>
    <xf numFmtId="0" fontId="0" fillId="0" borderId="42" xfId="0" applyBorder="1" applyAlignment="1">
      <alignment horizontal="center" vertical="center"/>
    </xf>
    <xf numFmtId="0" fontId="0" fillId="0" borderId="52"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55" xfId="0" applyBorder="1" applyAlignment="1">
      <alignment horizontal="center" vertical="center"/>
    </xf>
    <xf numFmtId="0" fontId="0" fillId="0" borderId="10" xfId="0" applyBorder="1" applyAlignment="1">
      <alignment horizontal="center" vertical="center"/>
    </xf>
    <xf numFmtId="0" fontId="56" fillId="20" borderId="9" xfId="0" applyFont="1" applyFill="1" applyBorder="1" applyAlignment="1">
      <alignment horizontal="left" vertical="center"/>
    </xf>
    <xf numFmtId="0" fontId="56" fillId="20" borderId="1" xfId="0" applyFont="1" applyFill="1" applyBorder="1" applyAlignment="1">
      <alignment horizontal="center" vertical="center"/>
    </xf>
    <xf numFmtId="0" fontId="56" fillId="20" borderId="10" xfId="0" applyFont="1" applyFill="1" applyBorder="1" applyAlignment="1">
      <alignment horizontal="center" vertical="center"/>
    </xf>
    <xf numFmtId="0" fontId="56" fillId="20" borderId="2" xfId="0" applyFont="1" applyFill="1" applyBorder="1" applyAlignment="1">
      <alignment horizontal="center" vertical="center"/>
    </xf>
    <xf numFmtId="0" fontId="56" fillId="20" borderId="19" xfId="0" applyFont="1" applyFill="1" applyBorder="1" applyAlignment="1">
      <alignment horizontal="center" vertical="center"/>
    </xf>
    <xf numFmtId="0" fontId="56" fillId="20" borderId="1" xfId="3" applyFont="1" applyFill="1" applyBorder="1" applyAlignment="1">
      <alignment horizontal="center" vertical="center"/>
    </xf>
    <xf numFmtId="0" fontId="56" fillId="20" borderId="0" xfId="0" applyFont="1" applyFill="1" applyAlignment="1">
      <alignment vertical="center"/>
    </xf>
    <xf numFmtId="0" fontId="24" fillId="40" borderId="1" xfId="0" applyFont="1" applyFill="1" applyBorder="1" applyAlignment="1">
      <alignment horizontal="center" textRotation="45"/>
    </xf>
    <xf numFmtId="0" fontId="0" fillId="40" borderId="1" xfId="0" applyFill="1" applyBorder="1" applyAlignment="1">
      <alignment horizontal="center"/>
    </xf>
    <xf numFmtId="0" fontId="59" fillId="27" borderId="1" xfId="0" applyFont="1" applyFill="1" applyBorder="1" applyAlignment="1">
      <alignment horizontal="left" vertical="center" wrapText="1"/>
    </xf>
    <xf numFmtId="0" fontId="107" fillId="20" borderId="1" xfId="0" applyFont="1" applyFill="1" applyBorder="1" applyAlignment="1">
      <alignment horizontal="center" vertical="center"/>
    </xf>
    <xf numFmtId="0" fontId="0" fillId="20" borderId="0" xfId="0" applyFill="1"/>
    <xf numFmtId="0" fontId="24" fillId="20" borderId="0" xfId="0" applyFont="1" applyFill="1"/>
    <xf numFmtId="0" fontId="24" fillId="20" borderId="69" xfId="0" applyFont="1" applyFill="1" applyBorder="1" applyAlignment="1">
      <alignment horizontal="center"/>
    </xf>
    <xf numFmtId="0" fontId="24" fillId="20" borderId="0" xfId="0" applyFont="1" applyFill="1" applyAlignment="1">
      <alignment horizontal="center"/>
    </xf>
    <xf numFmtId="0" fontId="28" fillId="20" borderId="1" xfId="0" applyFont="1" applyFill="1" applyBorder="1" applyAlignment="1">
      <alignment horizontal="center"/>
    </xf>
    <xf numFmtId="0" fontId="111" fillId="26" borderId="1" xfId="0" applyFont="1" applyFill="1" applyBorder="1" applyAlignment="1">
      <alignment horizontal="center"/>
    </xf>
    <xf numFmtId="0" fontId="56" fillId="0" borderId="23" xfId="3" applyFont="1" applyFill="1" applyBorder="1" applyAlignment="1">
      <alignment horizontal="center" vertical="center" textRotation="45" wrapText="1"/>
    </xf>
    <xf numFmtId="0" fontId="57" fillId="0" borderId="1" xfId="0" applyFont="1" applyBorder="1" applyAlignment="1">
      <alignment horizontal="left" vertical="center"/>
    </xf>
    <xf numFmtId="0" fontId="69" fillId="0" borderId="1" xfId="0" applyFont="1" applyBorder="1" applyAlignment="1">
      <alignment horizontal="center" vertical="center"/>
    </xf>
    <xf numFmtId="166" fontId="69" fillId="0" borderId="78" xfId="0" applyNumberFormat="1" applyFont="1" applyBorder="1" applyAlignment="1">
      <alignment vertical="center"/>
    </xf>
    <xf numFmtId="166" fontId="82" fillId="0" borderId="78" xfId="1" applyFont="1" applyBorder="1" applyAlignment="1">
      <alignment vertical="center" wrapText="1"/>
    </xf>
    <xf numFmtId="0" fontId="0" fillId="20" borderId="0" xfId="0" applyFill="1" applyAlignment="1">
      <alignment horizontal="center"/>
    </xf>
    <xf numFmtId="0" fontId="61" fillId="0" borderId="1" xfId="0" applyFont="1" applyBorder="1" applyAlignment="1">
      <alignment horizontal="center" vertical="center" wrapText="1"/>
    </xf>
    <xf numFmtId="0" fontId="82" fillId="0" borderId="1" xfId="0" applyFont="1" applyBorder="1" applyAlignment="1">
      <alignment horizontal="center" vertical="center" wrapText="1"/>
    </xf>
    <xf numFmtId="0" fontId="80" fillId="28" borderId="1" xfId="0" applyFont="1" applyFill="1" applyBorder="1" applyAlignment="1">
      <alignment horizontal="left"/>
    </xf>
    <xf numFmtId="0" fontId="56" fillId="28" borderId="1" xfId="0" applyFont="1" applyFill="1" applyBorder="1" applyAlignment="1">
      <alignment horizontal="center"/>
    </xf>
    <xf numFmtId="0" fontId="0" fillId="20" borderId="1" xfId="0" applyFill="1" applyBorder="1" applyAlignment="1">
      <alignment horizontal="center"/>
    </xf>
    <xf numFmtId="0" fontId="0" fillId="20" borderId="24" xfId="0" applyFill="1" applyBorder="1" applyAlignment="1">
      <alignment horizontal="center"/>
    </xf>
    <xf numFmtId="0" fontId="56" fillId="20" borderId="24" xfId="0" applyFont="1" applyFill="1" applyBorder="1" applyAlignment="1">
      <alignment horizontal="center"/>
    </xf>
    <xf numFmtId="0" fontId="56" fillId="20" borderId="1" xfId="0" applyFont="1" applyFill="1" applyBorder="1" applyAlignment="1">
      <alignment horizontal="center"/>
    </xf>
    <xf numFmtId="0" fontId="56" fillId="0" borderId="23" xfId="0" applyFont="1" applyBorder="1" applyAlignment="1">
      <alignment horizontal="left" vertical="center" wrapText="1"/>
    </xf>
    <xf numFmtId="166" fontId="69" fillId="0" borderId="48" xfId="1" applyFont="1" applyFill="1" applyBorder="1" applyAlignment="1">
      <alignment horizontal="center"/>
    </xf>
    <xf numFmtId="166" fontId="69" fillId="9" borderId="48" xfId="1" applyFont="1" applyFill="1" applyBorder="1" applyAlignment="1">
      <alignment horizontal="center"/>
    </xf>
    <xf numFmtId="166" fontId="59" fillId="0" borderId="48" xfId="1" applyFont="1" applyFill="1" applyBorder="1" applyAlignment="1">
      <alignment horizontal="center"/>
    </xf>
    <xf numFmtId="166" fontId="59" fillId="9" borderId="48" xfId="1" applyFont="1" applyFill="1" applyBorder="1" applyAlignment="1">
      <alignment horizontal="center"/>
    </xf>
    <xf numFmtId="0" fontId="69" fillId="9" borderId="48" xfId="0" applyFont="1" applyFill="1" applyBorder="1" applyAlignment="1">
      <alignment horizontal="center"/>
    </xf>
    <xf numFmtId="166" fontId="59" fillId="27" borderId="48" xfId="1" applyFont="1" applyFill="1" applyBorder="1" applyAlignment="1">
      <alignment horizontal="center"/>
    </xf>
    <xf numFmtId="166" fontId="59" fillId="0" borderId="49" xfId="1" applyFont="1" applyFill="1" applyBorder="1" applyAlignment="1">
      <alignment horizontal="center"/>
    </xf>
    <xf numFmtId="166" fontId="59" fillId="27" borderId="49" xfId="1" applyFont="1" applyFill="1" applyBorder="1" applyAlignment="1">
      <alignment horizontal="center"/>
    </xf>
    <xf numFmtId="0" fontId="69" fillId="9" borderId="48" xfId="0" applyFont="1" applyFill="1" applyBorder="1"/>
    <xf numFmtId="166" fontId="59" fillId="0" borderId="48" xfId="1" applyFont="1" applyFill="1" applyBorder="1" applyAlignment="1">
      <alignment horizontal="center" vertical="center" wrapText="1"/>
    </xf>
    <xf numFmtId="166" fontId="59" fillId="9" borderId="49" xfId="1" applyFont="1" applyFill="1" applyBorder="1" applyAlignment="1">
      <alignment horizontal="center"/>
    </xf>
    <xf numFmtId="166" fontId="59" fillId="0" borderId="48" xfId="1" applyFont="1" applyFill="1" applyBorder="1" applyAlignment="1">
      <alignment horizontal="center" vertical="center"/>
    </xf>
    <xf numFmtId="166" fontId="59" fillId="27" borderId="48" xfId="1" applyFont="1" applyFill="1" applyBorder="1" applyAlignment="1">
      <alignment horizontal="center" vertical="center"/>
    </xf>
    <xf numFmtId="0" fontId="70" fillId="9" borderId="48" xfId="0" applyFont="1" applyFill="1" applyBorder="1" applyAlignment="1">
      <alignment vertical="center"/>
    </xf>
    <xf numFmtId="166" fontId="59" fillId="9" borderId="47" xfId="1" applyFont="1" applyFill="1" applyBorder="1" applyAlignment="1">
      <alignment horizontal="center"/>
    </xf>
    <xf numFmtId="166" fontId="69" fillId="9" borderId="47" xfId="1" applyFont="1" applyFill="1" applyBorder="1" applyAlignment="1">
      <alignment horizontal="center"/>
    </xf>
    <xf numFmtId="166" fontId="59" fillId="0" borderId="47" xfId="1" applyFont="1" applyFill="1" applyBorder="1" applyAlignment="1">
      <alignment horizontal="center"/>
    </xf>
    <xf numFmtId="166" fontId="59" fillId="31" borderId="48" xfId="1" applyFont="1" applyFill="1" applyBorder="1" applyAlignment="1">
      <alignment horizontal="center"/>
    </xf>
    <xf numFmtId="166" fontId="59" fillId="19" borderId="48" xfId="1" applyFont="1" applyFill="1" applyBorder="1" applyAlignment="1">
      <alignment horizontal="center"/>
    </xf>
    <xf numFmtId="166" fontId="59" fillId="17" borderId="48" xfId="1" applyFont="1" applyFill="1" applyBorder="1" applyAlignment="1">
      <alignment horizontal="center"/>
    </xf>
    <xf numFmtId="166" fontId="56" fillId="0" borderId="48" xfId="1" applyFont="1" applyFill="1" applyBorder="1" applyAlignment="1">
      <alignment horizontal="center"/>
    </xf>
    <xf numFmtId="166" fontId="56" fillId="13" borderId="48" xfId="1" applyFont="1" applyFill="1" applyBorder="1" applyAlignment="1">
      <alignment horizontal="center"/>
    </xf>
    <xf numFmtId="0" fontId="51" fillId="13" borderId="1" xfId="0" applyFont="1" applyFill="1" applyBorder="1"/>
    <xf numFmtId="0" fontId="57" fillId="27" borderId="1" xfId="0" applyFont="1" applyFill="1" applyBorder="1" applyAlignment="1">
      <alignment horizontal="left" vertical="center"/>
    </xf>
    <xf numFmtId="0" fontId="59" fillId="27" borderId="23" xfId="0" applyFont="1" applyFill="1" applyBorder="1" applyAlignment="1">
      <alignment wrapText="1"/>
    </xf>
    <xf numFmtId="0" fontId="61" fillId="9" borderId="23" xfId="0" applyFont="1" applyFill="1" applyBorder="1" applyAlignment="1">
      <alignment horizontal="center"/>
    </xf>
    <xf numFmtId="0" fontId="69" fillId="9" borderId="0" xfId="0" applyFont="1" applyFill="1" applyAlignment="1">
      <alignment horizontal="center"/>
    </xf>
    <xf numFmtId="0" fontId="61" fillId="17" borderId="0" xfId="0" applyFont="1" applyFill="1" applyAlignment="1">
      <alignment horizontal="center"/>
    </xf>
    <xf numFmtId="0" fontId="69" fillId="0" borderId="1" xfId="0" applyFont="1" applyBorder="1" applyAlignment="1">
      <alignment horizontal="left" vertical="center" wrapText="1"/>
    </xf>
    <xf numFmtId="166" fontId="59" fillId="0" borderId="1" xfId="1" applyFont="1" applyFill="1" applyBorder="1" applyAlignment="1">
      <alignment horizontal="left" vertical="center" wrapText="1"/>
    </xf>
    <xf numFmtId="0" fontId="113" fillId="0" borderId="1" xfId="0" applyFont="1" applyBorder="1" applyAlignment="1">
      <alignment horizontal="center" vertical="center" wrapText="1"/>
    </xf>
    <xf numFmtId="0" fontId="51" fillId="27" borderId="1" xfId="0" applyFont="1" applyFill="1" applyBorder="1" applyAlignment="1">
      <alignment horizontal="left" vertical="center"/>
    </xf>
    <xf numFmtId="0" fontId="51" fillId="27" borderId="1" xfId="0" applyFont="1" applyFill="1" applyBorder="1" applyAlignment="1">
      <alignment horizontal="left"/>
    </xf>
    <xf numFmtId="0" fontId="57" fillId="0" borderId="1" xfId="0" applyFont="1" applyBorder="1" applyAlignment="1">
      <alignment horizontal="left" wrapText="1"/>
    </xf>
    <xf numFmtId="166" fontId="69" fillId="0" borderId="23" xfId="1" applyFont="1" applyFill="1" applyBorder="1" applyAlignment="1">
      <alignment horizontal="center"/>
    </xf>
    <xf numFmtId="0" fontId="56" fillId="0" borderId="100" xfId="0" applyFont="1" applyBorder="1" applyAlignment="1">
      <alignment horizontal="center" vertical="center"/>
    </xf>
    <xf numFmtId="0" fontId="56" fillId="20" borderId="100" xfId="0" applyFont="1" applyFill="1" applyBorder="1" applyAlignment="1">
      <alignment horizontal="center" vertical="center"/>
    </xf>
    <xf numFmtId="0" fontId="77" fillId="0" borderId="0" xfId="0" applyFont="1" applyAlignment="1">
      <alignment horizontal="center" vertical="center"/>
    </xf>
    <xf numFmtId="0" fontId="55" fillId="0" borderId="0" xfId="0" applyFont="1" applyAlignment="1">
      <alignment horizontal="center"/>
    </xf>
    <xf numFmtId="0" fontId="68" fillId="0" borderId="0" xfId="0" applyFont="1" applyAlignment="1">
      <alignment horizontal="center"/>
    </xf>
    <xf numFmtId="0" fontId="71" fillId="0" borderId="0" xfId="0" applyFont="1" applyAlignment="1">
      <alignment horizontal="center"/>
    </xf>
    <xf numFmtId="2" fontId="51" fillId="0" borderId="0" xfId="0" applyNumberFormat="1" applyFont="1"/>
    <xf numFmtId="0" fontId="56" fillId="20" borderId="23" xfId="0" applyFont="1" applyFill="1" applyBorder="1" applyAlignment="1">
      <alignment horizontal="center" textRotation="45"/>
    </xf>
    <xf numFmtId="0" fontId="56" fillId="20" borderId="13" xfId="0" applyFont="1" applyFill="1" applyBorder="1" applyAlignment="1">
      <alignment horizontal="center" vertical="center"/>
    </xf>
    <xf numFmtId="0" fontId="56" fillId="28" borderId="5" xfId="0" applyFont="1" applyFill="1" applyBorder="1" applyAlignment="1">
      <alignment horizontal="center" textRotation="45"/>
    </xf>
    <xf numFmtId="0" fontId="114" fillId="28" borderId="23" xfId="0" applyFont="1" applyFill="1" applyBorder="1" applyAlignment="1">
      <alignment horizontal="center" textRotation="45"/>
    </xf>
    <xf numFmtId="0" fontId="56" fillId="28" borderId="36" xfId="0" applyFont="1" applyFill="1" applyBorder="1" applyAlignment="1">
      <alignment horizontal="center" vertical="center"/>
    </xf>
    <xf numFmtId="0" fontId="114" fillId="42" borderId="23" xfId="0" applyFont="1" applyFill="1" applyBorder="1" applyAlignment="1">
      <alignment horizontal="center" textRotation="45"/>
    </xf>
    <xf numFmtId="0" fontId="56" fillId="42" borderId="23" xfId="0" applyFont="1" applyFill="1" applyBorder="1" applyAlignment="1">
      <alignment horizontal="center" vertical="center"/>
    </xf>
    <xf numFmtId="0" fontId="56" fillId="42" borderId="5" xfId="0" applyFont="1" applyFill="1" applyBorder="1" applyAlignment="1">
      <alignment horizontal="center" vertical="center"/>
    </xf>
    <xf numFmtId="0" fontId="56" fillId="42" borderId="2" xfId="0" applyFont="1" applyFill="1" applyBorder="1" applyAlignment="1">
      <alignment horizontal="center" vertical="center"/>
    </xf>
    <xf numFmtId="0" fontId="56" fillId="42" borderId="13" xfId="0" applyFont="1" applyFill="1" applyBorder="1" applyAlignment="1">
      <alignment horizontal="center" vertical="center"/>
    </xf>
    <xf numFmtId="0" fontId="56" fillId="0" borderId="0" xfId="0" applyFont="1" applyAlignment="1">
      <alignment horizontal="center" textRotation="45"/>
    </xf>
    <xf numFmtId="0" fontId="56" fillId="26" borderId="0" xfId="0" applyFont="1" applyFill="1" applyAlignment="1">
      <alignment horizontal="center" vertical="center"/>
    </xf>
    <xf numFmtId="0" fontId="58" fillId="30" borderId="1" xfId="0" applyFont="1" applyFill="1" applyBorder="1"/>
    <xf numFmtId="0" fontId="56" fillId="30" borderId="1" xfId="0" applyFont="1" applyFill="1" applyBorder="1" applyAlignment="1">
      <alignment horizontal="center"/>
    </xf>
    <xf numFmtId="0" fontId="56" fillId="0" borderId="101" xfId="0" applyFont="1" applyBorder="1" applyAlignment="1">
      <alignment horizontal="center" vertical="center"/>
    </xf>
    <xf numFmtId="0" fontId="56" fillId="0" borderId="69" xfId="0" applyFont="1" applyBorder="1" applyAlignment="1">
      <alignment horizontal="center" vertical="center" wrapText="1"/>
    </xf>
    <xf numFmtId="0" fontId="56" fillId="0" borderId="69" xfId="0" applyFont="1" applyBorder="1" applyAlignment="1">
      <alignment horizontal="center" textRotation="45" wrapText="1"/>
    </xf>
    <xf numFmtId="0" fontId="56" fillId="0" borderId="69" xfId="0" applyFont="1" applyBorder="1" applyAlignment="1">
      <alignment horizontal="center" textRotation="45"/>
    </xf>
    <xf numFmtId="0" fontId="56" fillId="0" borderId="40" xfId="0" applyFont="1" applyBorder="1" applyAlignment="1">
      <alignment horizontal="center" textRotation="45"/>
    </xf>
    <xf numFmtId="0" fontId="56" fillId="0" borderId="102" xfId="0" applyFont="1" applyBorder="1" applyAlignment="1">
      <alignment horizontal="center" textRotation="45"/>
    </xf>
    <xf numFmtId="0" fontId="84" fillId="0" borderId="69" xfId="0" applyFont="1" applyBorder="1" applyAlignment="1">
      <alignment horizontal="center" textRotation="45"/>
    </xf>
    <xf numFmtId="0" fontId="56" fillId="40" borderId="40" xfId="0" applyFont="1" applyFill="1" applyBorder="1" applyAlignment="1">
      <alignment horizontal="center" textRotation="45"/>
    </xf>
    <xf numFmtId="0" fontId="56" fillId="40" borderId="69" xfId="0" applyFont="1" applyFill="1" applyBorder="1" applyAlignment="1">
      <alignment horizontal="center" textRotation="45"/>
    </xf>
    <xf numFmtId="0" fontId="56" fillId="40" borderId="69" xfId="0" applyFont="1" applyFill="1" applyBorder="1" applyAlignment="1">
      <alignment horizontal="center" vertical="center" textRotation="45"/>
    </xf>
    <xf numFmtId="0" fontId="26" fillId="34" borderId="96" xfId="0" applyFont="1" applyFill="1" applyBorder="1"/>
    <xf numFmtId="0" fontId="25" fillId="34" borderId="76" xfId="0" applyFont="1" applyFill="1" applyBorder="1" applyAlignment="1">
      <alignment horizontal="center"/>
    </xf>
    <xf numFmtId="0" fontId="56" fillId="34" borderId="12" xfId="0" applyFont="1" applyFill="1" applyBorder="1" applyAlignment="1">
      <alignment horizontal="center" vertical="center"/>
    </xf>
    <xf numFmtId="0" fontId="56" fillId="30" borderId="1" xfId="0" applyFont="1" applyFill="1" applyBorder="1" applyAlignment="1">
      <alignment horizontal="left" vertical="center"/>
    </xf>
    <xf numFmtId="0" fontId="56" fillId="40" borderId="1" xfId="0" applyFont="1" applyFill="1" applyBorder="1" applyAlignment="1">
      <alignment horizontal="center" vertical="center"/>
    </xf>
    <xf numFmtId="0" fontId="56" fillId="20" borderId="1" xfId="0" applyFont="1" applyFill="1" applyBorder="1" applyAlignment="1">
      <alignment horizontal="left" vertical="center"/>
    </xf>
    <xf numFmtId="0" fontId="56" fillId="16" borderId="69" xfId="0" applyFont="1" applyFill="1" applyBorder="1" applyAlignment="1">
      <alignment horizontal="center" textRotation="45"/>
    </xf>
    <xf numFmtId="0" fontId="56" fillId="16" borderId="40" xfId="0" applyFont="1" applyFill="1" applyBorder="1" applyAlignment="1">
      <alignment horizontal="center" textRotation="45"/>
    </xf>
    <xf numFmtId="0" fontId="56" fillId="16" borderId="1" xfId="0" applyFont="1" applyFill="1" applyBorder="1" applyAlignment="1">
      <alignment horizontal="center" vertical="center"/>
    </xf>
    <xf numFmtId="0" fontId="57" fillId="16" borderId="23" xfId="0" applyFont="1" applyFill="1" applyBorder="1" applyAlignment="1">
      <alignment horizontal="left" textRotation="45"/>
    </xf>
    <xf numFmtId="0" fontId="51" fillId="16" borderId="23" xfId="0" applyFont="1" applyFill="1" applyBorder="1" applyAlignment="1">
      <alignment horizontal="center" textRotation="45"/>
    </xf>
    <xf numFmtId="0" fontId="57" fillId="16" borderId="23" xfId="0" applyFont="1" applyFill="1" applyBorder="1" applyAlignment="1">
      <alignment horizontal="left" textRotation="45" wrapText="1"/>
    </xf>
    <xf numFmtId="0" fontId="23" fillId="16" borderId="2" xfId="0" applyFont="1" applyFill="1" applyBorder="1" applyAlignment="1">
      <alignment horizontal="center" vertical="center"/>
    </xf>
    <xf numFmtId="0" fontId="56" fillId="16" borderId="1" xfId="0" applyFont="1" applyFill="1" applyBorder="1" applyAlignment="1">
      <alignment horizontal="center"/>
    </xf>
    <xf numFmtId="0" fontId="56" fillId="16" borderId="24" xfId="0" applyFont="1" applyFill="1" applyBorder="1" applyAlignment="1">
      <alignment horizontal="center"/>
    </xf>
    <xf numFmtId="0" fontId="57" fillId="44" borderId="23" xfId="0" applyFont="1" applyFill="1" applyBorder="1" applyAlignment="1">
      <alignment horizontal="left" textRotation="45" wrapText="1"/>
    </xf>
    <xf numFmtId="0" fontId="57" fillId="44" borderId="23" xfId="0" applyFont="1" applyFill="1" applyBorder="1" applyAlignment="1">
      <alignment horizontal="left" textRotation="45"/>
    </xf>
    <xf numFmtId="0" fontId="56" fillId="44" borderId="1" xfId="0" applyFont="1" applyFill="1" applyBorder="1" applyAlignment="1">
      <alignment horizontal="center" vertical="center"/>
    </xf>
    <xf numFmtId="0" fontId="23" fillId="44" borderId="2" xfId="0" applyFont="1" applyFill="1" applyBorder="1" applyAlignment="1">
      <alignment horizontal="center" vertical="center"/>
    </xf>
    <xf numFmtId="0" fontId="56" fillId="44" borderId="24" xfId="0" applyFont="1" applyFill="1" applyBorder="1" applyAlignment="1">
      <alignment horizontal="center"/>
    </xf>
    <xf numFmtId="0" fontId="0" fillId="44" borderId="41" xfId="0" applyFill="1" applyBorder="1" applyAlignment="1">
      <alignment horizontal="center"/>
    </xf>
    <xf numFmtId="0" fontId="51" fillId="29" borderId="23" xfId="0" applyFont="1" applyFill="1" applyBorder="1" applyAlignment="1">
      <alignment horizontal="center" textRotation="45"/>
    </xf>
    <xf numFmtId="0" fontId="0" fillId="29" borderId="41" xfId="0" applyFill="1" applyBorder="1" applyAlignment="1">
      <alignment horizontal="center"/>
    </xf>
    <xf numFmtId="0" fontId="57" fillId="45" borderId="23" xfId="0" applyFont="1" applyFill="1" applyBorder="1" applyAlignment="1">
      <alignment horizontal="left" textRotation="45"/>
    </xf>
    <xf numFmtId="0" fontId="56" fillId="45" borderId="1" xfId="0" applyFont="1" applyFill="1" applyBorder="1" applyAlignment="1">
      <alignment horizontal="center" vertical="center"/>
    </xf>
    <xf numFmtId="0" fontId="56" fillId="45" borderId="24" xfId="0" applyFont="1" applyFill="1" applyBorder="1" applyAlignment="1">
      <alignment horizontal="center"/>
    </xf>
    <xf numFmtId="0" fontId="0" fillId="45" borderId="41" xfId="0" applyFill="1" applyBorder="1" applyAlignment="1">
      <alignment horizontal="center"/>
    </xf>
    <xf numFmtId="0" fontId="57" fillId="16" borderId="23" xfId="0" applyFont="1" applyFill="1" applyBorder="1" applyAlignment="1">
      <alignment horizontal="left" vertical="center"/>
    </xf>
    <xf numFmtId="0" fontId="59" fillId="16" borderId="1" xfId="0" applyFont="1" applyFill="1" applyBorder="1" applyAlignment="1">
      <alignment horizontal="center"/>
    </xf>
    <xf numFmtId="166" fontId="59" fillId="16" borderId="1" xfId="1" applyFont="1" applyFill="1" applyBorder="1" applyAlignment="1">
      <alignment horizontal="center"/>
    </xf>
    <xf numFmtId="173" fontId="51" fillId="0" borderId="0" xfId="0" applyNumberFormat="1" applyFont="1"/>
    <xf numFmtId="174" fontId="115" fillId="0" borderId="0" xfId="0" applyNumberFormat="1" applyFont="1"/>
    <xf numFmtId="0" fontId="51" fillId="0" borderId="0" xfId="0" applyFont="1" applyAlignment="1">
      <alignment horizontal="center" vertical="center"/>
    </xf>
    <xf numFmtId="166" fontId="51" fillId="0" borderId="0" xfId="1" applyFont="1" applyFill="1" applyBorder="1" applyAlignment="1">
      <alignment horizontal="center" vertical="center"/>
    </xf>
    <xf numFmtId="2" fontId="51" fillId="0" borderId="0" xfId="1" applyNumberFormat="1" applyFont="1" applyFill="1" applyAlignment="1">
      <alignment horizontal="center" vertical="center"/>
    </xf>
    <xf numFmtId="2" fontId="51" fillId="0" borderId="0" xfId="0" applyNumberFormat="1" applyFont="1" applyAlignment="1">
      <alignment horizontal="center" vertical="center"/>
    </xf>
    <xf numFmtId="0" fontId="116" fillId="0" borderId="23" xfId="0" applyFont="1" applyBorder="1" applyAlignment="1">
      <alignment horizontal="center" vertical="center"/>
    </xf>
    <xf numFmtId="0" fontId="116" fillId="0" borderId="1" xfId="0" applyFont="1" applyBorder="1" applyAlignment="1">
      <alignment horizontal="center" vertical="center"/>
    </xf>
    <xf numFmtId="0" fontId="116" fillId="0" borderId="28" xfId="0" applyFont="1" applyBorder="1" applyAlignment="1">
      <alignment horizontal="center" vertical="center"/>
    </xf>
    <xf numFmtId="0" fontId="117" fillId="0" borderId="103" xfId="19" applyFont="1" applyBorder="1"/>
    <xf numFmtId="0" fontId="117" fillId="0" borderId="1" xfId="0" applyFont="1" applyBorder="1"/>
    <xf numFmtId="0" fontId="117" fillId="0" borderId="1" xfId="0" applyFont="1" applyBorder="1" applyAlignment="1">
      <alignment horizontal="center"/>
    </xf>
    <xf numFmtId="0" fontId="117" fillId="0" borderId="0" xfId="0" applyFont="1"/>
    <xf numFmtId="0" fontId="82" fillId="0" borderId="15" xfId="0" applyFont="1" applyBorder="1" applyAlignment="1">
      <alignment horizontal="center" vertical="center"/>
    </xf>
    <xf numFmtId="166" fontId="69" fillId="0" borderId="15" xfId="0" applyNumberFormat="1" applyFont="1" applyBorder="1" applyAlignment="1">
      <alignment horizontal="center" vertical="center"/>
    </xf>
    <xf numFmtId="2" fontId="0" fillId="0" borderId="60" xfId="0" applyNumberFormat="1" applyBorder="1" applyAlignment="1">
      <alignment horizontal="center" vertical="center"/>
    </xf>
    <xf numFmtId="0" fontId="0" fillId="0" borderId="60" xfId="0" applyBorder="1" applyAlignment="1">
      <alignment horizontal="center" vertical="center"/>
    </xf>
    <xf numFmtId="0" fontId="37" fillId="0" borderId="1" xfId="0" applyFont="1" applyBorder="1" applyAlignment="1">
      <alignment horizontal="center" vertical="center"/>
    </xf>
    <xf numFmtId="0" fontId="15" fillId="0" borderId="1" xfId="0" applyFont="1" applyBorder="1" applyAlignment="1">
      <alignment horizontal="center"/>
    </xf>
    <xf numFmtId="0" fontId="15" fillId="0" borderId="0" xfId="0" applyFont="1"/>
    <xf numFmtId="0" fontId="15"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left"/>
    </xf>
    <xf numFmtId="0" fontId="15" fillId="0" borderId="79" xfId="0" applyFont="1" applyBorder="1"/>
    <xf numFmtId="0" fontId="15" fillId="0" borderId="80" xfId="0" applyFont="1" applyBorder="1" applyAlignment="1">
      <alignment horizontal="center" vertical="center"/>
    </xf>
    <xf numFmtId="44" fontId="15" fillId="0" borderId="0" xfId="0" applyNumberFormat="1" applyFont="1"/>
    <xf numFmtId="2" fontId="15" fillId="0" borderId="81" xfId="0" applyNumberFormat="1" applyFont="1" applyBorder="1" applyAlignment="1">
      <alignment horizontal="center" vertical="center"/>
    </xf>
    <xf numFmtId="0" fontId="15" fillId="13" borderId="1" xfId="0" applyFont="1" applyFill="1" applyBorder="1" applyAlignment="1">
      <alignment horizontal="center"/>
    </xf>
    <xf numFmtId="0" fontId="15" fillId="0" borderId="1" xfId="0" applyFont="1" applyBorder="1"/>
    <xf numFmtId="166" fontId="15" fillId="0" borderId="0" xfId="1" applyFont="1" applyFill="1" applyBorder="1" applyAlignment="1">
      <alignment horizontal="center"/>
    </xf>
    <xf numFmtId="0" fontId="15" fillId="0" borderId="0" xfId="0" applyFont="1" applyAlignment="1">
      <alignment horizontal="left" vertical="center"/>
    </xf>
    <xf numFmtId="0" fontId="15" fillId="0" borderId="0" xfId="0" applyFont="1" applyAlignment="1">
      <alignment vertical="center" wrapText="1"/>
    </xf>
    <xf numFmtId="0" fontId="15" fillId="0" borderId="69" xfId="0" applyFont="1" applyBorder="1" applyAlignment="1">
      <alignment horizontal="center" textRotation="45"/>
    </xf>
    <xf numFmtId="0" fontId="15" fillId="16" borderId="69" xfId="0" applyFont="1" applyFill="1" applyBorder="1" applyAlignment="1">
      <alignment horizontal="center" textRotation="45"/>
    </xf>
    <xf numFmtId="0" fontId="15" fillId="0" borderId="23" xfId="0" applyFont="1" applyBorder="1" applyAlignment="1">
      <alignment horizontal="center" textRotation="45"/>
    </xf>
    <xf numFmtId="0" fontId="15" fillId="16" borderId="1" xfId="0" applyFont="1" applyFill="1" applyBorder="1" applyAlignment="1">
      <alignment horizontal="center"/>
    </xf>
    <xf numFmtId="0" fontId="15" fillId="29" borderId="1" xfId="0" applyFont="1" applyFill="1" applyBorder="1" applyAlignment="1">
      <alignment horizontal="center"/>
    </xf>
    <xf numFmtId="0" fontId="15" fillId="45" borderId="1" xfId="0" applyFont="1" applyFill="1" applyBorder="1" applyAlignment="1">
      <alignment horizontal="center"/>
    </xf>
    <xf numFmtId="0" fontId="15" fillId="16" borderId="24" xfId="0" applyFont="1" applyFill="1" applyBorder="1" applyAlignment="1">
      <alignment horizontal="center"/>
    </xf>
    <xf numFmtId="0" fontId="15" fillId="44" borderId="24" xfId="0" applyFont="1" applyFill="1" applyBorder="1" applyAlignment="1">
      <alignment horizontal="center"/>
    </xf>
    <xf numFmtId="0" fontId="15" fillId="29" borderId="24" xfId="0" applyFont="1" applyFill="1" applyBorder="1" applyAlignment="1">
      <alignment horizontal="center"/>
    </xf>
    <xf numFmtId="0" fontId="15" fillId="45" borderId="24" xfId="0" applyFont="1" applyFill="1" applyBorder="1" applyAlignment="1">
      <alignment horizontal="center"/>
    </xf>
    <xf numFmtId="0" fontId="15" fillId="0" borderId="24" xfId="0" applyFont="1" applyBorder="1" applyAlignment="1">
      <alignment horizontal="center"/>
    </xf>
    <xf numFmtId="0" fontId="15" fillId="0" borderId="1" xfId="0" applyFont="1" applyBorder="1" applyAlignment="1">
      <alignment horizontal="center" textRotation="45"/>
    </xf>
    <xf numFmtId="0" fontId="15" fillId="0" borderId="0" xfId="0" applyFont="1" applyAlignment="1">
      <alignment horizontal="center" textRotation="45"/>
    </xf>
    <xf numFmtId="0" fontId="15" fillId="0" borderId="1" xfId="0" applyFont="1" applyBorder="1" applyAlignment="1">
      <alignment horizontal="center" vertical="center" textRotation="45"/>
    </xf>
    <xf numFmtId="0" fontId="15" fillId="0" borderId="0" xfId="0" applyFont="1" applyAlignment="1">
      <alignment horizontal="center" vertical="center" textRotation="45"/>
    </xf>
    <xf numFmtId="0" fontId="15" fillId="0" borderId="23" xfId="0" applyFont="1" applyBorder="1" applyAlignment="1">
      <alignment horizontal="center" vertical="center" textRotation="45"/>
    </xf>
    <xf numFmtId="0" fontId="15" fillId="0" borderId="47" xfId="0" applyFont="1" applyBorder="1" applyAlignment="1">
      <alignment horizontal="center" vertical="center" textRotation="45" wrapText="1"/>
    </xf>
    <xf numFmtId="0" fontId="15" fillId="0" borderId="5" xfId="0" applyFont="1" applyBorder="1" applyAlignment="1">
      <alignment horizontal="center" vertical="center" textRotation="45"/>
    </xf>
    <xf numFmtId="0" fontId="15" fillId="0" borderId="5" xfId="0" applyFont="1" applyBorder="1" applyAlignment="1">
      <alignment horizontal="center" vertical="center" textRotation="44"/>
    </xf>
    <xf numFmtId="0" fontId="15" fillId="0" borderId="47" xfId="0" applyFont="1" applyBorder="1" applyAlignment="1">
      <alignment horizontal="center" vertical="center" textRotation="45"/>
    </xf>
    <xf numFmtId="0" fontId="15" fillId="17" borderId="23" xfId="0" applyFont="1" applyFill="1" applyBorder="1" applyAlignment="1">
      <alignment horizontal="center" vertical="center" textRotation="45"/>
    </xf>
    <xf numFmtId="0" fontId="15" fillId="0" borderId="5" xfId="0" applyFont="1" applyBorder="1" applyAlignment="1">
      <alignment vertical="center" textRotation="45"/>
    </xf>
    <xf numFmtId="0" fontId="15" fillId="0" borderId="0" xfId="0" applyFont="1" applyAlignment="1">
      <alignment horizontal="center" vertical="center" wrapText="1"/>
    </xf>
    <xf numFmtId="0" fontId="15" fillId="0" borderId="9" xfId="0" applyFont="1" applyBorder="1" applyAlignment="1">
      <alignment horizontal="left" vertical="center"/>
    </xf>
    <xf numFmtId="0" fontId="15" fillId="26" borderId="1" xfId="0" applyFont="1" applyFill="1" applyBorder="1" applyAlignment="1">
      <alignment horizontal="center" textRotation="45"/>
    </xf>
    <xf numFmtId="0" fontId="15" fillId="26" borderId="1" xfId="0" applyFont="1" applyFill="1" applyBorder="1" applyAlignment="1">
      <alignment horizontal="center" vertical="center" textRotation="45"/>
    </xf>
    <xf numFmtId="0" fontId="15" fillId="0" borderId="23" xfId="0" applyFont="1" applyBorder="1" applyAlignment="1">
      <alignment horizontal="center" vertical="center" textRotation="45" wrapText="1"/>
    </xf>
    <xf numFmtId="174" fontId="15" fillId="0" borderId="0" xfId="0" applyNumberFormat="1" applyFont="1"/>
    <xf numFmtId="0" fontId="15" fillId="26" borderId="0" xfId="0" applyFont="1" applyFill="1" applyAlignment="1">
      <alignment horizontal="center" vertical="center" textRotation="45"/>
    </xf>
    <xf numFmtId="0" fontId="15" fillId="26" borderId="1" xfId="0" applyFont="1" applyFill="1" applyBorder="1" applyAlignment="1">
      <alignment horizontal="center"/>
    </xf>
    <xf numFmtId="16" fontId="15" fillId="0" borderId="0" xfId="0" applyNumberFormat="1" applyFont="1" applyAlignment="1">
      <alignment horizontal="center" vertical="center" wrapText="1"/>
    </xf>
    <xf numFmtId="0" fontId="15" fillId="0" borderId="57" xfId="0" applyFont="1" applyBorder="1" applyAlignment="1">
      <alignment horizontal="center" vertical="center"/>
    </xf>
    <xf numFmtId="0" fontId="14" fillId="0" borderId="69" xfId="0" applyFont="1" applyBorder="1" applyAlignment="1">
      <alignment horizontal="center" textRotation="45"/>
    </xf>
    <xf numFmtId="44" fontId="15" fillId="0" borderId="1" xfId="0" applyNumberFormat="1" applyFont="1" applyBorder="1"/>
    <xf numFmtId="0" fontId="13" fillId="0" borderId="9" xfId="0" applyFont="1" applyBorder="1" applyAlignment="1">
      <alignment horizontal="left" vertical="center"/>
    </xf>
    <xf numFmtId="0" fontId="74" fillId="26" borderId="1" xfId="0" applyFont="1" applyFill="1" applyBorder="1" applyAlignment="1">
      <alignment horizontal="left"/>
    </xf>
    <xf numFmtId="0" fontId="34" fillId="26" borderId="1" xfId="0" applyFont="1" applyFill="1" applyBorder="1" applyAlignment="1">
      <alignment horizontal="left"/>
    </xf>
    <xf numFmtId="0" fontId="34" fillId="26" borderId="0" xfId="0" applyFont="1" applyFill="1"/>
    <xf numFmtId="0" fontId="73" fillId="26" borderId="1" xfId="0" applyFont="1" applyFill="1" applyBorder="1"/>
    <xf numFmtId="0" fontId="35" fillId="26" borderId="1" xfId="0" applyFont="1" applyFill="1" applyBorder="1"/>
    <xf numFmtId="0" fontId="59" fillId="0" borderId="85" xfId="0" applyFont="1" applyBorder="1" applyAlignment="1">
      <alignment vertical="center" wrapText="1"/>
    </xf>
    <xf numFmtId="0" fontId="35" fillId="26" borderId="0" xfId="0" applyFont="1" applyFill="1"/>
    <xf numFmtId="0" fontId="75" fillId="26" borderId="1" xfId="0" applyFont="1" applyFill="1" applyBorder="1" applyAlignment="1">
      <alignment horizontal="left"/>
    </xf>
    <xf numFmtId="0" fontId="96" fillId="0" borderId="1" xfId="11" applyBorder="1"/>
    <xf numFmtId="0" fontId="122" fillId="0" borderId="1" xfId="0" applyFont="1" applyBorder="1" applyAlignment="1">
      <alignment horizontal="center" vertical="center" wrapText="1"/>
    </xf>
    <xf numFmtId="0" fontId="12" fillId="26" borderId="1" xfId="0" applyFont="1" applyFill="1" applyBorder="1" applyAlignment="1">
      <alignment horizontal="center" textRotation="45"/>
    </xf>
    <xf numFmtId="0" fontId="12" fillId="0" borderId="0" xfId="0" applyFont="1" applyAlignment="1">
      <alignment horizontal="center" vertical="center" textRotation="45"/>
    </xf>
    <xf numFmtId="0" fontId="0" fillId="0" borderId="1" xfId="0" applyBorder="1" applyAlignment="1">
      <alignment textRotation="45"/>
    </xf>
    <xf numFmtId="166" fontId="59" fillId="0" borderId="1" xfId="0" applyNumberFormat="1" applyFont="1" applyBorder="1" applyAlignment="1">
      <alignment horizontal="left"/>
    </xf>
    <xf numFmtId="0" fontId="11" fillId="0" borderId="1" xfId="0" applyFont="1" applyBorder="1" applyAlignment="1">
      <alignment textRotation="45"/>
    </xf>
    <xf numFmtId="0" fontId="10" fillId="0" borderId="1" xfId="0" applyFont="1" applyBorder="1" applyAlignment="1">
      <alignment textRotation="45"/>
    </xf>
    <xf numFmtId="0" fontId="0" fillId="46" borderId="1" xfId="0" applyFill="1" applyBorder="1" applyAlignment="1">
      <alignment textRotation="45"/>
    </xf>
    <xf numFmtId="0" fontId="9" fillId="26" borderId="1" xfId="0" applyFont="1" applyFill="1" applyBorder="1" applyAlignment="1">
      <alignment horizontal="center" textRotation="45"/>
    </xf>
    <xf numFmtId="0" fontId="9" fillId="0" borderId="1" xfId="0" applyFont="1" applyBorder="1" applyAlignment="1">
      <alignment horizontal="center" vertical="center" textRotation="45"/>
    </xf>
    <xf numFmtId="16" fontId="8" fillId="0" borderId="0" xfId="0" applyNumberFormat="1" applyFont="1" applyAlignment="1">
      <alignment horizontal="center"/>
    </xf>
    <xf numFmtId="0" fontId="7" fillId="0" borderId="0" xfId="0" applyFont="1"/>
    <xf numFmtId="0" fontId="5" fillId="26" borderId="1" xfId="0" applyFont="1" applyFill="1" applyBorder="1" applyAlignment="1">
      <alignment horizontal="center" textRotation="45"/>
    </xf>
    <xf numFmtId="2" fontId="0" fillId="0" borderId="0" xfId="0" applyNumberFormat="1"/>
    <xf numFmtId="2" fontId="0" fillId="0" borderId="0" xfId="0" applyNumberFormat="1" applyAlignment="1">
      <alignment horizontal="center"/>
    </xf>
    <xf numFmtId="0" fontId="4" fillId="0" borderId="0" xfId="0" applyFont="1"/>
    <xf numFmtId="0" fontId="3" fillId="0" borderId="1" xfId="0" applyFont="1" applyBorder="1" applyAlignment="1">
      <alignment horizontal="center" vertical="center" textRotation="45"/>
    </xf>
    <xf numFmtId="0" fontId="2" fillId="0" borderId="0" xfId="0" applyFont="1"/>
    <xf numFmtId="16" fontId="8" fillId="34" borderId="0" xfId="0" applyNumberFormat="1" applyFont="1" applyFill="1" applyAlignment="1">
      <alignment horizontal="center"/>
    </xf>
    <xf numFmtId="0" fontId="2" fillId="34" borderId="0" xfId="0" applyFont="1" applyFill="1"/>
    <xf numFmtId="0" fontId="0" fillId="34" borderId="0" xfId="0" applyFill="1" applyAlignment="1">
      <alignment horizontal="center"/>
    </xf>
    <xf numFmtId="0" fontId="0" fillId="34" borderId="0" xfId="0" applyFill="1"/>
    <xf numFmtId="0" fontId="91" fillId="0" borderId="79" xfId="0" applyFont="1" applyBorder="1" applyAlignment="1">
      <alignment horizontal="center" vertical="center" wrapText="1"/>
    </xf>
    <xf numFmtId="0" fontId="91" fillId="0" borderId="80" xfId="0" applyFont="1" applyBorder="1" applyAlignment="1">
      <alignment horizontal="center" vertical="center" wrapText="1"/>
    </xf>
    <xf numFmtId="0" fontId="92" fillId="15" borderId="79" xfId="0" applyFont="1" applyFill="1" applyBorder="1" applyAlignment="1">
      <alignment horizontal="center" vertical="center" wrapText="1"/>
    </xf>
    <xf numFmtId="0" fontId="92" fillId="15" borderId="80" xfId="0" applyFont="1" applyFill="1" applyBorder="1" applyAlignment="1">
      <alignment horizontal="center" vertical="center" wrapText="1"/>
    </xf>
    <xf numFmtId="0" fontId="92" fillId="22" borderId="79" xfId="0" applyFont="1" applyFill="1" applyBorder="1" applyAlignment="1">
      <alignment horizontal="center" vertical="center" wrapText="1"/>
    </xf>
    <xf numFmtId="0" fontId="92" fillId="22" borderId="80" xfId="0" applyFont="1" applyFill="1" applyBorder="1" applyAlignment="1">
      <alignment horizontal="center" vertical="center" wrapText="1"/>
    </xf>
    <xf numFmtId="2" fontId="51" fillId="0" borderId="84" xfId="0" applyNumberFormat="1" applyFont="1" applyBorder="1" applyAlignment="1">
      <alignment horizontal="center" vertical="center"/>
    </xf>
    <xf numFmtId="0" fontId="51" fillId="0" borderId="84" xfId="0" applyFont="1" applyBorder="1" applyAlignment="1">
      <alignment horizontal="center" vertical="center"/>
    </xf>
    <xf numFmtId="0" fontId="69" fillId="0" borderId="48" xfId="0" applyFont="1" applyBorder="1" applyAlignment="1">
      <alignment horizontal="center" vertical="center" wrapText="1"/>
    </xf>
    <xf numFmtId="0" fontId="69" fillId="0" borderId="85" xfId="0" applyFont="1" applyBorder="1" applyAlignment="1">
      <alignment horizontal="center" vertical="center" wrapText="1"/>
    </xf>
    <xf numFmtId="0" fontId="69" fillId="0" borderId="42" xfId="0" applyFont="1" applyBorder="1" applyAlignment="1">
      <alignment horizontal="center" vertical="center" wrapText="1"/>
    </xf>
    <xf numFmtId="166" fontId="60" fillId="0" borderId="48" xfId="1" applyFont="1" applyBorder="1" applyAlignment="1">
      <alignment horizontal="center" vertical="center" wrapText="1"/>
    </xf>
    <xf numFmtId="166" fontId="60" fillId="0" borderId="42" xfId="1" applyFont="1" applyBorder="1" applyAlignment="1">
      <alignment horizontal="center" vertical="center" wrapText="1"/>
    </xf>
    <xf numFmtId="0" fontId="69" fillId="0" borderId="14" xfId="0" applyFont="1" applyBorder="1" applyAlignment="1">
      <alignment horizontal="center" vertical="center" wrapText="1"/>
    </xf>
    <xf numFmtId="0" fontId="69" fillId="0" borderId="15" xfId="0" applyFont="1" applyBorder="1" applyAlignment="1">
      <alignment horizontal="center" vertical="center" wrapText="1"/>
    </xf>
    <xf numFmtId="0" fontId="69" fillId="0" borderId="22" xfId="0" applyFont="1" applyBorder="1" applyAlignment="1">
      <alignment horizontal="center" vertical="center" wrapText="1"/>
    </xf>
    <xf numFmtId="0" fontId="82" fillId="0" borderId="14" xfId="0" applyFont="1" applyBorder="1" applyAlignment="1">
      <alignment horizontal="center" vertical="center"/>
    </xf>
    <xf numFmtId="0" fontId="82" fillId="0" borderId="15" xfId="0" applyFont="1" applyBorder="1" applyAlignment="1">
      <alignment horizontal="center" vertical="center"/>
    </xf>
    <xf numFmtId="166" fontId="69" fillId="0" borderId="15" xfId="0" applyNumberFormat="1" applyFont="1" applyBorder="1" applyAlignment="1">
      <alignment horizontal="center" vertical="center"/>
    </xf>
    <xf numFmtId="0" fontId="69" fillId="0" borderId="22" xfId="0" applyFont="1" applyBorder="1" applyAlignment="1">
      <alignment horizontal="center" vertical="center"/>
    </xf>
    <xf numFmtId="166" fontId="69" fillId="0" borderId="22" xfId="0" applyNumberFormat="1" applyFont="1" applyBorder="1" applyAlignment="1">
      <alignment horizontal="center" vertical="center"/>
    </xf>
    <xf numFmtId="0" fontId="86" fillId="0" borderId="14" xfId="0" applyFont="1" applyBorder="1" applyAlignment="1">
      <alignment horizontal="center" vertical="center" wrapText="1"/>
    </xf>
    <xf numFmtId="0" fontId="86" fillId="0" borderId="15" xfId="0" applyFont="1" applyBorder="1" applyAlignment="1">
      <alignment horizontal="center" vertical="center" wrapText="1"/>
    </xf>
    <xf numFmtId="0" fontId="86" fillId="0" borderId="22" xfId="0" applyFont="1" applyBorder="1" applyAlignment="1">
      <alignment horizontal="center" vertical="center" wrapText="1"/>
    </xf>
    <xf numFmtId="0" fontId="69" fillId="0" borderId="56" xfId="0" applyFont="1" applyBorder="1" applyAlignment="1">
      <alignment horizontal="center" vertical="center" wrapText="1"/>
    </xf>
    <xf numFmtId="0" fontId="69" fillId="0" borderId="57" xfId="0" applyFont="1" applyBorder="1" applyAlignment="1">
      <alignment horizontal="center" vertical="center" wrapText="1"/>
    </xf>
    <xf numFmtId="0" fontId="69" fillId="0" borderId="58" xfId="0" applyFont="1" applyBorder="1" applyAlignment="1">
      <alignment horizontal="center" vertical="center" wrapText="1"/>
    </xf>
    <xf numFmtId="0" fontId="60" fillId="0" borderId="14" xfId="0" applyFont="1" applyBorder="1" applyAlignment="1">
      <alignment horizontal="left" vertical="center" wrapText="1"/>
    </xf>
    <xf numFmtId="0" fontId="60" fillId="0" borderId="15" xfId="0" applyFont="1" applyBorder="1" applyAlignment="1">
      <alignment horizontal="left" vertical="center" wrapText="1"/>
    </xf>
    <xf numFmtId="166" fontId="85" fillId="0" borderId="15" xfId="1" applyFont="1" applyFill="1" applyBorder="1" applyAlignment="1">
      <alignment horizontal="center" vertical="center" wrapText="1"/>
    </xf>
    <xf numFmtId="166" fontId="85" fillId="0" borderId="22" xfId="1" applyFont="1" applyFill="1" applyBorder="1" applyAlignment="1">
      <alignment horizontal="center" vertical="center" wrapText="1"/>
    </xf>
    <xf numFmtId="166" fontId="81" fillId="21" borderId="15" xfId="1" applyFont="1" applyFill="1" applyBorder="1" applyAlignment="1">
      <alignment horizontal="center" vertical="center" wrapText="1"/>
    </xf>
    <xf numFmtId="166" fontId="81" fillId="21" borderId="22" xfId="1" applyFont="1" applyFill="1" applyBorder="1" applyAlignment="1">
      <alignment horizontal="center" vertical="center" wrapText="1"/>
    </xf>
    <xf numFmtId="0" fontId="69" fillId="19" borderId="14" xfId="0" applyFont="1" applyFill="1" applyBorder="1" applyAlignment="1">
      <alignment vertical="center" wrapText="1"/>
    </xf>
    <xf numFmtId="0" fontId="69" fillId="19" borderId="15" xfId="0" applyFont="1" applyFill="1" applyBorder="1" applyAlignment="1">
      <alignment vertical="center" wrapText="1"/>
    </xf>
    <xf numFmtId="0" fontId="60" fillId="21" borderId="14" xfId="0" applyFont="1" applyFill="1" applyBorder="1" applyAlignment="1">
      <alignment horizontal="left" vertical="center" wrapText="1"/>
    </xf>
    <xf numFmtId="0" fontId="60" fillId="21" borderId="15" xfId="0" applyFont="1" applyFill="1" applyBorder="1" applyAlignment="1">
      <alignment horizontal="left" vertical="center" wrapText="1"/>
    </xf>
    <xf numFmtId="166" fontId="87" fillId="19" borderId="15" xfId="1" applyFont="1" applyFill="1" applyBorder="1" applyAlignment="1">
      <alignment horizontal="center" vertical="center" wrapText="1"/>
    </xf>
    <xf numFmtId="166" fontId="87" fillId="19" borderId="22" xfId="1" applyFont="1" applyFill="1" applyBorder="1" applyAlignment="1">
      <alignment horizontal="center" vertical="center" wrapText="1"/>
    </xf>
    <xf numFmtId="0" fontId="26" fillId="0" borderId="14" xfId="0" applyFont="1" applyBorder="1" applyAlignment="1">
      <alignment horizontal="center"/>
    </xf>
    <xf numFmtId="0" fontId="26" fillId="0" borderId="15" xfId="0" applyFont="1" applyBorder="1" applyAlignment="1">
      <alignment horizontal="center"/>
    </xf>
    <xf numFmtId="0" fontId="26" fillId="0" borderId="22" xfId="0" applyFont="1" applyBorder="1" applyAlignment="1">
      <alignment horizontal="center"/>
    </xf>
    <xf numFmtId="0" fontId="70" fillId="0" borderId="14" xfId="0" applyFont="1" applyBorder="1" applyAlignment="1">
      <alignment horizontal="center" vertical="center"/>
    </xf>
    <xf numFmtId="0" fontId="70" fillId="0" borderId="15" xfId="0" applyFont="1" applyBorder="1" applyAlignment="1">
      <alignment horizontal="center" vertical="center"/>
    </xf>
    <xf numFmtId="0" fontId="70" fillId="0" borderId="22" xfId="0" applyFont="1" applyBorder="1" applyAlignment="1">
      <alignment horizontal="center" vertical="center"/>
    </xf>
    <xf numFmtId="0" fontId="70" fillId="0" borderId="57" xfId="0" applyFont="1" applyBorder="1" applyAlignment="1">
      <alignment horizontal="center" vertical="center"/>
    </xf>
    <xf numFmtId="0" fontId="70" fillId="0" borderId="58" xfId="0" applyFont="1" applyBorder="1" applyAlignment="1">
      <alignment horizontal="center" vertical="center"/>
    </xf>
    <xf numFmtId="0" fontId="26" fillId="37" borderId="56" xfId="0" applyFont="1" applyFill="1" applyBorder="1" applyAlignment="1">
      <alignment horizontal="center"/>
    </xf>
    <xf numFmtId="0" fontId="26" fillId="37" borderId="57" xfId="0" applyFont="1" applyFill="1" applyBorder="1" applyAlignment="1">
      <alignment horizontal="center"/>
    </xf>
    <xf numFmtId="0" fontId="26" fillId="37" borderId="58" xfId="0" applyFont="1" applyFill="1" applyBorder="1" applyAlignment="1">
      <alignment horizontal="center"/>
    </xf>
    <xf numFmtId="0" fontId="93" fillId="3" borderId="0" xfId="0" applyFont="1" applyFill="1" applyAlignment="1">
      <alignment horizontal="center" vertical="center"/>
    </xf>
    <xf numFmtId="0" fontId="70" fillId="0" borderId="6" xfId="0" applyFont="1" applyBorder="1" applyAlignment="1">
      <alignment horizontal="center" vertical="center"/>
    </xf>
    <xf numFmtId="0" fontId="70" fillId="0" borderId="7" xfId="0" applyFont="1" applyBorder="1" applyAlignment="1">
      <alignment horizontal="center" vertical="center"/>
    </xf>
    <xf numFmtId="0" fontId="70" fillId="0" borderId="17" xfId="0" applyFont="1" applyBorder="1" applyAlignment="1">
      <alignment horizontal="center" vertical="center"/>
    </xf>
    <xf numFmtId="0" fontId="70" fillId="37" borderId="48" xfId="0" applyFont="1" applyFill="1" applyBorder="1" applyAlignment="1">
      <alignment horizontal="center" vertical="center"/>
    </xf>
    <xf numFmtId="0" fontId="70" fillId="37" borderId="85" xfId="0" applyFont="1" applyFill="1" applyBorder="1" applyAlignment="1">
      <alignment horizontal="center" vertical="center"/>
    </xf>
    <xf numFmtId="0" fontId="70" fillId="37" borderId="77" xfId="0" applyFont="1" applyFill="1" applyBorder="1" applyAlignment="1">
      <alignment horizontal="center" vertical="center"/>
    </xf>
    <xf numFmtId="0" fontId="70" fillId="37" borderId="25" xfId="0" applyFont="1" applyFill="1" applyBorder="1" applyAlignment="1">
      <alignment horizontal="center" vertical="center"/>
    </xf>
    <xf numFmtId="0" fontId="70" fillId="0" borderId="90" xfId="0" applyFont="1" applyBorder="1" applyAlignment="1">
      <alignment horizontal="center" vertical="center"/>
    </xf>
    <xf numFmtId="0" fontId="26" fillId="0" borderId="56" xfId="0" applyFont="1" applyBorder="1" applyAlignment="1">
      <alignment horizontal="center"/>
    </xf>
    <xf numFmtId="0" fontId="26" fillId="0" borderId="57" xfId="0" applyFont="1" applyBorder="1" applyAlignment="1">
      <alignment horizontal="center"/>
    </xf>
    <xf numFmtId="0" fontId="26" fillId="0" borderId="6" xfId="0" applyFont="1" applyBorder="1" applyAlignment="1">
      <alignment horizontal="center"/>
    </xf>
    <xf numFmtId="0" fontId="26" fillId="0" borderId="7" xfId="0" applyFont="1" applyBorder="1" applyAlignment="1">
      <alignment horizontal="center"/>
    </xf>
    <xf numFmtId="0" fontId="26" fillId="0" borderId="17" xfId="0" applyFont="1" applyBorder="1" applyAlignment="1">
      <alignment horizontal="center"/>
    </xf>
    <xf numFmtId="0" fontId="26" fillId="0" borderId="65" xfId="0" applyFont="1" applyBorder="1" applyAlignment="1">
      <alignment horizontal="center"/>
    </xf>
    <xf numFmtId="0" fontId="26" fillId="0" borderId="66" xfId="0" applyFont="1" applyBorder="1" applyAlignment="1">
      <alignment horizontal="center"/>
    </xf>
    <xf numFmtId="0" fontId="26" fillId="0" borderId="90" xfId="0" applyFont="1" applyBorder="1" applyAlignment="1">
      <alignment horizontal="center"/>
    </xf>
    <xf numFmtId="0" fontId="26" fillId="26" borderId="6" xfId="0" applyFont="1" applyFill="1" applyBorder="1" applyAlignment="1">
      <alignment horizontal="center" vertical="center"/>
    </xf>
    <xf numFmtId="0" fontId="26" fillId="26" borderId="65" xfId="0" applyFont="1" applyFill="1" applyBorder="1" applyAlignment="1">
      <alignment horizontal="center" vertical="center"/>
    </xf>
    <xf numFmtId="0" fontId="26" fillId="26" borderId="66" xfId="0" applyFont="1" applyFill="1" applyBorder="1" applyAlignment="1">
      <alignment horizontal="center" vertical="center"/>
    </xf>
    <xf numFmtId="0" fontId="24" fillId="0" borderId="14" xfId="0" applyFont="1" applyBorder="1" applyAlignment="1">
      <alignment horizontal="center"/>
    </xf>
    <xf numFmtId="0" fontId="24" fillId="0" borderId="15" xfId="0" applyFont="1" applyBorder="1" applyAlignment="1">
      <alignment horizontal="center"/>
    </xf>
    <xf numFmtId="0" fontId="24" fillId="0" borderId="22" xfId="0" applyFont="1" applyBorder="1" applyAlignment="1">
      <alignment horizontal="center"/>
    </xf>
    <xf numFmtId="0" fontId="26" fillId="26" borderId="6" xfId="0" applyFont="1" applyFill="1" applyBorder="1" applyAlignment="1">
      <alignment horizontal="center"/>
    </xf>
    <xf numFmtId="0" fontId="26" fillId="26" borderId="65" xfId="0" applyFont="1" applyFill="1" applyBorder="1" applyAlignment="1">
      <alignment horizontal="center"/>
    </xf>
    <xf numFmtId="0" fontId="26" fillId="26" borderId="66" xfId="0" applyFont="1" applyFill="1" applyBorder="1" applyAlignment="1">
      <alignment horizontal="center"/>
    </xf>
    <xf numFmtId="0" fontId="26" fillId="26" borderId="7" xfId="0" applyFont="1" applyFill="1" applyBorder="1" applyAlignment="1">
      <alignment horizontal="center"/>
    </xf>
    <xf numFmtId="2" fontId="0" fillId="0" borderId="60" xfId="0" applyNumberFormat="1" applyBorder="1" applyAlignment="1">
      <alignment horizontal="center" vertical="center"/>
    </xf>
    <xf numFmtId="0" fontId="0" fillId="0" borderId="60" xfId="0" applyBorder="1" applyAlignment="1">
      <alignment horizontal="center" vertical="center"/>
    </xf>
    <xf numFmtId="0" fontId="26" fillId="0" borderId="56" xfId="0" applyFont="1" applyBorder="1" applyAlignment="1">
      <alignment horizontal="center" vertical="center"/>
    </xf>
    <xf numFmtId="0" fontId="26" fillId="0" borderId="57" xfId="0" applyFont="1" applyBorder="1" applyAlignment="1">
      <alignment horizontal="center" vertical="center"/>
    </xf>
    <xf numFmtId="0" fontId="26" fillId="0" borderId="58" xfId="0" applyFont="1" applyBorder="1" applyAlignment="1">
      <alignment horizontal="center" vertical="center"/>
    </xf>
    <xf numFmtId="0" fontId="15" fillId="0" borderId="14" xfId="0" applyFont="1" applyBorder="1" applyAlignment="1">
      <alignment horizontal="center" vertical="center"/>
    </xf>
    <xf numFmtId="0" fontId="0" fillId="0" borderId="15" xfId="0" applyBorder="1" applyAlignment="1">
      <alignment horizontal="center" vertical="center"/>
    </xf>
    <xf numFmtId="0" fontId="0" fillId="0" borderId="22" xfId="0" applyBorder="1" applyAlignment="1">
      <alignment horizontal="center" vertical="center"/>
    </xf>
    <xf numFmtId="0" fontId="0" fillId="0" borderId="14" xfId="0" applyBorder="1" applyAlignment="1">
      <alignment horizontal="center" vertical="center"/>
    </xf>
    <xf numFmtId="1" fontId="0" fillId="0" borderId="98" xfId="0" applyNumberFormat="1" applyBorder="1" applyAlignment="1">
      <alignment horizontal="center" vertical="center"/>
    </xf>
    <xf numFmtId="1" fontId="0" fillId="0" borderId="99" xfId="0" applyNumberFormat="1" applyBorder="1" applyAlignment="1">
      <alignment horizontal="center" vertical="center"/>
    </xf>
    <xf numFmtId="2" fontId="0" fillId="0" borderId="98" xfId="0" applyNumberFormat="1" applyBorder="1" applyAlignment="1">
      <alignment horizontal="center" vertical="center"/>
    </xf>
    <xf numFmtId="2" fontId="0" fillId="0" borderId="99" xfId="0" applyNumberFormat="1" applyBorder="1" applyAlignment="1">
      <alignment horizontal="center" vertical="center"/>
    </xf>
    <xf numFmtId="0" fontId="37" fillId="0" borderId="1" xfId="0" applyFont="1" applyBorder="1" applyAlignment="1">
      <alignment horizontal="center" vertical="center"/>
    </xf>
    <xf numFmtId="0" fontId="59" fillId="0" borderId="1" xfId="0" applyFont="1" applyFill="1" applyBorder="1" applyAlignment="1">
      <alignment horizontal="left"/>
    </xf>
    <xf numFmtId="0" fontId="51" fillId="0" borderId="1" xfId="0" applyFont="1" applyFill="1" applyBorder="1"/>
    <xf numFmtId="16" fontId="2" fillId="39" borderId="0" xfId="0" applyNumberFormat="1" applyFont="1" applyFill="1" applyAlignment="1">
      <alignment horizontal="center"/>
    </xf>
    <xf numFmtId="0" fontId="1" fillId="39" borderId="0" xfId="0" applyFont="1" applyFill="1"/>
  </cellXfs>
  <cellStyles count="22">
    <cellStyle name="Accent5" xfId="6" builtinId="45"/>
    <cellStyle name="Bad" xfId="4" builtinId="27"/>
    <cellStyle name="Comma" xfId="13" builtinId="3"/>
    <cellStyle name="Currency" xfId="1" builtinId="4"/>
    <cellStyle name="Currency 2" xfId="10" xr:uid="{6321CDFC-7527-43BB-93F9-8BD8BD88C887}"/>
    <cellStyle name="Currency 3" xfId="15" xr:uid="{3C414FB6-4B89-4604-96BE-1187E66D8E84}"/>
    <cellStyle name="Currency 4" xfId="21" xr:uid="{FF352CD4-DE83-470D-BEA2-83FA23FE500B}"/>
    <cellStyle name="Good" xfId="3" builtinId="26"/>
    <cellStyle name="Hyperlink" xfId="11" builtinId="8"/>
    <cellStyle name="Input" xfId="2" builtinId="20"/>
    <cellStyle name="Neutral" xfId="5" builtinId="28"/>
    <cellStyle name="Normal" xfId="0" builtinId="0"/>
    <cellStyle name="Normal 2" xfId="7" xr:uid="{8886559C-134C-45AF-90E4-85CC15A8E15F}"/>
    <cellStyle name="Normal 3" xfId="8" xr:uid="{1B22FC4B-8D29-44DD-B152-412D9050DAAD}"/>
    <cellStyle name="Normal 3 2" xfId="12" xr:uid="{1CCF7239-5C4C-4366-8672-64D32A5A464D}"/>
    <cellStyle name="Normal 3 3" xfId="18" xr:uid="{542F610D-784C-4979-9690-AB54634BE9F7}"/>
    <cellStyle name="Normal 3 4" xfId="20" xr:uid="{9346C7FA-C9B9-418F-95B5-188B37689D78}"/>
    <cellStyle name="Normal 4" xfId="9" xr:uid="{873905E9-BB00-41F9-8223-DBD16AC257CA}"/>
    <cellStyle name="Normal 5" xfId="14" xr:uid="{F507A472-1330-49AA-8794-B658B1532404}"/>
    <cellStyle name="Normal 5 2" xfId="17" xr:uid="{6F938739-E58D-4A77-8F14-5818C9BB536A}"/>
    <cellStyle name="Normal 5 3" xfId="19" xr:uid="{EDF7B528-AB73-4AFA-94CD-2F592E52CA65}"/>
    <cellStyle name="Normal 6" xfId="16" xr:uid="{AD12B592-D3C3-4161-9A05-BEE8DBED999E}"/>
  </cellStyles>
  <dxfs count="27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FFFF00"/>
        </patternFill>
      </fill>
    </dxf>
    <dxf>
      <font>
        <b/>
        <i val="0"/>
      </font>
      <fill>
        <patternFill>
          <bgColor theme="3" tint="0.59996337778862885"/>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FFFF00"/>
        </patternFill>
      </fill>
    </dxf>
    <dxf>
      <font>
        <b/>
        <i val="0"/>
      </font>
      <fill>
        <patternFill>
          <bgColor theme="3" tint="0.59996337778862885"/>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FFFF00"/>
        </patternFill>
      </fill>
    </dxf>
    <dxf>
      <font>
        <b/>
        <i val="0"/>
      </font>
      <fill>
        <patternFill>
          <bgColor theme="3" tint="0.59996337778862885"/>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FFFF00"/>
        </patternFill>
      </fill>
    </dxf>
    <dxf>
      <font>
        <b/>
        <i val="0"/>
      </font>
      <fill>
        <patternFill>
          <bgColor theme="3" tint="0.59996337778862885"/>
        </patternFill>
      </fill>
    </dxf>
    <dxf>
      <font>
        <color rgb="FF9C0006"/>
      </font>
      <fill>
        <patternFill>
          <bgColor rgb="FFFFC7CE"/>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FFFF00"/>
        </patternFill>
      </fill>
    </dxf>
    <dxf>
      <font>
        <b/>
        <i val="0"/>
      </font>
      <fill>
        <patternFill>
          <bgColor theme="3"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badi Extra Light"/>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badi Extra Light"/>
        <family val="2"/>
        <scheme val="none"/>
      </font>
      <numFmt numFmtId="0" formatCode="General"/>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Aptos Black"/>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theme="1"/>
        <name val="Calibri"/>
        <family val="2"/>
        <scheme val="minor"/>
      </font>
      <fill>
        <patternFill patternType="none">
          <fgColor indexed="64"/>
          <bgColor indexed="65"/>
        </patternFill>
      </fill>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border outline="0">
        <top style="thin">
          <color auto="1"/>
        </top>
      </border>
    </dxf>
    <dxf>
      <font>
        <b val="0"/>
        <i val="0"/>
        <strike val="0"/>
        <condense val="0"/>
        <extend val="0"/>
        <outline val="0"/>
        <shadow val="0"/>
        <u val="none"/>
        <vertAlign val="baseline"/>
        <sz val="13"/>
        <color auto="1"/>
        <name val="Calibri"/>
        <family val="2"/>
        <scheme val="minor"/>
      </font>
    </dxf>
    <dxf>
      <border outline="0">
        <bottom style="thin">
          <color auto="1"/>
        </bottom>
      </border>
    </dxf>
    <dxf>
      <font>
        <b/>
        <i val="0"/>
        <strike val="0"/>
        <condense val="0"/>
        <extend val="0"/>
        <outline val="0"/>
        <shadow val="0"/>
        <u val="none"/>
        <vertAlign val="baseline"/>
        <sz val="13"/>
        <color auto="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9966FF"/>
      <color rgb="FFFCD4DD"/>
      <color rgb="FFFF5757"/>
      <color rgb="FFFFFFFF"/>
      <color rgb="FFF785E9"/>
      <color rgb="FFFB8181"/>
      <color rgb="FFAD0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customXml" Target="../customXml/item1.xml"/><Relationship Id="rId21" Type="http://schemas.openxmlformats.org/officeDocument/2006/relationships/worksheet" Target="worksheets/sheet21.xml"/><Relationship Id="rId34"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22/10/relationships/richValueRel" Target="richData/richValueRel.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 Id="rId35"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tmp"/></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10</xdr:row>
      <xdr:rowOff>0</xdr:rowOff>
    </xdr:from>
    <xdr:to>
      <xdr:col>7</xdr:col>
      <xdr:colOff>304800</xdr:colOff>
      <xdr:row>11</xdr:row>
      <xdr:rowOff>114300</xdr:rowOff>
    </xdr:to>
    <xdr:sp macro="" textlink="">
      <xdr:nvSpPr>
        <xdr:cNvPr id="138243" name="AutoShape 3">
          <a:extLst>
            <a:ext uri="{FF2B5EF4-FFF2-40B4-BE49-F238E27FC236}">
              <a16:creationId xmlns:a16="http://schemas.microsoft.com/office/drawing/2014/main" id="{7A8292A5-DA75-5491-275B-6B1311A74EC4}"/>
            </a:ext>
          </a:extLst>
        </xdr:cNvPr>
        <xdr:cNvSpPr>
          <a:spLocks noChangeAspect="1" noChangeArrowheads="1"/>
        </xdr:cNvSpPr>
      </xdr:nvSpPr>
      <xdr:spPr bwMode="auto">
        <a:xfrm>
          <a:off x="9058275" y="233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2867025</xdr:colOff>
      <xdr:row>42</xdr:row>
      <xdr:rowOff>9525</xdr:rowOff>
    </xdr:from>
    <xdr:to>
      <xdr:col>4</xdr:col>
      <xdr:colOff>743463</xdr:colOff>
      <xdr:row>49</xdr:row>
      <xdr:rowOff>9711</xdr:rowOff>
    </xdr:to>
    <xdr:pic>
      <xdr:nvPicPr>
        <xdr:cNvPr id="4" name="Picture 3">
          <a:extLst>
            <a:ext uri="{FF2B5EF4-FFF2-40B4-BE49-F238E27FC236}">
              <a16:creationId xmlns:a16="http://schemas.microsoft.com/office/drawing/2014/main" id="{D4871248-4C0D-D58E-03D1-4C7D7F35E3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67025" y="8039100"/>
          <a:ext cx="3677163" cy="13336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erge\Dropbox\ADMIN%202023\Alphabetical%20List%20of%20Workers\Worker%20List.xlsm" TargetMode="External"/><Relationship Id="rId1" Type="http://schemas.openxmlformats.org/officeDocument/2006/relationships/externalLinkPath" Target="/Users/berge/Dropbox/ADMIN%202023/Alphabetical%20List%20of%20Workers/Worker%20List.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offic\Dropbox\ADMIN%202023\Alphabetical%20List%20of%20Workers\Worker%20List%20v2.0%20(Office%20MMJ's%20conflicted%20copy%202025-10-27).xlsx" TargetMode="External"/><Relationship Id="rId1" Type="http://schemas.openxmlformats.org/officeDocument/2006/relationships/externalLinkPath" Target="/Users/offic/Dropbox/ADMIN%202023/Alphabetical%20List%20of%20Workers/Worker%20List%20v2.0%20(Office%20MMJ's%20conflicted%20copy%202025-10-27).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offic\Dropbox\ADMIN%202023\Alphabetical%20List%20of%20Workers\Worker%20List%20v2.0.xlsx" TargetMode="External"/><Relationship Id="rId1" Type="http://schemas.openxmlformats.org/officeDocument/2006/relationships/externalLinkPath" Target="/Users/offic/Dropbox/ADMIN%202023/Alphabetical%20List%20of%20Workers/Worker%20List%20v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Entry Form"/>
      <sheetName val="Subcontractors"/>
      <sheetName val="Interac Details"/>
      <sheetName val="Receiving1"/>
      <sheetName val="Raw details"/>
      <sheetName val="Search Bar"/>
      <sheetName val="Worker List"/>
    </sheetNames>
    <sheetDataSet>
      <sheetData sheetId="0"/>
      <sheetData sheetId="1">
        <row r="1293">
          <cell r="E1293" t="str">
            <v>Smile Sahotra</v>
          </cell>
        </row>
        <row r="1295">
          <cell r="E1295" t="str">
            <v>Karan Khatri</v>
          </cell>
        </row>
        <row r="1296">
          <cell r="E1296" t="str">
            <v>Kenneth Baruelo</v>
          </cell>
        </row>
        <row r="1297">
          <cell r="E1297" t="str">
            <v>Farel Manirakiza</v>
          </cell>
        </row>
        <row r="1298">
          <cell r="E1298" t="str">
            <v>Izunna David Ajaere</v>
          </cell>
        </row>
        <row r="1299">
          <cell r="E1299" t="str">
            <v>Mary Jane Calunsag</v>
          </cell>
        </row>
        <row r="1300">
          <cell r="E1300" t="str">
            <v>Elham Yimam Mohammed</v>
          </cell>
        </row>
        <row r="1301">
          <cell r="E1301" t="str">
            <v>Arney Pagalilauan M</v>
          </cell>
        </row>
        <row r="1303">
          <cell r="E1303" t="str">
            <v>Sunshine Padilla Rebadulla</v>
          </cell>
        </row>
        <row r="1304">
          <cell r="E1304" t="str">
            <v>Shedrack David Ifeanyi</v>
          </cell>
        </row>
        <row r="1305">
          <cell r="E1305" t="str">
            <v>Jashandeep Kaur</v>
          </cell>
        </row>
        <row r="1306">
          <cell r="E1306" t="str">
            <v>Jamuna Gainju</v>
          </cell>
        </row>
        <row r="1307">
          <cell r="E1307" t="str">
            <v>Kathryn Santos</v>
          </cell>
        </row>
        <row r="1308">
          <cell r="E1308" t="str">
            <v>Kristine Anne M. De Guzman</v>
          </cell>
        </row>
        <row r="1309">
          <cell r="E1309" t="str">
            <v>Sandip Oli</v>
          </cell>
        </row>
        <row r="1310">
          <cell r="E1310" t="str">
            <v>Leyah Ramos</v>
          </cell>
        </row>
        <row r="1311">
          <cell r="E1311" t="str">
            <v>Otse Wilson Joseph</v>
          </cell>
        </row>
        <row r="1312">
          <cell r="E1312" t="str">
            <v>Olayiwola Emmanuel Olatide</v>
          </cell>
        </row>
        <row r="1313">
          <cell r="E1313" t="str">
            <v>Fola Aibinuola</v>
          </cell>
        </row>
        <row r="1315">
          <cell r="E1315" t="str">
            <v>Justine De Guzman</v>
          </cell>
        </row>
        <row r="1316">
          <cell r="E1316" t="str">
            <v>Zita Charone Igihozo</v>
          </cell>
        </row>
        <row r="1317">
          <cell r="E1317" t="str">
            <v>Ralph Batuamba-Ntumba</v>
          </cell>
        </row>
        <row r="1318">
          <cell r="E1318" t="str">
            <v>Jaswinder Kaur</v>
          </cell>
        </row>
        <row r="1319">
          <cell r="E1319" t="str">
            <v>Flor De Liz Leung</v>
          </cell>
        </row>
        <row r="1320">
          <cell r="E1320" t="str">
            <v>Lalit Khanal</v>
          </cell>
        </row>
        <row r="1321">
          <cell r="E1321" t="str">
            <v>Senen Capinpin</v>
          </cell>
        </row>
        <row r="1322">
          <cell r="E1322" t="str">
            <v>Roel Mercado</v>
          </cell>
        </row>
        <row r="1323">
          <cell r="E1323" t="str">
            <v>James Mugume Rwerinyange</v>
          </cell>
        </row>
        <row r="1324">
          <cell r="E1324" t="str">
            <v>Joshua Ikeji</v>
          </cell>
        </row>
        <row r="1325">
          <cell r="E1325" t="str">
            <v>Andong Nancy Tefeh</v>
          </cell>
        </row>
        <row r="1326">
          <cell r="E1326" t="str">
            <v>Melissa P. Agbanlog</v>
          </cell>
        </row>
        <row r="1327">
          <cell r="E1327" t="str">
            <v>Emilia Sarmiento Cariaga</v>
          </cell>
        </row>
        <row r="1328">
          <cell r="E1328" t="str">
            <v>Fatouma Traore</v>
          </cell>
        </row>
        <row r="1329">
          <cell r="E1329" t="str">
            <v>Ishimwe Cleopatre Umuhire</v>
          </cell>
        </row>
        <row r="1330">
          <cell r="E1330" t="str">
            <v>Stella Asong Nchonganyi</v>
          </cell>
        </row>
        <row r="1331">
          <cell r="E1331" t="str">
            <v>Deborah Akinola</v>
          </cell>
        </row>
        <row r="1332">
          <cell r="E1332" t="str">
            <v>Claudine Uwituze</v>
          </cell>
        </row>
        <row r="1333">
          <cell r="E1333" t="str">
            <v>Marie Charles</v>
          </cell>
        </row>
        <row r="1334">
          <cell r="E1334" t="str">
            <v>Samrat Kathayat</v>
          </cell>
        </row>
        <row r="1335">
          <cell r="E1335" t="str">
            <v>Varkha Varkha</v>
          </cell>
        </row>
        <row r="1336">
          <cell r="E1336" t="str">
            <v>Delphine Akimanishaka</v>
          </cell>
        </row>
        <row r="1337">
          <cell r="E1337" t="str">
            <v>Chander</v>
          </cell>
        </row>
        <row r="1338">
          <cell r="E1338" t="str">
            <v>Ochiagha Sylvester Emenike</v>
          </cell>
        </row>
        <row r="1339">
          <cell r="E1339" t="str">
            <v>Olga Uwikunze</v>
          </cell>
        </row>
        <row r="1340">
          <cell r="E1340" t="str">
            <v>Ibrahim Kamara</v>
          </cell>
        </row>
        <row r="1341">
          <cell r="E1341" t="str">
            <v>Paulo Popoola</v>
          </cell>
        </row>
        <row r="1342">
          <cell r="E1342" t="str">
            <v>Gary Sales</v>
          </cell>
        </row>
        <row r="1343">
          <cell r="E1343" t="str">
            <v>Irakoze Audreille</v>
          </cell>
        </row>
        <row r="1344">
          <cell r="E1344" t="str">
            <v>Regine Akayezu</v>
          </cell>
        </row>
        <row r="1345">
          <cell r="E1345" t="str">
            <v>Ishimwe Sarah</v>
          </cell>
        </row>
        <row r="1346">
          <cell r="E1346" t="str">
            <v>Daniella Umutoni</v>
          </cell>
        </row>
        <row r="1347">
          <cell r="E1347" t="str">
            <v>Jualyn Barbarona</v>
          </cell>
        </row>
        <row r="1349">
          <cell r="E1349" t="str">
            <v>Princess Mae Domingo</v>
          </cell>
        </row>
        <row r="1350">
          <cell r="E1350" t="str">
            <v>Ugochukwu Ogbuaku</v>
          </cell>
        </row>
        <row r="1354">
          <cell r="E1354" t="str">
            <v>Franklyn Chukwunonye</v>
          </cell>
        </row>
        <row r="1355">
          <cell r="E1355" t="str">
            <v>Mahiben Vasantkumar Prajapati</v>
          </cell>
        </row>
        <row r="1356">
          <cell r="E1356" t="str">
            <v>Omowunmi Samuel</v>
          </cell>
        </row>
        <row r="1357">
          <cell r="E1357" t="str">
            <v>Sahi Salia</v>
          </cell>
        </row>
        <row r="1358">
          <cell r="E1358" t="str">
            <v>Shivam Sood</v>
          </cell>
        </row>
        <row r="1359">
          <cell r="E1359" t="str">
            <v>Jenita Gill</v>
          </cell>
        </row>
        <row r="1360">
          <cell r="E1360" t="str">
            <v>Satnam Singh</v>
          </cell>
        </row>
        <row r="1361">
          <cell r="E1361" t="str">
            <v>Sukhjot Singh</v>
          </cell>
        </row>
        <row r="1362">
          <cell r="E1362" t="str">
            <v>Joshua Agorilla</v>
          </cell>
        </row>
        <row r="1363">
          <cell r="E1363" t="str">
            <v>Safia Benafsha</v>
          </cell>
        </row>
        <row r="1364">
          <cell r="E1364" t="str">
            <v>Abdullahi Abdi Hirsi</v>
          </cell>
        </row>
        <row r="1365">
          <cell r="E1365" t="str">
            <v>Jordan Tsakou Kenne</v>
          </cell>
        </row>
        <row r="1366">
          <cell r="E1366" t="str">
            <v>Isha Touray</v>
          </cell>
        </row>
        <row r="1367">
          <cell r="E1367" t="str">
            <v>Yasin Touray</v>
          </cell>
        </row>
        <row r="1368">
          <cell r="E1368" t="str">
            <v>Ishwori Humagain</v>
          </cell>
        </row>
        <row r="1369">
          <cell r="E1369" t="str">
            <v>Carive Dialakana Bahenga</v>
          </cell>
        </row>
        <row r="1370">
          <cell r="E1370" t="str">
            <v>Uwayemen Aziegbe</v>
          </cell>
        </row>
        <row r="1371">
          <cell r="E1371" t="str">
            <v>Vivek Vivek</v>
          </cell>
        </row>
        <row r="1372">
          <cell r="E1372" t="str">
            <v>Madiha John</v>
          </cell>
        </row>
        <row r="1373">
          <cell r="E1373" t="str">
            <v>Esther Pacheco</v>
          </cell>
        </row>
        <row r="1374">
          <cell r="E1374" t="str">
            <v>Jashanpreet Kaur Sarwara</v>
          </cell>
        </row>
        <row r="1375">
          <cell r="E1375" t="str">
            <v>Anastasiia Rostovtseva</v>
          </cell>
        </row>
        <row r="1376">
          <cell r="E1376" t="str">
            <v>Egbule Fannie Chinyere</v>
          </cell>
        </row>
        <row r="1377">
          <cell r="E1377" t="str">
            <v>Christian Izuchukwu Osoagba</v>
          </cell>
        </row>
        <row r="1378">
          <cell r="E1378" t="str">
            <v>Jan Choy Tee</v>
          </cell>
        </row>
        <row r="1379">
          <cell r="E1379" t="str">
            <v>Harsh Vyas</v>
          </cell>
        </row>
        <row r="1380">
          <cell r="E1380" t="str">
            <v>Mannat Badhan</v>
          </cell>
        </row>
        <row r="1381">
          <cell r="E1381" t="str">
            <v>Teguetsop Doungue Elvéra Vivianie</v>
          </cell>
        </row>
        <row r="1382">
          <cell r="E1382" t="str">
            <v>Egdule Fannie Chinyere</v>
          </cell>
        </row>
        <row r="1383">
          <cell r="E1383" t="str">
            <v>Safia Benafsha</v>
          </cell>
        </row>
        <row r="1384">
          <cell r="E1384" t="str">
            <v>Aljon Galgo</v>
          </cell>
        </row>
        <row r="1385">
          <cell r="E1385" t="str">
            <v>Myriam Laus</v>
          </cell>
        </row>
        <row r="1386">
          <cell r="E1386" t="str">
            <v>Simranjot Kaur</v>
          </cell>
        </row>
        <row r="1387">
          <cell r="E1387" t="str">
            <v>Meet Vanraj Mahida</v>
          </cell>
        </row>
        <row r="1388">
          <cell r="E1388" t="str">
            <v>Titilope Esther Adekile</v>
          </cell>
        </row>
        <row r="1389">
          <cell r="E1389" t="str">
            <v>Joy Unekhoria</v>
          </cell>
        </row>
        <row r="1390">
          <cell r="E1390" t="str">
            <v>Latifah Damilola Usman</v>
          </cell>
        </row>
        <row r="1391">
          <cell r="E1391" t="str">
            <v>Pranjal Shah</v>
          </cell>
        </row>
        <row r="1392">
          <cell r="E1392" t="str">
            <v>Rita Aladi</v>
          </cell>
        </row>
        <row r="1393">
          <cell r="E1393" t="str">
            <v>James John Iñido</v>
          </cell>
        </row>
        <row r="1394">
          <cell r="E1394" t="str">
            <v>Isiah Kent Arcay</v>
          </cell>
        </row>
      </sheetData>
      <sheetData sheetId="2">
        <row r="1">
          <cell r="A1" t="str">
            <v>Name</v>
          </cell>
          <cell r="B1" t="str">
            <v>Etransfer</v>
          </cell>
        </row>
        <row r="2">
          <cell r="A2" t="str">
            <v>Aileen Dino I</v>
          </cell>
          <cell r="B2" t="str">
            <v>aileendino5@gmail.com</v>
          </cell>
        </row>
        <row r="3">
          <cell r="A3" t="str">
            <v>Kigozi Racheal</v>
          </cell>
          <cell r="B3" t="str">
            <v>kigozireycho@gmail.com</v>
          </cell>
        </row>
        <row r="4">
          <cell r="A4" t="str">
            <v>Ajay Kumar</v>
          </cell>
          <cell r="B4" t="str">
            <v>ajverma0002@gmail.com</v>
          </cell>
        </row>
        <row r="5">
          <cell r="A5" t="str">
            <v>Akin Babalola</v>
          </cell>
          <cell r="B5" t="str">
            <v>babalolaakin.a@gmail.com</v>
          </cell>
        </row>
        <row r="6">
          <cell r="A6" t="str">
            <v>Alejandra Cristina Lugo Martinez</v>
          </cell>
          <cell r="B6" t="str">
            <v>alelugo2090@yahoo.com</v>
          </cell>
        </row>
        <row r="7">
          <cell r="A7" t="str">
            <v>Jorge Alberto Lopez Ledesma A</v>
          </cell>
          <cell r="B7" t="str">
            <v>alelugo2090@yahoo.com</v>
          </cell>
        </row>
        <row r="8">
          <cell r="A8" t="str">
            <v>Ariadne Huesca Medina A</v>
          </cell>
          <cell r="B8" t="str">
            <v>alelugo2090@yahoo.com</v>
          </cell>
        </row>
        <row r="9">
          <cell r="A9" t="str">
            <v>Ariadne Huesca Medina</v>
          </cell>
          <cell r="B9" t="str">
            <v>alelugo2090@yahoo.com</v>
          </cell>
        </row>
        <row r="10">
          <cell r="A10" t="str">
            <v>Amandeep Kaur</v>
          </cell>
          <cell r="B10" t="str">
            <v>amandeepkaurbrar0007@gmail.com</v>
          </cell>
        </row>
        <row r="11">
          <cell r="A11" t="str">
            <v>Amrinder Singh</v>
          </cell>
          <cell r="B11" t="str">
            <v>davinderdeol255@gmail.com</v>
          </cell>
        </row>
        <row r="12">
          <cell r="A12" t="str">
            <v>Andrea</v>
          </cell>
          <cell r="B12" t="str">
            <v>andreaguevarar1998@gmail.com</v>
          </cell>
        </row>
        <row r="13">
          <cell r="A13" t="str">
            <v>Andrew Verches</v>
          </cell>
          <cell r="B13" t="str">
            <v>verchesandrew@yahoo.com</v>
          </cell>
        </row>
        <row r="14">
          <cell r="A14" t="str">
            <v>Anisha Khanal</v>
          </cell>
          <cell r="B14" t="str">
            <v>anishakhanal934@gmail.com</v>
          </cell>
        </row>
        <row r="15">
          <cell r="A15" t="str">
            <v>Asmita Baral</v>
          </cell>
          <cell r="B15" t="str">
            <v>Asmitabadal28@gmail.com</v>
          </cell>
        </row>
        <row r="16">
          <cell r="A16" t="str">
            <v>Azeez Abefe</v>
          </cell>
          <cell r="B16" t="str">
            <v>Abefelion308@gmail.com</v>
          </cell>
        </row>
        <row r="17">
          <cell r="A17" t="str">
            <v>Bibi Sufia Alekozai</v>
          </cell>
          <cell r="B17" t="str">
            <v>sufiaalekozai@gmail.com</v>
          </cell>
        </row>
        <row r="18">
          <cell r="A18" t="str">
            <v>Binaya Gc</v>
          </cell>
          <cell r="B18" t="str">
            <v>gcbinaya9@gmail.com</v>
          </cell>
        </row>
        <row r="19">
          <cell r="A19" t="str">
            <v>Cain Miro</v>
          </cell>
          <cell r="B19" t="str">
            <v>cainmiro81@gmail.com</v>
          </cell>
        </row>
        <row r="20">
          <cell r="A20" t="str">
            <v>Cesia Priscila Ramos Pozo</v>
          </cell>
          <cell r="B20" t="str">
            <v>cesia.priscila.ramos@hotmail.com</v>
          </cell>
        </row>
        <row r="21">
          <cell r="A21" t="str">
            <v>Cyren Aljon Evasco</v>
          </cell>
          <cell r="B21" t="str">
            <v>cyren.aljon@gmail.com</v>
          </cell>
        </row>
        <row r="22">
          <cell r="A22" t="str">
            <v>Daisy Jerono Cheboswony</v>
          </cell>
          <cell r="B22" t="str">
            <v>dcheboswony@gmail.com</v>
          </cell>
        </row>
        <row r="23">
          <cell r="A23" t="str">
            <v>Daniel Aboagye</v>
          </cell>
          <cell r="B23" t="str">
            <v>danielaboagye648@gmail.com</v>
          </cell>
        </row>
        <row r="24">
          <cell r="A24" t="str">
            <v>Daniel Salas Rivas D</v>
          </cell>
          <cell r="B24" t="str">
            <v>daniel_alex120997@hotmail.com</v>
          </cell>
        </row>
        <row r="25">
          <cell r="A25" t="str">
            <v>Davinder Singh Deol</v>
          </cell>
          <cell r="B25" t="str">
            <v>davinderdeol255@gmail.com</v>
          </cell>
        </row>
        <row r="26">
          <cell r="A26" t="str">
            <v>Dheeraj Kumar A</v>
          </cell>
          <cell r="B26" t="str">
            <v>Dheerajkashyap615@gmail.com</v>
          </cell>
        </row>
        <row r="27">
          <cell r="A27" t="str">
            <v>Dheeraj Kumar</v>
          </cell>
          <cell r="B27" t="str">
            <v>Dheerajkashyap615@gmail.com</v>
          </cell>
        </row>
        <row r="28">
          <cell r="A28" t="str">
            <v>Diana Laura Priego Jimenez</v>
          </cell>
          <cell r="B28" t="str">
            <v>dianalaurapriego@gmail.com</v>
          </cell>
        </row>
        <row r="29">
          <cell r="A29" t="str">
            <v>Doly Tatchou Djikemi</v>
          </cell>
          <cell r="B29" t="str">
            <v>Dolydiara6@gmail.com</v>
          </cell>
        </row>
        <row r="30">
          <cell r="A30" t="str">
            <v>Eduardo Abuel</v>
          </cell>
          <cell r="B30" t="str">
            <v>dwein@hotmail.com</v>
          </cell>
        </row>
        <row r="31">
          <cell r="A31" t="str">
            <v>Eleazar S. Cariaga</v>
          </cell>
          <cell r="B31"/>
        </row>
        <row r="32">
          <cell r="A32" t="str">
            <v>Elisa Malunay</v>
          </cell>
          <cell r="B32" t="str">
            <v>elisamalunay456@gmail.com</v>
          </cell>
        </row>
        <row r="33">
          <cell r="A33" t="str">
            <v>Elsie Ndobegang Zinkeng</v>
          </cell>
          <cell r="B33" t="str">
            <v>zinkengelsie1@gmail.com</v>
          </cell>
        </row>
        <row r="34">
          <cell r="A34" t="str">
            <v>Emilio Libao</v>
          </cell>
          <cell r="B34" t="str">
            <v>emiliolibao@gmail.com</v>
          </cell>
        </row>
        <row r="35">
          <cell r="A35" t="str">
            <v>Emily</v>
          </cell>
          <cell r="B35" t="str">
            <v>emendoza0131yahoo.com</v>
          </cell>
        </row>
        <row r="36">
          <cell r="A36" t="str">
            <v>Emmanuel Owoichogbe Jesse</v>
          </cell>
          <cell r="B36" t="str">
            <v>Ihotu11@gmail.com</v>
          </cell>
        </row>
        <row r="37">
          <cell r="A37" t="str">
            <v>Esau Miguel J. Bernardo</v>
          </cell>
          <cell r="B37" t="str">
            <v>bernardoesaumiguel@gmail.com</v>
          </cell>
        </row>
        <row r="38">
          <cell r="A38" t="str">
            <v>Eunice Ndinda Sammy</v>
          </cell>
          <cell r="B38" t="str">
            <v>Eunice88sammy@gmail.com</v>
          </cell>
        </row>
        <row r="39">
          <cell r="A39" t="str">
            <v>Florablanca Erika Aquino</v>
          </cell>
          <cell r="B39" t="str">
            <v>derechoflorablancaerika@gmail.com</v>
          </cell>
        </row>
        <row r="40">
          <cell r="A40" t="str">
            <v>Florie Mae G. Semblante</v>
          </cell>
          <cell r="B40" t="str">
            <v>floriemaesemblante@gmail.com</v>
          </cell>
        </row>
        <row r="41">
          <cell r="A41" t="str">
            <v>Freda Asumadu</v>
          </cell>
          <cell r="B41" t="str">
            <v>fasumuda4@gmail.com</v>
          </cell>
        </row>
        <row r="42">
          <cell r="A42" t="str">
            <v>Gagandeep Singh</v>
          </cell>
          <cell r="B42" t="str">
            <v>gagandeepsingh24052002@gmail.com</v>
          </cell>
        </row>
        <row r="43">
          <cell r="A43" t="str">
            <v>Giovanni Genesis Dulay</v>
          </cell>
          <cell r="B43" t="str">
            <v>jeo_101@yahoo.com</v>
          </cell>
        </row>
        <row r="44">
          <cell r="A44" t="str">
            <v>Gregorio Pleto</v>
          </cell>
          <cell r="B44" t="str">
            <v>Greggycp@gmail.com</v>
          </cell>
        </row>
        <row r="45">
          <cell r="A45" t="str">
            <v>Hargor Roberto Ninziza</v>
          </cell>
          <cell r="B45" t="str">
            <v>ninzizahargorroberto@gmail.com</v>
          </cell>
        </row>
        <row r="46">
          <cell r="A46" t="str">
            <v>Harpreet Kaur</v>
          </cell>
          <cell r="B46" t="str">
            <v>Harpreetaujla2014@gmail.com</v>
          </cell>
        </row>
        <row r="47">
          <cell r="A47" t="str">
            <v>Himaya James</v>
          </cell>
          <cell r="B47" t="e">
            <v>#N/A</v>
          </cell>
        </row>
        <row r="48">
          <cell r="A48" t="str">
            <v>Hursulla Camara Da Rocha (Front Desk)</v>
          </cell>
          <cell r="B48" t="str">
            <v>hursulla_rocha@hotmail.com</v>
          </cell>
        </row>
        <row r="49">
          <cell r="A49" t="str">
            <v>Ibrahim Adebayo</v>
          </cell>
          <cell r="B49" t="str">
            <v>ibrahimadebayo303030@gmail.com</v>
          </cell>
        </row>
        <row r="50">
          <cell r="A50" t="str">
            <v>Ilona Diandra Igiraneza</v>
          </cell>
          <cell r="B50" t="str">
            <v>ilonaigira32@gmail.com</v>
          </cell>
        </row>
        <row r="51">
          <cell r="A51" t="str">
            <v>Irene Sicat</v>
          </cell>
          <cell r="B51" t="str">
            <v>bernasicat@gmail.com</v>
          </cell>
        </row>
        <row r="52">
          <cell r="A52" t="str">
            <v>Irish Alva</v>
          </cell>
          <cell r="B52" t="str">
            <v>irish.alva@yahoo.com</v>
          </cell>
        </row>
        <row r="53">
          <cell r="A53" t="str">
            <v>Jaimal Singh</v>
          </cell>
          <cell r="B53" t="str">
            <v>jaimals263@gmail.com</v>
          </cell>
        </row>
        <row r="54">
          <cell r="A54" t="str">
            <v>Jamie Narvaez</v>
          </cell>
          <cell r="B54" t="str">
            <v>romano28jamie@gmail.com</v>
          </cell>
        </row>
        <row r="55">
          <cell r="A55" t="str">
            <v>Jancel Gray Pineda</v>
          </cell>
          <cell r="B55" t="str">
            <v>jancelgraypineda@gmail.com</v>
          </cell>
        </row>
        <row r="56">
          <cell r="A56" t="str">
            <v>Jandira Vissolela Pedro da Costa E</v>
          </cell>
          <cell r="B56" t="str">
            <v>jandy.cst@hotmail.com</v>
          </cell>
        </row>
        <row r="57">
          <cell r="A57" t="str">
            <v>Jasbeer Kaur</v>
          </cell>
          <cell r="B57" t="str">
            <v>Kjasbeer366@gmail.com</v>
          </cell>
        </row>
        <row r="58">
          <cell r="A58" t="str">
            <v>Jatin kumar</v>
          </cell>
          <cell r="B58" t="str">
            <v>jatin701528@gmail.com</v>
          </cell>
        </row>
        <row r="59">
          <cell r="A59" t="str">
            <v>Jitesh Kumar</v>
          </cell>
          <cell r="B59" t="str">
            <v>ieltssynonyms@gmail.com</v>
          </cell>
        </row>
        <row r="60">
          <cell r="A60" t="str">
            <v>Jonas Layug Macaspac</v>
          </cell>
          <cell r="B60" t="str">
            <v>Jonasmacaspac03@gmail.com</v>
          </cell>
        </row>
        <row r="61">
          <cell r="A61" t="str">
            <v>José Antonio Martínez Rodríguez</v>
          </cell>
          <cell r="B61" t="str">
            <v>Jos.rodriguez2728@gmail.com</v>
          </cell>
        </row>
        <row r="62">
          <cell r="A62" t="str">
            <v>Joselito Jr Cajandig</v>
          </cell>
          <cell r="B62" t="str">
            <v>jrcajandig1988@gmail.com</v>
          </cell>
        </row>
        <row r="63">
          <cell r="A63" t="str">
            <v>Joseph Miguel G. Lazaro</v>
          </cell>
          <cell r="B63" t="str">
            <v>migslaz@gmail.com</v>
          </cell>
        </row>
        <row r="64">
          <cell r="A64" t="str">
            <v>Josiah Tsebi (Bartender)</v>
          </cell>
          <cell r="B64" t="str">
            <v>ujuokwuaka1@gmail.com</v>
          </cell>
        </row>
        <row r="65">
          <cell r="A65" t="str">
            <v>Josiah Tsebi (Server)</v>
          </cell>
          <cell r="B65" t="str">
            <v>ujuokwuaka1@gmail.com</v>
          </cell>
        </row>
        <row r="66">
          <cell r="A66" t="str">
            <v>Karan Pun Magar</v>
          </cell>
          <cell r="B66" t="str">
            <v>karanpoon30@gmail.com</v>
          </cell>
        </row>
        <row r="67">
          <cell r="A67" t="str">
            <v>Karan Maheriya</v>
          </cell>
          <cell r="B67" t="str">
            <v>karanmaheriya152@gmail.com</v>
          </cell>
        </row>
        <row r="68">
          <cell r="A68" t="str">
            <v>Ke-ann Olarte</v>
          </cell>
          <cell r="B68" t="str">
            <v>keanolarte10@gmail.com</v>
          </cell>
        </row>
        <row r="69">
          <cell r="A69" t="str">
            <v>Khaled Rugamba</v>
          </cell>
          <cell r="B69" t="str">
            <v>khaledbabou3@gmail.com</v>
          </cell>
        </row>
        <row r="70">
          <cell r="A70" t="str">
            <v>Komalpreet Kaur</v>
          </cell>
          <cell r="B70" t="str">
            <v>komalpreetkaur20041203@gmail.com</v>
          </cell>
        </row>
        <row r="71">
          <cell r="A71" t="str">
            <v>Kunal Dhiman</v>
          </cell>
          <cell r="B71" t="str">
            <v>kunaldhimankd.kd@gmail.com</v>
          </cell>
        </row>
        <row r="72">
          <cell r="A72" t="str">
            <v>Leander</v>
          </cell>
          <cell r="B72" t="str">
            <v>leenelson014@gmail.com</v>
          </cell>
        </row>
        <row r="73">
          <cell r="A73" t="str">
            <v>Jacqueline Arethea Ford-Bah L</v>
          </cell>
          <cell r="B73" t="str">
            <v>leenelson014@gmail.com</v>
          </cell>
        </row>
        <row r="74">
          <cell r="A74" t="str">
            <v>Lilian Wamaitha Wanjiku</v>
          </cell>
          <cell r="B74" t="str">
            <v>wamaithalilian@gmail.com</v>
          </cell>
        </row>
        <row r="75">
          <cell r="A75" t="str">
            <v>Lynsey Joy Arbolado</v>
          </cell>
          <cell r="B75" t="str">
            <v>lynseyarbolado03@gmail.com</v>
          </cell>
        </row>
        <row r="76">
          <cell r="A76" t="str">
            <v>Maliha John</v>
          </cell>
          <cell r="B76" t="str">
            <v>malihajohn@hotmail.com</v>
          </cell>
        </row>
        <row r="77">
          <cell r="A77" t="str">
            <v>Manjot Kaur</v>
          </cell>
          <cell r="B77" t="str">
            <v>Manjot51202@gmail.com</v>
          </cell>
        </row>
        <row r="78">
          <cell r="A78" t="str">
            <v>Manuel Alejandro Uribe Adame</v>
          </cell>
          <cell r="B78" t="str">
            <v>alejandro.uribeadame@gmail.com</v>
          </cell>
        </row>
        <row r="79">
          <cell r="A79" t="str">
            <v>Manuela Doloresse Njikam Nzeket</v>
          </cell>
          <cell r="B79" t="str">
            <v>manuelanjikam@gmail.com</v>
          </cell>
        </row>
        <row r="80">
          <cell r="A80" t="str">
            <v>Maria Sydney Ortiz C</v>
          </cell>
          <cell r="B80" t="str">
            <v>sydneycagalawan@gmail.com</v>
          </cell>
        </row>
        <row r="81">
          <cell r="A81" t="str">
            <v>Marina Pereira</v>
          </cell>
          <cell r="B81" t="str">
            <v>marinamateuspereira@gmail.com</v>
          </cell>
        </row>
        <row r="82">
          <cell r="A82" t="str">
            <v>Lauren Plester M</v>
          </cell>
          <cell r="B82" t="str">
            <v>marinamateuspereira@gmail.com</v>
          </cell>
        </row>
        <row r="83">
          <cell r="A83" t="str">
            <v>Mbazumutima Dionne</v>
          </cell>
          <cell r="B83" t="str">
            <v>mbazumutimadionne@gmail.com</v>
          </cell>
        </row>
        <row r="84">
          <cell r="A84" t="str">
            <v>Mc Donald Figuerres</v>
          </cell>
          <cell r="B84" t="str">
            <v>mc07mc@yahoo.com</v>
          </cell>
        </row>
        <row r="85">
          <cell r="A85" t="str">
            <v>Mohit Gakhar</v>
          </cell>
          <cell r="B85" t="str">
            <v>mohitgakhar3022@gmail.com</v>
          </cell>
        </row>
        <row r="86">
          <cell r="A86" t="str">
            <v>Monia Monia</v>
          </cell>
          <cell r="B86" t="str">
            <v>moniajaglan420@gmail.com</v>
          </cell>
        </row>
        <row r="87">
          <cell r="A87" t="str">
            <v>Muhawenimana Angelique</v>
          </cell>
          <cell r="B87" t="str">
            <v>mpanoangel21@gmail.com</v>
          </cell>
        </row>
        <row r="88">
          <cell r="A88" t="str">
            <v>Nafisa Akter</v>
          </cell>
          <cell r="B88" t="str">
            <v>akternaf7@gmail.com</v>
          </cell>
        </row>
        <row r="89">
          <cell r="A89" t="str">
            <v>Nancy Acen</v>
          </cell>
          <cell r="B89" t="str">
            <v>mbalirenancy@gmail.com</v>
          </cell>
        </row>
        <row r="90">
          <cell r="A90" t="str">
            <v>Naneth Miro</v>
          </cell>
          <cell r="B90" t="str">
            <v>cainmiro81@gmail.com</v>
          </cell>
        </row>
        <row r="91">
          <cell r="A91" t="str">
            <v>Naveed John M</v>
          </cell>
          <cell r="B91" t="str">
            <v>malihajohn@hotmail.com</v>
          </cell>
        </row>
        <row r="92">
          <cell r="A92" t="str">
            <v>Nikhil Ghimire</v>
          </cell>
          <cell r="B92" t="str">
            <v>nikhilghimire44@gmail.com</v>
          </cell>
        </row>
        <row r="93">
          <cell r="A93" t="str">
            <v>Njong Precious Eghah</v>
          </cell>
          <cell r="B93" t="str">
            <v>njongpreciouseghah@gmail.com</v>
          </cell>
        </row>
        <row r="94">
          <cell r="A94" t="str">
            <v>Nonette Teta Shenge</v>
          </cell>
          <cell r="B94" t="str">
            <v>shengenigelle@gmail.com</v>
          </cell>
        </row>
        <row r="95">
          <cell r="A95" t="str">
            <v>Nshimirimana Carine</v>
          </cell>
          <cell r="B95" t="str">
            <v>nshimirimanacarine22@gmail.com</v>
          </cell>
        </row>
        <row r="96">
          <cell r="A96" t="str">
            <v>Nyinawase Merveille</v>
          </cell>
          <cell r="B96" t="str">
            <v>nyinawasemerveille@gmail.com</v>
          </cell>
        </row>
        <row r="97">
          <cell r="A97" t="str">
            <v>Olave Akundwe</v>
          </cell>
          <cell r="B97" t="str">
            <v>olaveak@gmail.com</v>
          </cell>
        </row>
        <row r="98">
          <cell r="A98" t="str">
            <v>Parneet Kaur</v>
          </cell>
          <cell r="B98" t="str">
            <v>parneetbrar302@gmail.com</v>
          </cell>
        </row>
        <row r="99">
          <cell r="A99" t="str">
            <v>Parth Goswami</v>
          </cell>
          <cell r="B99" t="str">
            <v>parthgosai2033@gmail.com</v>
          </cell>
        </row>
        <row r="100">
          <cell r="A100" t="str">
            <v>Patrick Dave Mateo</v>
          </cell>
          <cell r="B100" t="str">
            <v>patrickdavepiguingmateo@gmail.com</v>
          </cell>
        </row>
        <row r="101">
          <cell r="A101" t="str">
            <v>Pauline Patterson</v>
          </cell>
          <cell r="B101" t="str">
            <v>pauline.v.patterson@gmail.com</v>
          </cell>
        </row>
        <row r="102">
          <cell r="A102" t="str">
            <v>Pawandeep Sharma</v>
          </cell>
          <cell r="B102" t="str">
            <v>sharmapawandeep376@gmail.com</v>
          </cell>
        </row>
        <row r="103">
          <cell r="A103" t="str">
            <v>Paxella Mizero</v>
          </cell>
          <cell r="B103" t="str">
            <v>paxellamizero@gmail.com</v>
          </cell>
        </row>
        <row r="104">
          <cell r="A104" t="str">
            <v>Paxson Intal Figueroa</v>
          </cell>
          <cell r="B104" t="str">
            <v>paxsonfig09@gmail.com</v>
          </cell>
        </row>
        <row r="105">
          <cell r="A105" t="str">
            <v>Penina Nyanchoka Mang'era</v>
          </cell>
          <cell r="B105" t="str">
            <v>peshninnah18@gmail.com</v>
          </cell>
        </row>
        <row r="106">
          <cell r="A106" t="str">
            <v>Prabhleen Kaur</v>
          </cell>
          <cell r="B106" t="str">
            <v>prabhleenkaur.0304@gmail.com</v>
          </cell>
        </row>
        <row r="107">
          <cell r="A107" t="str">
            <v>Prabin Pariyar</v>
          </cell>
          <cell r="B107" t="str">
            <v>pariyarprabin1019@gmail.com</v>
          </cell>
        </row>
        <row r="108">
          <cell r="A108" t="str">
            <v>Pranoj Ranjit</v>
          </cell>
          <cell r="B108" t="str">
            <v>pranojranjit1204@gmail.com</v>
          </cell>
        </row>
        <row r="109">
          <cell r="A109" t="str">
            <v>Rajdeep kaur Baring</v>
          </cell>
          <cell r="B109" t="str">
            <v>rajdeepbaring97@gmail.com</v>
          </cell>
        </row>
        <row r="110">
          <cell r="A110" t="str">
            <v>Rajni Kaur</v>
          </cell>
          <cell r="B110" t="str">
            <v>r337kaur@gmail.com</v>
          </cell>
        </row>
        <row r="111">
          <cell r="A111" t="str">
            <v>Ranjit Singh</v>
          </cell>
          <cell r="B111" t="str">
            <v>sandhudilpreet833@gmail.com</v>
          </cell>
        </row>
        <row r="112">
          <cell r="A112" t="str">
            <v>Rehoboth Byiringiro</v>
          </cell>
          <cell r="B112" t="str">
            <v>rehostyles@gmail.com</v>
          </cell>
        </row>
        <row r="113">
          <cell r="A113" t="str">
            <v>Rijul Chauhan</v>
          </cell>
          <cell r="B113" t="str">
            <v>ritikagulati3000@gmail.com</v>
          </cell>
        </row>
        <row r="114">
          <cell r="A114" t="str">
            <v>Rishabh Bumb</v>
          </cell>
          <cell r="B114"/>
        </row>
        <row r="115">
          <cell r="A115" t="str">
            <v>Rishabh Rishabh</v>
          </cell>
          <cell r="B115" t="str">
            <v>rishabh22ji.s@gmail.com</v>
          </cell>
        </row>
        <row r="116">
          <cell r="A116" t="str">
            <v>Roshana Jade McLeod</v>
          </cell>
          <cell r="B116"/>
        </row>
        <row r="117">
          <cell r="A117" t="str">
            <v>Ruby Bernal</v>
          </cell>
          <cell r="B117" t="str">
            <v>mandayrhoda30@gmail.com</v>
          </cell>
        </row>
        <row r="118">
          <cell r="A118" t="str">
            <v>Samjhana Chapagain</v>
          </cell>
          <cell r="B118" t="str">
            <v>samjhanachapa@gmail.com</v>
          </cell>
        </row>
        <row r="119">
          <cell r="A119" t="str">
            <v>Samson Doca Asuncion</v>
          </cell>
          <cell r="B119" t="str">
            <v>sam_asuncion42@yahoo.com</v>
          </cell>
        </row>
        <row r="120">
          <cell r="A120" t="str">
            <v>Sayeedah Hashimi</v>
          </cell>
          <cell r="B120" t="str">
            <v>Sayeedah.hashimi@gmail.com</v>
          </cell>
        </row>
        <row r="121">
          <cell r="A121" t="str">
            <v>Sherilyn Taghoy</v>
          </cell>
          <cell r="B121" t="str">
            <v>valdez655@yahoo.com</v>
          </cell>
        </row>
        <row r="122">
          <cell r="A122" t="str">
            <v>Sheryl Policarpio</v>
          </cell>
          <cell r="B122" t="str">
            <v>sheryl11taz@yahoo.com</v>
          </cell>
        </row>
        <row r="123">
          <cell r="A123" t="str">
            <v>Simon Waweru</v>
          </cell>
          <cell r="B123" t="str">
            <v>S.chege18@yahoo.com</v>
          </cell>
        </row>
        <row r="124">
          <cell r="A124" t="str">
            <v>Simranjit Kaur</v>
          </cell>
          <cell r="B124" t="str">
            <v>simrankaur77105@gmail.com</v>
          </cell>
        </row>
        <row r="125">
          <cell r="A125" t="str">
            <v>Sumanpreet Kaur</v>
          </cell>
          <cell r="B125" t="str">
            <v>sumanpreet90d@gmail.com</v>
          </cell>
        </row>
        <row r="126">
          <cell r="A126" t="str">
            <v>Suraj Paudel</v>
          </cell>
          <cell r="B126" t="str">
            <v>surajpoudel2525@gmail.com</v>
          </cell>
        </row>
        <row r="127">
          <cell r="A127" t="str">
            <v>Suzan Bitici</v>
          </cell>
          <cell r="B127" t="str">
            <v>suzanbitici@gmail.com</v>
          </cell>
        </row>
        <row r="128">
          <cell r="A128" t="str">
            <v>Tunmise Imafidon</v>
          </cell>
          <cell r="B128" t="str">
            <v>tunmise.temitope01@gmail.com</v>
          </cell>
        </row>
        <row r="129">
          <cell r="A129" t="str">
            <v>Upasna Harish bhai Jat</v>
          </cell>
          <cell r="B129" t="str">
            <v>upasnajat10@gmail.com</v>
          </cell>
        </row>
        <row r="130">
          <cell r="A130" t="str">
            <v>Vaida Awuor Ouma</v>
          </cell>
          <cell r="B130" t="str">
            <v>oumavaida@gmail.com</v>
          </cell>
        </row>
        <row r="131">
          <cell r="A131" t="str">
            <v>Valia Deosingh</v>
          </cell>
          <cell r="B131" t="str">
            <v>sdeosingh44@gmail.com</v>
          </cell>
        </row>
        <row r="132">
          <cell r="A132" t="str">
            <v>Vraj Soni</v>
          </cell>
          <cell r="B132"/>
        </row>
        <row r="133">
          <cell r="A133" t="str">
            <v>William Gateru Ngure</v>
          </cell>
          <cell r="B133" t="str">
            <v>ngure44@gmail.com</v>
          </cell>
        </row>
        <row r="134">
          <cell r="A134" t="str">
            <v>Yvonne Wanjiru (HK)</v>
          </cell>
          <cell r="B134" t="str">
            <v>ywagio@gmail.com</v>
          </cell>
        </row>
        <row r="135">
          <cell r="A135" t="str">
            <v>Yvonne Wanjiru (SV)</v>
          </cell>
          <cell r="B135" t="str">
            <v>ywagio@gmail.com</v>
          </cell>
        </row>
        <row r="136">
          <cell r="A136" t="str">
            <v>Zeel Alpeshbhai Patel</v>
          </cell>
          <cell r="B136" t="str">
            <v>zeel04062002@gmail.com</v>
          </cell>
        </row>
        <row r="137">
          <cell r="A137" t="str">
            <v>Mary Angelie Abelarde</v>
          </cell>
          <cell r="B137" t="str">
            <v>angeabelarde@gmail.com</v>
          </cell>
        </row>
        <row r="138">
          <cell r="A138" t="str">
            <v>Baldeep Singh Baring</v>
          </cell>
          <cell r="B138" t="str">
            <v>rajdeepbaring97@gmail.com</v>
          </cell>
        </row>
        <row r="139">
          <cell r="A139" t="str">
            <v>Bishal Gharti</v>
          </cell>
          <cell r="B139" t="str">
            <v>Bishalgharti.banks@gmail.com</v>
          </cell>
        </row>
        <row r="140">
          <cell r="A140" t="str">
            <v>Darran Larrance (Bartender)</v>
          </cell>
          <cell r="B140" t="str">
            <v>darranlarrance@gmail.com</v>
          </cell>
        </row>
        <row r="141">
          <cell r="A141" t="str">
            <v>Darran Larrance (Server)</v>
          </cell>
          <cell r="B141" t="str">
            <v>darranlarrance@gmail.com</v>
          </cell>
        </row>
        <row r="142">
          <cell r="A142" t="str">
            <v>Darran Larrance</v>
          </cell>
          <cell r="B142" t="str">
            <v>darranlarrance@gmail.com</v>
          </cell>
        </row>
        <row r="143">
          <cell r="A143" t="str">
            <v>Jasman Singh</v>
          </cell>
          <cell r="B143" t="str">
            <v>taurnaalshada69@gmail.com</v>
          </cell>
        </row>
        <row r="144">
          <cell r="A144" t="str">
            <v>Pardip Oli</v>
          </cell>
          <cell r="B144" t="str">
            <v>pradipwoli47@gmail.com</v>
          </cell>
        </row>
        <row r="145">
          <cell r="A145" t="str">
            <v>Rishabh Bumb (Bartender)</v>
          </cell>
          <cell r="B145"/>
        </row>
        <row r="146">
          <cell r="A146" t="str">
            <v>Rishabh Bumb (Server)</v>
          </cell>
          <cell r="B146"/>
        </row>
        <row r="147">
          <cell r="A147" t="str">
            <v>Sachin Phago</v>
          </cell>
          <cell r="B147" t="str">
            <v>phago08sachin@gmail.com</v>
          </cell>
        </row>
        <row r="148">
          <cell r="A148" t="str">
            <v>Shankar Adhikari</v>
          </cell>
          <cell r="B148" t="str">
            <v>shankaradhikari528@gmail.com</v>
          </cell>
        </row>
        <row r="149">
          <cell r="A149" t="str">
            <v>Nabagala Viviannie Carolyne</v>
          </cell>
          <cell r="B149" t="str">
            <v xml:space="preserve">Carolvivian1982@gmail.com </v>
          </cell>
        </row>
        <row r="150">
          <cell r="A150" t="str">
            <v>Jonalyn Mercado</v>
          </cell>
          <cell r="B150"/>
        </row>
        <row r="151">
          <cell r="A151" t="str">
            <v>Jonalyn Mercado J</v>
          </cell>
          <cell r="B151"/>
        </row>
        <row r="152">
          <cell r="A152" t="str">
            <v>Jonalyn Mercado R</v>
          </cell>
          <cell r="B152"/>
        </row>
        <row r="153">
          <cell r="A153" t="str">
            <v>Jim Jazon Dabuyan</v>
          </cell>
          <cell r="B153" t="str">
            <v>jdabuyan@yahoo.com</v>
          </cell>
        </row>
        <row r="154">
          <cell r="A154" t="str">
            <v>John Simon Ruiz</v>
          </cell>
          <cell r="B154" t="str">
            <v>ruizjohnsimon@yahoo.com</v>
          </cell>
        </row>
        <row r="155">
          <cell r="A155" t="str">
            <v xml:space="preserve">Ochiagha Sylvester Emenike </v>
          </cell>
          <cell r="B155" t="str">
            <v>emmylex682@gmail.com</v>
          </cell>
        </row>
        <row r="156">
          <cell r="A156" t="str">
            <v>Collins Darko Nimako</v>
          </cell>
          <cell r="B156" t="str">
            <v>collinsnimako60@gmail.com</v>
          </cell>
        </row>
        <row r="157">
          <cell r="A157" t="str">
            <v>Himaya James S</v>
          </cell>
          <cell r="B157"/>
        </row>
        <row r="158">
          <cell r="A158" t="str">
            <v>Leilanie Marie Cariaga I</v>
          </cell>
          <cell r="B158" t="str">
            <v>winercariaga@yahoo.com</v>
          </cell>
        </row>
        <row r="159">
          <cell r="A159" t="str">
            <v>Noela Lem Tala</v>
          </cell>
          <cell r="B159" t="str">
            <v>lemnoelatala@gmail.com</v>
          </cell>
        </row>
        <row r="160">
          <cell r="A160" t="str">
            <v xml:space="preserve">Nyinawase Merveille </v>
          </cell>
          <cell r="B160" t="str">
            <v>nyinawasemerveille@gmail.com</v>
          </cell>
        </row>
        <row r="161">
          <cell r="A161" t="str">
            <v>Onuchukwu Chidera</v>
          </cell>
          <cell r="B161" t="str">
            <v>deraonuchukwu@gmail.com</v>
          </cell>
        </row>
        <row r="162">
          <cell r="A162" t="str">
            <v>Madeline Simogan D</v>
          </cell>
          <cell r="B162" t="str">
            <v>daniel_alex120997@hotmail.com</v>
          </cell>
        </row>
        <row r="163">
          <cell r="A163" t="str">
            <v xml:space="preserve">Yaminijyothi Surapaneni </v>
          </cell>
          <cell r="B163" t="str">
            <v>yams.ghattamaneni@gmail.com</v>
          </cell>
        </row>
        <row r="164">
          <cell r="A164" t="str">
            <v>Samson Doca Asuncion E</v>
          </cell>
          <cell r="B164" t="str">
            <v>sam_asuncion42@yahoo.com</v>
          </cell>
        </row>
        <row r="165">
          <cell r="A165" t="str">
            <v>Rishabh Kumar</v>
          </cell>
          <cell r="B165" t="str">
            <v>rishabhkumar8787@gmail.com</v>
          </cell>
        </row>
        <row r="166">
          <cell r="A166" t="str">
            <v>Danica Lauzon</v>
          </cell>
          <cell r="B166" t="str">
            <v>Lauzon_danica@yahoo.com</v>
          </cell>
        </row>
        <row r="167">
          <cell r="A167" t="str">
            <v>Munjal Ashokkumar Chauhan</v>
          </cell>
          <cell r="B167" t="str">
            <v>Munjalchauhan125@gmail.com</v>
          </cell>
        </row>
        <row r="168">
          <cell r="A168" t="str">
            <v>Karan Khatri</v>
          </cell>
          <cell r="B168" t="str">
            <v>karankhatrik10@gmail.com</v>
          </cell>
        </row>
        <row r="169">
          <cell r="A169" t="str">
            <v>Farel Manirakiza</v>
          </cell>
          <cell r="B169" t="str">
            <v>manirakizafarel8@gmail.com</v>
          </cell>
        </row>
        <row r="170">
          <cell r="A170" t="str">
            <v>Olga uwikunze</v>
          </cell>
          <cell r="B170" t="str">
            <v>uwikunzeolga@gmail.com</v>
          </cell>
        </row>
        <row r="171">
          <cell r="A171" t="str">
            <v>Smile Sahotra</v>
          </cell>
          <cell r="B171" t="str">
            <v>aricksahotra@gmail.com</v>
          </cell>
        </row>
        <row r="172">
          <cell r="A172" t="str">
            <v>Asantha Pradeep Kannangara Koralalage</v>
          </cell>
          <cell r="B172" t="str">
            <v>asanthapradeep89@mail.com</v>
          </cell>
        </row>
        <row r="173">
          <cell r="A173" t="str">
            <v>Kenneth Baruelo</v>
          </cell>
          <cell r="B173"/>
        </row>
        <row r="174">
          <cell r="A174" t="str">
            <v>Izunna David Ajaere</v>
          </cell>
          <cell r="B174" t="str">
            <v>ajaereizunnadavid@gmail.com</v>
          </cell>
        </row>
        <row r="175">
          <cell r="A175" t="str">
            <v>Mary Jane Calunsag</v>
          </cell>
          <cell r="B175" t="str">
            <v>calunsagcjane17@gmail.com</v>
          </cell>
        </row>
        <row r="176">
          <cell r="A176" t="str">
            <v>Elham Yimam Mohammed</v>
          </cell>
          <cell r="B176"/>
        </row>
        <row r="177">
          <cell r="A177" t="str">
            <v>Arney Pagalilauan M</v>
          </cell>
          <cell r="B177"/>
        </row>
        <row r="178">
          <cell r="A178" t="str">
            <v>Omolola Oyedoyin Sodimu</v>
          </cell>
          <cell r="B178" t="str">
            <v>omololasodimu13@gmail.com</v>
          </cell>
        </row>
        <row r="179">
          <cell r="A179" t="str">
            <v>Earyl Kate Allan</v>
          </cell>
          <cell r="B179" t="str">
            <v>cherry.sendin@yahoo.com</v>
          </cell>
        </row>
        <row r="180">
          <cell r="A180" t="str">
            <v>Cherrylaine  A. Sendin</v>
          </cell>
          <cell r="B180" t="str">
            <v>cherry.sendin@yahoo.com</v>
          </cell>
        </row>
        <row r="181">
          <cell r="A181" t="str">
            <v>Sunshine Padilla Rebadulla</v>
          </cell>
          <cell r="B181" t="str">
            <v>sunshinerebadulla90@gmail.com</v>
          </cell>
        </row>
        <row r="182">
          <cell r="A182" t="str">
            <v>Shedrack David Ifeanyi</v>
          </cell>
          <cell r="B182" t="str">
            <v>Shedrackdavid29@gmail.com</v>
          </cell>
        </row>
        <row r="183">
          <cell r="A183" t="str">
            <v>Jashandeep Kaur</v>
          </cell>
          <cell r="B183" t="str">
            <v>kaurjshn29860@gmail.com</v>
          </cell>
        </row>
        <row r="184">
          <cell r="A184" t="str">
            <v>Jamuna Gainju</v>
          </cell>
          <cell r="B184" t="str">
            <v>gainjujamuna@gmail.com</v>
          </cell>
        </row>
        <row r="185">
          <cell r="A185" t="str">
            <v>Kathryn Santos</v>
          </cell>
          <cell r="B185" t="str">
            <v>kjssntos0317@yahoo.com</v>
          </cell>
        </row>
        <row r="186">
          <cell r="A186" t="str">
            <v>Kristine Anne M. De Guzman</v>
          </cell>
          <cell r="B186" t="str">
            <v>kristine_dguzman@yahoo.com</v>
          </cell>
        </row>
        <row r="187">
          <cell r="A187" t="str">
            <v>Nancy Oluchi Onuchukwu</v>
          </cell>
          <cell r="B187" t="str">
            <v>nancyonugod@gmail.com</v>
          </cell>
        </row>
        <row r="188">
          <cell r="A188" t="str">
            <v>Sandip Oli</v>
          </cell>
          <cell r="B188" t="str">
            <v>olisandip431@gmail.com</v>
          </cell>
        </row>
        <row r="189">
          <cell r="A189" t="str">
            <v>Leyah Ramos</v>
          </cell>
          <cell r="B189" t="str">
            <v>lramos273141@gmail.com</v>
          </cell>
        </row>
        <row r="190">
          <cell r="A190" t="str">
            <v>Otse Wilson Joseph</v>
          </cell>
          <cell r="B190" t="str">
            <v>Otsewilson22@gmail.com</v>
          </cell>
        </row>
        <row r="191">
          <cell r="A191" t="str">
            <v>Olayiwola Emmanuel Olatide</v>
          </cell>
          <cell r="B191" t="str">
            <v>emmanuelolatide@gmail.com</v>
          </cell>
        </row>
        <row r="192">
          <cell r="A192" t="str">
            <v>Fola Aibinuola</v>
          </cell>
          <cell r="B192" t="str">
            <v>fola4lek@gmail.com</v>
          </cell>
        </row>
        <row r="193">
          <cell r="A193" t="str">
            <v>Pauolo Popoola</v>
          </cell>
          <cell r="B193" t="str">
            <v>Paulompopoola@megacontacts.ca</v>
          </cell>
        </row>
        <row r="194">
          <cell r="A194" t="str">
            <v>Justine De Guzman</v>
          </cell>
          <cell r="B194" t="str">
            <v>justinedeguzman2222@gmail.com</v>
          </cell>
        </row>
        <row r="195">
          <cell r="A195" t="str">
            <v>Zita Charone Igihozo</v>
          </cell>
          <cell r="B195" t="str">
            <v>igihozozitha@gmail.com</v>
          </cell>
        </row>
        <row r="196">
          <cell r="A196" t="str">
            <v>Ralph Batuamba-Ntumba</v>
          </cell>
          <cell r="B196" t="str">
            <v>ralphbatuamba@gmail.com</v>
          </cell>
        </row>
        <row r="197">
          <cell r="A197" t="str">
            <v>Jaswinder Kaur</v>
          </cell>
          <cell r="B197"/>
        </row>
        <row r="198">
          <cell r="A198" t="str">
            <v>Flor De Liz Leung</v>
          </cell>
          <cell r="B198" t="str">
            <v>allanflordeliz25@gmail.com</v>
          </cell>
        </row>
        <row r="199">
          <cell r="A199" t="str">
            <v>Folashade Adekoya</v>
          </cell>
          <cell r="B199" t="str">
            <v>ashandyawotungase@gmail.com</v>
          </cell>
        </row>
        <row r="200">
          <cell r="A200" t="str">
            <v>Lalit Khanal</v>
          </cell>
          <cell r="B200"/>
        </row>
        <row r="201">
          <cell r="A201" t="str">
            <v>Senen Capinpin</v>
          </cell>
          <cell r="B201"/>
        </row>
        <row r="202">
          <cell r="A202" t="str">
            <v>Roel Mercado</v>
          </cell>
          <cell r="B202"/>
        </row>
        <row r="203">
          <cell r="A203" t="str">
            <v>James Mugume Rwerinyange</v>
          </cell>
          <cell r="B203" t="str">
            <v>jmugume77@gmail.com</v>
          </cell>
        </row>
        <row r="204">
          <cell r="A204" t="str">
            <v>Joshua Ikeji</v>
          </cell>
          <cell r="B204" t="str">
            <v>joeikeji7@gmail.com</v>
          </cell>
        </row>
        <row r="205">
          <cell r="A205" t="str">
            <v>Andong Nancy Tefeh</v>
          </cell>
          <cell r="B205" t="str">
            <v>andongnancy26@gmail.com</v>
          </cell>
        </row>
        <row r="206">
          <cell r="A206" t="str">
            <v>Melissa P. Agbanlog</v>
          </cell>
          <cell r="B206" t="str">
            <v>mhel_414@yahoo.com</v>
          </cell>
        </row>
        <row r="207">
          <cell r="A207" t="str">
            <v>Emilia Sarmiento Cariaga</v>
          </cell>
          <cell r="B207" t="str">
            <v>emiliacariaga@hotmail.com</v>
          </cell>
        </row>
        <row r="208">
          <cell r="A208" t="str">
            <v>Fatouma Traore</v>
          </cell>
          <cell r="B208" t="str">
            <v>fatouma.traore410@gmail.com</v>
          </cell>
        </row>
        <row r="209">
          <cell r="A209" t="str">
            <v>Ishimwe Cleopatre Umuhire</v>
          </cell>
          <cell r="B209" t="str">
            <v>ishimwecumuhire@gmail.com</v>
          </cell>
        </row>
        <row r="210">
          <cell r="A210" t="str">
            <v>Stella Asong Nchonganyi</v>
          </cell>
          <cell r="B210" t="str">
            <v>stellaasong75@gmail.com</v>
          </cell>
        </row>
        <row r="211">
          <cell r="A211" t="str">
            <v>Deborah Akinola</v>
          </cell>
          <cell r="B211" t="str">
            <v>deborah.akinolaa@gmail.com</v>
          </cell>
        </row>
        <row r="212">
          <cell r="A212" t="str">
            <v>Claudine Uwituze</v>
          </cell>
          <cell r="B212" t="str">
            <v>uwituzeclaudine959@gmail.com</v>
          </cell>
        </row>
        <row r="213">
          <cell r="A213" t="str">
            <v>Marie Charles</v>
          </cell>
          <cell r="B213" t="str">
            <v>mmariejocharles@gmail.com</v>
          </cell>
        </row>
        <row r="214">
          <cell r="A214" t="str">
            <v>Samrat Kathayat</v>
          </cell>
          <cell r="B214" t="str">
            <v>samratkathayat009@gmail.com</v>
          </cell>
        </row>
        <row r="215">
          <cell r="A215" t="str">
            <v>Varkha</v>
          </cell>
          <cell r="B215" t="str">
            <v>varkha904@gmail.com</v>
          </cell>
        </row>
        <row r="216">
          <cell r="A216" t="str">
            <v>Delphine Akimanishaka</v>
          </cell>
          <cell r="B216" t="str">
            <v>akimanishakadelph9@gmail.com</v>
          </cell>
        </row>
        <row r="217">
          <cell r="A217" t="str">
            <v>Chander</v>
          </cell>
          <cell r="B217" t="str">
            <v>chandersyal.cs1234@gmail.com</v>
          </cell>
        </row>
        <row r="218">
          <cell r="A218" t="str">
            <v>Ochiagha Sylvester Emenike</v>
          </cell>
          <cell r="B218" t="e">
            <v>#N/A</v>
          </cell>
        </row>
        <row r="219">
          <cell r="A219" t="str">
            <v>Pardeep Singh Saini</v>
          </cell>
          <cell r="B219" t="str">
            <v>ps9646986@gmail.com</v>
          </cell>
        </row>
        <row r="220">
          <cell r="A220" t="str">
            <v>Ibrahim Kamara</v>
          </cell>
          <cell r="B220" t="e">
            <v>#N/A</v>
          </cell>
        </row>
        <row r="221">
          <cell r="A221" t="str">
            <v>Paulo Popoola</v>
          </cell>
          <cell r="B221" t="str">
            <v>Paulompopoola@megacontacts.ca</v>
          </cell>
        </row>
        <row r="222">
          <cell r="A222" t="str">
            <v>Gary Sales</v>
          </cell>
          <cell r="B222" t="e">
            <v>#N/A</v>
          </cell>
        </row>
        <row r="223">
          <cell r="A223" t="str">
            <v>Irakoze Audreille</v>
          </cell>
          <cell r="B223" t="str">
            <v>irakozeaudreille67@gmail.com</v>
          </cell>
        </row>
        <row r="224">
          <cell r="A224" t="str">
            <v>Regine Akayezu</v>
          </cell>
          <cell r="B224" t="str">
            <v>akayezu.reginec@gmail.com</v>
          </cell>
        </row>
        <row r="225">
          <cell r="A225" t="str">
            <v>Ishimwe Sarah</v>
          </cell>
          <cell r="B225" t="str">
            <v>ishimwesarah256@gmail.com</v>
          </cell>
        </row>
        <row r="226">
          <cell r="A226" t="str">
            <v>Sarah Ayantola</v>
          </cell>
          <cell r="B226" t="str">
            <v>yinkaadebajo@yahoo.com</v>
          </cell>
        </row>
        <row r="227">
          <cell r="A227" t="str">
            <v>Daniella Umutoni</v>
          </cell>
          <cell r="B227" t="str">
            <v>daniella.daniella2024@gmail.com</v>
          </cell>
        </row>
        <row r="228">
          <cell r="A228" t="str">
            <v>Jualyn Barbarona</v>
          </cell>
          <cell r="B228" t="str">
            <v>barbaronajualyn@yahoo.ca</v>
          </cell>
        </row>
        <row r="229">
          <cell r="A229" t="str">
            <v>Nelly Njoki Githaiga</v>
          </cell>
          <cell r="B229" t="str">
            <v>nellygithaiga254@gmail.com</v>
          </cell>
        </row>
        <row r="230">
          <cell r="A230" t="str">
            <v>Princess Mae Domingo</v>
          </cell>
          <cell r="B230" t="str">
            <v>princessmaedomingo20@gmail.com</v>
          </cell>
        </row>
        <row r="231">
          <cell r="A231" t="str">
            <v>Ugochukwu Ogbuaku</v>
          </cell>
          <cell r="B231" t="str">
            <v>ugochukwu.ogbuaku@gmail.com</v>
          </cell>
        </row>
        <row r="232">
          <cell r="A232" t="str">
            <v>Franklyn Chukwunonye</v>
          </cell>
          <cell r="B232" t="str">
            <v>Chukwunonyefranklyn@gmail.com</v>
          </cell>
        </row>
        <row r="233">
          <cell r="A233" t="str">
            <v>Mahiben Vasantkumar Prajapati</v>
          </cell>
          <cell r="B233" t="str">
            <v>mahiprajapati0108@gmail.com</v>
          </cell>
        </row>
        <row r="234">
          <cell r="A234" t="str">
            <v>Omowunmi Samuel</v>
          </cell>
          <cell r="B234" t="str">
            <v>omowunmis056@gmail.com</v>
          </cell>
        </row>
        <row r="235">
          <cell r="A235" t="str">
            <v>Sahi Salia</v>
          </cell>
          <cell r="B235" t="str">
            <v>Sahisalia123@gmail.com</v>
          </cell>
        </row>
        <row r="236">
          <cell r="A236" t="str">
            <v>Shivam Sood</v>
          </cell>
          <cell r="B236" t="str">
            <v>shivams385@gmail.com</v>
          </cell>
        </row>
        <row r="237">
          <cell r="A237" t="str">
            <v>Jenita Gill</v>
          </cell>
          <cell r="B237" t="str">
            <v>miss_gill86@yahoo.com</v>
          </cell>
        </row>
        <row r="238">
          <cell r="A238" t="str">
            <v>Satnam Singh</v>
          </cell>
          <cell r="B238" t="str">
            <v>satnam9723@gmail.com</v>
          </cell>
        </row>
        <row r="239">
          <cell r="A239" t="str">
            <v>Sukhjot Singh</v>
          </cell>
          <cell r="B239" t="str">
            <v>ssukhjot675@gmail.com</v>
          </cell>
        </row>
        <row r="240">
          <cell r="A240" t="str">
            <v>Joshua Agorilla</v>
          </cell>
          <cell r="B240" t="str">
            <v>agorilla.joshua16@gmail.com</v>
          </cell>
        </row>
        <row r="241">
          <cell r="A241" t="str">
            <v>Safia Benafsha</v>
          </cell>
          <cell r="B241" t="str">
            <v>hmis.benafsha@gmail.com</v>
          </cell>
        </row>
        <row r="242">
          <cell r="A242" t="str">
            <v>Abdullahi Abdi Hirsi</v>
          </cell>
          <cell r="B242" t="str">
            <v>abdallashabdi29@gmail.com</v>
          </cell>
        </row>
        <row r="243">
          <cell r="A243" t="str">
            <v>Jordan Tsakou Kenne</v>
          </cell>
          <cell r="B243" t="str">
            <v>tsakoujordan0@gmail.com</v>
          </cell>
        </row>
        <row r="244">
          <cell r="A244" t="str">
            <v>Isha Touray</v>
          </cell>
          <cell r="B244" t="str">
            <v>jallowisha588@gmail.com</v>
          </cell>
        </row>
        <row r="245">
          <cell r="A245" t="str">
            <v>Yasin Touray</v>
          </cell>
          <cell r="B245" t="str">
            <v>yassinsambou39@gmail.com</v>
          </cell>
        </row>
        <row r="246">
          <cell r="A246" t="str">
            <v>Ishwori Humagain</v>
          </cell>
          <cell r="B246" t="str">
            <v>ishworihumagain@yahoo.com</v>
          </cell>
        </row>
        <row r="247">
          <cell r="A247" t="str">
            <v>Carive Dialakana Bahenga</v>
          </cell>
          <cell r="B247" t="str">
            <v>bahengadiala1@gmail.com</v>
          </cell>
        </row>
        <row r="248">
          <cell r="A248" t="str">
            <v>Uwayemen Aziegbe</v>
          </cell>
          <cell r="B248" t="str">
            <v>aziegbeunity@gmail.com</v>
          </cell>
        </row>
        <row r="249">
          <cell r="A249" t="str">
            <v>Vivek</v>
          </cell>
          <cell r="B249" t="str">
            <v>vivekdahiya7082@gmail.com</v>
          </cell>
        </row>
        <row r="250">
          <cell r="A250" t="str">
            <v>Madiha John</v>
          </cell>
          <cell r="B250" t="str">
            <v>J.madiha10@gmail.com</v>
          </cell>
        </row>
        <row r="251">
          <cell r="A251" t="str">
            <v>Esther Pacheco</v>
          </cell>
          <cell r="B251" t="str">
            <v>estherpacheco_101@yahoo.com</v>
          </cell>
        </row>
        <row r="252">
          <cell r="A252" t="str">
            <v>Jashanpreet Kaur Sarwara</v>
          </cell>
          <cell r="B252" t="str">
            <v>jk8788064@gmail.com</v>
          </cell>
        </row>
        <row r="253">
          <cell r="A253" t="str">
            <v>Egbule Fannie Chinyere</v>
          </cell>
          <cell r="B253" t="str">
            <v>fanniecalmcy558@gmail.com</v>
          </cell>
        </row>
        <row r="254">
          <cell r="A254" t="str">
            <v>Christian Izuchukwu Osoagba</v>
          </cell>
          <cell r="B254" t="str">
            <v>christianizuchukwu00@gmail.com</v>
          </cell>
        </row>
        <row r="255">
          <cell r="A255" t="str">
            <v>Michelle Enriquez</v>
          </cell>
          <cell r="B255" t="str">
            <v>ellehci_m@yahoo.com.ph</v>
          </cell>
        </row>
        <row r="256">
          <cell r="A256" t="str">
            <v>Herbert</v>
          </cell>
          <cell r="B256" t="str">
            <v>ellehci_m@yahoo.com.ph</v>
          </cell>
        </row>
        <row r="257">
          <cell r="A257" t="str">
            <v>Jan Choy Tee</v>
          </cell>
          <cell r="B257" t="str">
            <v>janctee@gmail.com</v>
          </cell>
        </row>
        <row r="258">
          <cell r="A258" t="str">
            <v>Harsh Vyas</v>
          </cell>
          <cell r="B258" t="str">
            <v>harsh23.vyas@gmail.com</v>
          </cell>
        </row>
        <row r="259">
          <cell r="A259" t="str">
            <v>Henry Guisalta</v>
          </cell>
          <cell r="B259" t="str">
            <v>irish.alva@yahoo.com</v>
          </cell>
        </row>
        <row r="260">
          <cell r="A260" t="str">
            <v>Mannat Badhan</v>
          </cell>
          <cell r="B260" t="str">
            <v>badhan2005mannat@gmail.com</v>
          </cell>
        </row>
        <row r="261">
          <cell r="A261" t="str">
            <v>Teguetsop Doungue Elvéra Vivianie</v>
          </cell>
          <cell r="B261" t="str">
            <v>eteguetsop@gmail.com</v>
          </cell>
        </row>
        <row r="262">
          <cell r="A262" t="str">
            <v>Egdule Fannie Chinyere</v>
          </cell>
          <cell r="B262" t="str">
            <v>fanniecalmcy558@gmail.com</v>
          </cell>
        </row>
        <row r="263">
          <cell r="A263" t="str">
            <v>Anastasiia Rostovtseva</v>
          </cell>
          <cell r="B263" t="str">
            <v>nastia.rostovtceva1611@gmail.com</v>
          </cell>
        </row>
        <row r="264">
          <cell r="A264" t="str">
            <v>Aljon Galgo</v>
          </cell>
          <cell r="B264" t="str">
            <v>jcmolejon@yahoo.com</v>
          </cell>
        </row>
        <row r="265">
          <cell r="A265" t="str">
            <v>Myriam Laus</v>
          </cell>
          <cell r="B265" t="str">
            <v>mlaus28@yahoo.com</v>
          </cell>
        </row>
        <row r="266">
          <cell r="A266" t="str">
            <v>Simranjot Kaur</v>
          </cell>
          <cell r="B266" t="str">
            <v>simrangrewal2316@gmail.com</v>
          </cell>
        </row>
        <row r="267">
          <cell r="A267" t="str">
            <v>Meet Vanraj Mahida</v>
          </cell>
          <cell r="B267" t="str">
            <v>meetmahida09500@gmail.com</v>
          </cell>
        </row>
        <row r="268">
          <cell r="A268" t="str">
            <v>Titilope Esther Adekile</v>
          </cell>
          <cell r="B268" t="str">
            <v>adekiletitilope2017@gmail.com</v>
          </cell>
        </row>
        <row r="269">
          <cell r="A269" t="str">
            <v>Joy Unekhoria</v>
          </cell>
          <cell r="B269" t="str">
            <v>joyonose456@gmail.com</v>
          </cell>
        </row>
        <row r="270">
          <cell r="A270" t="str">
            <v>Latifah Damilola Usman</v>
          </cell>
          <cell r="B270" t="str">
            <v>latifahdamilolausman@gmail.com</v>
          </cell>
        </row>
        <row r="271">
          <cell r="A271" t="str">
            <v>Pranjal Shah</v>
          </cell>
          <cell r="B271" t="str">
            <v>pranjalshah2352@gmail.com</v>
          </cell>
        </row>
        <row r="272">
          <cell r="A272" t="str">
            <v>Rita Aladi</v>
          </cell>
          <cell r="B272" t="str">
            <v>Chijiokeblessing0@gmail.com</v>
          </cell>
        </row>
        <row r="273">
          <cell r="A273" t="str">
            <v>Rita Shalimar C. Aradillos</v>
          </cell>
          <cell r="B273" t="str">
            <v>shlmr.aradillos@gmail.com</v>
          </cell>
        </row>
        <row r="274">
          <cell r="A274" t="str">
            <v>James John Iñido</v>
          </cell>
          <cell r="B274" t="str">
            <v>Isiahkentarcay0@gmail.com</v>
          </cell>
        </row>
        <row r="275">
          <cell r="A275" t="str">
            <v>Isiah Kent Arcay</v>
          </cell>
          <cell r="B275" t="str">
            <v>Isiahkentarcay0@gmail.com</v>
          </cell>
        </row>
        <row r="276">
          <cell r="A276" t="str">
            <v>Jonervin Agustin</v>
          </cell>
          <cell r="B276" t="str">
            <v>jenuson04@gmail.com</v>
          </cell>
        </row>
        <row r="277">
          <cell r="A277" t="str">
            <v>Anna Lee Mercado</v>
          </cell>
          <cell r="B277" t="str">
            <v>ryanafara333@gmail.com</v>
          </cell>
        </row>
        <row r="278">
          <cell r="A278" t="str">
            <v>Abisola Ayegboyin</v>
          </cell>
          <cell r="B278" t="str">
            <v>ayegboyinabisola@gmail.com</v>
          </cell>
        </row>
        <row r="279">
          <cell r="A279" t="str">
            <v>Dhruvkumar Harshadkumar Patel</v>
          </cell>
          <cell r="B279" t="str">
            <v>pateldhruv2298@gmail.com</v>
          </cell>
        </row>
        <row r="280">
          <cell r="A280" t="str">
            <v>Sukhjivan Singh</v>
          </cell>
          <cell r="B280" t="str">
            <v>jivenvirk17@gmail.com</v>
          </cell>
        </row>
        <row r="281">
          <cell r="A281" t="str">
            <v>Gouri Gouri</v>
          </cell>
          <cell r="B281" t="str">
            <v>sandhugouri24@gmail.com</v>
          </cell>
        </row>
        <row r="282">
          <cell r="A282" t="str">
            <v>Navneet Kaur</v>
          </cell>
          <cell r="B282" t="str">
            <v>navneetkaur16049@gmail.com</v>
          </cell>
        </row>
        <row r="283">
          <cell r="A283" t="str">
            <v>Johane Marie Daniele Merentie</v>
          </cell>
          <cell r="B283" t="str">
            <v>johanemerentie@gmail.com</v>
          </cell>
        </row>
        <row r="284">
          <cell r="A284" t="str">
            <v>Ethel Ysabelle Delos Reyes</v>
          </cell>
          <cell r="B284" t="str">
            <v>ethelysabelle08@yahoo.com</v>
          </cell>
        </row>
        <row r="285">
          <cell r="A285" t="str">
            <v>Harprit Singh</v>
          </cell>
          <cell r="B285" t="str">
            <v>harprit_chohan@yahoo.com</v>
          </cell>
        </row>
        <row r="286">
          <cell r="A286" t="str">
            <v>Chali Rizal</v>
          </cell>
          <cell r="B286" t="str">
            <v>lovelychali@gmail.com</v>
          </cell>
        </row>
        <row r="287">
          <cell r="A287" t="str">
            <v>Harpreet Harpreet</v>
          </cell>
          <cell r="B287" t="str">
            <v>jhinjerharpreet2@gmail.com</v>
          </cell>
        </row>
        <row r="288">
          <cell r="A288" t="str">
            <v>Balveer Kaur Kang</v>
          </cell>
          <cell r="B288" t="str">
            <v>raman37371@gmail.com</v>
          </cell>
        </row>
        <row r="289">
          <cell r="A289" t="str">
            <v>Susan Omoghene</v>
          </cell>
          <cell r="B289" t="str">
            <v>adavbnwaubani@yahoo.com</v>
          </cell>
        </row>
        <row r="290">
          <cell r="A290" t="str">
            <v>James Rwerinyange</v>
          </cell>
          <cell r="B290" t="str">
            <v>jmugume77@gmail.com</v>
          </cell>
        </row>
        <row r="291">
          <cell r="A291" t="str">
            <v>Rochell Ann Magtangob</v>
          </cell>
          <cell r="B291" t="str">
            <v>rochellannmagtangob@gmail.com</v>
          </cell>
        </row>
        <row r="292">
          <cell r="A292" t="str">
            <v>Sekinat Ojo</v>
          </cell>
          <cell r="B292" t="str">
            <v>sektoyin1977@gmail.com</v>
          </cell>
        </row>
        <row r="293">
          <cell r="A293" t="str">
            <v>Ansherina Orda</v>
          </cell>
          <cell r="B293" t="str">
            <v>sherinaorda@gmail.com</v>
          </cell>
        </row>
        <row r="294">
          <cell r="A294" t="str">
            <v>Vikas Sohal</v>
          </cell>
          <cell r="B294" t="str">
            <v>vikassohal041@gmail.com</v>
          </cell>
        </row>
        <row r="295">
          <cell r="A295" t="str">
            <v>Gurpinder Kaur</v>
          </cell>
          <cell r="B295" t="str">
            <v>davinderdeol255@gmail.com</v>
          </cell>
        </row>
        <row r="296">
          <cell r="A296" t="str">
            <v>Ishpreet Kaur</v>
          </cell>
          <cell r="B296" t="str">
            <v>ishpreetkaur28122004@gmail.com</v>
          </cell>
        </row>
        <row r="297">
          <cell r="A297" t="str">
            <v>Wilmar</v>
          </cell>
          <cell r="B297" t="str">
            <v>cathypundz@outlook.com</v>
          </cell>
        </row>
        <row r="298">
          <cell r="A298" t="str">
            <v>Azubike Emmanuel Eloka</v>
          </cell>
          <cell r="B298" t="str">
            <v>elokaazubike@yahoo.com</v>
          </cell>
        </row>
        <row r="299">
          <cell r="A299" t="str">
            <v>Rhandolp Carl Reyes</v>
          </cell>
          <cell r="B299" t="str">
            <v>maynovsob@gmail.com</v>
          </cell>
        </row>
        <row r="300">
          <cell r="A300" t="str">
            <v>Geraldo Aquino</v>
          </cell>
          <cell r="B300" t="str">
            <v>jonathanroysuarez@gmail.com</v>
          </cell>
        </row>
        <row r="301">
          <cell r="A301" t="str">
            <v>Rey Salas</v>
          </cell>
          <cell r="B301" t="str">
            <v>salesrey3@gmail.com</v>
          </cell>
        </row>
        <row r="302">
          <cell r="A302" t="str">
            <v>Elmer Delos Reyes</v>
          </cell>
          <cell r="B302" t="str">
            <v>Lmher03@yahoo.com</v>
          </cell>
        </row>
        <row r="303">
          <cell r="A303" t="str">
            <v>Gautam Gurung</v>
          </cell>
          <cell r="B303" t="str">
            <v>thapasanti753@gmail.com</v>
          </cell>
        </row>
        <row r="304">
          <cell r="A304" t="str">
            <v>Mary Jane Tacderan</v>
          </cell>
          <cell r="B304" t="str">
            <v>calibuso2003@yahoo.ca</v>
          </cell>
        </row>
        <row r="305">
          <cell r="A305" t="str">
            <v>Mark Anthony Flores</v>
          </cell>
          <cell r="B305" t="str">
            <v>marcoanne12223@gmail.com</v>
          </cell>
        </row>
        <row r="306">
          <cell r="A306" t="str">
            <v>Madhur Manocha</v>
          </cell>
          <cell r="B306" t="str">
            <v>madhurmanocha481@gmail.com</v>
          </cell>
        </row>
        <row r="307">
          <cell r="A307" t="str">
            <v>Woddy Rivera</v>
          </cell>
          <cell r="B307" t="str">
            <v>epoi89091@gmail.com</v>
          </cell>
        </row>
        <row r="308">
          <cell r="A308" t="str">
            <v>Jose Baldovino</v>
          </cell>
          <cell r="B308" t="str">
            <v>baldobaldovino1981@gmail.com</v>
          </cell>
        </row>
        <row r="309">
          <cell r="A309" t="str">
            <v>Sonia Dailay</v>
          </cell>
          <cell r="B309" t="str">
            <v>sonia.dailay@gmail.com</v>
          </cell>
        </row>
        <row r="310">
          <cell r="A310" t="str">
            <v>Julius Garcia</v>
          </cell>
          <cell r="B310" t="str">
            <v>jgarcia3327@gmail.com</v>
          </cell>
        </row>
        <row r="311">
          <cell r="A311" t="str">
            <v>Joseph Daniel Manapsal</v>
          </cell>
          <cell r="B311" t="str">
            <v>manapsal1991@gmail.com</v>
          </cell>
        </row>
        <row r="312">
          <cell r="A312" t="str">
            <v>Manpreet Singh</v>
          </cell>
          <cell r="B312" t="str">
            <v>manpreetsingh55284@gmail.com</v>
          </cell>
        </row>
        <row r="313">
          <cell r="A313" t="str">
            <v>Casey Alexis Rapisura</v>
          </cell>
          <cell r="B313" t="str">
            <v>caseyrapisura@gmail.com</v>
          </cell>
        </row>
        <row r="314">
          <cell r="A314" t="str">
            <v>Gabriel Aaron ramos</v>
          </cell>
          <cell r="B314" t="str">
            <v>gabs100312@gmail.com</v>
          </cell>
        </row>
        <row r="315">
          <cell r="A315" t="str">
            <v>Jenny Lyn Garcia Galapia</v>
          </cell>
          <cell r="B315" t="str">
            <v>jlggalapia0913@gmail.com</v>
          </cell>
        </row>
        <row r="316">
          <cell r="A316" t="str">
            <v>Tanvir Multani</v>
          </cell>
          <cell r="B316" t="str">
            <v>tanvirmultani.786.10@gmail.com</v>
          </cell>
        </row>
        <row r="317">
          <cell r="A317" t="str">
            <v>Rohit Kumar</v>
          </cell>
          <cell r="B317" t="str">
            <v>kviney365@gmail.com</v>
          </cell>
        </row>
        <row r="318">
          <cell r="A318" t="str">
            <v>Henry Lopecillo Jr.</v>
          </cell>
          <cell r="B318" t="str">
            <v>henrylopecillo@gmail.com</v>
          </cell>
        </row>
        <row r="319">
          <cell r="A319" t="str">
            <v xml:space="preserve">Veronica Wambo Mbugua </v>
          </cell>
          <cell r="B319" t="str">
            <v>niqurepaul@gmail.com</v>
          </cell>
        </row>
        <row r="320">
          <cell r="A320" t="str">
            <v>Catherine Martin</v>
          </cell>
          <cell r="B320" t="str">
            <v>cathypundz@gmail.com</v>
          </cell>
        </row>
        <row r="321">
          <cell r="A321" t="str">
            <v>Dianne Grace Rimando</v>
          </cell>
          <cell r="B321" t="str">
            <v>dgbautista06@gmail.com</v>
          </cell>
        </row>
        <row r="322">
          <cell r="A322" t="str">
            <v>Willer Mercado</v>
          </cell>
        </row>
        <row r="323">
          <cell r="A323" t="str">
            <v>Pedro Saluta Calvar</v>
          </cell>
          <cell r="B323" t="str">
            <v>calvarpedro52@yahoo.com</v>
          </cell>
        </row>
        <row r="324">
          <cell r="A324" t="str">
            <v>Ryan Carl Santiago</v>
          </cell>
          <cell r="B324" t="str">
            <v>carlbsanti@gmail.com</v>
          </cell>
        </row>
        <row r="325">
          <cell r="A325" t="str">
            <v>Elvira Diolazo</v>
          </cell>
          <cell r="B325" t="str">
            <v>diolazoanalyn@gmail.com</v>
          </cell>
        </row>
        <row r="326">
          <cell r="A326" t="str">
            <v>Jennifer Uson</v>
          </cell>
          <cell r="B326" t="str">
            <v>jenuson04@gmail.com</v>
          </cell>
        </row>
        <row r="327">
          <cell r="A327" t="str">
            <v>Voltaire John Buenaflor</v>
          </cell>
          <cell r="B327" t="str">
            <v>johngabrielmbuenaflor@gmail.com</v>
          </cell>
        </row>
        <row r="328">
          <cell r="A328" t="str">
            <v>Santi Thapa</v>
          </cell>
          <cell r="B328" t="str">
            <v>thapasanti753@gmail.com</v>
          </cell>
        </row>
        <row r="329">
          <cell r="A329" t="str">
            <v>Gurpreet Kaur</v>
          </cell>
        </row>
        <row r="330">
          <cell r="A330" t="str">
            <v>Theodora Kevine Nana</v>
          </cell>
          <cell r="B330" t="str">
            <v>theodorakevinenana@gmail.com</v>
          </cell>
        </row>
        <row r="331">
          <cell r="A331" t="str">
            <v>Vansh Sharma</v>
          </cell>
          <cell r="B331" t="str">
            <v>vs926245@gmail.com</v>
          </cell>
        </row>
        <row r="332">
          <cell r="A332" t="str">
            <v>Khushi Kafle</v>
          </cell>
          <cell r="B332" t="str">
            <v>khushikafle19@gmail.com</v>
          </cell>
        </row>
        <row r="333">
          <cell r="A333" t="str">
            <v>Ernesto Jr. Gampon</v>
          </cell>
          <cell r="B333" t="str">
            <v>ernestogampon@yahoo.com</v>
          </cell>
        </row>
        <row r="334">
          <cell r="A334" t="str">
            <v>Richard Canillas</v>
          </cell>
          <cell r="B334" t="str">
            <v>grace_040506@yahoo.com</v>
          </cell>
        </row>
        <row r="335">
          <cell r="A335" t="str">
            <v>Jeffrey Pila</v>
          </cell>
          <cell r="B335" t="str">
            <v>jeffpila05@gmail.com</v>
          </cell>
        </row>
        <row r="336">
          <cell r="A336" t="str">
            <v>Heide Loraine Favor</v>
          </cell>
          <cell r="B336" t="str">
            <v>angelica.tadena@yahoo.com</v>
          </cell>
        </row>
        <row r="337">
          <cell r="A337" t="str">
            <v xml:space="preserve">Adwoa Tiwaa Agyemang </v>
          </cell>
          <cell r="B337" t="str">
            <v>adwoatiwaaagyemang@gmail.com</v>
          </cell>
        </row>
        <row r="338">
          <cell r="A338" t="str">
            <v>Attessi Wilfried</v>
          </cell>
          <cell r="B338" t="str">
            <v>attessinguessan072023@gmail.com</v>
          </cell>
        </row>
        <row r="339">
          <cell r="A339" t="str">
            <v>Piyush Aasodiya</v>
          </cell>
          <cell r="B339" t="str">
            <v>ksv1720.piyush@gmail.com</v>
          </cell>
        </row>
        <row r="340">
          <cell r="A340" t="str">
            <v>Omoyele Oluwatimilehen Success</v>
          </cell>
          <cell r="B340" t="str">
            <v>Omoyeletimi03@gmail.com</v>
          </cell>
        </row>
        <row r="341">
          <cell r="A341" t="str">
            <v>Carmela Ogena</v>
          </cell>
          <cell r="B341" t="str">
            <v>vinperegrino@yahoo.com</v>
          </cell>
        </row>
        <row r="342">
          <cell r="A342" t="str">
            <v>Mehakpreet Kaur</v>
          </cell>
          <cell r="B342" t="str">
            <v>mehaktiwana6077@gmail.com</v>
          </cell>
        </row>
        <row r="343">
          <cell r="A343" t="str">
            <v>Christian Hiro Bonsol</v>
          </cell>
          <cell r="B343" t="str">
            <v>christianhirobonsol@gmail.com</v>
          </cell>
        </row>
        <row r="344">
          <cell r="A344" t="str">
            <v>Rene Ramos</v>
          </cell>
          <cell r="B344" t="str">
            <v>arkineers@gmail.com</v>
          </cell>
        </row>
        <row r="345">
          <cell r="A345" t="str">
            <v>Oyebola Oladoyin</v>
          </cell>
          <cell r="B345" t="str">
            <v>ARIYO.oladoyin@yahoo.com</v>
          </cell>
        </row>
        <row r="346">
          <cell r="A346" t="str">
            <v>Aljhon Galgo</v>
          </cell>
          <cell r="B346" t="str">
            <v>jcmolejon@yahoo.com</v>
          </cell>
        </row>
        <row r="347">
          <cell r="A347" t="str">
            <v>Czarina</v>
          </cell>
          <cell r="B347" t="str">
            <v>ameliafuente@yahoo.ca</v>
          </cell>
        </row>
        <row r="348">
          <cell r="A348" t="str">
            <v>Dante</v>
          </cell>
          <cell r="B348" t="str">
            <v>ameliafuente@yahoo.ca</v>
          </cell>
        </row>
        <row r="349">
          <cell r="A349" t="str">
            <v>Heide Favor</v>
          </cell>
          <cell r="B349" t="str">
            <v>angelica.tadena@yahoo.com</v>
          </cell>
        </row>
        <row r="350">
          <cell r="A350" t="str">
            <v>Lorraine Smith</v>
          </cell>
          <cell r="B350" t="str">
            <v>smithlorraine02@gmail.com</v>
          </cell>
        </row>
        <row r="351">
          <cell r="A351" t="str">
            <v>Marica</v>
          </cell>
          <cell r="B351" t="str">
            <v>Chrisross5100@gmail.com</v>
          </cell>
        </row>
        <row r="352">
          <cell r="A352" t="str">
            <v>Rolyn</v>
          </cell>
          <cell r="B352" t="str">
            <v>rolynadonis5@gmail.com</v>
          </cell>
        </row>
        <row r="353">
          <cell r="A353" t="str">
            <v>Mirasol Lim Torres</v>
          </cell>
        </row>
        <row r="354">
          <cell r="A354" t="str">
            <v>Amrit Thapa</v>
          </cell>
          <cell r="B354" t="str">
            <v>thapaamrit070@gmail.com</v>
          </cell>
        </row>
        <row r="355">
          <cell r="A355" t="str">
            <v>Navneet Singh Lotey</v>
          </cell>
        </row>
        <row r="356">
          <cell r="A356" t="str">
            <v>Noralyn Torre Camiguing</v>
          </cell>
          <cell r="B356" t="str">
            <v>jaysoncamiguing@gmail.com</v>
          </cell>
        </row>
        <row r="357">
          <cell r="A357" t="str">
            <v>Ogunleye Bukoye Daniel</v>
          </cell>
          <cell r="B357" t="str">
            <v>danielbukoye@gmail.com</v>
          </cell>
        </row>
        <row r="358">
          <cell r="A358" t="str">
            <v>Amandeep Kaur.</v>
          </cell>
          <cell r="B358" t="str">
            <v>kauramanderp@gmail.com</v>
          </cell>
        </row>
        <row r="359">
          <cell r="A359" t="str">
            <v>Eduardo Ferrer</v>
          </cell>
        </row>
        <row r="360">
          <cell r="A360" t="str">
            <v>Harshdeep Singh</v>
          </cell>
        </row>
        <row r="361">
          <cell r="A361" t="str">
            <v>Ivy Mendoza</v>
          </cell>
        </row>
        <row r="362">
          <cell r="A362" t="str">
            <v>Mark Villasis</v>
          </cell>
          <cell r="B362" t="str">
            <v>mvillasis12@icloud.com</v>
          </cell>
        </row>
        <row r="363">
          <cell r="A363" t="str">
            <v>Parul</v>
          </cell>
          <cell r="B363" t="str">
            <v>parul.2003a@gmail.com</v>
          </cell>
        </row>
        <row r="364">
          <cell r="A364" t="str">
            <v>Mercedes Santana</v>
          </cell>
          <cell r="B364" t="str">
            <v>Merdelacruz2015@gmail.com</v>
          </cell>
        </row>
        <row r="365">
          <cell r="A365" t="str">
            <v>Namandeep Kaur</v>
          </cell>
          <cell r="B365" t="str">
            <v>namankaur993@gmail.com</v>
          </cell>
        </row>
        <row r="366">
          <cell r="A366" t="str">
            <v>Kamaljit Kaur</v>
          </cell>
          <cell r="B366" t="str">
            <v>kamaljitkaur0921@gmail.com</v>
          </cell>
        </row>
        <row r="367">
          <cell r="A367" t="str">
            <v>John Rovie Segubre</v>
          </cell>
          <cell r="B367" t="str">
            <v>roviesegubre@gmail.com</v>
          </cell>
        </row>
        <row r="368">
          <cell r="A368" t="str">
            <v>Andre Devon Sterling</v>
          </cell>
          <cell r="B368" t="str">
            <v>Mervina25@hotmail.com</v>
          </cell>
        </row>
        <row r="369">
          <cell r="A369" t="str">
            <v>Namrata Tiwari</v>
          </cell>
          <cell r="B369" t="str">
            <v>namratatiwari348@gmail.com</v>
          </cell>
        </row>
        <row r="370">
          <cell r="A370" t="str">
            <v>Russel James Paulo</v>
          </cell>
          <cell r="B370" t="str">
            <v>paulorussel0528@gmail.com</v>
          </cell>
        </row>
        <row r="371">
          <cell r="A371" t="str">
            <v xml:space="preserve">Sashi Acharya Chhetri </v>
          </cell>
          <cell r="B371" t="str">
            <v>sashiacharya073@gmail.com</v>
          </cell>
        </row>
        <row r="372">
          <cell r="A372" t="str">
            <v>Akhere Kelvin Edewi</v>
          </cell>
          <cell r="B372" t="str">
            <v>Giverkelvin644@gmail.com</v>
          </cell>
        </row>
        <row r="373">
          <cell r="A373" t="str">
            <v>Hannah Ilori</v>
          </cell>
          <cell r="B373" t="str">
            <v>Jmugume77@gmail.com</v>
          </cell>
        </row>
        <row r="374">
          <cell r="A374">
            <v>0</v>
          </cell>
        </row>
        <row r="375">
          <cell r="A375">
            <v>0</v>
          </cell>
        </row>
        <row r="376">
          <cell r="A376">
            <v>0</v>
          </cell>
        </row>
        <row r="377">
          <cell r="A377">
            <v>0</v>
          </cell>
        </row>
        <row r="378">
          <cell r="A378">
            <v>0</v>
          </cell>
        </row>
        <row r="379">
          <cell r="A379">
            <v>0</v>
          </cell>
        </row>
        <row r="380">
          <cell r="A380">
            <v>0</v>
          </cell>
        </row>
        <row r="381">
          <cell r="A381">
            <v>0</v>
          </cell>
        </row>
        <row r="382">
          <cell r="A382">
            <v>0</v>
          </cell>
        </row>
        <row r="383">
          <cell r="A383">
            <v>0</v>
          </cell>
        </row>
        <row r="384">
          <cell r="A384">
            <v>0</v>
          </cell>
        </row>
        <row r="385">
          <cell r="A385">
            <v>0</v>
          </cell>
        </row>
        <row r="386">
          <cell r="A386">
            <v>0</v>
          </cell>
        </row>
        <row r="387">
          <cell r="A387">
            <v>0</v>
          </cell>
        </row>
        <row r="388">
          <cell r="A388">
            <v>0</v>
          </cell>
        </row>
        <row r="389">
          <cell r="A389">
            <v>0</v>
          </cell>
        </row>
        <row r="390">
          <cell r="A390">
            <v>0</v>
          </cell>
        </row>
        <row r="391">
          <cell r="A391">
            <v>0</v>
          </cell>
        </row>
        <row r="392">
          <cell r="A392">
            <v>0</v>
          </cell>
        </row>
        <row r="393">
          <cell r="A393">
            <v>0</v>
          </cell>
        </row>
        <row r="394">
          <cell r="A394">
            <v>0</v>
          </cell>
        </row>
        <row r="395">
          <cell r="A395">
            <v>0</v>
          </cell>
        </row>
        <row r="396">
          <cell r="A396">
            <v>0</v>
          </cell>
        </row>
        <row r="397">
          <cell r="A397">
            <v>0</v>
          </cell>
        </row>
        <row r="398">
          <cell r="A398">
            <v>0</v>
          </cell>
        </row>
        <row r="399">
          <cell r="A399">
            <v>0</v>
          </cell>
        </row>
        <row r="400">
          <cell r="A400">
            <v>0</v>
          </cell>
        </row>
        <row r="401">
          <cell r="A401">
            <v>0</v>
          </cell>
        </row>
        <row r="402">
          <cell r="A402">
            <v>0</v>
          </cell>
        </row>
        <row r="403">
          <cell r="A403">
            <v>0</v>
          </cell>
        </row>
        <row r="404">
          <cell r="A404">
            <v>0</v>
          </cell>
        </row>
        <row r="405">
          <cell r="A405">
            <v>0</v>
          </cell>
        </row>
        <row r="406">
          <cell r="A406">
            <v>0</v>
          </cell>
        </row>
        <row r="407">
          <cell r="A407">
            <v>0</v>
          </cell>
        </row>
        <row r="408">
          <cell r="A408">
            <v>0</v>
          </cell>
        </row>
        <row r="409">
          <cell r="A409">
            <v>0</v>
          </cell>
        </row>
        <row r="410">
          <cell r="A410">
            <v>0</v>
          </cell>
        </row>
        <row r="411">
          <cell r="A411">
            <v>0</v>
          </cell>
        </row>
        <row r="412">
          <cell r="A412">
            <v>0</v>
          </cell>
        </row>
        <row r="413">
          <cell r="A413">
            <v>0</v>
          </cell>
        </row>
        <row r="414">
          <cell r="A414">
            <v>0</v>
          </cell>
        </row>
        <row r="415">
          <cell r="A415">
            <v>0</v>
          </cell>
        </row>
        <row r="416">
          <cell r="A416">
            <v>0</v>
          </cell>
        </row>
        <row r="417">
          <cell r="A417">
            <v>0</v>
          </cell>
        </row>
        <row r="418">
          <cell r="A418">
            <v>0</v>
          </cell>
        </row>
        <row r="419">
          <cell r="A419">
            <v>0</v>
          </cell>
        </row>
        <row r="420">
          <cell r="A420">
            <v>0</v>
          </cell>
        </row>
        <row r="421">
          <cell r="A421">
            <v>0</v>
          </cell>
        </row>
        <row r="422">
          <cell r="A422">
            <v>0</v>
          </cell>
        </row>
        <row r="423">
          <cell r="A423">
            <v>0</v>
          </cell>
        </row>
        <row r="424">
          <cell r="A424">
            <v>0</v>
          </cell>
        </row>
        <row r="425">
          <cell r="A425">
            <v>0</v>
          </cell>
        </row>
        <row r="426">
          <cell r="A426">
            <v>0</v>
          </cell>
        </row>
        <row r="427">
          <cell r="A427">
            <v>0</v>
          </cell>
        </row>
        <row r="428">
          <cell r="A428">
            <v>0</v>
          </cell>
        </row>
        <row r="429">
          <cell r="A429">
            <v>0</v>
          </cell>
        </row>
        <row r="430">
          <cell r="A430">
            <v>0</v>
          </cell>
        </row>
        <row r="431">
          <cell r="A431">
            <v>0</v>
          </cell>
        </row>
        <row r="432">
          <cell r="A432">
            <v>0</v>
          </cell>
        </row>
        <row r="433">
          <cell r="A433">
            <v>0</v>
          </cell>
        </row>
        <row r="434">
          <cell r="A434">
            <v>0</v>
          </cell>
        </row>
        <row r="435">
          <cell r="A435">
            <v>0</v>
          </cell>
        </row>
        <row r="436">
          <cell r="A436">
            <v>0</v>
          </cell>
        </row>
        <row r="437">
          <cell r="A437">
            <v>0</v>
          </cell>
        </row>
        <row r="438">
          <cell r="A438">
            <v>0</v>
          </cell>
        </row>
        <row r="439">
          <cell r="A439">
            <v>0</v>
          </cell>
        </row>
        <row r="440">
          <cell r="A440">
            <v>0</v>
          </cell>
        </row>
        <row r="441">
          <cell r="A441">
            <v>0</v>
          </cell>
        </row>
        <row r="442">
          <cell r="A442">
            <v>0</v>
          </cell>
        </row>
        <row r="443">
          <cell r="A443">
            <v>0</v>
          </cell>
        </row>
        <row r="444">
          <cell r="A444">
            <v>0</v>
          </cell>
        </row>
        <row r="445">
          <cell r="A445">
            <v>0</v>
          </cell>
        </row>
        <row r="446">
          <cell r="A446">
            <v>0</v>
          </cell>
        </row>
        <row r="447">
          <cell r="A447">
            <v>0</v>
          </cell>
        </row>
        <row r="448">
          <cell r="A448">
            <v>0</v>
          </cell>
        </row>
        <row r="449">
          <cell r="A449">
            <v>0</v>
          </cell>
        </row>
        <row r="450">
          <cell r="A450">
            <v>0</v>
          </cell>
        </row>
        <row r="451">
          <cell r="A451">
            <v>0</v>
          </cell>
        </row>
        <row r="452">
          <cell r="A452">
            <v>0</v>
          </cell>
        </row>
        <row r="453">
          <cell r="A453">
            <v>0</v>
          </cell>
        </row>
        <row r="454">
          <cell r="A454">
            <v>0</v>
          </cell>
        </row>
        <row r="455">
          <cell r="A455">
            <v>0</v>
          </cell>
        </row>
        <row r="456">
          <cell r="A456">
            <v>0</v>
          </cell>
        </row>
        <row r="457">
          <cell r="A457">
            <v>0</v>
          </cell>
        </row>
        <row r="458">
          <cell r="A458">
            <v>0</v>
          </cell>
        </row>
        <row r="459">
          <cell r="A459">
            <v>0</v>
          </cell>
        </row>
        <row r="460">
          <cell r="A460">
            <v>0</v>
          </cell>
        </row>
        <row r="461">
          <cell r="A461">
            <v>0</v>
          </cell>
        </row>
        <row r="462">
          <cell r="A462">
            <v>0</v>
          </cell>
        </row>
        <row r="463">
          <cell r="A463">
            <v>0</v>
          </cell>
        </row>
        <row r="464">
          <cell r="A464">
            <v>0</v>
          </cell>
        </row>
        <row r="465">
          <cell r="A465">
            <v>0</v>
          </cell>
        </row>
        <row r="466">
          <cell r="A466">
            <v>0</v>
          </cell>
        </row>
        <row r="467">
          <cell r="A467">
            <v>0</v>
          </cell>
        </row>
        <row r="468">
          <cell r="A468">
            <v>0</v>
          </cell>
        </row>
        <row r="469">
          <cell r="A469">
            <v>0</v>
          </cell>
        </row>
        <row r="470">
          <cell r="A470">
            <v>0</v>
          </cell>
        </row>
        <row r="471">
          <cell r="A471">
            <v>0</v>
          </cell>
        </row>
        <row r="472">
          <cell r="A472">
            <v>0</v>
          </cell>
        </row>
        <row r="473">
          <cell r="A473">
            <v>0</v>
          </cell>
        </row>
        <row r="474">
          <cell r="A474">
            <v>0</v>
          </cell>
        </row>
        <row r="475">
          <cell r="A475">
            <v>0</v>
          </cell>
        </row>
        <row r="476">
          <cell r="A476">
            <v>0</v>
          </cell>
        </row>
        <row r="477">
          <cell r="A477">
            <v>0</v>
          </cell>
        </row>
        <row r="478">
          <cell r="A478">
            <v>0</v>
          </cell>
        </row>
        <row r="479">
          <cell r="A479">
            <v>0</v>
          </cell>
        </row>
        <row r="480">
          <cell r="A480">
            <v>0</v>
          </cell>
        </row>
        <row r="481">
          <cell r="A481">
            <v>0</v>
          </cell>
        </row>
        <row r="482">
          <cell r="A482">
            <v>0</v>
          </cell>
        </row>
        <row r="483">
          <cell r="A483">
            <v>0</v>
          </cell>
        </row>
        <row r="484">
          <cell r="A484">
            <v>0</v>
          </cell>
        </row>
        <row r="485">
          <cell r="A485">
            <v>0</v>
          </cell>
        </row>
        <row r="486">
          <cell r="A486">
            <v>0</v>
          </cell>
        </row>
        <row r="487">
          <cell r="A487">
            <v>0</v>
          </cell>
        </row>
        <row r="488">
          <cell r="A488">
            <v>0</v>
          </cell>
        </row>
        <row r="489">
          <cell r="A489">
            <v>0</v>
          </cell>
        </row>
        <row r="490">
          <cell r="A490">
            <v>0</v>
          </cell>
        </row>
        <row r="491">
          <cell r="A491">
            <v>0</v>
          </cell>
        </row>
        <row r="492">
          <cell r="A492">
            <v>0</v>
          </cell>
        </row>
        <row r="493">
          <cell r="A493">
            <v>0</v>
          </cell>
        </row>
        <row r="494">
          <cell r="A494">
            <v>0</v>
          </cell>
        </row>
        <row r="495">
          <cell r="A495">
            <v>0</v>
          </cell>
        </row>
        <row r="496">
          <cell r="A496">
            <v>0</v>
          </cell>
        </row>
        <row r="497">
          <cell r="A497">
            <v>0</v>
          </cell>
        </row>
        <row r="498">
          <cell r="A498">
            <v>0</v>
          </cell>
        </row>
        <row r="499">
          <cell r="A499">
            <v>0</v>
          </cell>
        </row>
        <row r="500">
          <cell r="A500">
            <v>0</v>
          </cell>
        </row>
        <row r="501">
          <cell r="A501">
            <v>0</v>
          </cell>
        </row>
        <row r="502">
          <cell r="A502">
            <v>0</v>
          </cell>
        </row>
        <row r="503">
          <cell r="A503">
            <v>0</v>
          </cell>
        </row>
        <row r="504">
          <cell r="A504">
            <v>0</v>
          </cell>
        </row>
        <row r="505">
          <cell r="A505">
            <v>0</v>
          </cell>
        </row>
        <row r="506">
          <cell r="A506">
            <v>0</v>
          </cell>
        </row>
        <row r="507">
          <cell r="A507">
            <v>0</v>
          </cell>
        </row>
        <row r="508">
          <cell r="A508">
            <v>0</v>
          </cell>
        </row>
        <row r="509">
          <cell r="A509">
            <v>0</v>
          </cell>
        </row>
        <row r="510">
          <cell r="A510">
            <v>0</v>
          </cell>
        </row>
        <row r="511">
          <cell r="A511">
            <v>0</v>
          </cell>
        </row>
        <row r="512">
          <cell r="A512">
            <v>0</v>
          </cell>
        </row>
        <row r="513">
          <cell r="A513">
            <v>0</v>
          </cell>
        </row>
        <row r="514">
          <cell r="A514">
            <v>0</v>
          </cell>
        </row>
        <row r="515">
          <cell r="A515">
            <v>0</v>
          </cell>
        </row>
        <row r="516">
          <cell r="A516">
            <v>0</v>
          </cell>
        </row>
        <row r="517">
          <cell r="A517">
            <v>0</v>
          </cell>
        </row>
        <row r="518">
          <cell r="A518">
            <v>0</v>
          </cell>
        </row>
        <row r="519">
          <cell r="A519">
            <v>0</v>
          </cell>
        </row>
        <row r="520">
          <cell r="A520">
            <v>0</v>
          </cell>
        </row>
        <row r="521">
          <cell r="A521">
            <v>0</v>
          </cell>
        </row>
        <row r="522">
          <cell r="A522">
            <v>0</v>
          </cell>
        </row>
        <row r="523">
          <cell r="A523">
            <v>0</v>
          </cell>
        </row>
        <row r="524">
          <cell r="A524">
            <v>0</v>
          </cell>
        </row>
        <row r="525">
          <cell r="A525">
            <v>0</v>
          </cell>
        </row>
        <row r="526">
          <cell r="A526">
            <v>0</v>
          </cell>
        </row>
        <row r="527">
          <cell r="A527">
            <v>0</v>
          </cell>
        </row>
        <row r="528">
          <cell r="A528">
            <v>0</v>
          </cell>
        </row>
        <row r="529">
          <cell r="A529">
            <v>0</v>
          </cell>
        </row>
        <row r="530">
          <cell r="A530">
            <v>0</v>
          </cell>
        </row>
        <row r="531">
          <cell r="A531">
            <v>0</v>
          </cell>
        </row>
        <row r="532">
          <cell r="A532">
            <v>0</v>
          </cell>
        </row>
        <row r="533">
          <cell r="A533">
            <v>0</v>
          </cell>
        </row>
        <row r="534">
          <cell r="A534">
            <v>0</v>
          </cell>
        </row>
        <row r="535">
          <cell r="A535">
            <v>0</v>
          </cell>
        </row>
        <row r="536">
          <cell r="A536">
            <v>0</v>
          </cell>
        </row>
        <row r="537">
          <cell r="A537">
            <v>0</v>
          </cell>
        </row>
        <row r="538">
          <cell r="A538">
            <v>0</v>
          </cell>
        </row>
        <row r="539">
          <cell r="A539">
            <v>0</v>
          </cell>
        </row>
        <row r="540">
          <cell r="A540">
            <v>0</v>
          </cell>
        </row>
        <row r="541">
          <cell r="A541">
            <v>0</v>
          </cell>
        </row>
        <row r="542">
          <cell r="A542">
            <v>0</v>
          </cell>
        </row>
        <row r="543">
          <cell r="A543">
            <v>0</v>
          </cell>
        </row>
        <row r="544">
          <cell r="A544">
            <v>0</v>
          </cell>
        </row>
        <row r="545">
          <cell r="A545">
            <v>0</v>
          </cell>
        </row>
        <row r="546">
          <cell r="A546">
            <v>0</v>
          </cell>
        </row>
        <row r="547">
          <cell r="A547">
            <v>0</v>
          </cell>
        </row>
        <row r="548">
          <cell r="A548">
            <v>0</v>
          </cell>
        </row>
        <row r="549">
          <cell r="A549">
            <v>0</v>
          </cell>
        </row>
        <row r="550">
          <cell r="A550">
            <v>0</v>
          </cell>
        </row>
        <row r="551">
          <cell r="A551">
            <v>0</v>
          </cell>
        </row>
        <row r="552">
          <cell r="A552">
            <v>0</v>
          </cell>
        </row>
        <row r="553">
          <cell r="A553">
            <v>0</v>
          </cell>
        </row>
        <row r="554">
          <cell r="A554">
            <v>0</v>
          </cell>
        </row>
        <row r="555">
          <cell r="A555">
            <v>0</v>
          </cell>
        </row>
        <row r="556">
          <cell r="A556">
            <v>0</v>
          </cell>
        </row>
        <row r="557">
          <cell r="A557">
            <v>0</v>
          </cell>
        </row>
        <row r="558">
          <cell r="A558">
            <v>0</v>
          </cell>
        </row>
        <row r="559">
          <cell r="A559">
            <v>0</v>
          </cell>
        </row>
        <row r="560">
          <cell r="A560">
            <v>0</v>
          </cell>
        </row>
        <row r="561">
          <cell r="A561">
            <v>0</v>
          </cell>
        </row>
        <row r="562">
          <cell r="A562">
            <v>0</v>
          </cell>
        </row>
        <row r="563">
          <cell r="A563">
            <v>0</v>
          </cell>
        </row>
        <row r="564">
          <cell r="A564">
            <v>0</v>
          </cell>
        </row>
        <row r="565">
          <cell r="A565">
            <v>0</v>
          </cell>
        </row>
        <row r="566">
          <cell r="A566">
            <v>0</v>
          </cell>
        </row>
        <row r="567">
          <cell r="A567">
            <v>0</v>
          </cell>
        </row>
        <row r="568">
          <cell r="A568">
            <v>0</v>
          </cell>
        </row>
        <row r="569">
          <cell r="A569">
            <v>0</v>
          </cell>
        </row>
        <row r="570">
          <cell r="A570">
            <v>0</v>
          </cell>
        </row>
        <row r="571">
          <cell r="A571">
            <v>0</v>
          </cell>
        </row>
        <row r="572">
          <cell r="A572">
            <v>0</v>
          </cell>
        </row>
        <row r="573">
          <cell r="A573">
            <v>0</v>
          </cell>
        </row>
        <row r="574">
          <cell r="A574">
            <v>0</v>
          </cell>
        </row>
        <row r="575">
          <cell r="A575">
            <v>0</v>
          </cell>
        </row>
        <row r="576">
          <cell r="A576">
            <v>0</v>
          </cell>
        </row>
        <row r="577">
          <cell r="A577">
            <v>0</v>
          </cell>
        </row>
        <row r="578">
          <cell r="A578">
            <v>0</v>
          </cell>
        </row>
        <row r="579">
          <cell r="A579">
            <v>0</v>
          </cell>
        </row>
        <row r="580">
          <cell r="A580">
            <v>0</v>
          </cell>
        </row>
        <row r="581">
          <cell r="A581">
            <v>0</v>
          </cell>
        </row>
        <row r="582">
          <cell r="A582">
            <v>0</v>
          </cell>
        </row>
        <row r="583">
          <cell r="A583">
            <v>0</v>
          </cell>
        </row>
        <row r="584">
          <cell r="A584">
            <v>0</v>
          </cell>
        </row>
        <row r="585">
          <cell r="A585">
            <v>0</v>
          </cell>
        </row>
        <row r="586">
          <cell r="A586">
            <v>0</v>
          </cell>
        </row>
        <row r="587">
          <cell r="A587">
            <v>0</v>
          </cell>
        </row>
        <row r="588">
          <cell r="A588">
            <v>0</v>
          </cell>
        </row>
        <row r="589">
          <cell r="A589">
            <v>0</v>
          </cell>
        </row>
        <row r="590">
          <cell r="A590">
            <v>0</v>
          </cell>
        </row>
        <row r="591">
          <cell r="A591">
            <v>0</v>
          </cell>
        </row>
        <row r="592">
          <cell r="A592">
            <v>0</v>
          </cell>
        </row>
        <row r="593">
          <cell r="A593">
            <v>0</v>
          </cell>
        </row>
        <row r="594">
          <cell r="A594">
            <v>0</v>
          </cell>
        </row>
        <row r="595">
          <cell r="A595">
            <v>0</v>
          </cell>
        </row>
        <row r="596">
          <cell r="A596">
            <v>0</v>
          </cell>
        </row>
        <row r="597">
          <cell r="A597">
            <v>0</v>
          </cell>
        </row>
        <row r="598">
          <cell r="A598">
            <v>0</v>
          </cell>
        </row>
        <row r="599">
          <cell r="A599">
            <v>0</v>
          </cell>
        </row>
        <row r="600">
          <cell r="A600">
            <v>0</v>
          </cell>
        </row>
        <row r="601">
          <cell r="A601">
            <v>0</v>
          </cell>
        </row>
        <row r="602">
          <cell r="A602">
            <v>0</v>
          </cell>
        </row>
        <row r="603">
          <cell r="A603">
            <v>0</v>
          </cell>
        </row>
        <row r="604">
          <cell r="A604">
            <v>0</v>
          </cell>
        </row>
        <row r="605">
          <cell r="A605">
            <v>0</v>
          </cell>
        </row>
        <row r="606">
          <cell r="A606">
            <v>0</v>
          </cell>
        </row>
        <row r="607">
          <cell r="A607">
            <v>0</v>
          </cell>
        </row>
        <row r="608">
          <cell r="A608">
            <v>0</v>
          </cell>
        </row>
        <row r="609">
          <cell r="A609">
            <v>0</v>
          </cell>
        </row>
        <row r="610">
          <cell r="A610">
            <v>0</v>
          </cell>
        </row>
        <row r="611">
          <cell r="A611">
            <v>0</v>
          </cell>
        </row>
        <row r="612">
          <cell r="A612">
            <v>0</v>
          </cell>
        </row>
        <row r="613">
          <cell r="A613">
            <v>0</v>
          </cell>
        </row>
        <row r="614">
          <cell r="A614">
            <v>0</v>
          </cell>
        </row>
        <row r="615">
          <cell r="A615">
            <v>0</v>
          </cell>
        </row>
        <row r="616">
          <cell r="A616">
            <v>0</v>
          </cell>
        </row>
        <row r="617">
          <cell r="A617">
            <v>0</v>
          </cell>
        </row>
        <row r="618">
          <cell r="A618">
            <v>0</v>
          </cell>
        </row>
        <row r="619">
          <cell r="A619">
            <v>0</v>
          </cell>
        </row>
        <row r="620">
          <cell r="A620">
            <v>0</v>
          </cell>
        </row>
        <row r="621">
          <cell r="A621">
            <v>0</v>
          </cell>
        </row>
        <row r="622">
          <cell r="A622">
            <v>0</v>
          </cell>
        </row>
        <row r="623">
          <cell r="A623">
            <v>0</v>
          </cell>
        </row>
        <row r="624">
          <cell r="A624">
            <v>0</v>
          </cell>
        </row>
        <row r="625">
          <cell r="A625">
            <v>0</v>
          </cell>
        </row>
        <row r="626">
          <cell r="A626">
            <v>0</v>
          </cell>
        </row>
        <row r="627">
          <cell r="A627">
            <v>0</v>
          </cell>
        </row>
        <row r="628">
          <cell r="A628">
            <v>0</v>
          </cell>
        </row>
        <row r="629">
          <cell r="A629">
            <v>0</v>
          </cell>
        </row>
        <row r="630">
          <cell r="A630">
            <v>0</v>
          </cell>
        </row>
        <row r="631">
          <cell r="A631">
            <v>0</v>
          </cell>
        </row>
        <row r="632">
          <cell r="A632">
            <v>0</v>
          </cell>
        </row>
        <row r="633">
          <cell r="A633">
            <v>0</v>
          </cell>
        </row>
        <row r="634">
          <cell r="A634">
            <v>0</v>
          </cell>
        </row>
        <row r="635">
          <cell r="A635">
            <v>0</v>
          </cell>
        </row>
        <row r="636">
          <cell r="A636">
            <v>0</v>
          </cell>
        </row>
        <row r="637">
          <cell r="A637">
            <v>0</v>
          </cell>
        </row>
        <row r="638">
          <cell r="A638">
            <v>0</v>
          </cell>
        </row>
        <row r="639">
          <cell r="A639">
            <v>0</v>
          </cell>
        </row>
        <row r="640">
          <cell r="A640">
            <v>0</v>
          </cell>
        </row>
        <row r="641">
          <cell r="A641">
            <v>0</v>
          </cell>
        </row>
        <row r="642">
          <cell r="A642">
            <v>0</v>
          </cell>
        </row>
        <row r="643">
          <cell r="A643">
            <v>0</v>
          </cell>
        </row>
        <row r="644">
          <cell r="A644">
            <v>0</v>
          </cell>
        </row>
        <row r="645">
          <cell r="A645">
            <v>0</v>
          </cell>
        </row>
        <row r="646">
          <cell r="A646">
            <v>0</v>
          </cell>
        </row>
        <row r="647">
          <cell r="A647">
            <v>0</v>
          </cell>
        </row>
        <row r="648">
          <cell r="A648">
            <v>0</v>
          </cell>
        </row>
        <row r="649">
          <cell r="A649">
            <v>0</v>
          </cell>
        </row>
        <row r="650">
          <cell r="A650">
            <v>0</v>
          </cell>
        </row>
        <row r="651">
          <cell r="A651">
            <v>0</v>
          </cell>
        </row>
        <row r="652">
          <cell r="A652">
            <v>0</v>
          </cell>
        </row>
        <row r="653">
          <cell r="A653">
            <v>0</v>
          </cell>
        </row>
        <row r="654">
          <cell r="A654">
            <v>0</v>
          </cell>
        </row>
        <row r="655">
          <cell r="A655">
            <v>0</v>
          </cell>
        </row>
        <row r="656">
          <cell r="A656">
            <v>0</v>
          </cell>
        </row>
        <row r="657">
          <cell r="A657">
            <v>0</v>
          </cell>
        </row>
        <row r="658">
          <cell r="A658">
            <v>0</v>
          </cell>
        </row>
        <row r="659">
          <cell r="A659">
            <v>0</v>
          </cell>
        </row>
        <row r="660">
          <cell r="A660">
            <v>0</v>
          </cell>
        </row>
        <row r="661">
          <cell r="A661">
            <v>0</v>
          </cell>
        </row>
        <row r="662">
          <cell r="A662">
            <v>0</v>
          </cell>
        </row>
        <row r="663">
          <cell r="A663">
            <v>0</v>
          </cell>
        </row>
        <row r="664">
          <cell r="A664">
            <v>0</v>
          </cell>
        </row>
        <row r="665">
          <cell r="A665">
            <v>0</v>
          </cell>
        </row>
        <row r="666">
          <cell r="A666">
            <v>0</v>
          </cell>
        </row>
        <row r="667">
          <cell r="A667">
            <v>0</v>
          </cell>
        </row>
        <row r="668">
          <cell r="A668">
            <v>0</v>
          </cell>
        </row>
        <row r="669">
          <cell r="A669">
            <v>0</v>
          </cell>
        </row>
        <row r="670">
          <cell r="A670">
            <v>0</v>
          </cell>
        </row>
        <row r="671">
          <cell r="A671">
            <v>0</v>
          </cell>
        </row>
        <row r="672">
          <cell r="A672">
            <v>0</v>
          </cell>
        </row>
        <row r="673">
          <cell r="A673">
            <v>0</v>
          </cell>
        </row>
        <row r="674">
          <cell r="A674">
            <v>0</v>
          </cell>
        </row>
        <row r="675">
          <cell r="A675">
            <v>0</v>
          </cell>
        </row>
        <row r="676">
          <cell r="A676">
            <v>0</v>
          </cell>
        </row>
        <row r="677">
          <cell r="A677">
            <v>0</v>
          </cell>
        </row>
        <row r="678">
          <cell r="A678">
            <v>0</v>
          </cell>
        </row>
        <row r="679">
          <cell r="A679">
            <v>0</v>
          </cell>
        </row>
        <row r="680">
          <cell r="A680">
            <v>0</v>
          </cell>
        </row>
        <row r="681">
          <cell r="A681">
            <v>0</v>
          </cell>
        </row>
        <row r="682">
          <cell r="A682">
            <v>0</v>
          </cell>
        </row>
        <row r="683">
          <cell r="A683">
            <v>0</v>
          </cell>
        </row>
        <row r="684">
          <cell r="A684">
            <v>0</v>
          </cell>
        </row>
        <row r="685">
          <cell r="A685">
            <v>0</v>
          </cell>
        </row>
        <row r="686">
          <cell r="A686">
            <v>0</v>
          </cell>
        </row>
        <row r="687">
          <cell r="A687">
            <v>0</v>
          </cell>
        </row>
        <row r="688">
          <cell r="A688">
            <v>0</v>
          </cell>
        </row>
        <row r="689">
          <cell r="A689">
            <v>0</v>
          </cell>
        </row>
        <row r="690">
          <cell r="A690">
            <v>0</v>
          </cell>
        </row>
        <row r="691">
          <cell r="A691">
            <v>0</v>
          </cell>
        </row>
        <row r="692">
          <cell r="A692">
            <v>0</v>
          </cell>
        </row>
        <row r="693">
          <cell r="A693">
            <v>0</v>
          </cell>
        </row>
        <row r="694">
          <cell r="A694">
            <v>0</v>
          </cell>
        </row>
        <row r="695">
          <cell r="A695">
            <v>0</v>
          </cell>
        </row>
        <row r="696">
          <cell r="A696">
            <v>0</v>
          </cell>
        </row>
        <row r="697">
          <cell r="A697">
            <v>0</v>
          </cell>
        </row>
        <row r="698">
          <cell r="A698">
            <v>0</v>
          </cell>
        </row>
        <row r="699">
          <cell r="A699">
            <v>0</v>
          </cell>
        </row>
        <row r="700">
          <cell r="A700">
            <v>0</v>
          </cell>
        </row>
        <row r="701">
          <cell r="A701">
            <v>0</v>
          </cell>
        </row>
        <row r="702">
          <cell r="A702">
            <v>0</v>
          </cell>
        </row>
        <row r="703">
          <cell r="A703">
            <v>0</v>
          </cell>
        </row>
        <row r="704">
          <cell r="A704">
            <v>0</v>
          </cell>
        </row>
        <row r="705">
          <cell r="A705">
            <v>0</v>
          </cell>
        </row>
        <row r="706">
          <cell r="A706">
            <v>0</v>
          </cell>
        </row>
        <row r="707">
          <cell r="A707">
            <v>0</v>
          </cell>
        </row>
        <row r="708">
          <cell r="A708">
            <v>0</v>
          </cell>
        </row>
        <row r="709">
          <cell r="A709">
            <v>0</v>
          </cell>
        </row>
        <row r="710">
          <cell r="A710">
            <v>0</v>
          </cell>
        </row>
        <row r="711">
          <cell r="A711">
            <v>0</v>
          </cell>
        </row>
        <row r="712">
          <cell r="A712">
            <v>0</v>
          </cell>
        </row>
        <row r="713">
          <cell r="A713">
            <v>0</v>
          </cell>
        </row>
        <row r="714">
          <cell r="A714">
            <v>0</v>
          </cell>
        </row>
        <row r="715">
          <cell r="A715">
            <v>0</v>
          </cell>
        </row>
        <row r="716">
          <cell r="A716">
            <v>0</v>
          </cell>
        </row>
        <row r="717">
          <cell r="A717">
            <v>0</v>
          </cell>
        </row>
        <row r="718">
          <cell r="A718">
            <v>0</v>
          </cell>
        </row>
        <row r="719">
          <cell r="A719">
            <v>0</v>
          </cell>
        </row>
        <row r="720">
          <cell r="A720">
            <v>0</v>
          </cell>
        </row>
        <row r="721">
          <cell r="A721">
            <v>0</v>
          </cell>
        </row>
        <row r="722">
          <cell r="A722">
            <v>0</v>
          </cell>
        </row>
        <row r="723">
          <cell r="A723">
            <v>0</v>
          </cell>
        </row>
        <row r="724">
          <cell r="A724">
            <v>0</v>
          </cell>
        </row>
        <row r="725">
          <cell r="A725">
            <v>0</v>
          </cell>
        </row>
        <row r="726">
          <cell r="A726">
            <v>0</v>
          </cell>
        </row>
        <row r="727">
          <cell r="A727">
            <v>0</v>
          </cell>
        </row>
        <row r="728">
          <cell r="A728">
            <v>0</v>
          </cell>
        </row>
        <row r="729">
          <cell r="A729">
            <v>0</v>
          </cell>
        </row>
        <row r="730">
          <cell r="A730">
            <v>0</v>
          </cell>
        </row>
        <row r="731">
          <cell r="A731">
            <v>0</v>
          </cell>
        </row>
        <row r="732">
          <cell r="A732">
            <v>0</v>
          </cell>
        </row>
        <row r="733">
          <cell r="A733">
            <v>0</v>
          </cell>
        </row>
        <row r="734">
          <cell r="A734">
            <v>0</v>
          </cell>
        </row>
        <row r="735">
          <cell r="A735">
            <v>0</v>
          </cell>
        </row>
        <row r="736">
          <cell r="A736">
            <v>0</v>
          </cell>
        </row>
        <row r="737">
          <cell r="A737">
            <v>0</v>
          </cell>
        </row>
        <row r="738">
          <cell r="A738">
            <v>0</v>
          </cell>
        </row>
        <row r="739">
          <cell r="A739">
            <v>0</v>
          </cell>
        </row>
        <row r="740">
          <cell r="A740">
            <v>0</v>
          </cell>
        </row>
        <row r="741">
          <cell r="A741">
            <v>0</v>
          </cell>
        </row>
        <row r="742">
          <cell r="A742">
            <v>0</v>
          </cell>
        </row>
        <row r="743">
          <cell r="A743">
            <v>0</v>
          </cell>
        </row>
        <row r="744">
          <cell r="A744">
            <v>0</v>
          </cell>
        </row>
        <row r="745">
          <cell r="A745">
            <v>0</v>
          </cell>
        </row>
        <row r="746">
          <cell r="A746">
            <v>0</v>
          </cell>
        </row>
        <row r="747">
          <cell r="A747">
            <v>0</v>
          </cell>
        </row>
        <row r="748">
          <cell r="A748">
            <v>0</v>
          </cell>
        </row>
        <row r="749">
          <cell r="A749">
            <v>0</v>
          </cell>
        </row>
        <row r="750">
          <cell r="A750">
            <v>0</v>
          </cell>
        </row>
        <row r="751">
          <cell r="A751">
            <v>0</v>
          </cell>
        </row>
        <row r="752">
          <cell r="A752">
            <v>0</v>
          </cell>
        </row>
        <row r="753">
          <cell r="A753">
            <v>0</v>
          </cell>
        </row>
        <row r="754">
          <cell r="A754">
            <v>0</v>
          </cell>
        </row>
        <row r="755">
          <cell r="A755">
            <v>0</v>
          </cell>
        </row>
        <row r="756">
          <cell r="A756">
            <v>0</v>
          </cell>
        </row>
        <row r="757">
          <cell r="A757">
            <v>0</v>
          </cell>
        </row>
        <row r="758">
          <cell r="A758">
            <v>0</v>
          </cell>
        </row>
        <row r="759">
          <cell r="A759">
            <v>0</v>
          </cell>
        </row>
        <row r="760">
          <cell r="A760">
            <v>0</v>
          </cell>
        </row>
        <row r="761">
          <cell r="A761">
            <v>0</v>
          </cell>
        </row>
        <row r="762">
          <cell r="A762">
            <v>0</v>
          </cell>
        </row>
        <row r="763">
          <cell r="A763">
            <v>0</v>
          </cell>
        </row>
        <row r="764">
          <cell r="A764">
            <v>0</v>
          </cell>
        </row>
        <row r="765">
          <cell r="A765">
            <v>0</v>
          </cell>
        </row>
        <row r="766">
          <cell r="A766">
            <v>0</v>
          </cell>
        </row>
        <row r="767">
          <cell r="A767">
            <v>0</v>
          </cell>
        </row>
        <row r="768">
          <cell r="A768">
            <v>0</v>
          </cell>
        </row>
        <row r="769">
          <cell r="A769">
            <v>0</v>
          </cell>
        </row>
        <row r="770">
          <cell r="A770">
            <v>0</v>
          </cell>
        </row>
        <row r="771">
          <cell r="A771">
            <v>0</v>
          </cell>
        </row>
        <row r="772">
          <cell r="A772">
            <v>0</v>
          </cell>
        </row>
        <row r="773">
          <cell r="A773">
            <v>0</v>
          </cell>
        </row>
        <row r="774">
          <cell r="A774">
            <v>0</v>
          </cell>
        </row>
        <row r="775">
          <cell r="A775">
            <v>0</v>
          </cell>
        </row>
        <row r="776">
          <cell r="A776">
            <v>0</v>
          </cell>
        </row>
        <row r="777">
          <cell r="A777">
            <v>0</v>
          </cell>
        </row>
        <row r="778">
          <cell r="A778">
            <v>0</v>
          </cell>
        </row>
        <row r="779">
          <cell r="A779">
            <v>0</v>
          </cell>
        </row>
        <row r="780">
          <cell r="A780">
            <v>0</v>
          </cell>
        </row>
        <row r="781">
          <cell r="A781">
            <v>0</v>
          </cell>
        </row>
        <row r="782">
          <cell r="A782">
            <v>0</v>
          </cell>
        </row>
        <row r="783">
          <cell r="A783">
            <v>0</v>
          </cell>
        </row>
        <row r="784">
          <cell r="A784">
            <v>0</v>
          </cell>
        </row>
        <row r="785">
          <cell r="A785">
            <v>0</v>
          </cell>
        </row>
        <row r="786">
          <cell r="A786">
            <v>0</v>
          </cell>
        </row>
        <row r="787">
          <cell r="A787">
            <v>0</v>
          </cell>
        </row>
        <row r="788">
          <cell r="A788">
            <v>0</v>
          </cell>
        </row>
        <row r="789">
          <cell r="A789">
            <v>0</v>
          </cell>
        </row>
        <row r="790">
          <cell r="A790">
            <v>0</v>
          </cell>
        </row>
        <row r="791">
          <cell r="A791">
            <v>0</v>
          </cell>
        </row>
        <row r="792">
          <cell r="A792">
            <v>0</v>
          </cell>
        </row>
        <row r="793">
          <cell r="A793">
            <v>0</v>
          </cell>
        </row>
        <row r="794">
          <cell r="A794">
            <v>0</v>
          </cell>
        </row>
        <row r="795">
          <cell r="A795">
            <v>0</v>
          </cell>
        </row>
        <row r="796">
          <cell r="A796">
            <v>0</v>
          </cell>
        </row>
        <row r="797">
          <cell r="A797">
            <v>0</v>
          </cell>
        </row>
        <row r="798">
          <cell r="A798">
            <v>0</v>
          </cell>
        </row>
        <row r="799">
          <cell r="A799">
            <v>0</v>
          </cell>
        </row>
        <row r="800">
          <cell r="A800">
            <v>0</v>
          </cell>
        </row>
        <row r="801">
          <cell r="A801">
            <v>0</v>
          </cell>
        </row>
        <row r="802">
          <cell r="A802">
            <v>0</v>
          </cell>
        </row>
        <row r="803">
          <cell r="A803">
            <v>0</v>
          </cell>
        </row>
        <row r="804">
          <cell r="A804">
            <v>0</v>
          </cell>
        </row>
        <row r="805">
          <cell r="A805">
            <v>0</v>
          </cell>
        </row>
        <row r="806">
          <cell r="A806">
            <v>0</v>
          </cell>
        </row>
        <row r="807">
          <cell r="A807">
            <v>0</v>
          </cell>
        </row>
        <row r="808">
          <cell r="A808">
            <v>0</v>
          </cell>
        </row>
        <row r="809">
          <cell r="A809">
            <v>0</v>
          </cell>
        </row>
        <row r="810">
          <cell r="A810">
            <v>0</v>
          </cell>
        </row>
        <row r="811">
          <cell r="A811">
            <v>0</v>
          </cell>
        </row>
        <row r="812">
          <cell r="A812">
            <v>0</v>
          </cell>
        </row>
        <row r="813">
          <cell r="A813">
            <v>0</v>
          </cell>
        </row>
        <row r="814">
          <cell r="A814">
            <v>0</v>
          </cell>
        </row>
        <row r="815">
          <cell r="A815">
            <v>0</v>
          </cell>
        </row>
        <row r="816">
          <cell r="A816">
            <v>0</v>
          </cell>
        </row>
        <row r="817">
          <cell r="A817">
            <v>0</v>
          </cell>
        </row>
        <row r="818">
          <cell r="A818">
            <v>0</v>
          </cell>
        </row>
        <row r="819">
          <cell r="A819">
            <v>0</v>
          </cell>
        </row>
        <row r="820">
          <cell r="A820">
            <v>0</v>
          </cell>
        </row>
        <row r="821">
          <cell r="A821">
            <v>0</v>
          </cell>
        </row>
        <row r="822">
          <cell r="A822">
            <v>0</v>
          </cell>
        </row>
        <row r="823">
          <cell r="A823">
            <v>0</v>
          </cell>
        </row>
        <row r="824">
          <cell r="A824">
            <v>0</v>
          </cell>
        </row>
        <row r="825">
          <cell r="A825">
            <v>0</v>
          </cell>
        </row>
        <row r="826">
          <cell r="A826">
            <v>0</v>
          </cell>
        </row>
        <row r="827">
          <cell r="A827">
            <v>0</v>
          </cell>
        </row>
        <row r="828">
          <cell r="A828">
            <v>0</v>
          </cell>
        </row>
        <row r="829">
          <cell r="A829">
            <v>0</v>
          </cell>
        </row>
        <row r="830">
          <cell r="A830">
            <v>0</v>
          </cell>
        </row>
        <row r="831">
          <cell r="A831">
            <v>0</v>
          </cell>
        </row>
        <row r="832">
          <cell r="A832">
            <v>0</v>
          </cell>
        </row>
        <row r="833">
          <cell r="A833">
            <v>0</v>
          </cell>
        </row>
        <row r="834">
          <cell r="A834">
            <v>0</v>
          </cell>
        </row>
        <row r="835">
          <cell r="A835">
            <v>0</v>
          </cell>
        </row>
        <row r="836">
          <cell r="A836">
            <v>0</v>
          </cell>
        </row>
        <row r="837">
          <cell r="A837">
            <v>0</v>
          </cell>
        </row>
        <row r="838">
          <cell r="A838">
            <v>0</v>
          </cell>
        </row>
        <row r="839">
          <cell r="A839">
            <v>0</v>
          </cell>
        </row>
        <row r="840">
          <cell r="A840">
            <v>0</v>
          </cell>
        </row>
        <row r="841">
          <cell r="A841">
            <v>0</v>
          </cell>
        </row>
        <row r="842">
          <cell r="A842">
            <v>0</v>
          </cell>
        </row>
        <row r="843">
          <cell r="A843">
            <v>0</v>
          </cell>
        </row>
        <row r="844">
          <cell r="A844">
            <v>0</v>
          </cell>
        </row>
        <row r="845">
          <cell r="A845">
            <v>0</v>
          </cell>
        </row>
        <row r="846">
          <cell r="A846">
            <v>0</v>
          </cell>
        </row>
        <row r="847">
          <cell r="A847">
            <v>0</v>
          </cell>
        </row>
        <row r="848">
          <cell r="A848">
            <v>0</v>
          </cell>
        </row>
        <row r="849">
          <cell r="A849">
            <v>0</v>
          </cell>
        </row>
        <row r="850">
          <cell r="A850">
            <v>0</v>
          </cell>
        </row>
        <row r="851">
          <cell r="A851">
            <v>0</v>
          </cell>
        </row>
        <row r="852">
          <cell r="A852">
            <v>0</v>
          </cell>
        </row>
        <row r="853">
          <cell r="A853">
            <v>0</v>
          </cell>
        </row>
        <row r="854">
          <cell r="A854">
            <v>0</v>
          </cell>
        </row>
        <row r="855">
          <cell r="A855">
            <v>0</v>
          </cell>
        </row>
        <row r="856">
          <cell r="A856">
            <v>0</v>
          </cell>
        </row>
        <row r="857">
          <cell r="A857">
            <v>0</v>
          </cell>
        </row>
        <row r="858">
          <cell r="A858">
            <v>0</v>
          </cell>
        </row>
        <row r="859">
          <cell r="A859">
            <v>0</v>
          </cell>
        </row>
        <row r="860">
          <cell r="A860">
            <v>0</v>
          </cell>
        </row>
        <row r="861">
          <cell r="A861">
            <v>0</v>
          </cell>
        </row>
        <row r="862">
          <cell r="A862">
            <v>0</v>
          </cell>
        </row>
        <row r="863">
          <cell r="A863">
            <v>0</v>
          </cell>
        </row>
        <row r="864">
          <cell r="A864">
            <v>0</v>
          </cell>
        </row>
        <row r="865">
          <cell r="A865">
            <v>0</v>
          </cell>
        </row>
        <row r="866">
          <cell r="A866">
            <v>0</v>
          </cell>
        </row>
        <row r="867">
          <cell r="A867">
            <v>0</v>
          </cell>
        </row>
        <row r="868">
          <cell r="A868">
            <v>0</v>
          </cell>
        </row>
        <row r="869">
          <cell r="A869">
            <v>0</v>
          </cell>
        </row>
        <row r="870">
          <cell r="A870">
            <v>0</v>
          </cell>
        </row>
        <row r="871">
          <cell r="A871">
            <v>0</v>
          </cell>
        </row>
        <row r="872">
          <cell r="A872">
            <v>0</v>
          </cell>
        </row>
        <row r="873">
          <cell r="A873">
            <v>0</v>
          </cell>
        </row>
        <row r="874">
          <cell r="A874">
            <v>0</v>
          </cell>
        </row>
        <row r="875">
          <cell r="A875">
            <v>0</v>
          </cell>
        </row>
        <row r="876">
          <cell r="A876">
            <v>0</v>
          </cell>
        </row>
        <row r="877">
          <cell r="A877">
            <v>0</v>
          </cell>
        </row>
        <row r="878">
          <cell r="A878">
            <v>0</v>
          </cell>
        </row>
        <row r="879">
          <cell r="A879">
            <v>0</v>
          </cell>
        </row>
        <row r="880">
          <cell r="A880">
            <v>0</v>
          </cell>
        </row>
        <row r="881">
          <cell r="A881">
            <v>0</v>
          </cell>
        </row>
        <row r="882">
          <cell r="A882">
            <v>0</v>
          </cell>
        </row>
        <row r="883">
          <cell r="A883">
            <v>0</v>
          </cell>
        </row>
        <row r="884">
          <cell r="A884">
            <v>0</v>
          </cell>
        </row>
        <row r="885">
          <cell r="A885">
            <v>0</v>
          </cell>
        </row>
        <row r="886">
          <cell r="A886">
            <v>0</v>
          </cell>
        </row>
        <row r="887">
          <cell r="A887">
            <v>0</v>
          </cell>
        </row>
        <row r="888">
          <cell r="A888">
            <v>0</v>
          </cell>
        </row>
        <row r="889">
          <cell r="A889">
            <v>0</v>
          </cell>
        </row>
        <row r="890">
          <cell r="A890">
            <v>0</v>
          </cell>
        </row>
        <row r="891">
          <cell r="A891">
            <v>0</v>
          </cell>
        </row>
        <row r="892">
          <cell r="A892">
            <v>0</v>
          </cell>
        </row>
        <row r="893">
          <cell r="A893">
            <v>0</v>
          </cell>
        </row>
        <row r="894">
          <cell r="A894">
            <v>0</v>
          </cell>
        </row>
        <row r="895">
          <cell r="A895">
            <v>0</v>
          </cell>
        </row>
        <row r="896">
          <cell r="A896">
            <v>0</v>
          </cell>
        </row>
        <row r="897">
          <cell r="A897">
            <v>0</v>
          </cell>
        </row>
        <row r="898">
          <cell r="A898">
            <v>0</v>
          </cell>
        </row>
        <row r="899">
          <cell r="A899">
            <v>0</v>
          </cell>
        </row>
        <row r="900">
          <cell r="A900">
            <v>0</v>
          </cell>
        </row>
        <row r="901">
          <cell r="A901">
            <v>0</v>
          </cell>
        </row>
        <row r="902">
          <cell r="A902">
            <v>0</v>
          </cell>
        </row>
        <row r="903">
          <cell r="A903">
            <v>0</v>
          </cell>
        </row>
        <row r="904">
          <cell r="A904">
            <v>0</v>
          </cell>
        </row>
        <row r="905">
          <cell r="A905">
            <v>0</v>
          </cell>
        </row>
        <row r="906">
          <cell r="A906">
            <v>0</v>
          </cell>
        </row>
        <row r="907">
          <cell r="A907">
            <v>0</v>
          </cell>
        </row>
        <row r="908">
          <cell r="A908">
            <v>0</v>
          </cell>
        </row>
        <row r="909">
          <cell r="A909">
            <v>0</v>
          </cell>
        </row>
        <row r="910">
          <cell r="A910">
            <v>0</v>
          </cell>
        </row>
        <row r="911">
          <cell r="A911">
            <v>0</v>
          </cell>
        </row>
        <row r="912">
          <cell r="A912">
            <v>0</v>
          </cell>
        </row>
        <row r="913">
          <cell r="A913">
            <v>0</v>
          </cell>
        </row>
        <row r="914">
          <cell r="A914">
            <v>0</v>
          </cell>
        </row>
        <row r="915">
          <cell r="A915">
            <v>0</v>
          </cell>
        </row>
        <row r="916">
          <cell r="A916">
            <v>0</v>
          </cell>
        </row>
        <row r="917">
          <cell r="A917">
            <v>0</v>
          </cell>
        </row>
        <row r="918">
          <cell r="A918">
            <v>0</v>
          </cell>
        </row>
        <row r="919">
          <cell r="A919">
            <v>0</v>
          </cell>
        </row>
        <row r="920">
          <cell r="A920">
            <v>0</v>
          </cell>
        </row>
        <row r="921">
          <cell r="A921">
            <v>0</v>
          </cell>
        </row>
        <row r="922">
          <cell r="A922">
            <v>0</v>
          </cell>
        </row>
        <row r="923">
          <cell r="A923">
            <v>0</v>
          </cell>
        </row>
        <row r="924">
          <cell r="A924">
            <v>0</v>
          </cell>
        </row>
        <row r="925">
          <cell r="A925">
            <v>0</v>
          </cell>
        </row>
        <row r="926">
          <cell r="A926">
            <v>0</v>
          </cell>
        </row>
        <row r="927">
          <cell r="A927">
            <v>0</v>
          </cell>
        </row>
        <row r="928">
          <cell r="A928">
            <v>0</v>
          </cell>
        </row>
        <row r="929">
          <cell r="A929">
            <v>0</v>
          </cell>
        </row>
        <row r="930">
          <cell r="A930">
            <v>0</v>
          </cell>
        </row>
        <row r="931">
          <cell r="A931">
            <v>0</v>
          </cell>
        </row>
        <row r="932">
          <cell r="A932">
            <v>0</v>
          </cell>
        </row>
        <row r="933">
          <cell r="A933">
            <v>0</v>
          </cell>
        </row>
        <row r="934">
          <cell r="A934">
            <v>0</v>
          </cell>
        </row>
        <row r="935">
          <cell r="A935">
            <v>0</v>
          </cell>
        </row>
        <row r="936">
          <cell r="A936">
            <v>0</v>
          </cell>
        </row>
        <row r="937">
          <cell r="A937">
            <v>0</v>
          </cell>
        </row>
        <row r="938">
          <cell r="A938">
            <v>0</v>
          </cell>
        </row>
        <row r="939">
          <cell r="A939">
            <v>0</v>
          </cell>
        </row>
        <row r="940">
          <cell r="A940">
            <v>0</v>
          </cell>
        </row>
        <row r="941">
          <cell r="A941">
            <v>0</v>
          </cell>
        </row>
        <row r="942">
          <cell r="A942">
            <v>0</v>
          </cell>
        </row>
        <row r="943">
          <cell r="A943">
            <v>0</v>
          </cell>
        </row>
        <row r="944">
          <cell r="A944">
            <v>0</v>
          </cell>
        </row>
        <row r="945">
          <cell r="A945">
            <v>0</v>
          </cell>
        </row>
        <row r="946">
          <cell r="A946">
            <v>0</v>
          </cell>
        </row>
        <row r="947">
          <cell r="A947">
            <v>0</v>
          </cell>
        </row>
        <row r="948">
          <cell r="A948">
            <v>0</v>
          </cell>
        </row>
        <row r="949">
          <cell r="A949">
            <v>0</v>
          </cell>
        </row>
        <row r="950">
          <cell r="A950">
            <v>0</v>
          </cell>
        </row>
        <row r="951">
          <cell r="A951">
            <v>0</v>
          </cell>
        </row>
        <row r="952">
          <cell r="A952">
            <v>0</v>
          </cell>
        </row>
        <row r="953">
          <cell r="A953">
            <v>0</v>
          </cell>
        </row>
        <row r="954">
          <cell r="A954">
            <v>0</v>
          </cell>
        </row>
        <row r="955">
          <cell r="A955">
            <v>0</v>
          </cell>
        </row>
        <row r="956">
          <cell r="A956">
            <v>0</v>
          </cell>
        </row>
        <row r="957">
          <cell r="A957">
            <v>0</v>
          </cell>
        </row>
        <row r="958">
          <cell r="A958">
            <v>0</v>
          </cell>
        </row>
        <row r="959">
          <cell r="A959">
            <v>0</v>
          </cell>
        </row>
        <row r="960">
          <cell r="A960">
            <v>0</v>
          </cell>
        </row>
        <row r="961">
          <cell r="A961">
            <v>0</v>
          </cell>
        </row>
        <row r="962">
          <cell r="A962">
            <v>0</v>
          </cell>
        </row>
        <row r="963">
          <cell r="A963">
            <v>0</v>
          </cell>
        </row>
        <row r="964">
          <cell r="A964">
            <v>0</v>
          </cell>
        </row>
        <row r="965">
          <cell r="A965">
            <v>0</v>
          </cell>
        </row>
        <row r="966">
          <cell r="A966">
            <v>0</v>
          </cell>
        </row>
        <row r="967">
          <cell r="A967">
            <v>0</v>
          </cell>
        </row>
        <row r="968">
          <cell r="A968">
            <v>0</v>
          </cell>
        </row>
        <row r="969">
          <cell r="A969">
            <v>0</v>
          </cell>
        </row>
        <row r="970">
          <cell r="A970">
            <v>0</v>
          </cell>
        </row>
        <row r="971">
          <cell r="A971">
            <v>0</v>
          </cell>
        </row>
        <row r="972">
          <cell r="A972">
            <v>0</v>
          </cell>
        </row>
        <row r="973">
          <cell r="A973">
            <v>0</v>
          </cell>
        </row>
        <row r="974">
          <cell r="A974">
            <v>0</v>
          </cell>
        </row>
        <row r="975">
          <cell r="A975">
            <v>0</v>
          </cell>
        </row>
        <row r="976">
          <cell r="A976">
            <v>0</v>
          </cell>
        </row>
        <row r="977">
          <cell r="A977">
            <v>0</v>
          </cell>
        </row>
        <row r="978">
          <cell r="A978">
            <v>0</v>
          </cell>
        </row>
        <row r="979">
          <cell r="A979">
            <v>0</v>
          </cell>
        </row>
        <row r="980">
          <cell r="A980">
            <v>0</v>
          </cell>
        </row>
        <row r="981">
          <cell r="A981">
            <v>0</v>
          </cell>
        </row>
        <row r="982">
          <cell r="A982">
            <v>0</v>
          </cell>
        </row>
        <row r="983">
          <cell r="A983">
            <v>0</v>
          </cell>
        </row>
        <row r="984">
          <cell r="A984">
            <v>0</v>
          </cell>
        </row>
        <row r="985">
          <cell r="A985">
            <v>0</v>
          </cell>
        </row>
        <row r="986">
          <cell r="A986">
            <v>0</v>
          </cell>
        </row>
        <row r="987">
          <cell r="A987">
            <v>0</v>
          </cell>
        </row>
        <row r="988">
          <cell r="A988">
            <v>0</v>
          </cell>
        </row>
        <row r="989">
          <cell r="A989">
            <v>0</v>
          </cell>
        </row>
        <row r="990">
          <cell r="A990">
            <v>0</v>
          </cell>
        </row>
        <row r="991">
          <cell r="A991">
            <v>0</v>
          </cell>
        </row>
        <row r="992">
          <cell r="A992">
            <v>0</v>
          </cell>
        </row>
        <row r="993">
          <cell r="A993">
            <v>0</v>
          </cell>
        </row>
        <row r="994">
          <cell r="A994">
            <v>0</v>
          </cell>
        </row>
        <row r="995">
          <cell r="A995">
            <v>0</v>
          </cell>
        </row>
        <row r="996">
          <cell r="A996">
            <v>0</v>
          </cell>
        </row>
        <row r="997">
          <cell r="A997">
            <v>0</v>
          </cell>
        </row>
        <row r="998">
          <cell r="A998">
            <v>0</v>
          </cell>
        </row>
        <row r="999">
          <cell r="A999">
            <v>0</v>
          </cell>
        </row>
        <row r="1000">
          <cell r="A1000">
            <v>0</v>
          </cell>
        </row>
        <row r="1001">
          <cell r="A1001">
            <v>0</v>
          </cell>
        </row>
        <row r="1002">
          <cell r="A1002">
            <v>0</v>
          </cell>
        </row>
        <row r="1003">
          <cell r="A1003">
            <v>0</v>
          </cell>
        </row>
        <row r="1004">
          <cell r="A1004">
            <v>0</v>
          </cell>
        </row>
        <row r="1005">
          <cell r="A1005">
            <v>0</v>
          </cell>
        </row>
        <row r="1006">
          <cell r="A1006">
            <v>0</v>
          </cell>
        </row>
        <row r="1007">
          <cell r="A1007">
            <v>0</v>
          </cell>
        </row>
        <row r="1008">
          <cell r="A1008">
            <v>0</v>
          </cell>
        </row>
        <row r="1009">
          <cell r="A1009">
            <v>0</v>
          </cell>
        </row>
        <row r="1010">
          <cell r="A1010">
            <v>0</v>
          </cell>
        </row>
        <row r="1011">
          <cell r="A1011">
            <v>0</v>
          </cell>
        </row>
        <row r="1012">
          <cell r="A1012">
            <v>0</v>
          </cell>
        </row>
        <row r="1013">
          <cell r="A1013">
            <v>0</v>
          </cell>
        </row>
        <row r="1014">
          <cell r="A1014">
            <v>0</v>
          </cell>
        </row>
        <row r="1015">
          <cell r="A1015">
            <v>0</v>
          </cell>
        </row>
        <row r="1016">
          <cell r="A1016">
            <v>0</v>
          </cell>
        </row>
        <row r="1017">
          <cell r="A1017">
            <v>0</v>
          </cell>
        </row>
        <row r="1018">
          <cell r="A1018">
            <v>0</v>
          </cell>
        </row>
        <row r="1019">
          <cell r="A1019">
            <v>0</v>
          </cell>
        </row>
        <row r="1020">
          <cell r="A1020">
            <v>0</v>
          </cell>
        </row>
        <row r="1021">
          <cell r="A1021">
            <v>0</v>
          </cell>
        </row>
        <row r="1022">
          <cell r="A1022">
            <v>0</v>
          </cell>
        </row>
        <row r="1023">
          <cell r="A1023">
            <v>0</v>
          </cell>
        </row>
        <row r="1024">
          <cell r="A1024">
            <v>0</v>
          </cell>
        </row>
        <row r="1025">
          <cell r="A1025">
            <v>0</v>
          </cell>
        </row>
        <row r="1026">
          <cell r="A1026">
            <v>0</v>
          </cell>
        </row>
        <row r="1027">
          <cell r="A1027">
            <v>0</v>
          </cell>
        </row>
        <row r="1028">
          <cell r="A1028">
            <v>0</v>
          </cell>
        </row>
        <row r="1029">
          <cell r="A1029">
            <v>0</v>
          </cell>
        </row>
        <row r="1030">
          <cell r="A1030">
            <v>0</v>
          </cell>
        </row>
        <row r="1031">
          <cell r="A1031">
            <v>0</v>
          </cell>
        </row>
        <row r="1032">
          <cell r="A1032">
            <v>0</v>
          </cell>
        </row>
        <row r="1033">
          <cell r="A1033">
            <v>0</v>
          </cell>
        </row>
        <row r="1034">
          <cell r="A1034">
            <v>0</v>
          </cell>
        </row>
        <row r="1035">
          <cell r="A1035">
            <v>0</v>
          </cell>
        </row>
        <row r="1036">
          <cell r="A1036">
            <v>0</v>
          </cell>
        </row>
        <row r="1037">
          <cell r="A1037">
            <v>0</v>
          </cell>
        </row>
        <row r="1038">
          <cell r="A1038">
            <v>0</v>
          </cell>
        </row>
        <row r="1039">
          <cell r="A1039">
            <v>0</v>
          </cell>
        </row>
        <row r="1040">
          <cell r="A1040">
            <v>0</v>
          </cell>
        </row>
        <row r="1041">
          <cell r="A1041">
            <v>0</v>
          </cell>
        </row>
        <row r="1042">
          <cell r="A1042">
            <v>0</v>
          </cell>
        </row>
        <row r="1043">
          <cell r="A1043">
            <v>0</v>
          </cell>
        </row>
        <row r="1044">
          <cell r="A1044">
            <v>0</v>
          </cell>
        </row>
        <row r="1045">
          <cell r="A1045">
            <v>0</v>
          </cell>
        </row>
        <row r="1046">
          <cell r="A1046">
            <v>0</v>
          </cell>
        </row>
        <row r="1047">
          <cell r="A1047">
            <v>0</v>
          </cell>
        </row>
        <row r="1048">
          <cell r="A1048">
            <v>0</v>
          </cell>
        </row>
        <row r="1049">
          <cell r="A1049">
            <v>0</v>
          </cell>
        </row>
        <row r="1050">
          <cell r="A1050">
            <v>0</v>
          </cell>
        </row>
        <row r="1051">
          <cell r="A1051">
            <v>0</v>
          </cell>
        </row>
        <row r="1052">
          <cell r="A1052">
            <v>0</v>
          </cell>
        </row>
        <row r="1053">
          <cell r="A1053">
            <v>0</v>
          </cell>
        </row>
        <row r="1054">
          <cell r="A1054">
            <v>0</v>
          </cell>
        </row>
        <row r="1055">
          <cell r="A1055">
            <v>0</v>
          </cell>
        </row>
        <row r="1056">
          <cell r="A1056">
            <v>0</v>
          </cell>
        </row>
        <row r="1057">
          <cell r="A1057">
            <v>0</v>
          </cell>
        </row>
        <row r="1058">
          <cell r="A1058">
            <v>0</v>
          </cell>
        </row>
        <row r="1059">
          <cell r="A1059">
            <v>0</v>
          </cell>
        </row>
        <row r="1060">
          <cell r="A1060">
            <v>0</v>
          </cell>
        </row>
        <row r="1061">
          <cell r="A1061">
            <v>0</v>
          </cell>
        </row>
        <row r="1062">
          <cell r="A1062">
            <v>0</v>
          </cell>
        </row>
        <row r="1063">
          <cell r="A1063">
            <v>0</v>
          </cell>
        </row>
        <row r="1064">
          <cell r="A1064">
            <v>0</v>
          </cell>
        </row>
        <row r="1065">
          <cell r="A1065">
            <v>0</v>
          </cell>
        </row>
        <row r="1066">
          <cell r="A1066">
            <v>0</v>
          </cell>
        </row>
        <row r="1067">
          <cell r="A1067">
            <v>0</v>
          </cell>
        </row>
        <row r="1068">
          <cell r="A1068">
            <v>0</v>
          </cell>
        </row>
        <row r="1069">
          <cell r="A1069">
            <v>0</v>
          </cell>
        </row>
        <row r="1070">
          <cell r="A1070">
            <v>0</v>
          </cell>
        </row>
        <row r="1071">
          <cell r="A1071">
            <v>0</v>
          </cell>
        </row>
        <row r="1072">
          <cell r="A1072">
            <v>0</v>
          </cell>
        </row>
        <row r="1073">
          <cell r="A1073">
            <v>0</v>
          </cell>
        </row>
        <row r="1074">
          <cell r="A1074">
            <v>0</v>
          </cell>
        </row>
        <row r="1075">
          <cell r="A1075">
            <v>0</v>
          </cell>
        </row>
        <row r="1076">
          <cell r="A1076">
            <v>0</v>
          </cell>
        </row>
        <row r="1077">
          <cell r="A1077">
            <v>0</v>
          </cell>
        </row>
        <row r="1078">
          <cell r="A1078">
            <v>0</v>
          </cell>
        </row>
        <row r="1079">
          <cell r="A1079">
            <v>0</v>
          </cell>
        </row>
        <row r="1080">
          <cell r="A1080">
            <v>0</v>
          </cell>
        </row>
        <row r="1081">
          <cell r="A1081">
            <v>0</v>
          </cell>
        </row>
        <row r="1082">
          <cell r="A1082">
            <v>0</v>
          </cell>
        </row>
        <row r="1083">
          <cell r="A1083">
            <v>0</v>
          </cell>
        </row>
        <row r="1084">
          <cell r="A1084">
            <v>0</v>
          </cell>
        </row>
        <row r="1085">
          <cell r="A1085">
            <v>0</v>
          </cell>
        </row>
        <row r="1086">
          <cell r="A1086">
            <v>0</v>
          </cell>
        </row>
        <row r="1087">
          <cell r="A1087">
            <v>0</v>
          </cell>
        </row>
        <row r="1088">
          <cell r="A1088">
            <v>0</v>
          </cell>
        </row>
        <row r="1089">
          <cell r="A1089">
            <v>0</v>
          </cell>
        </row>
        <row r="1090">
          <cell r="A1090">
            <v>0</v>
          </cell>
        </row>
        <row r="1091">
          <cell r="A1091">
            <v>0</v>
          </cell>
        </row>
        <row r="1092">
          <cell r="A1092">
            <v>0</v>
          </cell>
        </row>
        <row r="1093">
          <cell r="A1093">
            <v>0</v>
          </cell>
        </row>
        <row r="1094">
          <cell r="A1094">
            <v>0</v>
          </cell>
        </row>
        <row r="1095">
          <cell r="A1095">
            <v>0</v>
          </cell>
        </row>
        <row r="1096">
          <cell r="A1096">
            <v>0</v>
          </cell>
        </row>
        <row r="1097">
          <cell r="A1097">
            <v>0</v>
          </cell>
        </row>
        <row r="1098">
          <cell r="A1098">
            <v>0</v>
          </cell>
        </row>
        <row r="1099">
          <cell r="A1099">
            <v>0</v>
          </cell>
        </row>
        <row r="1100">
          <cell r="A1100">
            <v>0</v>
          </cell>
        </row>
        <row r="1101">
          <cell r="A1101">
            <v>0</v>
          </cell>
        </row>
        <row r="1102">
          <cell r="A1102">
            <v>0</v>
          </cell>
        </row>
        <row r="1103">
          <cell r="A1103">
            <v>0</v>
          </cell>
        </row>
        <row r="1104">
          <cell r="A1104">
            <v>0</v>
          </cell>
        </row>
        <row r="1105">
          <cell r="A1105">
            <v>0</v>
          </cell>
        </row>
        <row r="1106">
          <cell r="A1106">
            <v>0</v>
          </cell>
        </row>
        <row r="1107">
          <cell r="A1107">
            <v>0</v>
          </cell>
        </row>
        <row r="1108">
          <cell r="A1108">
            <v>0</v>
          </cell>
        </row>
        <row r="1109">
          <cell r="A1109">
            <v>0</v>
          </cell>
        </row>
        <row r="1110">
          <cell r="A1110">
            <v>0</v>
          </cell>
        </row>
        <row r="1111">
          <cell r="A1111">
            <v>0</v>
          </cell>
        </row>
        <row r="1112">
          <cell r="A1112">
            <v>0</v>
          </cell>
        </row>
        <row r="1113">
          <cell r="A1113">
            <v>0</v>
          </cell>
        </row>
        <row r="1114">
          <cell r="A1114">
            <v>0</v>
          </cell>
        </row>
        <row r="1115">
          <cell r="A1115">
            <v>0</v>
          </cell>
        </row>
        <row r="1116">
          <cell r="A1116">
            <v>0</v>
          </cell>
        </row>
        <row r="1117">
          <cell r="A1117">
            <v>0</v>
          </cell>
        </row>
        <row r="1118">
          <cell r="A1118">
            <v>0</v>
          </cell>
        </row>
        <row r="1119">
          <cell r="A1119">
            <v>0</v>
          </cell>
        </row>
        <row r="1120">
          <cell r="A1120">
            <v>0</v>
          </cell>
        </row>
        <row r="1121">
          <cell r="A1121">
            <v>0</v>
          </cell>
        </row>
        <row r="1122">
          <cell r="A1122">
            <v>0</v>
          </cell>
        </row>
        <row r="1123">
          <cell r="A1123">
            <v>0</v>
          </cell>
        </row>
        <row r="1124">
          <cell r="A1124">
            <v>0</v>
          </cell>
        </row>
        <row r="1125">
          <cell r="A1125">
            <v>0</v>
          </cell>
        </row>
        <row r="1126">
          <cell r="A1126">
            <v>0</v>
          </cell>
        </row>
        <row r="1127">
          <cell r="A1127">
            <v>0</v>
          </cell>
        </row>
        <row r="1128">
          <cell r="A1128">
            <v>0</v>
          </cell>
        </row>
        <row r="1129">
          <cell r="A1129">
            <v>0</v>
          </cell>
        </row>
        <row r="1130">
          <cell r="A1130">
            <v>0</v>
          </cell>
        </row>
        <row r="1131">
          <cell r="A1131">
            <v>0</v>
          </cell>
        </row>
        <row r="1132">
          <cell r="A1132">
            <v>0</v>
          </cell>
        </row>
        <row r="1133">
          <cell r="A1133">
            <v>0</v>
          </cell>
        </row>
        <row r="1134">
          <cell r="A1134">
            <v>0</v>
          </cell>
        </row>
        <row r="1135">
          <cell r="A1135">
            <v>0</v>
          </cell>
        </row>
        <row r="1136">
          <cell r="A1136">
            <v>0</v>
          </cell>
        </row>
        <row r="1137">
          <cell r="A1137">
            <v>0</v>
          </cell>
        </row>
        <row r="1138">
          <cell r="A1138">
            <v>0</v>
          </cell>
        </row>
        <row r="1139">
          <cell r="A1139">
            <v>0</v>
          </cell>
        </row>
        <row r="1140">
          <cell r="A1140">
            <v>0</v>
          </cell>
        </row>
        <row r="1141">
          <cell r="A1141">
            <v>0</v>
          </cell>
        </row>
        <row r="1142">
          <cell r="A1142">
            <v>0</v>
          </cell>
        </row>
        <row r="1143">
          <cell r="A1143">
            <v>0</v>
          </cell>
        </row>
        <row r="1144">
          <cell r="A1144">
            <v>0</v>
          </cell>
        </row>
        <row r="1145">
          <cell r="A1145">
            <v>0</v>
          </cell>
        </row>
        <row r="1146">
          <cell r="A1146">
            <v>0</v>
          </cell>
        </row>
        <row r="1147">
          <cell r="A1147">
            <v>0</v>
          </cell>
        </row>
        <row r="1148">
          <cell r="A1148">
            <v>0</v>
          </cell>
        </row>
        <row r="1149">
          <cell r="A1149">
            <v>0</v>
          </cell>
        </row>
        <row r="1150">
          <cell r="A1150">
            <v>0</v>
          </cell>
        </row>
        <row r="1151">
          <cell r="A1151">
            <v>0</v>
          </cell>
        </row>
        <row r="1152">
          <cell r="A1152">
            <v>0</v>
          </cell>
        </row>
        <row r="1153">
          <cell r="A1153">
            <v>0</v>
          </cell>
        </row>
        <row r="1154">
          <cell r="A1154">
            <v>0</v>
          </cell>
        </row>
        <row r="1155">
          <cell r="A1155">
            <v>0</v>
          </cell>
        </row>
        <row r="1156">
          <cell r="A1156">
            <v>0</v>
          </cell>
        </row>
        <row r="1157">
          <cell r="A1157">
            <v>0</v>
          </cell>
        </row>
        <row r="1158">
          <cell r="A1158">
            <v>0</v>
          </cell>
        </row>
        <row r="1159">
          <cell r="A1159">
            <v>0</v>
          </cell>
        </row>
        <row r="1160">
          <cell r="A1160">
            <v>0</v>
          </cell>
        </row>
        <row r="1161">
          <cell r="A1161">
            <v>0</v>
          </cell>
        </row>
        <row r="1162">
          <cell r="A1162">
            <v>0</v>
          </cell>
        </row>
        <row r="1163">
          <cell r="A1163">
            <v>0</v>
          </cell>
        </row>
        <row r="1164">
          <cell r="A1164">
            <v>0</v>
          </cell>
        </row>
        <row r="1165">
          <cell r="A1165">
            <v>0</v>
          </cell>
        </row>
        <row r="1166">
          <cell r="A1166">
            <v>0</v>
          </cell>
        </row>
        <row r="1167">
          <cell r="A1167">
            <v>0</v>
          </cell>
        </row>
        <row r="1168">
          <cell r="A1168">
            <v>0</v>
          </cell>
        </row>
        <row r="1169">
          <cell r="A1169">
            <v>0</v>
          </cell>
        </row>
        <row r="1170">
          <cell r="A1170">
            <v>0</v>
          </cell>
        </row>
        <row r="1171">
          <cell r="A1171">
            <v>0</v>
          </cell>
        </row>
        <row r="1172">
          <cell r="A1172">
            <v>0</v>
          </cell>
        </row>
        <row r="1173">
          <cell r="A1173">
            <v>0</v>
          </cell>
        </row>
        <row r="1174">
          <cell r="A1174">
            <v>0</v>
          </cell>
        </row>
        <row r="1175">
          <cell r="A1175">
            <v>0</v>
          </cell>
        </row>
        <row r="1176">
          <cell r="A1176">
            <v>0</v>
          </cell>
        </row>
        <row r="1177">
          <cell r="A1177">
            <v>0</v>
          </cell>
        </row>
        <row r="1178">
          <cell r="A1178">
            <v>0</v>
          </cell>
        </row>
        <row r="1179">
          <cell r="A1179">
            <v>0</v>
          </cell>
        </row>
        <row r="1180">
          <cell r="A1180">
            <v>0</v>
          </cell>
        </row>
        <row r="1181">
          <cell r="A1181">
            <v>0</v>
          </cell>
        </row>
        <row r="1182">
          <cell r="A1182">
            <v>0</v>
          </cell>
        </row>
        <row r="1183">
          <cell r="A1183">
            <v>0</v>
          </cell>
        </row>
        <row r="1184">
          <cell r="A1184">
            <v>0</v>
          </cell>
        </row>
        <row r="1185">
          <cell r="A1185">
            <v>0</v>
          </cell>
        </row>
        <row r="1186">
          <cell r="A1186">
            <v>0</v>
          </cell>
        </row>
        <row r="1187">
          <cell r="A1187">
            <v>0</v>
          </cell>
        </row>
        <row r="1188">
          <cell r="A1188">
            <v>0</v>
          </cell>
        </row>
        <row r="1189">
          <cell r="A1189">
            <v>0</v>
          </cell>
        </row>
        <row r="1190">
          <cell r="A1190">
            <v>0</v>
          </cell>
        </row>
        <row r="1191">
          <cell r="A1191">
            <v>0</v>
          </cell>
        </row>
        <row r="1192">
          <cell r="A1192">
            <v>0</v>
          </cell>
        </row>
        <row r="1193">
          <cell r="A1193">
            <v>0</v>
          </cell>
        </row>
        <row r="1194">
          <cell r="A1194">
            <v>0</v>
          </cell>
        </row>
        <row r="1195">
          <cell r="A1195">
            <v>0</v>
          </cell>
        </row>
        <row r="1196">
          <cell r="A1196">
            <v>0</v>
          </cell>
        </row>
        <row r="1197">
          <cell r="A1197">
            <v>0</v>
          </cell>
        </row>
        <row r="1198">
          <cell r="A1198">
            <v>0</v>
          </cell>
        </row>
        <row r="1199">
          <cell r="A1199">
            <v>0</v>
          </cell>
        </row>
        <row r="1200">
          <cell r="A1200">
            <v>0</v>
          </cell>
        </row>
        <row r="1201">
          <cell r="A1201">
            <v>0</v>
          </cell>
        </row>
        <row r="1202">
          <cell r="A1202">
            <v>0</v>
          </cell>
        </row>
        <row r="1203">
          <cell r="A1203">
            <v>0</v>
          </cell>
        </row>
        <row r="1204">
          <cell r="A1204">
            <v>0</v>
          </cell>
        </row>
        <row r="1205">
          <cell r="A1205">
            <v>0</v>
          </cell>
        </row>
        <row r="1206">
          <cell r="A1206">
            <v>0</v>
          </cell>
        </row>
        <row r="1207">
          <cell r="A1207">
            <v>0</v>
          </cell>
        </row>
        <row r="1208">
          <cell r="A1208">
            <v>0</v>
          </cell>
        </row>
        <row r="1209">
          <cell r="A1209">
            <v>0</v>
          </cell>
        </row>
        <row r="1210">
          <cell r="A1210">
            <v>0</v>
          </cell>
        </row>
        <row r="1211">
          <cell r="A1211">
            <v>0</v>
          </cell>
        </row>
        <row r="1212">
          <cell r="A1212">
            <v>0</v>
          </cell>
        </row>
        <row r="1213">
          <cell r="A1213">
            <v>0</v>
          </cell>
        </row>
        <row r="1214">
          <cell r="A1214">
            <v>0</v>
          </cell>
        </row>
        <row r="1215">
          <cell r="A1215">
            <v>0</v>
          </cell>
        </row>
        <row r="1216">
          <cell r="A1216">
            <v>0</v>
          </cell>
        </row>
        <row r="1217">
          <cell r="A1217">
            <v>0</v>
          </cell>
        </row>
        <row r="1218">
          <cell r="A1218">
            <v>0</v>
          </cell>
        </row>
        <row r="1219">
          <cell r="A1219">
            <v>0</v>
          </cell>
        </row>
        <row r="1220">
          <cell r="A1220">
            <v>0</v>
          </cell>
        </row>
        <row r="1221">
          <cell r="A1221">
            <v>0</v>
          </cell>
        </row>
        <row r="1222">
          <cell r="A1222">
            <v>0</v>
          </cell>
        </row>
        <row r="1223">
          <cell r="A1223">
            <v>0</v>
          </cell>
        </row>
        <row r="1224">
          <cell r="A1224">
            <v>0</v>
          </cell>
        </row>
        <row r="1225">
          <cell r="A1225">
            <v>0</v>
          </cell>
        </row>
        <row r="1226">
          <cell r="A1226">
            <v>0</v>
          </cell>
        </row>
        <row r="1227">
          <cell r="A1227">
            <v>0</v>
          </cell>
        </row>
        <row r="1228">
          <cell r="A1228">
            <v>0</v>
          </cell>
        </row>
        <row r="1229">
          <cell r="A1229">
            <v>0</v>
          </cell>
        </row>
        <row r="1230">
          <cell r="A1230">
            <v>0</v>
          </cell>
        </row>
        <row r="1231">
          <cell r="A1231">
            <v>0</v>
          </cell>
        </row>
        <row r="1232">
          <cell r="A1232">
            <v>0</v>
          </cell>
        </row>
        <row r="1233">
          <cell r="A1233">
            <v>0</v>
          </cell>
        </row>
        <row r="1234">
          <cell r="A1234">
            <v>0</v>
          </cell>
        </row>
        <row r="1235">
          <cell r="A1235">
            <v>0</v>
          </cell>
        </row>
        <row r="1236">
          <cell r="A1236">
            <v>0</v>
          </cell>
        </row>
        <row r="1237">
          <cell r="A1237">
            <v>0</v>
          </cell>
        </row>
        <row r="1238">
          <cell r="A1238">
            <v>0</v>
          </cell>
        </row>
        <row r="1239">
          <cell r="A1239">
            <v>0</v>
          </cell>
        </row>
        <row r="1240">
          <cell r="A1240">
            <v>0</v>
          </cell>
        </row>
        <row r="1241">
          <cell r="A1241">
            <v>0</v>
          </cell>
        </row>
        <row r="1242">
          <cell r="A1242">
            <v>0</v>
          </cell>
        </row>
        <row r="1243">
          <cell r="A1243">
            <v>0</v>
          </cell>
        </row>
        <row r="1244">
          <cell r="A1244">
            <v>0</v>
          </cell>
        </row>
        <row r="1245">
          <cell r="A1245">
            <v>0</v>
          </cell>
        </row>
        <row r="1246">
          <cell r="A1246">
            <v>0</v>
          </cell>
        </row>
        <row r="1247">
          <cell r="A1247">
            <v>0</v>
          </cell>
        </row>
        <row r="1248">
          <cell r="A1248">
            <v>0</v>
          </cell>
        </row>
        <row r="1249">
          <cell r="A1249">
            <v>0</v>
          </cell>
        </row>
        <row r="1250">
          <cell r="A1250">
            <v>0</v>
          </cell>
        </row>
        <row r="1251">
          <cell r="A1251">
            <v>0</v>
          </cell>
        </row>
        <row r="1252">
          <cell r="A1252">
            <v>0</v>
          </cell>
        </row>
        <row r="1253">
          <cell r="A1253">
            <v>0</v>
          </cell>
        </row>
        <row r="1254">
          <cell r="A1254">
            <v>0</v>
          </cell>
        </row>
        <row r="1255">
          <cell r="A1255">
            <v>0</v>
          </cell>
        </row>
        <row r="1256">
          <cell r="A1256">
            <v>0</v>
          </cell>
        </row>
        <row r="1257">
          <cell r="A1257">
            <v>0</v>
          </cell>
        </row>
        <row r="1258">
          <cell r="A1258">
            <v>0</v>
          </cell>
        </row>
        <row r="1259">
          <cell r="A1259">
            <v>0</v>
          </cell>
        </row>
        <row r="1260">
          <cell r="A1260">
            <v>0</v>
          </cell>
        </row>
        <row r="1261">
          <cell r="A1261">
            <v>0</v>
          </cell>
        </row>
        <row r="1262">
          <cell r="A1262">
            <v>0</v>
          </cell>
        </row>
        <row r="1263">
          <cell r="A1263">
            <v>0</v>
          </cell>
        </row>
        <row r="1264">
          <cell r="A1264">
            <v>0</v>
          </cell>
        </row>
        <row r="1265">
          <cell r="A1265">
            <v>0</v>
          </cell>
        </row>
        <row r="1266">
          <cell r="A1266">
            <v>0</v>
          </cell>
        </row>
        <row r="1267">
          <cell r="A1267">
            <v>0</v>
          </cell>
        </row>
        <row r="1268">
          <cell r="A1268">
            <v>0</v>
          </cell>
        </row>
        <row r="1269">
          <cell r="A1269">
            <v>0</v>
          </cell>
        </row>
        <row r="1270">
          <cell r="A1270">
            <v>0</v>
          </cell>
        </row>
        <row r="1271">
          <cell r="A1271">
            <v>0</v>
          </cell>
        </row>
        <row r="1272">
          <cell r="A1272">
            <v>0</v>
          </cell>
        </row>
        <row r="1273">
          <cell r="A1273">
            <v>0</v>
          </cell>
        </row>
        <row r="1274">
          <cell r="A1274">
            <v>0</v>
          </cell>
        </row>
        <row r="1275">
          <cell r="A1275">
            <v>0</v>
          </cell>
        </row>
        <row r="1276">
          <cell r="A1276">
            <v>0</v>
          </cell>
        </row>
        <row r="1277">
          <cell r="A1277">
            <v>0</v>
          </cell>
        </row>
        <row r="1278">
          <cell r="A1278">
            <v>0</v>
          </cell>
        </row>
        <row r="1279">
          <cell r="A1279">
            <v>0</v>
          </cell>
        </row>
        <row r="1280">
          <cell r="A1280">
            <v>0</v>
          </cell>
        </row>
        <row r="1281">
          <cell r="A1281">
            <v>0</v>
          </cell>
        </row>
        <row r="1282">
          <cell r="A1282">
            <v>0</v>
          </cell>
        </row>
        <row r="1283">
          <cell r="A1283">
            <v>0</v>
          </cell>
        </row>
        <row r="1284">
          <cell r="A1284">
            <v>0</v>
          </cell>
        </row>
        <row r="1285">
          <cell r="A1285">
            <v>0</v>
          </cell>
        </row>
        <row r="1286">
          <cell r="A1286">
            <v>0</v>
          </cell>
        </row>
        <row r="1287">
          <cell r="A1287">
            <v>0</v>
          </cell>
        </row>
        <row r="1288">
          <cell r="A1288">
            <v>0</v>
          </cell>
        </row>
        <row r="1289">
          <cell r="A1289">
            <v>0</v>
          </cell>
        </row>
        <row r="1290">
          <cell r="A1290">
            <v>0</v>
          </cell>
        </row>
        <row r="1291">
          <cell r="A1291">
            <v>0</v>
          </cell>
        </row>
        <row r="1292">
          <cell r="A1292">
            <v>0</v>
          </cell>
        </row>
        <row r="1293">
          <cell r="A1293">
            <v>0</v>
          </cell>
        </row>
        <row r="1294">
          <cell r="A1294">
            <v>0</v>
          </cell>
        </row>
        <row r="1295">
          <cell r="A1295">
            <v>0</v>
          </cell>
        </row>
        <row r="1296">
          <cell r="A1296">
            <v>0</v>
          </cell>
        </row>
        <row r="1297">
          <cell r="A1297">
            <v>0</v>
          </cell>
        </row>
        <row r="1298">
          <cell r="A1298">
            <v>0</v>
          </cell>
        </row>
        <row r="1299">
          <cell r="A1299">
            <v>0</v>
          </cell>
        </row>
        <row r="1300">
          <cell r="A1300">
            <v>0</v>
          </cell>
        </row>
        <row r="1301">
          <cell r="A1301">
            <v>0</v>
          </cell>
        </row>
        <row r="1302">
          <cell r="A1302">
            <v>0</v>
          </cell>
        </row>
        <row r="1303">
          <cell r="A1303">
            <v>0</v>
          </cell>
        </row>
        <row r="1304">
          <cell r="A1304">
            <v>0</v>
          </cell>
        </row>
        <row r="1305">
          <cell r="A1305">
            <v>0</v>
          </cell>
        </row>
        <row r="1306">
          <cell r="A1306">
            <v>0</v>
          </cell>
        </row>
        <row r="1307">
          <cell r="A1307">
            <v>0</v>
          </cell>
        </row>
        <row r="1308">
          <cell r="A1308">
            <v>0</v>
          </cell>
        </row>
        <row r="1309">
          <cell r="A1309">
            <v>0</v>
          </cell>
        </row>
        <row r="1310">
          <cell r="A1310">
            <v>0</v>
          </cell>
        </row>
        <row r="1311">
          <cell r="A1311">
            <v>0</v>
          </cell>
        </row>
        <row r="1312">
          <cell r="A1312">
            <v>0</v>
          </cell>
        </row>
        <row r="1313">
          <cell r="A1313">
            <v>0</v>
          </cell>
        </row>
        <row r="1314">
          <cell r="A1314">
            <v>0</v>
          </cell>
        </row>
        <row r="1315">
          <cell r="A1315">
            <v>0</v>
          </cell>
        </row>
        <row r="1316">
          <cell r="A1316">
            <v>0</v>
          </cell>
        </row>
        <row r="1317">
          <cell r="A1317">
            <v>0</v>
          </cell>
        </row>
        <row r="1318">
          <cell r="A1318">
            <v>0</v>
          </cell>
        </row>
        <row r="1319">
          <cell r="A1319">
            <v>0</v>
          </cell>
        </row>
        <row r="1320">
          <cell r="A1320">
            <v>0</v>
          </cell>
        </row>
        <row r="1321">
          <cell r="A1321">
            <v>0</v>
          </cell>
        </row>
        <row r="1322">
          <cell r="A1322">
            <v>0</v>
          </cell>
        </row>
        <row r="1323">
          <cell r="A1323">
            <v>0</v>
          </cell>
        </row>
        <row r="1324">
          <cell r="A1324">
            <v>0</v>
          </cell>
        </row>
        <row r="1325">
          <cell r="A1325">
            <v>0</v>
          </cell>
        </row>
        <row r="1326">
          <cell r="A1326">
            <v>0</v>
          </cell>
        </row>
        <row r="1327">
          <cell r="A1327">
            <v>0</v>
          </cell>
        </row>
        <row r="1328">
          <cell r="A1328">
            <v>0</v>
          </cell>
        </row>
        <row r="1329">
          <cell r="A1329">
            <v>0</v>
          </cell>
        </row>
        <row r="1330">
          <cell r="A1330">
            <v>0</v>
          </cell>
        </row>
        <row r="1331">
          <cell r="A1331">
            <v>0</v>
          </cell>
        </row>
        <row r="1332">
          <cell r="A1332">
            <v>0</v>
          </cell>
        </row>
        <row r="1333">
          <cell r="A1333">
            <v>0</v>
          </cell>
        </row>
        <row r="1334">
          <cell r="A1334">
            <v>0</v>
          </cell>
        </row>
        <row r="1335">
          <cell r="A1335">
            <v>0</v>
          </cell>
        </row>
        <row r="1336">
          <cell r="A1336">
            <v>0</v>
          </cell>
        </row>
        <row r="1337">
          <cell r="A1337">
            <v>0</v>
          </cell>
        </row>
        <row r="1338">
          <cell r="A1338">
            <v>0</v>
          </cell>
        </row>
        <row r="1339">
          <cell r="A1339">
            <v>0</v>
          </cell>
        </row>
        <row r="1340">
          <cell r="A1340">
            <v>0</v>
          </cell>
        </row>
        <row r="1341">
          <cell r="A1341">
            <v>0</v>
          </cell>
        </row>
        <row r="1342">
          <cell r="A1342">
            <v>0</v>
          </cell>
        </row>
        <row r="1343">
          <cell r="A1343">
            <v>0</v>
          </cell>
        </row>
        <row r="1344">
          <cell r="A1344">
            <v>0</v>
          </cell>
        </row>
        <row r="1345">
          <cell r="A1345">
            <v>0</v>
          </cell>
        </row>
        <row r="1346">
          <cell r="A1346">
            <v>0</v>
          </cell>
        </row>
        <row r="1347">
          <cell r="A1347">
            <v>0</v>
          </cell>
        </row>
        <row r="1348">
          <cell r="A1348">
            <v>0</v>
          </cell>
        </row>
        <row r="1349">
          <cell r="A1349">
            <v>0</v>
          </cell>
        </row>
        <row r="1350">
          <cell r="A1350">
            <v>0</v>
          </cell>
        </row>
        <row r="1351">
          <cell r="A1351">
            <v>0</v>
          </cell>
        </row>
        <row r="1352">
          <cell r="A1352">
            <v>0</v>
          </cell>
        </row>
        <row r="1353">
          <cell r="A1353">
            <v>0</v>
          </cell>
        </row>
        <row r="1354">
          <cell r="A1354">
            <v>0</v>
          </cell>
        </row>
        <row r="1355">
          <cell r="A1355">
            <v>0</v>
          </cell>
        </row>
        <row r="1356">
          <cell r="A1356">
            <v>0</v>
          </cell>
        </row>
        <row r="1357">
          <cell r="A1357">
            <v>0</v>
          </cell>
        </row>
        <row r="1358">
          <cell r="A1358">
            <v>0</v>
          </cell>
        </row>
        <row r="1359">
          <cell r="A1359">
            <v>0</v>
          </cell>
        </row>
        <row r="1360">
          <cell r="A1360">
            <v>0</v>
          </cell>
        </row>
        <row r="1361">
          <cell r="A1361">
            <v>0</v>
          </cell>
        </row>
        <row r="1362">
          <cell r="A1362">
            <v>0</v>
          </cell>
        </row>
        <row r="1363">
          <cell r="A1363">
            <v>0</v>
          </cell>
        </row>
        <row r="1364">
          <cell r="A1364">
            <v>0</v>
          </cell>
        </row>
        <row r="1365">
          <cell r="A1365">
            <v>0</v>
          </cell>
        </row>
        <row r="1366">
          <cell r="A1366">
            <v>0</v>
          </cell>
        </row>
        <row r="1367">
          <cell r="A1367">
            <v>0</v>
          </cell>
        </row>
        <row r="1368">
          <cell r="A1368">
            <v>0</v>
          </cell>
        </row>
        <row r="1369">
          <cell r="A1369">
            <v>0</v>
          </cell>
        </row>
        <row r="1370">
          <cell r="A1370">
            <v>0</v>
          </cell>
        </row>
        <row r="1371">
          <cell r="A1371">
            <v>0</v>
          </cell>
        </row>
        <row r="1372">
          <cell r="A1372">
            <v>0</v>
          </cell>
        </row>
        <row r="1373">
          <cell r="A1373">
            <v>0</v>
          </cell>
        </row>
        <row r="1374">
          <cell r="A1374">
            <v>0</v>
          </cell>
        </row>
        <row r="1375">
          <cell r="A1375">
            <v>0</v>
          </cell>
        </row>
        <row r="1376">
          <cell r="A1376">
            <v>0</v>
          </cell>
        </row>
        <row r="1377">
          <cell r="A1377">
            <v>0</v>
          </cell>
        </row>
        <row r="1378">
          <cell r="A1378">
            <v>0</v>
          </cell>
        </row>
        <row r="1379">
          <cell r="A1379">
            <v>0</v>
          </cell>
        </row>
        <row r="1380">
          <cell r="A1380">
            <v>0</v>
          </cell>
        </row>
        <row r="1381">
          <cell r="A1381">
            <v>0</v>
          </cell>
        </row>
        <row r="1382">
          <cell r="A1382">
            <v>0</v>
          </cell>
        </row>
        <row r="1383">
          <cell r="A1383">
            <v>0</v>
          </cell>
        </row>
        <row r="1384">
          <cell r="A1384">
            <v>0</v>
          </cell>
        </row>
        <row r="1385">
          <cell r="A1385">
            <v>0</v>
          </cell>
        </row>
        <row r="1386">
          <cell r="A1386">
            <v>0</v>
          </cell>
        </row>
        <row r="1387">
          <cell r="A1387">
            <v>0</v>
          </cell>
        </row>
        <row r="1388">
          <cell r="A1388">
            <v>0</v>
          </cell>
        </row>
        <row r="1389">
          <cell r="A1389">
            <v>0</v>
          </cell>
        </row>
        <row r="1390">
          <cell r="A1390">
            <v>0</v>
          </cell>
        </row>
        <row r="1391">
          <cell r="A1391">
            <v>0</v>
          </cell>
        </row>
        <row r="1392">
          <cell r="A1392">
            <v>0</v>
          </cell>
        </row>
        <row r="1393">
          <cell r="A1393">
            <v>0</v>
          </cell>
        </row>
        <row r="1394">
          <cell r="A1394">
            <v>0</v>
          </cell>
        </row>
        <row r="1395">
          <cell r="A1395">
            <v>0</v>
          </cell>
        </row>
        <row r="1396">
          <cell r="A1396">
            <v>0</v>
          </cell>
        </row>
        <row r="1397">
          <cell r="A1397">
            <v>0</v>
          </cell>
        </row>
        <row r="1398">
          <cell r="A1398">
            <v>0</v>
          </cell>
        </row>
        <row r="1399">
          <cell r="A1399">
            <v>0</v>
          </cell>
        </row>
        <row r="1400">
          <cell r="A1400">
            <v>0</v>
          </cell>
        </row>
        <row r="1401">
          <cell r="A1401">
            <v>0</v>
          </cell>
        </row>
        <row r="1402">
          <cell r="A1402">
            <v>0</v>
          </cell>
        </row>
        <row r="1403">
          <cell r="A1403">
            <v>0</v>
          </cell>
        </row>
        <row r="1404">
          <cell r="A1404">
            <v>0</v>
          </cell>
        </row>
        <row r="1405">
          <cell r="A1405">
            <v>0</v>
          </cell>
        </row>
        <row r="1406">
          <cell r="A1406">
            <v>0</v>
          </cell>
        </row>
        <row r="1407">
          <cell r="A1407">
            <v>0</v>
          </cell>
        </row>
        <row r="1408">
          <cell r="A1408">
            <v>0</v>
          </cell>
        </row>
        <row r="1409">
          <cell r="A1409">
            <v>0</v>
          </cell>
        </row>
        <row r="1410">
          <cell r="A1410">
            <v>0</v>
          </cell>
        </row>
        <row r="1411">
          <cell r="A1411">
            <v>0</v>
          </cell>
        </row>
        <row r="1412">
          <cell r="A1412">
            <v>0</v>
          </cell>
        </row>
        <row r="1413">
          <cell r="A1413">
            <v>0</v>
          </cell>
        </row>
        <row r="1414">
          <cell r="A1414">
            <v>0</v>
          </cell>
        </row>
        <row r="1415">
          <cell r="A1415">
            <v>0</v>
          </cell>
        </row>
        <row r="1416">
          <cell r="A1416">
            <v>0</v>
          </cell>
        </row>
        <row r="1417">
          <cell r="A1417">
            <v>0</v>
          </cell>
        </row>
        <row r="1418">
          <cell r="A1418">
            <v>0</v>
          </cell>
        </row>
        <row r="1419">
          <cell r="A1419">
            <v>0</v>
          </cell>
        </row>
        <row r="1420">
          <cell r="A1420">
            <v>0</v>
          </cell>
        </row>
        <row r="1421">
          <cell r="A1421">
            <v>0</v>
          </cell>
        </row>
        <row r="1422">
          <cell r="A1422">
            <v>0</v>
          </cell>
        </row>
        <row r="1423">
          <cell r="A1423">
            <v>0</v>
          </cell>
        </row>
        <row r="1424">
          <cell r="A1424">
            <v>0</v>
          </cell>
        </row>
        <row r="1425">
          <cell r="A1425">
            <v>0</v>
          </cell>
        </row>
        <row r="1426">
          <cell r="A1426">
            <v>0</v>
          </cell>
        </row>
        <row r="1427">
          <cell r="A1427">
            <v>0</v>
          </cell>
        </row>
        <row r="1428">
          <cell r="A1428">
            <v>0</v>
          </cell>
        </row>
        <row r="1429">
          <cell r="A1429">
            <v>0</v>
          </cell>
        </row>
        <row r="1430">
          <cell r="A1430">
            <v>0</v>
          </cell>
        </row>
        <row r="1431">
          <cell r="A1431">
            <v>0</v>
          </cell>
        </row>
        <row r="1432">
          <cell r="A1432">
            <v>0</v>
          </cell>
        </row>
        <row r="1433">
          <cell r="A1433">
            <v>0</v>
          </cell>
        </row>
        <row r="1434">
          <cell r="A1434">
            <v>0</v>
          </cell>
        </row>
        <row r="1435">
          <cell r="A1435">
            <v>0</v>
          </cell>
        </row>
        <row r="1436">
          <cell r="A1436">
            <v>0</v>
          </cell>
        </row>
        <row r="1437">
          <cell r="A1437">
            <v>0</v>
          </cell>
        </row>
        <row r="1438">
          <cell r="A1438">
            <v>0</v>
          </cell>
        </row>
        <row r="1439">
          <cell r="A1439">
            <v>0</v>
          </cell>
        </row>
        <row r="1440">
          <cell r="A1440">
            <v>0</v>
          </cell>
        </row>
        <row r="1441">
          <cell r="A1441">
            <v>0</v>
          </cell>
        </row>
        <row r="1442">
          <cell r="A1442">
            <v>0</v>
          </cell>
        </row>
        <row r="1443">
          <cell r="A1443">
            <v>0</v>
          </cell>
        </row>
        <row r="1444">
          <cell r="A1444">
            <v>0</v>
          </cell>
        </row>
        <row r="1445">
          <cell r="A1445">
            <v>0</v>
          </cell>
        </row>
        <row r="1446">
          <cell r="A1446">
            <v>0</v>
          </cell>
        </row>
        <row r="1447">
          <cell r="A1447">
            <v>0</v>
          </cell>
        </row>
        <row r="1448">
          <cell r="A1448">
            <v>0</v>
          </cell>
        </row>
        <row r="1449">
          <cell r="A1449">
            <v>0</v>
          </cell>
        </row>
        <row r="1450">
          <cell r="A1450">
            <v>0</v>
          </cell>
        </row>
        <row r="1451">
          <cell r="A1451">
            <v>0</v>
          </cell>
        </row>
        <row r="1452">
          <cell r="A1452">
            <v>0</v>
          </cell>
        </row>
        <row r="1453">
          <cell r="A1453">
            <v>0</v>
          </cell>
        </row>
        <row r="1454">
          <cell r="A1454">
            <v>0</v>
          </cell>
        </row>
        <row r="1455">
          <cell r="A1455">
            <v>0</v>
          </cell>
        </row>
        <row r="1456">
          <cell r="A1456">
            <v>0</v>
          </cell>
        </row>
        <row r="1457">
          <cell r="A1457">
            <v>0</v>
          </cell>
        </row>
        <row r="1458">
          <cell r="A1458">
            <v>0</v>
          </cell>
        </row>
        <row r="1459">
          <cell r="A1459">
            <v>0</v>
          </cell>
        </row>
        <row r="1460">
          <cell r="A1460">
            <v>0</v>
          </cell>
        </row>
        <row r="1461">
          <cell r="A1461">
            <v>0</v>
          </cell>
        </row>
        <row r="1462">
          <cell r="A1462">
            <v>0</v>
          </cell>
        </row>
        <row r="1463">
          <cell r="A1463">
            <v>0</v>
          </cell>
        </row>
        <row r="1464">
          <cell r="A1464">
            <v>0</v>
          </cell>
        </row>
        <row r="1465">
          <cell r="A1465">
            <v>0</v>
          </cell>
        </row>
        <row r="1466">
          <cell r="A1466">
            <v>0</v>
          </cell>
        </row>
        <row r="1467">
          <cell r="A1467">
            <v>0</v>
          </cell>
        </row>
        <row r="1468">
          <cell r="A1468">
            <v>0</v>
          </cell>
        </row>
        <row r="1469">
          <cell r="A1469">
            <v>0</v>
          </cell>
        </row>
        <row r="1470">
          <cell r="A1470">
            <v>0</v>
          </cell>
        </row>
        <row r="1471">
          <cell r="A1471">
            <v>0</v>
          </cell>
        </row>
        <row r="1472">
          <cell r="A1472">
            <v>0</v>
          </cell>
        </row>
        <row r="1473">
          <cell r="A1473">
            <v>0</v>
          </cell>
        </row>
        <row r="1474">
          <cell r="A1474">
            <v>0</v>
          </cell>
        </row>
        <row r="1475">
          <cell r="A1475">
            <v>0</v>
          </cell>
        </row>
        <row r="1476">
          <cell r="A1476">
            <v>0</v>
          </cell>
        </row>
        <row r="1477">
          <cell r="A1477">
            <v>0</v>
          </cell>
        </row>
        <row r="1478">
          <cell r="A1478">
            <v>0</v>
          </cell>
        </row>
        <row r="1479">
          <cell r="A1479">
            <v>0</v>
          </cell>
        </row>
        <row r="1480">
          <cell r="A1480">
            <v>0</v>
          </cell>
        </row>
        <row r="1481">
          <cell r="A1481">
            <v>0</v>
          </cell>
        </row>
        <row r="1482">
          <cell r="A1482">
            <v>0</v>
          </cell>
        </row>
        <row r="1483">
          <cell r="A1483">
            <v>0</v>
          </cell>
        </row>
        <row r="1484">
          <cell r="A1484">
            <v>0</v>
          </cell>
        </row>
        <row r="1485">
          <cell r="A1485">
            <v>0</v>
          </cell>
        </row>
        <row r="1486">
          <cell r="A1486">
            <v>0</v>
          </cell>
        </row>
        <row r="1487">
          <cell r="A1487">
            <v>0</v>
          </cell>
        </row>
        <row r="1488">
          <cell r="A1488">
            <v>0</v>
          </cell>
        </row>
        <row r="1489">
          <cell r="A1489">
            <v>0</v>
          </cell>
        </row>
        <row r="1490">
          <cell r="A1490">
            <v>0</v>
          </cell>
        </row>
        <row r="1491">
          <cell r="A1491">
            <v>0</v>
          </cell>
        </row>
        <row r="1492">
          <cell r="A1492">
            <v>0</v>
          </cell>
        </row>
        <row r="1493">
          <cell r="A1493">
            <v>0</v>
          </cell>
        </row>
        <row r="1494">
          <cell r="A1494">
            <v>0</v>
          </cell>
        </row>
        <row r="1495">
          <cell r="A1495">
            <v>0</v>
          </cell>
        </row>
        <row r="1496">
          <cell r="A1496">
            <v>0</v>
          </cell>
        </row>
        <row r="1497">
          <cell r="A1497">
            <v>0</v>
          </cell>
        </row>
        <row r="1498">
          <cell r="A1498">
            <v>0</v>
          </cell>
        </row>
        <row r="1499">
          <cell r="A1499">
            <v>0</v>
          </cell>
        </row>
        <row r="1500">
          <cell r="A1500">
            <v>0</v>
          </cell>
        </row>
        <row r="1501">
          <cell r="A1501">
            <v>0</v>
          </cell>
        </row>
        <row r="1502">
          <cell r="A1502">
            <v>0</v>
          </cell>
        </row>
        <row r="1503">
          <cell r="A1503">
            <v>0</v>
          </cell>
        </row>
        <row r="1504">
          <cell r="A1504">
            <v>0</v>
          </cell>
        </row>
        <row r="1505">
          <cell r="A1505">
            <v>0</v>
          </cell>
        </row>
        <row r="1506">
          <cell r="A1506">
            <v>0</v>
          </cell>
        </row>
        <row r="1507">
          <cell r="A1507">
            <v>0</v>
          </cell>
        </row>
        <row r="1508">
          <cell r="A1508">
            <v>0</v>
          </cell>
        </row>
        <row r="1509">
          <cell r="A1509">
            <v>0</v>
          </cell>
        </row>
        <row r="1510">
          <cell r="A1510">
            <v>0</v>
          </cell>
        </row>
        <row r="1511">
          <cell r="A1511">
            <v>0</v>
          </cell>
        </row>
        <row r="1512">
          <cell r="A1512">
            <v>0</v>
          </cell>
        </row>
        <row r="1513">
          <cell r="A1513">
            <v>0</v>
          </cell>
        </row>
        <row r="1514">
          <cell r="A1514">
            <v>0</v>
          </cell>
        </row>
        <row r="1515">
          <cell r="A1515">
            <v>0</v>
          </cell>
        </row>
        <row r="1516">
          <cell r="A1516">
            <v>0</v>
          </cell>
        </row>
        <row r="1517">
          <cell r="A1517">
            <v>0</v>
          </cell>
        </row>
        <row r="1518">
          <cell r="A1518">
            <v>0</v>
          </cell>
        </row>
        <row r="1519">
          <cell r="A1519">
            <v>0</v>
          </cell>
        </row>
        <row r="1520">
          <cell r="A1520">
            <v>0</v>
          </cell>
        </row>
        <row r="1521">
          <cell r="A1521">
            <v>0</v>
          </cell>
        </row>
        <row r="1522">
          <cell r="A1522">
            <v>0</v>
          </cell>
        </row>
        <row r="1523">
          <cell r="A1523">
            <v>0</v>
          </cell>
        </row>
        <row r="1524">
          <cell r="A1524">
            <v>0</v>
          </cell>
        </row>
        <row r="1525">
          <cell r="A1525">
            <v>0</v>
          </cell>
        </row>
        <row r="1526">
          <cell r="A1526">
            <v>0</v>
          </cell>
        </row>
        <row r="1527">
          <cell r="A1527">
            <v>0</v>
          </cell>
        </row>
        <row r="1528">
          <cell r="A1528">
            <v>0</v>
          </cell>
        </row>
        <row r="1529">
          <cell r="A1529">
            <v>0</v>
          </cell>
        </row>
        <row r="1530">
          <cell r="A1530">
            <v>0</v>
          </cell>
        </row>
        <row r="1531">
          <cell r="A1531">
            <v>0</v>
          </cell>
        </row>
        <row r="1532">
          <cell r="A1532">
            <v>0</v>
          </cell>
        </row>
        <row r="1533">
          <cell r="A1533">
            <v>0</v>
          </cell>
        </row>
        <row r="1534">
          <cell r="A1534">
            <v>0</v>
          </cell>
        </row>
        <row r="1535">
          <cell r="A1535">
            <v>0</v>
          </cell>
        </row>
        <row r="1536">
          <cell r="A1536">
            <v>0</v>
          </cell>
        </row>
        <row r="1537">
          <cell r="A1537">
            <v>0</v>
          </cell>
        </row>
        <row r="1538">
          <cell r="A1538">
            <v>0</v>
          </cell>
        </row>
        <row r="1539">
          <cell r="A1539">
            <v>0</v>
          </cell>
        </row>
        <row r="1540">
          <cell r="A1540">
            <v>0</v>
          </cell>
        </row>
        <row r="1541">
          <cell r="A1541">
            <v>0</v>
          </cell>
        </row>
        <row r="1542">
          <cell r="A1542">
            <v>0</v>
          </cell>
        </row>
        <row r="1543">
          <cell r="A1543">
            <v>0</v>
          </cell>
        </row>
        <row r="1544">
          <cell r="A1544">
            <v>0</v>
          </cell>
        </row>
        <row r="1545">
          <cell r="A1545">
            <v>0</v>
          </cell>
        </row>
        <row r="1546">
          <cell r="A1546">
            <v>0</v>
          </cell>
        </row>
        <row r="1547">
          <cell r="A1547">
            <v>0</v>
          </cell>
        </row>
        <row r="1548">
          <cell r="A1548">
            <v>0</v>
          </cell>
        </row>
        <row r="1549">
          <cell r="A1549">
            <v>0</v>
          </cell>
        </row>
        <row r="1550">
          <cell r="A1550">
            <v>0</v>
          </cell>
        </row>
        <row r="1551">
          <cell r="A1551">
            <v>0</v>
          </cell>
        </row>
        <row r="1552">
          <cell r="A1552">
            <v>0</v>
          </cell>
        </row>
        <row r="1553">
          <cell r="A1553">
            <v>0</v>
          </cell>
        </row>
        <row r="1554">
          <cell r="A1554">
            <v>0</v>
          </cell>
        </row>
        <row r="1555">
          <cell r="A1555">
            <v>0</v>
          </cell>
        </row>
        <row r="1556">
          <cell r="A1556">
            <v>0</v>
          </cell>
        </row>
        <row r="1557">
          <cell r="A1557">
            <v>0</v>
          </cell>
        </row>
        <row r="1558">
          <cell r="A1558">
            <v>0</v>
          </cell>
        </row>
        <row r="1559">
          <cell r="A1559">
            <v>0</v>
          </cell>
        </row>
        <row r="1560">
          <cell r="A1560">
            <v>0</v>
          </cell>
        </row>
        <row r="1561">
          <cell r="A1561">
            <v>0</v>
          </cell>
        </row>
        <row r="1562">
          <cell r="A1562">
            <v>0</v>
          </cell>
        </row>
        <row r="1563">
          <cell r="A1563">
            <v>0</v>
          </cell>
        </row>
        <row r="1564">
          <cell r="A1564">
            <v>0</v>
          </cell>
        </row>
        <row r="1565">
          <cell r="A1565">
            <v>0</v>
          </cell>
        </row>
        <row r="1566">
          <cell r="A1566">
            <v>0</v>
          </cell>
        </row>
        <row r="1567">
          <cell r="A1567">
            <v>0</v>
          </cell>
        </row>
        <row r="1568">
          <cell r="A1568">
            <v>0</v>
          </cell>
        </row>
        <row r="1569">
          <cell r="A1569">
            <v>0</v>
          </cell>
        </row>
        <row r="1570">
          <cell r="A1570">
            <v>0</v>
          </cell>
        </row>
        <row r="1571">
          <cell r="A1571">
            <v>0</v>
          </cell>
        </row>
        <row r="1572">
          <cell r="A1572">
            <v>0</v>
          </cell>
        </row>
        <row r="1573">
          <cell r="A1573">
            <v>0</v>
          </cell>
        </row>
        <row r="1574">
          <cell r="A1574">
            <v>0</v>
          </cell>
        </row>
        <row r="1575">
          <cell r="A1575">
            <v>0</v>
          </cell>
        </row>
        <row r="1576">
          <cell r="A1576">
            <v>0</v>
          </cell>
        </row>
        <row r="1577">
          <cell r="A1577">
            <v>0</v>
          </cell>
        </row>
        <row r="1578">
          <cell r="A1578">
            <v>0</v>
          </cell>
        </row>
        <row r="1579">
          <cell r="A1579">
            <v>0</v>
          </cell>
        </row>
        <row r="1580">
          <cell r="A1580">
            <v>0</v>
          </cell>
        </row>
        <row r="1581">
          <cell r="A1581">
            <v>0</v>
          </cell>
        </row>
        <row r="1582">
          <cell r="A1582">
            <v>0</v>
          </cell>
        </row>
        <row r="1583">
          <cell r="A1583">
            <v>0</v>
          </cell>
        </row>
        <row r="1584">
          <cell r="A1584">
            <v>0</v>
          </cell>
        </row>
        <row r="1585">
          <cell r="A1585">
            <v>0</v>
          </cell>
        </row>
        <row r="1586">
          <cell r="A1586">
            <v>0</v>
          </cell>
        </row>
        <row r="1587">
          <cell r="A1587">
            <v>0</v>
          </cell>
        </row>
        <row r="1588">
          <cell r="A1588">
            <v>0</v>
          </cell>
        </row>
        <row r="1589">
          <cell r="A1589">
            <v>0</v>
          </cell>
        </row>
        <row r="1590">
          <cell r="A1590">
            <v>0</v>
          </cell>
        </row>
        <row r="1591">
          <cell r="A1591">
            <v>0</v>
          </cell>
        </row>
        <row r="1592">
          <cell r="A1592">
            <v>0</v>
          </cell>
        </row>
        <row r="1593">
          <cell r="A1593">
            <v>0</v>
          </cell>
        </row>
        <row r="1594">
          <cell r="A1594">
            <v>0</v>
          </cell>
        </row>
        <row r="1595">
          <cell r="A1595">
            <v>0</v>
          </cell>
        </row>
        <row r="1596">
          <cell r="A1596">
            <v>0</v>
          </cell>
        </row>
        <row r="1597">
          <cell r="A1597">
            <v>0</v>
          </cell>
        </row>
        <row r="1598">
          <cell r="A1598">
            <v>0</v>
          </cell>
        </row>
        <row r="1599">
          <cell r="A1599">
            <v>0</v>
          </cell>
        </row>
        <row r="1600">
          <cell r="A1600">
            <v>0</v>
          </cell>
        </row>
        <row r="1601">
          <cell r="A1601">
            <v>0</v>
          </cell>
        </row>
        <row r="1602">
          <cell r="A1602">
            <v>0</v>
          </cell>
        </row>
        <row r="1603">
          <cell r="A1603">
            <v>0</v>
          </cell>
        </row>
        <row r="1604">
          <cell r="A1604">
            <v>0</v>
          </cell>
        </row>
        <row r="1605">
          <cell r="A1605">
            <v>0</v>
          </cell>
        </row>
        <row r="1606">
          <cell r="A1606">
            <v>0</v>
          </cell>
        </row>
        <row r="1607">
          <cell r="A1607">
            <v>0</v>
          </cell>
        </row>
        <row r="1608">
          <cell r="A1608">
            <v>0</v>
          </cell>
        </row>
        <row r="1609">
          <cell r="A1609">
            <v>0</v>
          </cell>
        </row>
        <row r="1610">
          <cell r="A1610">
            <v>0</v>
          </cell>
        </row>
        <row r="1611">
          <cell r="A1611">
            <v>0</v>
          </cell>
        </row>
        <row r="1612">
          <cell r="A1612">
            <v>0</v>
          </cell>
        </row>
        <row r="1613">
          <cell r="A1613">
            <v>0</v>
          </cell>
        </row>
        <row r="1614">
          <cell r="A1614">
            <v>0</v>
          </cell>
        </row>
        <row r="1615">
          <cell r="A1615">
            <v>0</v>
          </cell>
        </row>
        <row r="1616">
          <cell r="A1616">
            <v>0</v>
          </cell>
        </row>
        <row r="1617">
          <cell r="A1617">
            <v>0</v>
          </cell>
        </row>
        <row r="1618">
          <cell r="A1618">
            <v>0</v>
          </cell>
        </row>
        <row r="1619">
          <cell r="A1619">
            <v>0</v>
          </cell>
        </row>
        <row r="1620">
          <cell r="A1620">
            <v>0</v>
          </cell>
        </row>
        <row r="1621">
          <cell r="A1621">
            <v>0</v>
          </cell>
        </row>
        <row r="1622">
          <cell r="A1622">
            <v>0</v>
          </cell>
        </row>
        <row r="1623">
          <cell r="A1623">
            <v>0</v>
          </cell>
        </row>
        <row r="1624">
          <cell r="A1624">
            <v>0</v>
          </cell>
        </row>
        <row r="1625">
          <cell r="A1625">
            <v>0</v>
          </cell>
        </row>
        <row r="1626">
          <cell r="A1626">
            <v>0</v>
          </cell>
        </row>
        <row r="1627">
          <cell r="A1627">
            <v>0</v>
          </cell>
        </row>
        <row r="1628">
          <cell r="A1628">
            <v>0</v>
          </cell>
        </row>
        <row r="1629">
          <cell r="A1629">
            <v>0</v>
          </cell>
        </row>
        <row r="1630">
          <cell r="A1630">
            <v>0</v>
          </cell>
        </row>
        <row r="1631">
          <cell r="A1631">
            <v>0</v>
          </cell>
        </row>
        <row r="1632">
          <cell r="A1632">
            <v>0</v>
          </cell>
        </row>
        <row r="1633">
          <cell r="A1633">
            <v>0</v>
          </cell>
        </row>
        <row r="1634">
          <cell r="A1634">
            <v>0</v>
          </cell>
        </row>
        <row r="1635">
          <cell r="A1635">
            <v>0</v>
          </cell>
        </row>
        <row r="1636">
          <cell r="A1636">
            <v>0</v>
          </cell>
        </row>
        <row r="1637">
          <cell r="A1637">
            <v>0</v>
          </cell>
        </row>
        <row r="1638">
          <cell r="A1638">
            <v>0</v>
          </cell>
        </row>
        <row r="1639">
          <cell r="A1639">
            <v>0</v>
          </cell>
        </row>
        <row r="1640">
          <cell r="A1640">
            <v>0</v>
          </cell>
        </row>
        <row r="1641">
          <cell r="A1641">
            <v>0</v>
          </cell>
        </row>
        <row r="1642">
          <cell r="A1642">
            <v>0</v>
          </cell>
        </row>
        <row r="1643">
          <cell r="A1643">
            <v>0</v>
          </cell>
        </row>
        <row r="1644">
          <cell r="A1644">
            <v>0</v>
          </cell>
        </row>
        <row r="1645">
          <cell r="A1645">
            <v>0</v>
          </cell>
        </row>
        <row r="1646">
          <cell r="A1646">
            <v>0</v>
          </cell>
        </row>
        <row r="1647">
          <cell r="A1647">
            <v>0</v>
          </cell>
        </row>
        <row r="1648">
          <cell r="A1648">
            <v>0</v>
          </cell>
        </row>
        <row r="1649">
          <cell r="A1649">
            <v>0</v>
          </cell>
        </row>
        <row r="1650">
          <cell r="A1650">
            <v>0</v>
          </cell>
        </row>
        <row r="1651">
          <cell r="A1651">
            <v>0</v>
          </cell>
        </row>
        <row r="1652">
          <cell r="A1652">
            <v>0</v>
          </cell>
        </row>
        <row r="1653">
          <cell r="A1653">
            <v>0</v>
          </cell>
        </row>
        <row r="1654">
          <cell r="A1654">
            <v>0</v>
          </cell>
        </row>
        <row r="1655">
          <cell r="A1655">
            <v>0</v>
          </cell>
        </row>
        <row r="1656">
          <cell r="A1656">
            <v>0</v>
          </cell>
        </row>
        <row r="1657">
          <cell r="A1657">
            <v>0</v>
          </cell>
        </row>
        <row r="1658">
          <cell r="A1658">
            <v>0</v>
          </cell>
        </row>
        <row r="1659">
          <cell r="A1659">
            <v>0</v>
          </cell>
        </row>
        <row r="1660">
          <cell r="A1660">
            <v>0</v>
          </cell>
        </row>
        <row r="1661">
          <cell r="A1661">
            <v>0</v>
          </cell>
        </row>
        <row r="1662">
          <cell r="A1662">
            <v>0</v>
          </cell>
        </row>
        <row r="1663">
          <cell r="A1663">
            <v>0</v>
          </cell>
        </row>
        <row r="1664">
          <cell r="A1664">
            <v>0</v>
          </cell>
        </row>
        <row r="1665">
          <cell r="A1665">
            <v>0</v>
          </cell>
        </row>
        <row r="1666">
          <cell r="A1666">
            <v>0</v>
          </cell>
        </row>
        <row r="1667">
          <cell r="A1667">
            <v>0</v>
          </cell>
        </row>
        <row r="1668">
          <cell r="A1668">
            <v>0</v>
          </cell>
        </row>
        <row r="1669">
          <cell r="A1669">
            <v>0</v>
          </cell>
        </row>
        <row r="1670">
          <cell r="A1670">
            <v>0</v>
          </cell>
        </row>
        <row r="1671">
          <cell r="A1671">
            <v>0</v>
          </cell>
        </row>
        <row r="1672">
          <cell r="A1672">
            <v>0</v>
          </cell>
        </row>
        <row r="1673">
          <cell r="A1673">
            <v>0</v>
          </cell>
        </row>
        <row r="1674">
          <cell r="A1674">
            <v>0</v>
          </cell>
        </row>
        <row r="1675">
          <cell r="A1675">
            <v>0</v>
          </cell>
        </row>
        <row r="1676">
          <cell r="A1676">
            <v>0</v>
          </cell>
        </row>
        <row r="1677">
          <cell r="A1677">
            <v>0</v>
          </cell>
        </row>
        <row r="1678">
          <cell r="A1678">
            <v>0</v>
          </cell>
        </row>
        <row r="1679">
          <cell r="A1679">
            <v>0</v>
          </cell>
        </row>
        <row r="1680">
          <cell r="A1680">
            <v>0</v>
          </cell>
        </row>
        <row r="1681">
          <cell r="A1681">
            <v>0</v>
          </cell>
        </row>
        <row r="1682">
          <cell r="A1682">
            <v>0</v>
          </cell>
        </row>
        <row r="1683">
          <cell r="A1683">
            <v>0</v>
          </cell>
        </row>
        <row r="1684">
          <cell r="A1684">
            <v>0</v>
          </cell>
        </row>
        <row r="1685">
          <cell r="A1685">
            <v>0</v>
          </cell>
        </row>
        <row r="1686">
          <cell r="A1686">
            <v>0</v>
          </cell>
        </row>
        <row r="1687">
          <cell r="A1687">
            <v>0</v>
          </cell>
        </row>
        <row r="1688">
          <cell r="A1688">
            <v>0</v>
          </cell>
        </row>
        <row r="1689">
          <cell r="A1689">
            <v>0</v>
          </cell>
        </row>
        <row r="1690">
          <cell r="A1690">
            <v>0</v>
          </cell>
        </row>
        <row r="1691">
          <cell r="A1691">
            <v>0</v>
          </cell>
        </row>
        <row r="1692">
          <cell r="A1692">
            <v>0</v>
          </cell>
        </row>
        <row r="1693">
          <cell r="A1693">
            <v>0</v>
          </cell>
        </row>
        <row r="1694">
          <cell r="A1694">
            <v>0</v>
          </cell>
        </row>
        <row r="1695">
          <cell r="A1695">
            <v>0</v>
          </cell>
        </row>
        <row r="1696">
          <cell r="A1696">
            <v>0</v>
          </cell>
        </row>
        <row r="1697">
          <cell r="A1697">
            <v>0</v>
          </cell>
        </row>
        <row r="1698">
          <cell r="A1698">
            <v>0</v>
          </cell>
        </row>
        <row r="1699">
          <cell r="A1699">
            <v>0</v>
          </cell>
        </row>
        <row r="1700">
          <cell r="A1700">
            <v>0</v>
          </cell>
        </row>
        <row r="1701">
          <cell r="A1701">
            <v>0</v>
          </cell>
        </row>
        <row r="1702">
          <cell r="A1702">
            <v>0</v>
          </cell>
        </row>
        <row r="1703">
          <cell r="A1703">
            <v>0</v>
          </cell>
        </row>
        <row r="1704">
          <cell r="A1704">
            <v>0</v>
          </cell>
        </row>
        <row r="1705">
          <cell r="A1705">
            <v>0</v>
          </cell>
        </row>
        <row r="1706">
          <cell r="A1706">
            <v>0</v>
          </cell>
        </row>
        <row r="1707">
          <cell r="A1707">
            <v>0</v>
          </cell>
        </row>
        <row r="1708">
          <cell r="A1708">
            <v>0</v>
          </cell>
        </row>
        <row r="1709">
          <cell r="A1709">
            <v>0</v>
          </cell>
        </row>
        <row r="1710">
          <cell r="A1710">
            <v>0</v>
          </cell>
        </row>
        <row r="1711">
          <cell r="A1711">
            <v>0</v>
          </cell>
        </row>
        <row r="1712">
          <cell r="A1712">
            <v>0</v>
          </cell>
        </row>
        <row r="1713">
          <cell r="A1713">
            <v>0</v>
          </cell>
        </row>
        <row r="1714">
          <cell r="A1714">
            <v>0</v>
          </cell>
        </row>
        <row r="1715">
          <cell r="A1715">
            <v>0</v>
          </cell>
        </row>
        <row r="1716">
          <cell r="A1716">
            <v>0</v>
          </cell>
        </row>
        <row r="1717">
          <cell r="A1717">
            <v>0</v>
          </cell>
        </row>
        <row r="1718">
          <cell r="A1718">
            <v>0</v>
          </cell>
        </row>
        <row r="1719">
          <cell r="A1719">
            <v>0</v>
          </cell>
        </row>
        <row r="1720">
          <cell r="A1720">
            <v>0</v>
          </cell>
        </row>
        <row r="1721">
          <cell r="A1721">
            <v>0</v>
          </cell>
        </row>
        <row r="1722">
          <cell r="A1722">
            <v>0</v>
          </cell>
        </row>
        <row r="1723">
          <cell r="A1723">
            <v>0</v>
          </cell>
        </row>
        <row r="1724">
          <cell r="A1724">
            <v>0</v>
          </cell>
        </row>
        <row r="1725">
          <cell r="A1725">
            <v>0</v>
          </cell>
        </row>
        <row r="1726">
          <cell r="A1726">
            <v>0</v>
          </cell>
        </row>
        <row r="1727">
          <cell r="A1727">
            <v>0</v>
          </cell>
        </row>
        <row r="1728">
          <cell r="A1728">
            <v>0</v>
          </cell>
        </row>
        <row r="1729">
          <cell r="A1729">
            <v>0</v>
          </cell>
        </row>
        <row r="1730">
          <cell r="A1730">
            <v>0</v>
          </cell>
        </row>
        <row r="1731">
          <cell r="A1731">
            <v>0</v>
          </cell>
        </row>
        <row r="1732">
          <cell r="A1732">
            <v>0</v>
          </cell>
        </row>
        <row r="1733">
          <cell r="A1733">
            <v>0</v>
          </cell>
        </row>
        <row r="1734">
          <cell r="A1734">
            <v>0</v>
          </cell>
        </row>
        <row r="1735">
          <cell r="A1735">
            <v>0</v>
          </cell>
        </row>
        <row r="1736">
          <cell r="A1736">
            <v>0</v>
          </cell>
        </row>
        <row r="1737">
          <cell r="A1737">
            <v>0</v>
          </cell>
        </row>
        <row r="1738">
          <cell r="A1738">
            <v>0</v>
          </cell>
        </row>
        <row r="1739">
          <cell r="A1739">
            <v>0</v>
          </cell>
        </row>
        <row r="1740">
          <cell r="A1740">
            <v>0</v>
          </cell>
        </row>
        <row r="1741">
          <cell r="A1741">
            <v>0</v>
          </cell>
        </row>
        <row r="1742">
          <cell r="A1742">
            <v>0</v>
          </cell>
        </row>
        <row r="1743">
          <cell r="A1743">
            <v>0</v>
          </cell>
        </row>
        <row r="1744">
          <cell r="A1744">
            <v>0</v>
          </cell>
        </row>
        <row r="1745">
          <cell r="A1745">
            <v>0</v>
          </cell>
        </row>
        <row r="1746">
          <cell r="A1746">
            <v>0</v>
          </cell>
        </row>
        <row r="1747">
          <cell r="A1747">
            <v>0</v>
          </cell>
        </row>
        <row r="1748">
          <cell r="A1748">
            <v>0</v>
          </cell>
        </row>
        <row r="1749">
          <cell r="A1749">
            <v>0</v>
          </cell>
        </row>
        <row r="1750">
          <cell r="A1750">
            <v>0</v>
          </cell>
        </row>
        <row r="1751">
          <cell r="A1751">
            <v>0</v>
          </cell>
        </row>
        <row r="1752">
          <cell r="A1752">
            <v>0</v>
          </cell>
        </row>
        <row r="1753">
          <cell r="A1753">
            <v>0</v>
          </cell>
        </row>
        <row r="1754">
          <cell r="A1754">
            <v>0</v>
          </cell>
        </row>
        <row r="1755">
          <cell r="A1755">
            <v>0</v>
          </cell>
        </row>
        <row r="1756">
          <cell r="A1756">
            <v>0</v>
          </cell>
        </row>
        <row r="1757">
          <cell r="A1757">
            <v>0</v>
          </cell>
        </row>
        <row r="1758">
          <cell r="A1758">
            <v>0</v>
          </cell>
        </row>
        <row r="1759">
          <cell r="A1759">
            <v>0</v>
          </cell>
        </row>
        <row r="1760">
          <cell r="A1760">
            <v>0</v>
          </cell>
        </row>
        <row r="1761">
          <cell r="A1761">
            <v>0</v>
          </cell>
        </row>
        <row r="1762">
          <cell r="A1762">
            <v>0</v>
          </cell>
        </row>
        <row r="1763">
          <cell r="A1763">
            <v>0</v>
          </cell>
        </row>
        <row r="1764">
          <cell r="A1764">
            <v>0</v>
          </cell>
        </row>
        <row r="1765">
          <cell r="A1765">
            <v>0</v>
          </cell>
        </row>
        <row r="1766">
          <cell r="A1766">
            <v>0</v>
          </cell>
        </row>
        <row r="1767">
          <cell r="A1767">
            <v>0</v>
          </cell>
        </row>
        <row r="1768">
          <cell r="A1768">
            <v>0</v>
          </cell>
        </row>
        <row r="1769">
          <cell r="A1769">
            <v>0</v>
          </cell>
        </row>
        <row r="1770">
          <cell r="A1770">
            <v>0</v>
          </cell>
        </row>
        <row r="1771">
          <cell r="A1771">
            <v>0</v>
          </cell>
        </row>
        <row r="1772">
          <cell r="A1772">
            <v>0</v>
          </cell>
        </row>
        <row r="1773">
          <cell r="A1773">
            <v>0</v>
          </cell>
        </row>
        <row r="1774">
          <cell r="A1774">
            <v>0</v>
          </cell>
        </row>
        <row r="1775">
          <cell r="A1775">
            <v>0</v>
          </cell>
        </row>
        <row r="1776">
          <cell r="A1776">
            <v>0</v>
          </cell>
        </row>
        <row r="1777">
          <cell r="A1777">
            <v>0</v>
          </cell>
        </row>
        <row r="1778">
          <cell r="A1778">
            <v>0</v>
          </cell>
        </row>
        <row r="1779">
          <cell r="A1779">
            <v>0</v>
          </cell>
        </row>
        <row r="1780">
          <cell r="A1780">
            <v>0</v>
          </cell>
        </row>
        <row r="1781">
          <cell r="A1781">
            <v>0</v>
          </cell>
        </row>
        <row r="1782">
          <cell r="A1782">
            <v>0</v>
          </cell>
        </row>
        <row r="1783">
          <cell r="A1783">
            <v>0</v>
          </cell>
        </row>
        <row r="1784">
          <cell r="A1784">
            <v>0</v>
          </cell>
        </row>
        <row r="1785">
          <cell r="A1785">
            <v>0</v>
          </cell>
        </row>
        <row r="1786">
          <cell r="A1786">
            <v>0</v>
          </cell>
        </row>
        <row r="1787">
          <cell r="A1787">
            <v>0</v>
          </cell>
        </row>
        <row r="1788">
          <cell r="A1788">
            <v>0</v>
          </cell>
        </row>
        <row r="1789">
          <cell r="A1789">
            <v>0</v>
          </cell>
        </row>
        <row r="1790">
          <cell r="A1790">
            <v>0</v>
          </cell>
        </row>
        <row r="1791">
          <cell r="A1791">
            <v>0</v>
          </cell>
        </row>
        <row r="1792">
          <cell r="A1792">
            <v>0</v>
          </cell>
        </row>
        <row r="1793">
          <cell r="A1793">
            <v>0</v>
          </cell>
        </row>
        <row r="1794">
          <cell r="A1794">
            <v>0</v>
          </cell>
        </row>
        <row r="1795">
          <cell r="A1795">
            <v>0</v>
          </cell>
        </row>
        <row r="1796">
          <cell r="A1796">
            <v>0</v>
          </cell>
        </row>
        <row r="1797">
          <cell r="A1797">
            <v>0</v>
          </cell>
        </row>
        <row r="1798">
          <cell r="A1798">
            <v>0</v>
          </cell>
        </row>
        <row r="1799">
          <cell r="A1799">
            <v>0</v>
          </cell>
        </row>
        <row r="1800">
          <cell r="A1800">
            <v>0</v>
          </cell>
        </row>
        <row r="1801">
          <cell r="A1801">
            <v>0</v>
          </cell>
        </row>
        <row r="1802">
          <cell r="A1802">
            <v>0</v>
          </cell>
        </row>
        <row r="1803">
          <cell r="A1803">
            <v>0</v>
          </cell>
        </row>
        <row r="1804">
          <cell r="A1804">
            <v>0</v>
          </cell>
        </row>
        <row r="1805">
          <cell r="A1805">
            <v>0</v>
          </cell>
        </row>
        <row r="1806">
          <cell r="A1806">
            <v>0</v>
          </cell>
        </row>
        <row r="1807">
          <cell r="A1807">
            <v>0</v>
          </cell>
        </row>
        <row r="1808">
          <cell r="A1808">
            <v>0</v>
          </cell>
        </row>
        <row r="1809">
          <cell r="A1809">
            <v>0</v>
          </cell>
        </row>
        <row r="1810">
          <cell r="A1810">
            <v>0</v>
          </cell>
        </row>
        <row r="1811">
          <cell r="A1811">
            <v>0</v>
          </cell>
        </row>
        <row r="1812">
          <cell r="A1812">
            <v>0</v>
          </cell>
        </row>
        <row r="1813">
          <cell r="A1813">
            <v>0</v>
          </cell>
        </row>
        <row r="1814">
          <cell r="A1814">
            <v>0</v>
          </cell>
        </row>
        <row r="1815">
          <cell r="A1815">
            <v>0</v>
          </cell>
        </row>
        <row r="1816">
          <cell r="A1816">
            <v>0</v>
          </cell>
        </row>
        <row r="1817">
          <cell r="A1817">
            <v>0</v>
          </cell>
        </row>
        <row r="1818">
          <cell r="A1818">
            <v>0</v>
          </cell>
        </row>
        <row r="1819">
          <cell r="A1819">
            <v>0</v>
          </cell>
        </row>
        <row r="1820">
          <cell r="A1820">
            <v>0</v>
          </cell>
        </row>
        <row r="1821">
          <cell r="A1821">
            <v>0</v>
          </cell>
        </row>
        <row r="1822">
          <cell r="A1822">
            <v>0</v>
          </cell>
        </row>
        <row r="1823">
          <cell r="A1823">
            <v>0</v>
          </cell>
        </row>
        <row r="1824">
          <cell r="A1824">
            <v>0</v>
          </cell>
        </row>
        <row r="1825">
          <cell r="A1825">
            <v>0</v>
          </cell>
        </row>
        <row r="1826">
          <cell r="A1826">
            <v>0</v>
          </cell>
        </row>
        <row r="1827">
          <cell r="A1827">
            <v>0</v>
          </cell>
        </row>
        <row r="1828">
          <cell r="A1828">
            <v>0</v>
          </cell>
        </row>
        <row r="1829">
          <cell r="A1829">
            <v>0</v>
          </cell>
        </row>
        <row r="1830">
          <cell r="A1830">
            <v>0</v>
          </cell>
        </row>
        <row r="1831">
          <cell r="A1831">
            <v>0</v>
          </cell>
        </row>
        <row r="1832">
          <cell r="A1832">
            <v>0</v>
          </cell>
        </row>
        <row r="1833">
          <cell r="A1833">
            <v>0</v>
          </cell>
        </row>
        <row r="1834">
          <cell r="A1834">
            <v>0</v>
          </cell>
        </row>
        <row r="1835">
          <cell r="A1835">
            <v>0</v>
          </cell>
        </row>
        <row r="1836">
          <cell r="A1836">
            <v>0</v>
          </cell>
        </row>
        <row r="1837">
          <cell r="A1837">
            <v>0</v>
          </cell>
        </row>
        <row r="1838">
          <cell r="A1838">
            <v>0</v>
          </cell>
        </row>
        <row r="1839">
          <cell r="A1839">
            <v>0</v>
          </cell>
        </row>
        <row r="1840">
          <cell r="A1840">
            <v>0</v>
          </cell>
        </row>
        <row r="1841">
          <cell r="A1841">
            <v>0</v>
          </cell>
        </row>
        <row r="1842">
          <cell r="A1842">
            <v>0</v>
          </cell>
        </row>
        <row r="1843">
          <cell r="A1843">
            <v>0</v>
          </cell>
        </row>
        <row r="1844">
          <cell r="A1844">
            <v>0</v>
          </cell>
        </row>
        <row r="1845">
          <cell r="A1845">
            <v>0</v>
          </cell>
        </row>
        <row r="1846">
          <cell r="A1846">
            <v>0</v>
          </cell>
        </row>
        <row r="1847">
          <cell r="A1847">
            <v>0</v>
          </cell>
        </row>
        <row r="1848">
          <cell r="A1848">
            <v>0</v>
          </cell>
        </row>
        <row r="1849">
          <cell r="A1849">
            <v>0</v>
          </cell>
        </row>
        <row r="1850">
          <cell r="A1850">
            <v>0</v>
          </cell>
        </row>
        <row r="1851">
          <cell r="A1851">
            <v>0</v>
          </cell>
        </row>
        <row r="1852">
          <cell r="A1852">
            <v>0</v>
          </cell>
        </row>
        <row r="1853">
          <cell r="A1853">
            <v>0</v>
          </cell>
        </row>
        <row r="1854">
          <cell r="A1854">
            <v>0</v>
          </cell>
        </row>
        <row r="1855">
          <cell r="A1855">
            <v>0</v>
          </cell>
        </row>
        <row r="1856">
          <cell r="A1856">
            <v>0</v>
          </cell>
        </row>
        <row r="1857">
          <cell r="A1857">
            <v>0</v>
          </cell>
        </row>
        <row r="1858">
          <cell r="A1858">
            <v>0</v>
          </cell>
        </row>
        <row r="1859">
          <cell r="A1859">
            <v>0</v>
          </cell>
        </row>
        <row r="1860">
          <cell r="A1860">
            <v>0</v>
          </cell>
        </row>
        <row r="1861">
          <cell r="A1861">
            <v>0</v>
          </cell>
        </row>
        <row r="1862">
          <cell r="A1862">
            <v>0</v>
          </cell>
        </row>
        <row r="1863">
          <cell r="A1863">
            <v>0</v>
          </cell>
        </row>
        <row r="1864">
          <cell r="A1864">
            <v>0</v>
          </cell>
        </row>
        <row r="1865">
          <cell r="A1865">
            <v>0</v>
          </cell>
        </row>
        <row r="1866">
          <cell r="A1866">
            <v>0</v>
          </cell>
        </row>
        <row r="1867">
          <cell r="A1867">
            <v>0</v>
          </cell>
        </row>
        <row r="1868">
          <cell r="A1868">
            <v>0</v>
          </cell>
        </row>
        <row r="1869">
          <cell r="A1869">
            <v>0</v>
          </cell>
        </row>
        <row r="1870">
          <cell r="A1870">
            <v>0</v>
          </cell>
        </row>
        <row r="1871">
          <cell r="A1871">
            <v>0</v>
          </cell>
        </row>
        <row r="1872">
          <cell r="A1872">
            <v>0</v>
          </cell>
        </row>
        <row r="1873">
          <cell r="A1873">
            <v>0</v>
          </cell>
        </row>
        <row r="1874">
          <cell r="A1874">
            <v>0</v>
          </cell>
        </row>
        <row r="1875">
          <cell r="A1875">
            <v>0</v>
          </cell>
        </row>
        <row r="1876">
          <cell r="A1876">
            <v>0</v>
          </cell>
        </row>
        <row r="1877">
          <cell r="A1877">
            <v>0</v>
          </cell>
        </row>
        <row r="1878">
          <cell r="A1878">
            <v>0</v>
          </cell>
        </row>
        <row r="1879">
          <cell r="A1879">
            <v>0</v>
          </cell>
        </row>
        <row r="1880">
          <cell r="A1880">
            <v>0</v>
          </cell>
        </row>
        <row r="1881">
          <cell r="A1881">
            <v>0</v>
          </cell>
        </row>
        <row r="1882">
          <cell r="A1882">
            <v>0</v>
          </cell>
        </row>
        <row r="1883">
          <cell r="A1883">
            <v>0</v>
          </cell>
        </row>
        <row r="1884">
          <cell r="A1884">
            <v>0</v>
          </cell>
        </row>
        <row r="1885">
          <cell r="A1885">
            <v>0</v>
          </cell>
        </row>
        <row r="1886">
          <cell r="A1886">
            <v>0</v>
          </cell>
        </row>
        <row r="1887">
          <cell r="A1887">
            <v>0</v>
          </cell>
        </row>
        <row r="1888">
          <cell r="A1888">
            <v>0</v>
          </cell>
        </row>
        <row r="1889">
          <cell r="A1889">
            <v>0</v>
          </cell>
        </row>
        <row r="1890">
          <cell r="A1890">
            <v>0</v>
          </cell>
        </row>
        <row r="1891">
          <cell r="A1891">
            <v>0</v>
          </cell>
        </row>
        <row r="1892">
          <cell r="A1892">
            <v>0</v>
          </cell>
        </row>
        <row r="1893">
          <cell r="A1893">
            <v>0</v>
          </cell>
        </row>
        <row r="1894">
          <cell r="A1894">
            <v>0</v>
          </cell>
        </row>
        <row r="1895">
          <cell r="A1895">
            <v>0</v>
          </cell>
        </row>
        <row r="1896">
          <cell r="A1896">
            <v>0</v>
          </cell>
        </row>
        <row r="1897">
          <cell r="A1897">
            <v>0</v>
          </cell>
        </row>
        <row r="1898">
          <cell r="A1898">
            <v>0</v>
          </cell>
        </row>
        <row r="1899">
          <cell r="A1899">
            <v>0</v>
          </cell>
        </row>
        <row r="1900">
          <cell r="A1900">
            <v>0</v>
          </cell>
        </row>
        <row r="1901">
          <cell r="A1901">
            <v>0</v>
          </cell>
        </row>
        <row r="1902">
          <cell r="A1902">
            <v>0</v>
          </cell>
        </row>
        <row r="1903">
          <cell r="A1903">
            <v>0</v>
          </cell>
        </row>
        <row r="1904">
          <cell r="A1904">
            <v>0</v>
          </cell>
        </row>
        <row r="1905">
          <cell r="A1905">
            <v>0</v>
          </cell>
        </row>
        <row r="1906">
          <cell r="A1906">
            <v>0</v>
          </cell>
        </row>
        <row r="1907">
          <cell r="A1907">
            <v>0</v>
          </cell>
        </row>
        <row r="1908">
          <cell r="A1908">
            <v>0</v>
          </cell>
        </row>
        <row r="1909">
          <cell r="A1909">
            <v>0</v>
          </cell>
        </row>
        <row r="1910">
          <cell r="A1910">
            <v>0</v>
          </cell>
        </row>
        <row r="1911">
          <cell r="A1911">
            <v>0</v>
          </cell>
        </row>
        <row r="1912">
          <cell r="A1912">
            <v>0</v>
          </cell>
        </row>
        <row r="1913">
          <cell r="A1913">
            <v>0</v>
          </cell>
        </row>
        <row r="1914">
          <cell r="A1914">
            <v>0</v>
          </cell>
        </row>
        <row r="1915">
          <cell r="A1915">
            <v>0</v>
          </cell>
        </row>
        <row r="1916">
          <cell r="A1916">
            <v>0</v>
          </cell>
        </row>
        <row r="1917">
          <cell r="A1917">
            <v>0</v>
          </cell>
        </row>
        <row r="1918">
          <cell r="A1918">
            <v>0</v>
          </cell>
        </row>
        <row r="1919">
          <cell r="A1919">
            <v>0</v>
          </cell>
        </row>
        <row r="1920">
          <cell r="A1920">
            <v>0</v>
          </cell>
        </row>
        <row r="1921">
          <cell r="A1921">
            <v>0</v>
          </cell>
        </row>
        <row r="1922">
          <cell r="A1922">
            <v>0</v>
          </cell>
        </row>
        <row r="1923">
          <cell r="A1923">
            <v>0</v>
          </cell>
        </row>
        <row r="1924">
          <cell r="A1924">
            <v>0</v>
          </cell>
        </row>
        <row r="1925">
          <cell r="A1925">
            <v>0</v>
          </cell>
        </row>
        <row r="1926">
          <cell r="A1926">
            <v>0</v>
          </cell>
        </row>
        <row r="1927">
          <cell r="A1927">
            <v>0</v>
          </cell>
        </row>
        <row r="1928">
          <cell r="A1928">
            <v>0</v>
          </cell>
        </row>
        <row r="1929">
          <cell r="A1929">
            <v>0</v>
          </cell>
        </row>
        <row r="1930">
          <cell r="A1930">
            <v>0</v>
          </cell>
        </row>
        <row r="1931">
          <cell r="A1931">
            <v>0</v>
          </cell>
        </row>
        <row r="1932">
          <cell r="A1932">
            <v>0</v>
          </cell>
        </row>
        <row r="1933">
          <cell r="A1933">
            <v>0</v>
          </cell>
        </row>
        <row r="1934">
          <cell r="A1934">
            <v>0</v>
          </cell>
        </row>
        <row r="1935">
          <cell r="A1935">
            <v>0</v>
          </cell>
        </row>
        <row r="1936">
          <cell r="A1936">
            <v>0</v>
          </cell>
        </row>
        <row r="1937">
          <cell r="A1937">
            <v>0</v>
          </cell>
        </row>
        <row r="1938">
          <cell r="A1938">
            <v>0</v>
          </cell>
        </row>
        <row r="1939">
          <cell r="A1939">
            <v>0</v>
          </cell>
        </row>
        <row r="1940">
          <cell r="A1940">
            <v>0</v>
          </cell>
        </row>
        <row r="1941">
          <cell r="A1941">
            <v>0</v>
          </cell>
        </row>
        <row r="1942">
          <cell r="A1942">
            <v>0</v>
          </cell>
        </row>
        <row r="1943">
          <cell r="A1943">
            <v>0</v>
          </cell>
        </row>
        <row r="1944">
          <cell r="A1944">
            <v>0</v>
          </cell>
        </row>
        <row r="1945">
          <cell r="A1945">
            <v>0</v>
          </cell>
        </row>
        <row r="1946">
          <cell r="A1946">
            <v>0</v>
          </cell>
        </row>
        <row r="1947">
          <cell r="A1947">
            <v>0</v>
          </cell>
        </row>
        <row r="1948">
          <cell r="A1948">
            <v>0</v>
          </cell>
        </row>
        <row r="1949">
          <cell r="A1949">
            <v>0</v>
          </cell>
        </row>
        <row r="1950">
          <cell r="A1950">
            <v>0</v>
          </cell>
        </row>
        <row r="1951">
          <cell r="A1951">
            <v>0</v>
          </cell>
        </row>
        <row r="1952">
          <cell r="A1952">
            <v>0</v>
          </cell>
        </row>
        <row r="1953">
          <cell r="A1953">
            <v>0</v>
          </cell>
        </row>
        <row r="1954">
          <cell r="A1954">
            <v>0</v>
          </cell>
        </row>
        <row r="1955">
          <cell r="A1955">
            <v>0</v>
          </cell>
        </row>
        <row r="1956">
          <cell r="A1956">
            <v>0</v>
          </cell>
        </row>
        <row r="1957">
          <cell r="A1957">
            <v>0</v>
          </cell>
        </row>
        <row r="1958">
          <cell r="A1958">
            <v>0</v>
          </cell>
        </row>
        <row r="1959">
          <cell r="A1959">
            <v>0</v>
          </cell>
        </row>
        <row r="1960">
          <cell r="A1960">
            <v>0</v>
          </cell>
        </row>
        <row r="1961">
          <cell r="A1961">
            <v>0</v>
          </cell>
        </row>
        <row r="1962">
          <cell r="A1962">
            <v>0</v>
          </cell>
        </row>
        <row r="1963">
          <cell r="A1963">
            <v>0</v>
          </cell>
        </row>
        <row r="1964">
          <cell r="A1964">
            <v>0</v>
          </cell>
        </row>
        <row r="1965">
          <cell r="A1965">
            <v>0</v>
          </cell>
        </row>
        <row r="1966">
          <cell r="A1966">
            <v>0</v>
          </cell>
        </row>
        <row r="1967">
          <cell r="A1967">
            <v>0</v>
          </cell>
        </row>
        <row r="1968">
          <cell r="A1968">
            <v>0</v>
          </cell>
        </row>
        <row r="1969">
          <cell r="A1969">
            <v>0</v>
          </cell>
        </row>
        <row r="1970">
          <cell r="A1970">
            <v>0</v>
          </cell>
        </row>
        <row r="1971">
          <cell r="A1971">
            <v>0</v>
          </cell>
        </row>
        <row r="1972">
          <cell r="A1972">
            <v>0</v>
          </cell>
        </row>
        <row r="1973">
          <cell r="A1973">
            <v>0</v>
          </cell>
        </row>
        <row r="1974">
          <cell r="A1974">
            <v>0</v>
          </cell>
        </row>
        <row r="1975">
          <cell r="A1975">
            <v>0</v>
          </cell>
        </row>
        <row r="1976">
          <cell r="A1976">
            <v>0</v>
          </cell>
        </row>
        <row r="1977">
          <cell r="A1977">
            <v>0</v>
          </cell>
        </row>
        <row r="1978">
          <cell r="A1978">
            <v>0</v>
          </cell>
        </row>
        <row r="1979">
          <cell r="A1979">
            <v>0</v>
          </cell>
        </row>
        <row r="1980">
          <cell r="A1980">
            <v>0</v>
          </cell>
        </row>
        <row r="1981">
          <cell r="A1981">
            <v>0</v>
          </cell>
        </row>
        <row r="1982">
          <cell r="A1982">
            <v>0</v>
          </cell>
        </row>
        <row r="1983">
          <cell r="A1983">
            <v>0</v>
          </cell>
        </row>
        <row r="1984">
          <cell r="A1984">
            <v>0</v>
          </cell>
        </row>
        <row r="1985">
          <cell r="A1985">
            <v>0</v>
          </cell>
        </row>
        <row r="1986">
          <cell r="A1986">
            <v>0</v>
          </cell>
        </row>
        <row r="1987">
          <cell r="A1987">
            <v>0</v>
          </cell>
        </row>
        <row r="1988">
          <cell r="A1988">
            <v>0</v>
          </cell>
        </row>
        <row r="1989">
          <cell r="A1989">
            <v>0</v>
          </cell>
        </row>
        <row r="1990">
          <cell r="A1990">
            <v>0</v>
          </cell>
        </row>
        <row r="1991">
          <cell r="A1991">
            <v>0</v>
          </cell>
        </row>
        <row r="1992">
          <cell r="A1992">
            <v>0</v>
          </cell>
        </row>
        <row r="1993">
          <cell r="A1993">
            <v>0</v>
          </cell>
        </row>
        <row r="1994">
          <cell r="A1994">
            <v>0</v>
          </cell>
        </row>
        <row r="1995">
          <cell r="A1995">
            <v>0</v>
          </cell>
        </row>
        <row r="1996">
          <cell r="A1996">
            <v>0</v>
          </cell>
        </row>
        <row r="1997">
          <cell r="A1997">
            <v>0</v>
          </cell>
        </row>
        <row r="1998">
          <cell r="A1998">
            <v>0</v>
          </cell>
        </row>
        <row r="1999">
          <cell r="A1999">
            <v>0</v>
          </cell>
        </row>
        <row r="2000">
          <cell r="A2000">
            <v>0</v>
          </cell>
        </row>
        <row r="2001">
          <cell r="A2001">
            <v>0</v>
          </cell>
        </row>
        <row r="2002">
          <cell r="A2002">
            <v>0</v>
          </cell>
        </row>
        <row r="2003">
          <cell r="A2003">
            <v>0</v>
          </cell>
        </row>
        <row r="2004">
          <cell r="A2004">
            <v>0</v>
          </cell>
        </row>
        <row r="2005">
          <cell r="A2005">
            <v>0</v>
          </cell>
        </row>
        <row r="2006">
          <cell r="A2006">
            <v>0</v>
          </cell>
        </row>
        <row r="2007">
          <cell r="A2007">
            <v>0</v>
          </cell>
        </row>
        <row r="2008">
          <cell r="A2008">
            <v>0</v>
          </cell>
        </row>
        <row r="2009">
          <cell r="A2009">
            <v>0</v>
          </cell>
        </row>
        <row r="2010">
          <cell r="A2010">
            <v>0</v>
          </cell>
        </row>
        <row r="2011">
          <cell r="A2011">
            <v>0</v>
          </cell>
        </row>
        <row r="2012">
          <cell r="A2012">
            <v>0</v>
          </cell>
        </row>
        <row r="2013">
          <cell r="A2013">
            <v>0</v>
          </cell>
        </row>
        <row r="2014">
          <cell r="A2014">
            <v>0</v>
          </cell>
        </row>
        <row r="2015">
          <cell r="A2015">
            <v>0</v>
          </cell>
        </row>
        <row r="2016">
          <cell r="A2016">
            <v>0</v>
          </cell>
        </row>
        <row r="2017">
          <cell r="A2017">
            <v>0</v>
          </cell>
        </row>
        <row r="2018">
          <cell r="A2018">
            <v>0</v>
          </cell>
        </row>
        <row r="2019">
          <cell r="A2019">
            <v>0</v>
          </cell>
        </row>
        <row r="2020">
          <cell r="A2020">
            <v>0</v>
          </cell>
        </row>
        <row r="2021">
          <cell r="A2021">
            <v>0</v>
          </cell>
        </row>
        <row r="2022">
          <cell r="A2022">
            <v>0</v>
          </cell>
        </row>
        <row r="2023">
          <cell r="A2023">
            <v>0</v>
          </cell>
        </row>
        <row r="2024">
          <cell r="A2024">
            <v>0</v>
          </cell>
        </row>
        <row r="2025">
          <cell r="A2025">
            <v>0</v>
          </cell>
        </row>
        <row r="2026">
          <cell r="A2026">
            <v>0</v>
          </cell>
        </row>
        <row r="2027">
          <cell r="A2027">
            <v>0</v>
          </cell>
        </row>
        <row r="2028">
          <cell r="A2028">
            <v>0</v>
          </cell>
        </row>
        <row r="2029">
          <cell r="A2029">
            <v>0</v>
          </cell>
        </row>
        <row r="2030">
          <cell r="A2030">
            <v>0</v>
          </cell>
        </row>
        <row r="2031">
          <cell r="A2031">
            <v>0</v>
          </cell>
        </row>
        <row r="2032">
          <cell r="A2032">
            <v>0</v>
          </cell>
        </row>
        <row r="2033">
          <cell r="A2033">
            <v>0</v>
          </cell>
        </row>
        <row r="2034">
          <cell r="A2034">
            <v>0</v>
          </cell>
        </row>
        <row r="2035">
          <cell r="A2035">
            <v>0</v>
          </cell>
        </row>
        <row r="2036">
          <cell r="A2036">
            <v>0</v>
          </cell>
        </row>
        <row r="2037">
          <cell r="A2037">
            <v>0</v>
          </cell>
        </row>
        <row r="2038">
          <cell r="A2038">
            <v>0</v>
          </cell>
        </row>
        <row r="2039">
          <cell r="A2039">
            <v>0</v>
          </cell>
        </row>
        <row r="2040">
          <cell r="A2040">
            <v>0</v>
          </cell>
        </row>
        <row r="2041">
          <cell r="A2041">
            <v>0</v>
          </cell>
        </row>
        <row r="2042">
          <cell r="A2042">
            <v>0</v>
          </cell>
        </row>
        <row r="2043">
          <cell r="A2043">
            <v>0</v>
          </cell>
        </row>
        <row r="2044">
          <cell r="A2044">
            <v>0</v>
          </cell>
        </row>
        <row r="2045">
          <cell r="A2045">
            <v>0</v>
          </cell>
        </row>
        <row r="2046">
          <cell r="A2046">
            <v>0</v>
          </cell>
        </row>
        <row r="2047">
          <cell r="A2047">
            <v>0</v>
          </cell>
        </row>
        <row r="2048">
          <cell r="A2048">
            <v>0</v>
          </cell>
        </row>
        <row r="2049">
          <cell r="A2049">
            <v>0</v>
          </cell>
        </row>
        <row r="2050">
          <cell r="A2050">
            <v>0</v>
          </cell>
        </row>
        <row r="2051">
          <cell r="A2051">
            <v>0</v>
          </cell>
        </row>
        <row r="2052">
          <cell r="A2052">
            <v>0</v>
          </cell>
        </row>
        <row r="2053">
          <cell r="A2053">
            <v>0</v>
          </cell>
        </row>
        <row r="2054">
          <cell r="A2054">
            <v>0</v>
          </cell>
        </row>
        <row r="2055">
          <cell r="A2055">
            <v>0</v>
          </cell>
        </row>
        <row r="2056">
          <cell r="A2056">
            <v>0</v>
          </cell>
        </row>
        <row r="2057">
          <cell r="A2057">
            <v>0</v>
          </cell>
        </row>
        <row r="2058">
          <cell r="A2058">
            <v>0</v>
          </cell>
        </row>
        <row r="2059">
          <cell r="A2059">
            <v>0</v>
          </cell>
        </row>
        <row r="2060">
          <cell r="A2060">
            <v>0</v>
          </cell>
        </row>
        <row r="2061">
          <cell r="A2061">
            <v>0</v>
          </cell>
        </row>
        <row r="2062">
          <cell r="A2062">
            <v>0</v>
          </cell>
        </row>
        <row r="2063">
          <cell r="A2063">
            <v>0</v>
          </cell>
        </row>
        <row r="2064">
          <cell r="A2064">
            <v>0</v>
          </cell>
        </row>
        <row r="2065">
          <cell r="A2065">
            <v>0</v>
          </cell>
        </row>
        <row r="2066">
          <cell r="A2066">
            <v>0</v>
          </cell>
        </row>
        <row r="2067">
          <cell r="A2067">
            <v>0</v>
          </cell>
        </row>
        <row r="2068">
          <cell r="A2068">
            <v>0</v>
          </cell>
        </row>
        <row r="2069">
          <cell r="A2069">
            <v>0</v>
          </cell>
        </row>
        <row r="2070">
          <cell r="A2070">
            <v>0</v>
          </cell>
        </row>
        <row r="2071">
          <cell r="A2071">
            <v>0</v>
          </cell>
        </row>
        <row r="2072">
          <cell r="A2072">
            <v>0</v>
          </cell>
        </row>
        <row r="2073">
          <cell r="A2073">
            <v>0</v>
          </cell>
        </row>
        <row r="2074">
          <cell r="A2074">
            <v>0</v>
          </cell>
        </row>
        <row r="2075">
          <cell r="A2075">
            <v>0</v>
          </cell>
        </row>
        <row r="2076">
          <cell r="A2076">
            <v>0</v>
          </cell>
        </row>
        <row r="2077">
          <cell r="A2077">
            <v>0</v>
          </cell>
        </row>
        <row r="2078">
          <cell r="A2078">
            <v>0</v>
          </cell>
        </row>
        <row r="2079">
          <cell r="A2079">
            <v>0</v>
          </cell>
        </row>
        <row r="2080">
          <cell r="A2080">
            <v>0</v>
          </cell>
        </row>
        <row r="2081">
          <cell r="A2081">
            <v>0</v>
          </cell>
        </row>
        <row r="2082">
          <cell r="A2082">
            <v>0</v>
          </cell>
        </row>
        <row r="2083">
          <cell r="A2083">
            <v>0</v>
          </cell>
        </row>
        <row r="2084">
          <cell r="A2084">
            <v>0</v>
          </cell>
        </row>
        <row r="2085">
          <cell r="A2085">
            <v>0</v>
          </cell>
        </row>
        <row r="2086">
          <cell r="A2086">
            <v>0</v>
          </cell>
        </row>
        <row r="2087">
          <cell r="A2087">
            <v>0</v>
          </cell>
        </row>
        <row r="2088">
          <cell r="A2088">
            <v>0</v>
          </cell>
        </row>
        <row r="2089">
          <cell r="A2089">
            <v>0</v>
          </cell>
        </row>
        <row r="2090">
          <cell r="A2090">
            <v>0</v>
          </cell>
        </row>
        <row r="2091">
          <cell r="A2091">
            <v>0</v>
          </cell>
        </row>
        <row r="2092">
          <cell r="A2092">
            <v>0</v>
          </cell>
        </row>
        <row r="2093">
          <cell r="A2093">
            <v>0</v>
          </cell>
        </row>
        <row r="2094">
          <cell r="A2094">
            <v>0</v>
          </cell>
        </row>
        <row r="2095">
          <cell r="A2095">
            <v>0</v>
          </cell>
        </row>
        <row r="2096">
          <cell r="A2096">
            <v>0</v>
          </cell>
        </row>
        <row r="2097">
          <cell r="A2097">
            <v>0</v>
          </cell>
        </row>
        <row r="2098">
          <cell r="A2098">
            <v>0</v>
          </cell>
        </row>
        <row r="2099">
          <cell r="A2099">
            <v>0</v>
          </cell>
        </row>
        <row r="2100">
          <cell r="A2100">
            <v>0</v>
          </cell>
        </row>
        <row r="2101">
          <cell r="A2101">
            <v>0</v>
          </cell>
        </row>
        <row r="2102">
          <cell r="A2102">
            <v>0</v>
          </cell>
        </row>
        <row r="2103">
          <cell r="A2103">
            <v>0</v>
          </cell>
        </row>
        <row r="2104">
          <cell r="A2104">
            <v>0</v>
          </cell>
        </row>
        <row r="2105">
          <cell r="A2105">
            <v>0</v>
          </cell>
        </row>
        <row r="2106">
          <cell r="A2106">
            <v>0</v>
          </cell>
        </row>
        <row r="2107">
          <cell r="A2107">
            <v>0</v>
          </cell>
        </row>
        <row r="2108">
          <cell r="A2108">
            <v>0</v>
          </cell>
        </row>
        <row r="2109">
          <cell r="A2109">
            <v>0</v>
          </cell>
        </row>
        <row r="2110">
          <cell r="A2110">
            <v>0</v>
          </cell>
        </row>
        <row r="2111">
          <cell r="A2111">
            <v>0</v>
          </cell>
        </row>
        <row r="2112">
          <cell r="A2112">
            <v>0</v>
          </cell>
        </row>
        <row r="2113">
          <cell r="A2113">
            <v>0</v>
          </cell>
        </row>
        <row r="2114">
          <cell r="A2114">
            <v>0</v>
          </cell>
        </row>
        <row r="2115">
          <cell r="A2115">
            <v>0</v>
          </cell>
        </row>
        <row r="2116">
          <cell r="A2116">
            <v>0</v>
          </cell>
        </row>
        <row r="2117">
          <cell r="A2117">
            <v>0</v>
          </cell>
        </row>
        <row r="2118">
          <cell r="A2118">
            <v>0</v>
          </cell>
        </row>
        <row r="2119">
          <cell r="A2119">
            <v>0</v>
          </cell>
        </row>
        <row r="2120">
          <cell r="A2120">
            <v>0</v>
          </cell>
        </row>
        <row r="2121">
          <cell r="A2121">
            <v>0</v>
          </cell>
        </row>
        <row r="2122">
          <cell r="A2122">
            <v>0</v>
          </cell>
        </row>
        <row r="2123">
          <cell r="A2123">
            <v>0</v>
          </cell>
        </row>
        <row r="2124">
          <cell r="A2124">
            <v>0</v>
          </cell>
        </row>
        <row r="2125">
          <cell r="A2125">
            <v>0</v>
          </cell>
        </row>
        <row r="2126">
          <cell r="A2126">
            <v>0</v>
          </cell>
        </row>
        <row r="2127">
          <cell r="A2127">
            <v>0</v>
          </cell>
        </row>
        <row r="2128">
          <cell r="A2128">
            <v>0</v>
          </cell>
        </row>
        <row r="2129">
          <cell r="A2129">
            <v>0</v>
          </cell>
        </row>
        <row r="2130">
          <cell r="A2130">
            <v>0</v>
          </cell>
        </row>
        <row r="2131">
          <cell r="A2131">
            <v>0</v>
          </cell>
        </row>
        <row r="2132">
          <cell r="A2132">
            <v>0</v>
          </cell>
        </row>
        <row r="2133">
          <cell r="A2133">
            <v>0</v>
          </cell>
        </row>
        <row r="2134">
          <cell r="A2134">
            <v>0</v>
          </cell>
        </row>
        <row r="2135">
          <cell r="A2135">
            <v>0</v>
          </cell>
        </row>
        <row r="2136">
          <cell r="A2136">
            <v>0</v>
          </cell>
        </row>
        <row r="2137">
          <cell r="A2137">
            <v>0</v>
          </cell>
        </row>
        <row r="2138">
          <cell r="A2138">
            <v>0</v>
          </cell>
        </row>
        <row r="2139">
          <cell r="A2139">
            <v>0</v>
          </cell>
        </row>
        <row r="2140">
          <cell r="A2140">
            <v>0</v>
          </cell>
        </row>
        <row r="2141">
          <cell r="A2141">
            <v>0</v>
          </cell>
        </row>
        <row r="2142">
          <cell r="A2142">
            <v>0</v>
          </cell>
        </row>
        <row r="2143">
          <cell r="A2143">
            <v>0</v>
          </cell>
        </row>
        <row r="2144">
          <cell r="A2144">
            <v>0</v>
          </cell>
        </row>
        <row r="2145">
          <cell r="A2145">
            <v>0</v>
          </cell>
        </row>
        <row r="2146">
          <cell r="A2146">
            <v>0</v>
          </cell>
        </row>
        <row r="2147">
          <cell r="A2147">
            <v>0</v>
          </cell>
        </row>
        <row r="2148">
          <cell r="A2148">
            <v>0</v>
          </cell>
        </row>
        <row r="2149">
          <cell r="A2149">
            <v>0</v>
          </cell>
        </row>
        <row r="2150">
          <cell r="A2150">
            <v>0</v>
          </cell>
        </row>
        <row r="2151">
          <cell r="A2151">
            <v>0</v>
          </cell>
        </row>
        <row r="2152">
          <cell r="A2152">
            <v>0</v>
          </cell>
        </row>
        <row r="2153">
          <cell r="A2153">
            <v>0</v>
          </cell>
        </row>
        <row r="2154">
          <cell r="A2154">
            <v>0</v>
          </cell>
        </row>
        <row r="2155">
          <cell r="A2155">
            <v>0</v>
          </cell>
        </row>
        <row r="2156">
          <cell r="A2156">
            <v>0</v>
          </cell>
        </row>
        <row r="2157">
          <cell r="A2157">
            <v>0</v>
          </cell>
        </row>
        <row r="2158">
          <cell r="A2158">
            <v>0</v>
          </cell>
        </row>
        <row r="2159">
          <cell r="A2159">
            <v>0</v>
          </cell>
        </row>
        <row r="2160">
          <cell r="A2160">
            <v>0</v>
          </cell>
        </row>
        <row r="2161">
          <cell r="A2161">
            <v>0</v>
          </cell>
        </row>
        <row r="2162">
          <cell r="A2162">
            <v>0</v>
          </cell>
        </row>
        <row r="2163">
          <cell r="A2163">
            <v>0</v>
          </cell>
        </row>
        <row r="2164">
          <cell r="A2164">
            <v>0</v>
          </cell>
        </row>
        <row r="2165">
          <cell r="A2165">
            <v>0</v>
          </cell>
        </row>
        <row r="2166">
          <cell r="A2166">
            <v>0</v>
          </cell>
        </row>
        <row r="2167">
          <cell r="A2167">
            <v>0</v>
          </cell>
        </row>
        <row r="2168">
          <cell r="A2168">
            <v>0</v>
          </cell>
        </row>
        <row r="2169">
          <cell r="A2169">
            <v>0</v>
          </cell>
        </row>
        <row r="2170">
          <cell r="A2170">
            <v>0</v>
          </cell>
        </row>
        <row r="2171">
          <cell r="A2171">
            <v>0</v>
          </cell>
        </row>
        <row r="2172">
          <cell r="A2172">
            <v>0</v>
          </cell>
        </row>
        <row r="2173">
          <cell r="A2173">
            <v>0</v>
          </cell>
        </row>
        <row r="2174">
          <cell r="A2174">
            <v>0</v>
          </cell>
        </row>
        <row r="2175">
          <cell r="A2175">
            <v>0</v>
          </cell>
        </row>
        <row r="2176">
          <cell r="A2176">
            <v>0</v>
          </cell>
        </row>
        <row r="2177">
          <cell r="A2177">
            <v>0</v>
          </cell>
        </row>
        <row r="2178">
          <cell r="A2178">
            <v>0</v>
          </cell>
        </row>
        <row r="2179">
          <cell r="A2179">
            <v>0</v>
          </cell>
        </row>
        <row r="2180">
          <cell r="A2180">
            <v>0</v>
          </cell>
        </row>
        <row r="2181">
          <cell r="A2181">
            <v>0</v>
          </cell>
        </row>
        <row r="2182">
          <cell r="A2182">
            <v>0</v>
          </cell>
        </row>
        <row r="2183">
          <cell r="A2183">
            <v>0</v>
          </cell>
        </row>
        <row r="2184">
          <cell r="A2184">
            <v>0</v>
          </cell>
        </row>
        <row r="2185">
          <cell r="A2185">
            <v>0</v>
          </cell>
        </row>
        <row r="2186">
          <cell r="A2186">
            <v>0</v>
          </cell>
        </row>
        <row r="2187">
          <cell r="A2187">
            <v>0</v>
          </cell>
        </row>
        <row r="2188">
          <cell r="A2188">
            <v>0</v>
          </cell>
        </row>
        <row r="2189">
          <cell r="A2189">
            <v>0</v>
          </cell>
        </row>
        <row r="2190">
          <cell r="A2190">
            <v>0</v>
          </cell>
        </row>
        <row r="2191">
          <cell r="A2191">
            <v>0</v>
          </cell>
        </row>
        <row r="2192">
          <cell r="A2192">
            <v>0</v>
          </cell>
        </row>
        <row r="2193">
          <cell r="A2193">
            <v>0</v>
          </cell>
        </row>
        <row r="2194">
          <cell r="A2194">
            <v>0</v>
          </cell>
        </row>
        <row r="2195">
          <cell r="A2195">
            <v>0</v>
          </cell>
        </row>
        <row r="2196">
          <cell r="A2196">
            <v>0</v>
          </cell>
        </row>
        <row r="2197">
          <cell r="A2197">
            <v>0</v>
          </cell>
        </row>
        <row r="2198">
          <cell r="A2198">
            <v>0</v>
          </cell>
        </row>
        <row r="2199">
          <cell r="A2199">
            <v>0</v>
          </cell>
        </row>
        <row r="2200">
          <cell r="A2200">
            <v>0</v>
          </cell>
        </row>
        <row r="2201">
          <cell r="A2201">
            <v>0</v>
          </cell>
        </row>
        <row r="2202">
          <cell r="A2202">
            <v>0</v>
          </cell>
        </row>
        <row r="2203">
          <cell r="A2203">
            <v>0</v>
          </cell>
        </row>
        <row r="2204">
          <cell r="A2204">
            <v>0</v>
          </cell>
        </row>
        <row r="2205">
          <cell r="A2205">
            <v>0</v>
          </cell>
        </row>
        <row r="2206">
          <cell r="A2206">
            <v>0</v>
          </cell>
        </row>
        <row r="2207">
          <cell r="A2207">
            <v>0</v>
          </cell>
        </row>
        <row r="2208">
          <cell r="A2208">
            <v>0</v>
          </cell>
        </row>
        <row r="2209">
          <cell r="A2209">
            <v>0</v>
          </cell>
        </row>
        <row r="2210">
          <cell r="A2210">
            <v>0</v>
          </cell>
        </row>
        <row r="2211">
          <cell r="A2211">
            <v>0</v>
          </cell>
        </row>
        <row r="2212">
          <cell r="A2212">
            <v>0</v>
          </cell>
        </row>
        <row r="2213">
          <cell r="A2213">
            <v>0</v>
          </cell>
        </row>
        <row r="2214">
          <cell r="A2214">
            <v>0</v>
          </cell>
        </row>
        <row r="2215">
          <cell r="A2215">
            <v>0</v>
          </cell>
        </row>
        <row r="2216">
          <cell r="A2216">
            <v>0</v>
          </cell>
        </row>
        <row r="2217">
          <cell r="A2217">
            <v>0</v>
          </cell>
        </row>
        <row r="2218">
          <cell r="A2218">
            <v>0</v>
          </cell>
        </row>
        <row r="2219">
          <cell r="A2219">
            <v>0</v>
          </cell>
        </row>
        <row r="2220">
          <cell r="A2220">
            <v>0</v>
          </cell>
        </row>
        <row r="2221">
          <cell r="A2221">
            <v>0</v>
          </cell>
        </row>
        <row r="2222">
          <cell r="A2222">
            <v>0</v>
          </cell>
        </row>
        <row r="2223">
          <cell r="A2223">
            <v>0</v>
          </cell>
        </row>
        <row r="2224">
          <cell r="A2224">
            <v>0</v>
          </cell>
        </row>
        <row r="2225">
          <cell r="A2225">
            <v>0</v>
          </cell>
        </row>
        <row r="2226">
          <cell r="A2226">
            <v>0</v>
          </cell>
        </row>
        <row r="2227">
          <cell r="A2227">
            <v>0</v>
          </cell>
        </row>
        <row r="2228">
          <cell r="A2228">
            <v>0</v>
          </cell>
        </row>
        <row r="2229">
          <cell r="A2229">
            <v>0</v>
          </cell>
        </row>
        <row r="2230">
          <cell r="A2230">
            <v>0</v>
          </cell>
        </row>
        <row r="2231">
          <cell r="A2231">
            <v>0</v>
          </cell>
        </row>
        <row r="2232">
          <cell r="A2232">
            <v>0</v>
          </cell>
        </row>
        <row r="2233">
          <cell r="A2233">
            <v>0</v>
          </cell>
        </row>
        <row r="2234">
          <cell r="A2234">
            <v>0</v>
          </cell>
        </row>
        <row r="2235">
          <cell r="A2235">
            <v>0</v>
          </cell>
        </row>
        <row r="2236">
          <cell r="A2236">
            <v>0</v>
          </cell>
        </row>
        <row r="2237">
          <cell r="A2237">
            <v>0</v>
          </cell>
        </row>
        <row r="2238">
          <cell r="A2238">
            <v>0</v>
          </cell>
        </row>
        <row r="2239">
          <cell r="A2239">
            <v>0</v>
          </cell>
        </row>
        <row r="2240">
          <cell r="A2240">
            <v>0</v>
          </cell>
        </row>
        <row r="2241">
          <cell r="A2241">
            <v>0</v>
          </cell>
        </row>
        <row r="2242">
          <cell r="A2242">
            <v>0</v>
          </cell>
        </row>
        <row r="2243">
          <cell r="A2243">
            <v>0</v>
          </cell>
        </row>
        <row r="2244">
          <cell r="A2244">
            <v>0</v>
          </cell>
        </row>
        <row r="2245">
          <cell r="A2245">
            <v>0</v>
          </cell>
        </row>
        <row r="2246">
          <cell r="A2246">
            <v>0</v>
          </cell>
        </row>
        <row r="2247">
          <cell r="A2247">
            <v>0</v>
          </cell>
        </row>
        <row r="2248">
          <cell r="A2248">
            <v>0</v>
          </cell>
        </row>
        <row r="2249">
          <cell r="A2249">
            <v>0</v>
          </cell>
        </row>
        <row r="2250">
          <cell r="A2250">
            <v>0</v>
          </cell>
        </row>
        <row r="2251">
          <cell r="A2251">
            <v>0</v>
          </cell>
        </row>
        <row r="2252">
          <cell r="A2252">
            <v>0</v>
          </cell>
        </row>
        <row r="2253">
          <cell r="A2253">
            <v>0</v>
          </cell>
        </row>
        <row r="2254">
          <cell r="A2254">
            <v>0</v>
          </cell>
        </row>
        <row r="2255">
          <cell r="A2255">
            <v>0</v>
          </cell>
        </row>
        <row r="2256">
          <cell r="A2256">
            <v>0</v>
          </cell>
        </row>
        <row r="2257">
          <cell r="A2257">
            <v>0</v>
          </cell>
        </row>
        <row r="2258">
          <cell r="A2258">
            <v>0</v>
          </cell>
        </row>
        <row r="2259">
          <cell r="A2259">
            <v>0</v>
          </cell>
        </row>
        <row r="2260">
          <cell r="A2260">
            <v>0</v>
          </cell>
        </row>
        <row r="2261">
          <cell r="A2261">
            <v>0</v>
          </cell>
        </row>
        <row r="2262">
          <cell r="A2262">
            <v>0</v>
          </cell>
        </row>
        <row r="2263">
          <cell r="A2263">
            <v>0</v>
          </cell>
        </row>
        <row r="2264">
          <cell r="A2264">
            <v>0</v>
          </cell>
        </row>
        <row r="2265">
          <cell r="A2265">
            <v>0</v>
          </cell>
        </row>
        <row r="2266">
          <cell r="A2266">
            <v>0</v>
          </cell>
        </row>
        <row r="2267">
          <cell r="A2267">
            <v>0</v>
          </cell>
        </row>
        <row r="2268">
          <cell r="A2268">
            <v>0</v>
          </cell>
        </row>
        <row r="2269">
          <cell r="A2269">
            <v>0</v>
          </cell>
        </row>
        <row r="2270">
          <cell r="A2270">
            <v>0</v>
          </cell>
        </row>
        <row r="2271">
          <cell r="A2271">
            <v>0</v>
          </cell>
        </row>
        <row r="2272">
          <cell r="A2272">
            <v>0</v>
          </cell>
        </row>
        <row r="2273">
          <cell r="A2273">
            <v>0</v>
          </cell>
        </row>
        <row r="2274">
          <cell r="A2274">
            <v>0</v>
          </cell>
        </row>
        <row r="2275">
          <cell r="A2275">
            <v>0</v>
          </cell>
        </row>
        <row r="2276">
          <cell r="A2276">
            <v>0</v>
          </cell>
        </row>
        <row r="2277">
          <cell r="A2277">
            <v>0</v>
          </cell>
        </row>
        <row r="2278">
          <cell r="A2278">
            <v>0</v>
          </cell>
        </row>
        <row r="2279">
          <cell r="A2279">
            <v>0</v>
          </cell>
        </row>
        <row r="2280">
          <cell r="A2280">
            <v>0</v>
          </cell>
        </row>
        <row r="2281">
          <cell r="A2281">
            <v>0</v>
          </cell>
        </row>
        <row r="2282">
          <cell r="A2282">
            <v>0</v>
          </cell>
        </row>
        <row r="2283">
          <cell r="A2283">
            <v>0</v>
          </cell>
        </row>
        <row r="2284">
          <cell r="A2284">
            <v>0</v>
          </cell>
        </row>
        <row r="2285">
          <cell r="A2285">
            <v>0</v>
          </cell>
        </row>
        <row r="2286">
          <cell r="A2286">
            <v>0</v>
          </cell>
        </row>
        <row r="2287">
          <cell r="A2287">
            <v>0</v>
          </cell>
        </row>
        <row r="2288">
          <cell r="A2288">
            <v>0</v>
          </cell>
        </row>
        <row r="2289">
          <cell r="A2289">
            <v>0</v>
          </cell>
        </row>
        <row r="2290">
          <cell r="A2290">
            <v>0</v>
          </cell>
        </row>
        <row r="2291">
          <cell r="A2291">
            <v>0</v>
          </cell>
        </row>
        <row r="2292">
          <cell r="A2292">
            <v>0</v>
          </cell>
        </row>
        <row r="2293">
          <cell r="A2293">
            <v>0</v>
          </cell>
        </row>
        <row r="2294">
          <cell r="A2294">
            <v>0</v>
          </cell>
        </row>
        <row r="2295">
          <cell r="A2295">
            <v>0</v>
          </cell>
        </row>
        <row r="2296">
          <cell r="A2296">
            <v>0</v>
          </cell>
        </row>
        <row r="2297">
          <cell r="A2297">
            <v>0</v>
          </cell>
        </row>
        <row r="2298">
          <cell r="A2298">
            <v>0</v>
          </cell>
        </row>
        <row r="2299">
          <cell r="A2299">
            <v>0</v>
          </cell>
        </row>
        <row r="2300">
          <cell r="A2300">
            <v>0</v>
          </cell>
        </row>
        <row r="2301">
          <cell r="A2301">
            <v>0</v>
          </cell>
        </row>
        <row r="2302">
          <cell r="A2302">
            <v>0</v>
          </cell>
        </row>
        <row r="2303">
          <cell r="A2303">
            <v>0</v>
          </cell>
        </row>
        <row r="2304">
          <cell r="A2304">
            <v>0</v>
          </cell>
        </row>
        <row r="2305">
          <cell r="A2305">
            <v>0</v>
          </cell>
        </row>
        <row r="2306">
          <cell r="A2306">
            <v>0</v>
          </cell>
        </row>
        <row r="2307">
          <cell r="A2307">
            <v>0</v>
          </cell>
        </row>
        <row r="2308">
          <cell r="A2308">
            <v>0</v>
          </cell>
        </row>
        <row r="2309">
          <cell r="A2309">
            <v>0</v>
          </cell>
        </row>
        <row r="2310">
          <cell r="A2310">
            <v>0</v>
          </cell>
        </row>
        <row r="2311">
          <cell r="A2311">
            <v>0</v>
          </cell>
        </row>
        <row r="2312">
          <cell r="A2312">
            <v>0</v>
          </cell>
        </row>
        <row r="2313">
          <cell r="A2313">
            <v>0</v>
          </cell>
        </row>
        <row r="2314">
          <cell r="A2314">
            <v>0</v>
          </cell>
        </row>
        <row r="2315">
          <cell r="A2315">
            <v>0</v>
          </cell>
        </row>
        <row r="2316">
          <cell r="A2316">
            <v>0</v>
          </cell>
        </row>
        <row r="2317">
          <cell r="A2317">
            <v>0</v>
          </cell>
        </row>
        <row r="2318">
          <cell r="A2318">
            <v>0</v>
          </cell>
        </row>
        <row r="2319">
          <cell r="A2319">
            <v>0</v>
          </cell>
        </row>
        <row r="2320">
          <cell r="A2320">
            <v>0</v>
          </cell>
        </row>
        <row r="2321">
          <cell r="A2321">
            <v>0</v>
          </cell>
        </row>
        <row r="2322">
          <cell r="A2322">
            <v>0</v>
          </cell>
        </row>
        <row r="2323">
          <cell r="A2323">
            <v>0</v>
          </cell>
        </row>
        <row r="2324">
          <cell r="A2324">
            <v>0</v>
          </cell>
        </row>
        <row r="2325">
          <cell r="A2325">
            <v>0</v>
          </cell>
        </row>
        <row r="2326">
          <cell r="A2326">
            <v>0</v>
          </cell>
        </row>
        <row r="2327">
          <cell r="A2327">
            <v>0</v>
          </cell>
        </row>
        <row r="2328">
          <cell r="A2328">
            <v>0</v>
          </cell>
        </row>
        <row r="2329">
          <cell r="A2329">
            <v>0</v>
          </cell>
        </row>
        <row r="2330">
          <cell r="A2330">
            <v>0</v>
          </cell>
        </row>
        <row r="2331">
          <cell r="A2331">
            <v>0</v>
          </cell>
        </row>
        <row r="2332">
          <cell r="A2332">
            <v>0</v>
          </cell>
        </row>
        <row r="2333">
          <cell r="A2333">
            <v>0</v>
          </cell>
        </row>
        <row r="2334">
          <cell r="A2334">
            <v>0</v>
          </cell>
        </row>
        <row r="2335">
          <cell r="A2335">
            <v>0</v>
          </cell>
        </row>
        <row r="2336">
          <cell r="A2336">
            <v>0</v>
          </cell>
        </row>
        <row r="2337">
          <cell r="A2337">
            <v>0</v>
          </cell>
        </row>
        <row r="2338">
          <cell r="A2338">
            <v>0</v>
          </cell>
        </row>
        <row r="2339">
          <cell r="A2339">
            <v>0</v>
          </cell>
        </row>
        <row r="2340">
          <cell r="A2340">
            <v>0</v>
          </cell>
        </row>
        <row r="2341">
          <cell r="A2341">
            <v>0</v>
          </cell>
        </row>
        <row r="2342">
          <cell r="A2342">
            <v>0</v>
          </cell>
        </row>
        <row r="2343">
          <cell r="A2343">
            <v>0</v>
          </cell>
        </row>
        <row r="2344">
          <cell r="A2344">
            <v>0</v>
          </cell>
        </row>
        <row r="2345">
          <cell r="A2345">
            <v>0</v>
          </cell>
        </row>
        <row r="2346">
          <cell r="A2346">
            <v>0</v>
          </cell>
        </row>
        <row r="2347">
          <cell r="A2347">
            <v>0</v>
          </cell>
        </row>
        <row r="2348">
          <cell r="A2348">
            <v>0</v>
          </cell>
        </row>
        <row r="2349">
          <cell r="A2349">
            <v>0</v>
          </cell>
        </row>
        <row r="2350">
          <cell r="A2350">
            <v>0</v>
          </cell>
        </row>
        <row r="2351">
          <cell r="A2351">
            <v>0</v>
          </cell>
        </row>
        <row r="2352">
          <cell r="A2352">
            <v>0</v>
          </cell>
        </row>
        <row r="2353">
          <cell r="A2353">
            <v>0</v>
          </cell>
        </row>
        <row r="2354">
          <cell r="A2354">
            <v>0</v>
          </cell>
        </row>
        <row r="2355">
          <cell r="A2355">
            <v>0</v>
          </cell>
        </row>
        <row r="2356">
          <cell r="A2356">
            <v>0</v>
          </cell>
        </row>
        <row r="2357">
          <cell r="A2357">
            <v>0</v>
          </cell>
        </row>
        <row r="2358">
          <cell r="A2358">
            <v>0</v>
          </cell>
        </row>
        <row r="2359">
          <cell r="A2359">
            <v>0</v>
          </cell>
        </row>
        <row r="2360">
          <cell r="A2360">
            <v>0</v>
          </cell>
        </row>
        <row r="2361">
          <cell r="A2361">
            <v>0</v>
          </cell>
        </row>
        <row r="2362">
          <cell r="A2362">
            <v>0</v>
          </cell>
        </row>
        <row r="2363">
          <cell r="A2363">
            <v>0</v>
          </cell>
        </row>
        <row r="2364">
          <cell r="A2364">
            <v>0</v>
          </cell>
        </row>
        <row r="2365">
          <cell r="A2365">
            <v>0</v>
          </cell>
        </row>
        <row r="2366">
          <cell r="A2366">
            <v>0</v>
          </cell>
        </row>
        <row r="2367">
          <cell r="A2367">
            <v>0</v>
          </cell>
        </row>
        <row r="2368">
          <cell r="A2368">
            <v>0</v>
          </cell>
        </row>
        <row r="2369">
          <cell r="A2369">
            <v>0</v>
          </cell>
        </row>
        <row r="2370">
          <cell r="A2370">
            <v>0</v>
          </cell>
        </row>
        <row r="2371">
          <cell r="A2371">
            <v>0</v>
          </cell>
        </row>
        <row r="2372">
          <cell r="A2372">
            <v>0</v>
          </cell>
        </row>
        <row r="2373">
          <cell r="A2373">
            <v>0</v>
          </cell>
        </row>
        <row r="2374">
          <cell r="A2374">
            <v>0</v>
          </cell>
        </row>
        <row r="2375">
          <cell r="A2375">
            <v>0</v>
          </cell>
        </row>
        <row r="2376">
          <cell r="A2376">
            <v>0</v>
          </cell>
        </row>
        <row r="2377">
          <cell r="A2377">
            <v>0</v>
          </cell>
        </row>
        <row r="2378">
          <cell r="A2378">
            <v>0</v>
          </cell>
        </row>
        <row r="2379">
          <cell r="A2379">
            <v>0</v>
          </cell>
        </row>
        <row r="2380">
          <cell r="A2380">
            <v>0</v>
          </cell>
        </row>
        <row r="2381">
          <cell r="A2381">
            <v>0</v>
          </cell>
        </row>
        <row r="2382">
          <cell r="A2382">
            <v>0</v>
          </cell>
        </row>
        <row r="2383">
          <cell r="A2383">
            <v>0</v>
          </cell>
        </row>
        <row r="2384">
          <cell r="A2384">
            <v>0</v>
          </cell>
        </row>
        <row r="2385">
          <cell r="A2385">
            <v>0</v>
          </cell>
        </row>
        <row r="2386">
          <cell r="A2386">
            <v>0</v>
          </cell>
        </row>
        <row r="2387">
          <cell r="A2387">
            <v>0</v>
          </cell>
        </row>
        <row r="2388">
          <cell r="A2388">
            <v>0</v>
          </cell>
        </row>
        <row r="2389">
          <cell r="A2389">
            <v>0</v>
          </cell>
        </row>
        <row r="2390">
          <cell r="A2390">
            <v>0</v>
          </cell>
        </row>
        <row r="2391">
          <cell r="A2391">
            <v>0</v>
          </cell>
        </row>
        <row r="2392">
          <cell r="A2392">
            <v>0</v>
          </cell>
        </row>
        <row r="2393">
          <cell r="A2393">
            <v>0</v>
          </cell>
        </row>
        <row r="2394">
          <cell r="A2394">
            <v>0</v>
          </cell>
        </row>
        <row r="2395">
          <cell r="A2395">
            <v>0</v>
          </cell>
        </row>
        <row r="2396">
          <cell r="A2396">
            <v>0</v>
          </cell>
        </row>
        <row r="2397">
          <cell r="A2397">
            <v>0</v>
          </cell>
        </row>
        <row r="2398">
          <cell r="A2398">
            <v>0</v>
          </cell>
        </row>
        <row r="2399">
          <cell r="A2399">
            <v>0</v>
          </cell>
        </row>
        <row r="2400">
          <cell r="A2400">
            <v>0</v>
          </cell>
        </row>
        <row r="2401">
          <cell r="A2401">
            <v>0</v>
          </cell>
        </row>
        <row r="2402">
          <cell r="A2402">
            <v>0</v>
          </cell>
        </row>
        <row r="2403">
          <cell r="A2403">
            <v>0</v>
          </cell>
        </row>
        <row r="2404">
          <cell r="A2404">
            <v>0</v>
          </cell>
        </row>
        <row r="2405">
          <cell r="A2405">
            <v>0</v>
          </cell>
        </row>
        <row r="2406">
          <cell r="A2406">
            <v>0</v>
          </cell>
        </row>
        <row r="2407">
          <cell r="A2407">
            <v>0</v>
          </cell>
        </row>
        <row r="2408">
          <cell r="A2408">
            <v>0</v>
          </cell>
        </row>
        <row r="2409">
          <cell r="A2409">
            <v>0</v>
          </cell>
        </row>
        <row r="2410">
          <cell r="A2410">
            <v>0</v>
          </cell>
        </row>
        <row r="2411">
          <cell r="A2411">
            <v>0</v>
          </cell>
        </row>
        <row r="2412">
          <cell r="A2412">
            <v>0</v>
          </cell>
        </row>
        <row r="2413">
          <cell r="A2413">
            <v>0</v>
          </cell>
        </row>
        <row r="2414">
          <cell r="A2414">
            <v>0</v>
          </cell>
        </row>
        <row r="2415">
          <cell r="A2415">
            <v>0</v>
          </cell>
        </row>
        <row r="2416">
          <cell r="A2416">
            <v>0</v>
          </cell>
        </row>
        <row r="2417">
          <cell r="A2417">
            <v>0</v>
          </cell>
        </row>
        <row r="2418">
          <cell r="A2418">
            <v>0</v>
          </cell>
        </row>
        <row r="2419">
          <cell r="A2419">
            <v>0</v>
          </cell>
        </row>
        <row r="2420">
          <cell r="A2420">
            <v>0</v>
          </cell>
        </row>
        <row r="2421">
          <cell r="A2421">
            <v>0</v>
          </cell>
        </row>
        <row r="2422">
          <cell r="A2422">
            <v>0</v>
          </cell>
        </row>
        <row r="2423">
          <cell r="A2423">
            <v>0</v>
          </cell>
        </row>
        <row r="2424">
          <cell r="A2424">
            <v>0</v>
          </cell>
        </row>
        <row r="2425">
          <cell r="A2425">
            <v>0</v>
          </cell>
        </row>
        <row r="2426">
          <cell r="A2426">
            <v>0</v>
          </cell>
        </row>
        <row r="2427">
          <cell r="A2427">
            <v>0</v>
          </cell>
        </row>
        <row r="2428">
          <cell r="A2428">
            <v>0</v>
          </cell>
        </row>
        <row r="2429">
          <cell r="A2429">
            <v>0</v>
          </cell>
        </row>
        <row r="2430">
          <cell r="A2430">
            <v>0</v>
          </cell>
        </row>
        <row r="2431">
          <cell r="A2431">
            <v>0</v>
          </cell>
        </row>
        <row r="2432">
          <cell r="A2432">
            <v>0</v>
          </cell>
        </row>
        <row r="2433">
          <cell r="A2433">
            <v>0</v>
          </cell>
        </row>
        <row r="2434">
          <cell r="A2434">
            <v>0</v>
          </cell>
        </row>
        <row r="2435">
          <cell r="A2435">
            <v>0</v>
          </cell>
        </row>
        <row r="2436">
          <cell r="A2436">
            <v>0</v>
          </cell>
        </row>
        <row r="2437">
          <cell r="A2437">
            <v>0</v>
          </cell>
        </row>
        <row r="2438">
          <cell r="A2438">
            <v>0</v>
          </cell>
        </row>
        <row r="2439">
          <cell r="A2439">
            <v>0</v>
          </cell>
        </row>
        <row r="2440">
          <cell r="A2440">
            <v>0</v>
          </cell>
        </row>
        <row r="2441">
          <cell r="A2441">
            <v>0</v>
          </cell>
        </row>
        <row r="2442">
          <cell r="A2442">
            <v>0</v>
          </cell>
        </row>
        <row r="2443">
          <cell r="A2443">
            <v>0</v>
          </cell>
        </row>
        <row r="2444">
          <cell r="A2444">
            <v>0</v>
          </cell>
        </row>
        <row r="2445">
          <cell r="A2445">
            <v>0</v>
          </cell>
        </row>
        <row r="2446">
          <cell r="A2446">
            <v>0</v>
          </cell>
        </row>
        <row r="2447">
          <cell r="A2447">
            <v>0</v>
          </cell>
        </row>
        <row r="2448">
          <cell r="A2448">
            <v>0</v>
          </cell>
        </row>
        <row r="2449">
          <cell r="A2449">
            <v>0</v>
          </cell>
        </row>
        <row r="2450">
          <cell r="A2450">
            <v>0</v>
          </cell>
        </row>
        <row r="2451">
          <cell r="A2451">
            <v>0</v>
          </cell>
        </row>
        <row r="2452">
          <cell r="A2452">
            <v>0</v>
          </cell>
        </row>
        <row r="2453">
          <cell r="A2453">
            <v>0</v>
          </cell>
        </row>
        <row r="2454">
          <cell r="A2454">
            <v>0</v>
          </cell>
        </row>
        <row r="2455">
          <cell r="A2455">
            <v>0</v>
          </cell>
        </row>
        <row r="2456">
          <cell r="A2456">
            <v>0</v>
          </cell>
        </row>
        <row r="2457">
          <cell r="A2457">
            <v>0</v>
          </cell>
        </row>
        <row r="2458">
          <cell r="A2458">
            <v>0</v>
          </cell>
        </row>
        <row r="2459">
          <cell r="A2459">
            <v>0</v>
          </cell>
        </row>
        <row r="2460">
          <cell r="A2460">
            <v>0</v>
          </cell>
        </row>
        <row r="2461">
          <cell r="A2461">
            <v>0</v>
          </cell>
        </row>
        <row r="2462">
          <cell r="A2462">
            <v>0</v>
          </cell>
        </row>
        <row r="2463">
          <cell r="A2463">
            <v>0</v>
          </cell>
        </row>
        <row r="2464">
          <cell r="A2464">
            <v>0</v>
          </cell>
        </row>
        <row r="2465">
          <cell r="A2465">
            <v>0</v>
          </cell>
        </row>
        <row r="2466">
          <cell r="A2466">
            <v>0</v>
          </cell>
        </row>
        <row r="2467">
          <cell r="A2467">
            <v>0</v>
          </cell>
        </row>
        <row r="2468">
          <cell r="A2468">
            <v>0</v>
          </cell>
        </row>
        <row r="2469">
          <cell r="A2469">
            <v>0</v>
          </cell>
        </row>
        <row r="2470">
          <cell r="A2470">
            <v>0</v>
          </cell>
        </row>
        <row r="2471">
          <cell r="A2471">
            <v>0</v>
          </cell>
        </row>
        <row r="2472">
          <cell r="A2472">
            <v>0</v>
          </cell>
        </row>
        <row r="2473">
          <cell r="A2473">
            <v>0</v>
          </cell>
        </row>
        <row r="2474">
          <cell r="A2474">
            <v>0</v>
          </cell>
        </row>
        <row r="2475">
          <cell r="A2475">
            <v>0</v>
          </cell>
        </row>
        <row r="2476">
          <cell r="A2476">
            <v>0</v>
          </cell>
        </row>
        <row r="2477">
          <cell r="A2477">
            <v>0</v>
          </cell>
        </row>
        <row r="2478">
          <cell r="A2478">
            <v>0</v>
          </cell>
        </row>
        <row r="2479">
          <cell r="A2479">
            <v>0</v>
          </cell>
        </row>
        <row r="2480">
          <cell r="A2480">
            <v>0</v>
          </cell>
        </row>
        <row r="2481">
          <cell r="A2481">
            <v>0</v>
          </cell>
        </row>
        <row r="2482">
          <cell r="A2482">
            <v>0</v>
          </cell>
        </row>
        <row r="2483">
          <cell r="A2483">
            <v>0</v>
          </cell>
        </row>
        <row r="2484">
          <cell r="A2484">
            <v>0</v>
          </cell>
        </row>
        <row r="2485">
          <cell r="A2485">
            <v>0</v>
          </cell>
        </row>
        <row r="2486">
          <cell r="A2486">
            <v>0</v>
          </cell>
        </row>
        <row r="2487">
          <cell r="A2487">
            <v>0</v>
          </cell>
        </row>
        <row r="2488">
          <cell r="A2488">
            <v>0</v>
          </cell>
        </row>
        <row r="2489">
          <cell r="A2489">
            <v>0</v>
          </cell>
        </row>
        <row r="2490">
          <cell r="A2490">
            <v>0</v>
          </cell>
        </row>
        <row r="2491">
          <cell r="A2491">
            <v>0</v>
          </cell>
        </row>
        <row r="2492">
          <cell r="A2492">
            <v>0</v>
          </cell>
        </row>
        <row r="2493">
          <cell r="A2493">
            <v>0</v>
          </cell>
        </row>
        <row r="2494">
          <cell r="A2494">
            <v>0</v>
          </cell>
        </row>
        <row r="2495">
          <cell r="A2495">
            <v>0</v>
          </cell>
        </row>
        <row r="2496">
          <cell r="A2496">
            <v>0</v>
          </cell>
        </row>
        <row r="2497">
          <cell r="A2497">
            <v>0</v>
          </cell>
        </row>
        <row r="2498">
          <cell r="A2498">
            <v>0</v>
          </cell>
        </row>
        <row r="2499">
          <cell r="A2499">
            <v>0</v>
          </cell>
        </row>
        <row r="2500">
          <cell r="A2500">
            <v>0</v>
          </cell>
        </row>
        <row r="2501">
          <cell r="A2501">
            <v>0</v>
          </cell>
        </row>
        <row r="2502">
          <cell r="A2502">
            <v>0</v>
          </cell>
        </row>
        <row r="2503">
          <cell r="A2503">
            <v>0</v>
          </cell>
        </row>
        <row r="2504">
          <cell r="A2504">
            <v>0</v>
          </cell>
        </row>
        <row r="2505">
          <cell r="A2505">
            <v>0</v>
          </cell>
        </row>
        <row r="2506">
          <cell r="A2506">
            <v>0</v>
          </cell>
        </row>
        <row r="2507">
          <cell r="A2507">
            <v>0</v>
          </cell>
        </row>
        <row r="2508">
          <cell r="A2508">
            <v>0</v>
          </cell>
        </row>
        <row r="2509">
          <cell r="A2509">
            <v>0</v>
          </cell>
        </row>
        <row r="2510">
          <cell r="A2510">
            <v>0</v>
          </cell>
        </row>
        <row r="2511">
          <cell r="A2511">
            <v>0</v>
          </cell>
        </row>
        <row r="2512">
          <cell r="A2512">
            <v>0</v>
          </cell>
        </row>
        <row r="2513">
          <cell r="A2513">
            <v>0</v>
          </cell>
        </row>
        <row r="2514">
          <cell r="A2514">
            <v>0</v>
          </cell>
        </row>
        <row r="2515">
          <cell r="A2515">
            <v>0</v>
          </cell>
        </row>
        <row r="2516">
          <cell r="A2516">
            <v>0</v>
          </cell>
        </row>
        <row r="2517">
          <cell r="A2517">
            <v>0</v>
          </cell>
        </row>
        <row r="2518">
          <cell r="A2518">
            <v>0</v>
          </cell>
        </row>
        <row r="2519">
          <cell r="A2519">
            <v>0</v>
          </cell>
        </row>
        <row r="2520">
          <cell r="A2520">
            <v>0</v>
          </cell>
        </row>
        <row r="2521">
          <cell r="A2521">
            <v>0</v>
          </cell>
        </row>
        <row r="2522">
          <cell r="A2522">
            <v>0</v>
          </cell>
        </row>
        <row r="2523">
          <cell r="A2523">
            <v>0</v>
          </cell>
        </row>
        <row r="2524">
          <cell r="A2524">
            <v>0</v>
          </cell>
        </row>
        <row r="2525">
          <cell r="A2525">
            <v>0</v>
          </cell>
        </row>
        <row r="2526">
          <cell r="A2526">
            <v>0</v>
          </cell>
        </row>
        <row r="2527">
          <cell r="A2527">
            <v>0</v>
          </cell>
        </row>
        <row r="2528">
          <cell r="A2528">
            <v>0</v>
          </cell>
        </row>
        <row r="2529">
          <cell r="A2529">
            <v>0</v>
          </cell>
        </row>
        <row r="2530">
          <cell r="A2530">
            <v>0</v>
          </cell>
        </row>
        <row r="2531">
          <cell r="A2531">
            <v>0</v>
          </cell>
        </row>
        <row r="2532">
          <cell r="A2532">
            <v>0</v>
          </cell>
        </row>
        <row r="2533">
          <cell r="A2533">
            <v>0</v>
          </cell>
        </row>
        <row r="2534">
          <cell r="A2534">
            <v>0</v>
          </cell>
        </row>
        <row r="2535">
          <cell r="A2535">
            <v>0</v>
          </cell>
        </row>
        <row r="2536">
          <cell r="A2536">
            <v>0</v>
          </cell>
        </row>
        <row r="2537">
          <cell r="A2537">
            <v>0</v>
          </cell>
        </row>
        <row r="2538">
          <cell r="A2538">
            <v>0</v>
          </cell>
        </row>
        <row r="2539">
          <cell r="A2539">
            <v>0</v>
          </cell>
        </row>
        <row r="2540">
          <cell r="A2540">
            <v>0</v>
          </cell>
        </row>
        <row r="2541">
          <cell r="A2541">
            <v>0</v>
          </cell>
        </row>
        <row r="2542">
          <cell r="A2542">
            <v>0</v>
          </cell>
        </row>
        <row r="2543">
          <cell r="A2543">
            <v>0</v>
          </cell>
        </row>
        <row r="2544">
          <cell r="A2544">
            <v>0</v>
          </cell>
        </row>
        <row r="2545">
          <cell r="A2545">
            <v>0</v>
          </cell>
        </row>
        <row r="2546">
          <cell r="A2546">
            <v>0</v>
          </cell>
        </row>
        <row r="2547">
          <cell r="A2547">
            <v>0</v>
          </cell>
        </row>
        <row r="2548">
          <cell r="A2548">
            <v>0</v>
          </cell>
        </row>
        <row r="2549">
          <cell r="A2549">
            <v>0</v>
          </cell>
        </row>
        <row r="2550">
          <cell r="A2550">
            <v>0</v>
          </cell>
        </row>
        <row r="2551">
          <cell r="A2551">
            <v>0</v>
          </cell>
        </row>
        <row r="2552">
          <cell r="A2552">
            <v>0</v>
          </cell>
        </row>
        <row r="2553">
          <cell r="A2553">
            <v>0</v>
          </cell>
        </row>
        <row r="2554">
          <cell r="A2554">
            <v>0</v>
          </cell>
        </row>
        <row r="2555">
          <cell r="A2555">
            <v>0</v>
          </cell>
        </row>
        <row r="2556">
          <cell r="A2556">
            <v>0</v>
          </cell>
        </row>
        <row r="2557">
          <cell r="A2557">
            <v>0</v>
          </cell>
        </row>
        <row r="2558">
          <cell r="A2558">
            <v>0</v>
          </cell>
        </row>
        <row r="2559">
          <cell r="A2559">
            <v>0</v>
          </cell>
        </row>
        <row r="2560">
          <cell r="A2560">
            <v>0</v>
          </cell>
        </row>
        <row r="2561">
          <cell r="A2561">
            <v>0</v>
          </cell>
        </row>
        <row r="2562">
          <cell r="A2562">
            <v>0</v>
          </cell>
        </row>
        <row r="2563">
          <cell r="A2563">
            <v>0</v>
          </cell>
        </row>
        <row r="2564">
          <cell r="A2564">
            <v>0</v>
          </cell>
        </row>
        <row r="2565">
          <cell r="A2565">
            <v>0</v>
          </cell>
        </row>
        <row r="2566">
          <cell r="A2566">
            <v>0</v>
          </cell>
        </row>
        <row r="2567">
          <cell r="A2567">
            <v>0</v>
          </cell>
        </row>
        <row r="2568">
          <cell r="A2568">
            <v>0</v>
          </cell>
        </row>
        <row r="2569">
          <cell r="A2569">
            <v>0</v>
          </cell>
        </row>
        <row r="2570">
          <cell r="A2570">
            <v>0</v>
          </cell>
        </row>
        <row r="2571">
          <cell r="A2571">
            <v>0</v>
          </cell>
        </row>
        <row r="2572">
          <cell r="A2572">
            <v>0</v>
          </cell>
        </row>
        <row r="2573">
          <cell r="A2573">
            <v>0</v>
          </cell>
        </row>
        <row r="2574">
          <cell r="A2574">
            <v>0</v>
          </cell>
        </row>
        <row r="2575">
          <cell r="A2575">
            <v>0</v>
          </cell>
        </row>
        <row r="2576">
          <cell r="A2576">
            <v>0</v>
          </cell>
        </row>
        <row r="2577">
          <cell r="A2577">
            <v>0</v>
          </cell>
        </row>
        <row r="2578">
          <cell r="A2578">
            <v>0</v>
          </cell>
        </row>
        <row r="2579">
          <cell r="A2579">
            <v>0</v>
          </cell>
        </row>
        <row r="2580">
          <cell r="A2580">
            <v>0</v>
          </cell>
        </row>
        <row r="2581">
          <cell r="A2581">
            <v>0</v>
          </cell>
        </row>
        <row r="2582">
          <cell r="A2582">
            <v>0</v>
          </cell>
        </row>
        <row r="2583">
          <cell r="A2583">
            <v>0</v>
          </cell>
        </row>
        <row r="2584">
          <cell r="A2584">
            <v>0</v>
          </cell>
        </row>
        <row r="2585">
          <cell r="A2585">
            <v>0</v>
          </cell>
        </row>
        <row r="2586">
          <cell r="A2586">
            <v>0</v>
          </cell>
        </row>
        <row r="2587">
          <cell r="A2587">
            <v>0</v>
          </cell>
        </row>
        <row r="2588">
          <cell r="A2588">
            <v>0</v>
          </cell>
        </row>
        <row r="2589">
          <cell r="A2589">
            <v>0</v>
          </cell>
        </row>
        <row r="2590">
          <cell r="A2590">
            <v>0</v>
          </cell>
        </row>
        <row r="2591">
          <cell r="A2591">
            <v>0</v>
          </cell>
        </row>
        <row r="2592">
          <cell r="A2592">
            <v>0</v>
          </cell>
        </row>
        <row r="2593">
          <cell r="A2593">
            <v>0</v>
          </cell>
        </row>
        <row r="2594">
          <cell r="A2594">
            <v>0</v>
          </cell>
        </row>
        <row r="2595">
          <cell r="A2595">
            <v>0</v>
          </cell>
        </row>
        <row r="2596">
          <cell r="A2596">
            <v>0</v>
          </cell>
        </row>
        <row r="2597">
          <cell r="A2597">
            <v>0</v>
          </cell>
        </row>
        <row r="2598">
          <cell r="A2598">
            <v>0</v>
          </cell>
        </row>
        <row r="2599">
          <cell r="A2599">
            <v>0</v>
          </cell>
        </row>
        <row r="2600">
          <cell r="A2600">
            <v>0</v>
          </cell>
        </row>
        <row r="2601">
          <cell r="A2601">
            <v>0</v>
          </cell>
        </row>
        <row r="2602">
          <cell r="A2602">
            <v>0</v>
          </cell>
        </row>
        <row r="2603">
          <cell r="A2603">
            <v>0</v>
          </cell>
        </row>
        <row r="2604">
          <cell r="A2604">
            <v>0</v>
          </cell>
        </row>
        <row r="2605">
          <cell r="A2605">
            <v>0</v>
          </cell>
        </row>
        <row r="2606">
          <cell r="A2606">
            <v>0</v>
          </cell>
        </row>
        <row r="2607">
          <cell r="A2607">
            <v>0</v>
          </cell>
        </row>
        <row r="2608">
          <cell r="A2608">
            <v>0</v>
          </cell>
        </row>
        <row r="2609">
          <cell r="A2609">
            <v>0</v>
          </cell>
        </row>
        <row r="2610">
          <cell r="A2610">
            <v>0</v>
          </cell>
        </row>
        <row r="2611">
          <cell r="A2611">
            <v>0</v>
          </cell>
        </row>
        <row r="2612">
          <cell r="A2612">
            <v>0</v>
          </cell>
        </row>
        <row r="2613">
          <cell r="A2613">
            <v>0</v>
          </cell>
        </row>
        <row r="2614">
          <cell r="A2614">
            <v>0</v>
          </cell>
        </row>
        <row r="2615">
          <cell r="A2615">
            <v>0</v>
          </cell>
        </row>
        <row r="2616">
          <cell r="A2616">
            <v>0</v>
          </cell>
        </row>
        <row r="2617">
          <cell r="A2617">
            <v>0</v>
          </cell>
        </row>
        <row r="2618">
          <cell r="A2618">
            <v>0</v>
          </cell>
        </row>
        <row r="2619">
          <cell r="A2619">
            <v>0</v>
          </cell>
        </row>
        <row r="2620">
          <cell r="A2620">
            <v>0</v>
          </cell>
        </row>
        <row r="2621">
          <cell r="A2621">
            <v>0</v>
          </cell>
        </row>
        <row r="2622">
          <cell r="A2622">
            <v>0</v>
          </cell>
        </row>
        <row r="2623">
          <cell r="A2623">
            <v>0</v>
          </cell>
        </row>
        <row r="2624">
          <cell r="A2624">
            <v>0</v>
          </cell>
        </row>
        <row r="2625">
          <cell r="A2625">
            <v>0</v>
          </cell>
        </row>
        <row r="2626">
          <cell r="A2626">
            <v>0</v>
          </cell>
        </row>
        <row r="2627">
          <cell r="A2627">
            <v>0</v>
          </cell>
        </row>
        <row r="2628">
          <cell r="A2628">
            <v>0</v>
          </cell>
        </row>
        <row r="2629">
          <cell r="A2629">
            <v>0</v>
          </cell>
        </row>
        <row r="2630">
          <cell r="A2630">
            <v>0</v>
          </cell>
        </row>
        <row r="2631">
          <cell r="A2631">
            <v>0</v>
          </cell>
        </row>
        <row r="2632">
          <cell r="A2632">
            <v>0</v>
          </cell>
        </row>
        <row r="2633">
          <cell r="A2633">
            <v>0</v>
          </cell>
        </row>
        <row r="2634">
          <cell r="A2634">
            <v>0</v>
          </cell>
        </row>
        <row r="2635">
          <cell r="A2635">
            <v>0</v>
          </cell>
        </row>
        <row r="2636">
          <cell r="A2636">
            <v>0</v>
          </cell>
        </row>
        <row r="2637">
          <cell r="A2637">
            <v>0</v>
          </cell>
        </row>
        <row r="2638">
          <cell r="A2638">
            <v>0</v>
          </cell>
        </row>
        <row r="2639">
          <cell r="A2639">
            <v>0</v>
          </cell>
        </row>
        <row r="2640">
          <cell r="A2640">
            <v>0</v>
          </cell>
        </row>
        <row r="2641">
          <cell r="A2641">
            <v>0</v>
          </cell>
        </row>
        <row r="2642">
          <cell r="A2642">
            <v>0</v>
          </cell>
        </row>
        <row r="2643">
          <cell r="A2643">
            <v>0</v>
          </cell>
        </row>
        <row r="2644">
          <cell r="A2644">
            <v>0</v>
          </cell>
        </row>
        <row r="2645">
          <cell r="A2645">
            <v>0</v>
          </cell>
        </row>
        <row r="2646">
          <cell r="A2646">
            <v>0</v>
          </cell>
        </row>
        <row r="2647">
          <cell r="A2647">
            <v>0</v>
          </cell>
        </row>
        <row r="2648">
          <cell r="A2648">
            <v>0</v>
          </cell>
        </row>
        <row r="2649">
          <cell r="A2649">
            <v>0</v>
          </cell>
        </row>
        <row r="2650">
          <cell r="A2650">
            <v>0</v>
          </cell>
        </row>
        <row r="2651">
          <cell r="A2651">
            <v>0</v>
          </cell>
        </row>
        <row r="2652">
          <cell r="A2652">
            <v>0</v>
          </cell>
        </row>
        <row r="2653">
          <cell r="A2653">
            <v>0</v>
          </cell>
        </row>
        <row r="2654">
          <cell r="A2654">
            <v>0</v>
          </cell>
        </row>
        <row r="2655">
          <cell r="A2655">
            <v>0</v>
          </cell>
        </row>
        <row r="2656">
          <cell r="A2656">
            <v>0</v>
          </cell>
        </row>
        <row r="2657">
          <cell r="A2657">
            <v>0</v>
          </cell>
        </row>
        <row r="2658">
          <cell r="A2658">
            <v>0</v>
          </cell>
        </row>
        <row r="2659">
          <cell r="A2659">
            <v>0</v>
          </cell>
        </row>
        <row r="2660">
          <cell r="A2660">
            <v>0</v>
          </cell>
        </row>
        <row r="2661">
          <cell r="A2661">
            <v>0</v>
          </cell>
        </row>
        <row r="2662">
          <cell r="A2662">
            <v>0</v>
          </cell>
        </row>
        <row r="2663">
          <cell r="A2663">
            <v>0</v>
          </cell>
        </row>
        <row r="2664">
          <cell r="A2664">
            <v>0</v>
          </cell>
        </row>
        <row r="2665">
          <cell r="A2665">
            <v>0</v>
          </cell>
        </row>
        <row r="2666">
          <cell r="A2666">
            <v>0</v>
          </cell>
        </row>
        <row r="2667">
          <cell r="A2667">
            <v>0</v>
          </cell>
        </row>
        <row r="2668">
          <cell r="A2668">
            <v>0</v>
          </cell>
        </row>
        <row r="2669">
          <cell r="A2669">
            <v>0</v>
          </cell>
        </row>
        <row r="2670">
          <cell r="A2670">
            <v>0</v>
          </cell>
        </row>
        <row r="2671">
          <cell r="A2671">
            <v>0</v>
          </cell>
        </row>
        <row r="2672">
          <cell r="A2672">
            <v>0</v>
          </cell>
        </row>
        <row r="2673">
          <cell r="A2673">
            <v>0</v>
          </cell>
        </row>
        <row r="2674">
          <cell r="A2674">
            <v>0</v>
          </cell>
        </row>
        <row r="2675">
          <cell r="A2675">
            <v>0</v>
          </cell>
        </row>
        <row r="2676">
          <cell r="A2676">
            <v>0</v>
          </cell>
        </row>
        <row r="2677">
          <cell r="A2677">
            <v>0</v>
          </cell>
        </row>
        <row r="2678">
          <cell r="A2678">
            <v>0</v>
          </cell>
        </row>
        <row r="2679">
          <cell r="A2679">
            <v>0</v>
          </cell>
        </row>
        <row r="2680">
          <cell r="A2680">
            <v>0</v>
          </cell>
        </row>
        <row r="2681">
          <cell r="A2681">
            <v>0</v>
          </cell>
        </row>
        <row r="2682">
          <cell r="A2682">
            <v>0</v>
          </cell>
        </row>
        <row r="2683">
          <cell r="A2683">
            <v>0</v>
          </cell>
        </row>
        <row r="2684">
          <cell r="A2684">
            <v>0</v>
          </cell>
        </row>
        <row r="2685">
          <cell r="A2685">
            <v>0</v>
          </cell>
        </row>
        <row r="2686">
          <cell r="A2686">
            <v>0</v>
          </cell>
        </row>
        <row r="2687">
          <cell r="A2687">
            <v>0</v>
          </cell>
        </row>
        <row r="2688">
          <cell r="A2688">
            <v>0</v>
          </cell>
        </row>
        <row r="2689">
          <cell r="A2689">
            <v>0</v>
          </cell>
        </row>
        <row r="2690">
          <cell r="A2690">
            <v>0</v>
          </cell>
        </row>
        <row r="2691">
          <cell r="A2691">
            <v>0</v>
          </cell>
        </row>
        <row r="2692">
          <cell r="A2692">
            <v>0</v>
          </cell>
        </row>
        <row r="2693">
          <cell r="A2693">
            <v>0</v>
          </cell>
        </row>
        <row r="2694">
          <cell r="A2694">
            <v>0</v>
          </cell>
        </row>
        <row r="2695">
          <cell r="A2695">
            <v>0</v>
          </cell>
        </row>
        <row r="2696">
          <cell r="A2696">
            <v>0</v>
          </cell>
        </row>
        <row r="2697">
          <cell r="A2697">
            <v>0</v>
          </cell>
        </row>
        <row r="2698">
          <cell r="A2698">
            <v>0</v>
          </cell>
        </row>
        <row r="2699">
          <cell r="A2699">
            <v>0</v>
          </cell>
        </row>
        <row r="2700">
          <cell r="A2700">
            <v>0</v>
          </cell>
        </row>
        <row r="2701">
          <cell r="A2701">
            <v>0</v>
          </cell>
        </row>
        <row r="2702">
          <cell r="A2702">
            <v>0</v>
          </cell>
        </row>
        <row r="2703">
          <cell r="A2703">
            <v>0</v>
          </cell>
        </row>
        <row r="2704">
          <cell r="A2704">
            <v>0</v>
          </cell>
        </row>
        <row r="2705">
          <cell r="A2705">
            <v>0</v>
          </cell>
        </row>
        <row r="2706">
          <cell r="A2706">
            <v>0</v>
          </cell>
        </row>
        <row r="2707">
          <cell r="A2707">
            <v>0</v>
          </cell>
        </row>
        <row r="2708">
          <cell r="A2708">
            <v>0</v>
          </cell>
        </row>
        <row r="2709">
          <cell r="A2709">
            <v>0</v>
          </cell>
        </row>
        <row r="2710">
          <cell r="A2710">
            <v>0</v>
          </cell>
        </row>
        <row r="2711">
          <cell r="A2711">
            <v>0</v>
          </cell>
        </row>
        <row r="2712">
          <cell r="A2712">
            <v>0</v>
          </cell>
        </row>
        <row r="2713">
          <cell r="A2713">
            <v>0</v>
          </cell>
        </row>
        <row r="2714">
          <cell r="A2714">
            <v>0</v>
          </cell>
        </row>
        <row r="2715">
          <cell r="A2715">
            <v>0</v>
          </cell>
        </row>
        <row r="2716">
          <cell r="A2716">
            <v>0</v>
          </cell>
        </row>
        <row r="2717">
          <cell r="A2717">
            <v>0</v>
          </cell>
        </row>
        <row r="2718">
          <cell r="A2718">
            <v>0</v>
          </cell>
        </row>
        <row r="2719">
          <cell r="A2719">
            <v>0</v>
          </cell>
        </row>
        <row r="2720">
          <cell r="A2720">
            <v>0</v>
          </cell>
        </row>
        <row r="2721">
          <cell r="A2721">
            <v>0</v>
          </cell>
        </row>
        <row r="2722">
          <cell r="A2722">
            <v>0</v>
          </cell>
        </row>
        <row r="2723">
          <cell r="A2723">
            <v>0</v>
          </cell>
        </row>
        <row r="2724">
          <cell r="A2724">
            <v>0</v>
          </cell>
        </row>
        <row r="2725">
          <cell r="A2725">
            <v>0</v>
          </cell>
        </row>
        <row r="2726">
          <cell r="A2726">
            <v>0</v>
          </cell>
        </row>
        <row r="2727">
          <cell r="A2727">
            <v>0</v>
          </cell>
        </row>
        <row r="2728">
          <cell r="A2728">
            <v>0</v>
          </cell>
        </row>
        <row r="2729">
          <cell r="A2729">
            <v>0</v>
          </cell>
        </row>
        <row r="2730">
          <cell r="A2730">
            <v>0</v>
          </cell>
        </row>
        <row r="2731">
          <cell r="A2731">
            <v>0</v>
          </cell>
        </row>
        <row r="2732">
          <cell r="A2732">
            <v>0</v>
          </cell>
        </row>
        <row r="2733">
          <cell r="A2733">
            <v>0</v>
          </cell>
        </row>
        <row r="2734">
          <cell r="A2734">
            <v>0</v>
          </cell>
        </row>
        <row r="2735">
          <cell r="A2735">
            <v>0</v>
          </cell>
        </row>
        <row r="2736">
          <cell r="A2736">
            <v>0</v>
          </cell>
        </row>
        <row r="2737">
          <cell r="A2737">
            <v>0</v>
          </cell>
        </row>
        <row r="2738">
          <cell r="A2738">
            <v>0</v>
          </cell>
        </row>
        <row r="2739">
          <cell r="A2739">
            <v>0</v>
          </cell>
        </row>
        <row r="2740">
          <cell r="A2740">
            <v>0</v>
          </cell>
        </row>
        <row r="2741">
          <cell r="A2741">
            <v>0</v>
          </cell>
        </row>
        <row r="2742">
          <cell r="A2742">
            <v>0</v>
          </cell>
        </row>
        <row r="2743">
          <cell r="A2743">
            <v>0</v>
          </cell>
        </row>
        <row r="2744">
          <cell r="A2744">
            <v>0</v>
          </cell>
        </row>
        <row r="2745">
          <cell r="A2745">
            <v>0</v>
          </cell>
        </row>
        <row r="2746">
          <cell r="A2746">
            <v>0</v>
          </cell>
        </row>
        <row r="2747">
          <cell r="A2747">
            <v>0</v>
          </cell>
        </row>
        <row r="2748">
          <cell r="A2748">
            <v>0</v>
          </cell>
        </row>
        <row r="2749">
          <cell r="A2749">
            <v>0</v>
          </cell>
        </row>
        <row r="2750">
          <cell r="A2750">
            <v>0</v>
          </cell>
        </row>
        <row r="2751">
          <cell r="A2751">
            <v>0</v>
          </cell>
        </row>
        <row r="2752">
          <cell r="A2752">
            <v>0</v>
          </cell>
        </row>
        <row r="2753">
          <cell r="A2753">
            <v>0</v>
          </cell>
        </row>
        <row r="2754">
          <cell r="A2754">
            <v>0</v>
          </cell>
        </row>
        <row r="2755">
          <cell r="A2755">
            <v>0</v>
          </cell>
        </row>
        <row r="2756">
          <cell r="A2756">
            <v>0</v>
          </cell>
        </row>
        <row r="2757">
          <cell r="A2757">
            <v>0</v>
          </cell>
        </row>
        <row r="2758">
          <cell r="A2758">
            <v>0</v>
          </cell>
        </row>
        <row r="2759">
          <cell r="A2759">
            <v>0</v>
          </cell>
        </row>
        <row r="2760">
          <cell r="A2760">
            <v>0</v>
          </cell>
        </row>
        <row r="2761">
          <cell r="A2761">
            <v>0</v>
          </cell>
        </row>
        <row r="2762">
          <cell r="A2762">
            <v>0</v>
          </cell>
        </row>
        <row r="2763">
          <cell r="A2763">
            <v>0</v>
          </cell>
        </row>
        <row r="2764">
          <cell r="A2764">
            <v>0</v>
          </cell>
        </row>
        <row r="2765">
          <cell r="A2765">
            <v>0</v>
          </cell>
        </row>
        <row r="2766">
          <cell r="A2766">
            <v>0</v>
          </cell>
        </row>
        <row r="2767">
          <cell r="A2767">
            <v>0</v>
          </cell>
        </row>
        <row r="2768">
          <cell r="A2768">
            <v>0</v>
          </cell>
        </row>
        <row r="2769">
          <cell r="A2769">
            <v>0</v>
          </cell>
        </row>
        <row r="2770">
          <cell r="A2770">
            <v>0</v>
          </cell>
        </row>
        <row r="2771">
          <cell r="A2771">
            <v>0</v>
          </cell>
        </row>
        <row r="2772">
          <cell r="A2772">
            <v>0</v>
          </cell>
        </row>
        <row r="2773">
          <cell r="A2773">
            <v>0</v>
          </cell>
        </row>
        <row r="2774">
          <cell r="A2774">
            <v>0</v>
          </cell>
        </row>
        <row r="2775">
          <cell r="A2775">
            <v>0</v>
          </cell>
        </row>
        <row r="2776">
          <cell r="A2776">
            <v>0</v>
          </cell>
        </row>
        <row r="2777">
          <cell r="A2777">
            <v>0</v>
          </cell>
        </row>
        <row r="2778">
          <cell r="A2778">
            <v>0</v>
          </cell>
        </row>
        <row r="2779">
          <cell r="A2779">
            <v>0</v>
          </cell>
        </row>
        <row r="2780">
          <cell r="A2780">
            <v>0</v>
          </cell>
        </row>
        <row r="2781">
          <cell r="A2781">
            <v>0</v>
          </cell>
        </row>
        <row r="2782">
          <cell r="A2782">
            <v>0</v>
          </cell>
        </row>
        <row r="2783">
          <cell r="A2783">
            <v>0</v>
          </cell>
        </row>
        <row r="2784">
          <cell r="A2784">
            <v>0</v>
          </cell>
        </row>
        <row r="2785">
          <cell r="A2785">
            <v>0</v>
          </cell>
        </row>
        <row r="2786">
          <cell r="A2786">
            <v>0</v>
          </cell>
        </row>
        <row r="2787">
          <cell r="A2787">
            <v>0</v>
          </cell>
        </row>
        <row r="2788">
          <cell r="A2788">
            <v>0</v>
          </cell>
        </row>
        <row r="2789">
          <cell r="A2789">
            <v>0</v>
          </cell>
        </row>
        <row r="2790">
          <cell r="A2790">
            <v>0</v>
          </cell>
        </row>
        <row r="2791">
          <cell r="A2791">
            <v>0</v>
          </cell>
        </row>
        <row r="2792">
          <cell r="A2792">
            <v>0</v>
          </cell>
        </row>
        <row r="2793">
          <cell r="A2793">
            <v>0</v>
          </cell>
        </row>
        <row r="2794">
          <cell r="A2794">
            <v>0</v>
          </cell>
        </row>
        <row r="2795">
          <cell r="A2795">
            <v>0</v>
          </cell>
        </row>
        <row r="2796">
          <cell r="A2796">
            <v>0</v>
          </cell>
        </row>
        <row r="2797">
          <cell r="A2797">
            <v>0</v>
          </cell>
        </row>
        <row r="2798">
          <cell r="A2798">
            <v>0</v>
          </cell>
        </row>
        <row r="2799">
          <cell r="A2799">
            <v>0</v>
          </cell>
        </row>
        <row r="2800">
          <cell r="A2800">
            <v>0</v>
          </cell>
        </row>
        <row r="2801">
          <cell r="A2801">
            <v>0</v>
          </cell>
        </row>
        <row r="2802">
          <cell r="A2802">
            <v>0</v>
          </cell>
        </row>
        <row r="2803">
          <cell r="A2803">
            <v>0</v>
          </cell>
        </row>
        <row r="2804">
          <cell r="A2804">
            <v>0</v>
          </cell>
        </row>
        <row r="2805">
          <cell r="A2805">
            <v>0</v>
          </cell>
        </row>
        <row r="2806">
          <cell r="A2806">
            <v>0</v>
          </cell>
        </row>
        <row r="2807">
          <cell r="A2807">
            <v>0</v>
          </cell>
        </row>
        <row r="2808">
          <cell r="A2808">
            <v>0</v>
          </cell>
        </row>
        <row r="2809">
          <cell r="A2809">
            <v>0</v>
          </cell>
        </row>
        <row r="2810">
          <cell r="A2810">
            <v>0</v>
          </cell>
        </row>
        <row r="2811">
          <cell r="A2811">
            <v>0</v>
          </cell>
        </row>
        <row r="2812">
          <cell r="A2812">
            <v>0</v>
          </cell>
        </row>
        <row r="2813">
          <cell r="A2813">
            <v>0</v>
          </cell>
        </row>
        <row r="2814">
          <cell r="A2814">
            <v>0</v>
          </cell>
        </row>
        <row r="2815">
          <cell r="A2815">
            <v>0</v>
          </cell>
        </row>
        <row r="2816">
          <cell r="A2816">
            <v>0</v>
          </cell>
        </row>
        <row r="2817">
          <cell r="A2817">
            <v>0</v>
          </cell>
        </row>
        <row r="2818">
          <cell r="A2818">
            <v>0</v>
          </cell>
        </row>
        <row r="2819">
          <cell r="A2819">
            <v>0</v>
          </cell>
        </row>
        <row r="2820">
          <cell r="A2820">
            <v>0</v>
          </cell>
        </row>
        <row r="2821">
          <cell r="A2821">
            <v>0</v>
          </cell>
        </row>
        <row r="2822">
          <cell r="A2822">
            <v>0</v>
          </cell>
        </row>
        <row r="2823">
          <cell r="A2823">
            <v>0</v>
          </cell>
        </row>
        <row r="2824">
          <cell r="A2824">
            <v>0</v>
          </cell>
        </row>
        <row r="2825">
          <cell r="A2825">
            <v>0</v>
          </cell>
        </row>
        <row r="2826">
          <cell r="A2826">
            <v>0</v>
          </cell>
        </row>
        <row r="2827">
          <cell r="A2827">
            <v>0</v>
          </cell>
        </row>
        <row r="2828">
          <cell r="A2828">
            <v>0</v>
          </cell>
        </row>
        <row r="2829">
          <cell r="A2829">
            <v>0</v>
          </cell>
        </row>
        <row r="2830">
          <cell r="A2830">
            <v>0</v>
          </cell>
        </row>
        <row r="2831">
          <cell r="A2831">
            <v>0</v>
          </cell>
        </row>
        <row r="2832">
          <cell r="A2832">
            <v>0</v>
          </cell>
        </row>
        <row r="2833">
          <cell r="A2833">
            <v>0</v>
          </cell>
        </row>
        <row r="2834">
          <cell r="A2834">
            <v>0</v>
          </cell>
        </row>
        <row r="2835">
          <cell r="A2835">
            <v>0</v>
          </cell>
        </row>
        <row r="2836">
          <cell r="A2836">
            <v>0</v>
          </cell>
        </row>
        <row r="2837">
          <cell r="A2837">
            <v>0</v>
          </cell>
        </row>
        <row r="2838">
          <cell r="A2838">
            <v>0</v>
          </cell>
        </row>
        <row r="2839">
          <cell r="A2839">
            <v>0</v>
          </cell>
        </row>
        <row r="2840">
          <cell r="A2840">
            <v>0</v>
          </cell>
        </row>
        <row r="2841">
          <cell r="A2841">
            <v>0</v>
          </cell>
        </row>
        <row r="2842">
          <cell r="A2842">
            <v>0</v>
          </cell>
        </row>
        <row r="2843">
          <cell r="A2843">
            <v>0</v>
          </cell>
        </row>
        <row r="2844">
          <cell r="A2844">
            <v>0</v>
          </cell>
        </row>
        <row r="2845">
          <cell r="A2845">
            <v>0</v>
          </cell>
        </row>
        <row r="2846">
          <cell r="A2846">
            <v>0</v>
          </cell>
        </row>
        <row r="2847">
          <cell r="A2847">
            <v>0</v>
          </cell>
        </row>
        <row r="2848">
          <cell r="A2848">
            <v>0</v>
          </cell>
        </row>
        <row r="2849">
          <cell r="A2849">
            <v>0</v>
          </cell>
        </row>
        <row r="2850">
          <cell r="A2850">
            <v>0</v>
          </cell>
        </row>
        <row r="2851">
          <cell r="A2851">
            <v>0</v>
          </cell>
        </row>
        <row r="2852">
          <cell r="A2852">
            <v>0</v>
          </cell>
        </row>
        <row r="2853">
          <cell r="A2853">
            <v>0</v>
          </cell>
        </row>
        <row r="2854">
          <cell r="A2854">
            <v>0</v>
          </cell>
        </row>
        <row r="2855">
          <cell r="A2855">
            <v>0</v>
          </cell>
        </row>
        <row r="2856">
          <cell r="A2856">
            <v>0</v>
          </cell>
        </row>
        <row r="2857">
          <cell r="A2857">
            <v>0</v>
          </cell>
        </row>
        <row r="2858">
          <cell r="A2858">
            <v>0</v>
          </cell>
        </row>
        <row r="2859">
          <cell r="A2859">
            <v>0</v>
          </cell>
        </row>
        <row r="2860">
          <cell r="A2860">
            <v>0</v>
          </cell>
        </row>
        <row r="2861">
          <cell r="A2861">
            <v>0</v>
          </cell>
        </row>
        <row r="2862">
          <cell r="A2862">
            <v>0</v>
          </cell>
        </row>
        <row r="2863">
          <cell r="A2863">
            <v>0</v>
          </cell>
        </row>
        <row r="2864">
          <cell r="A2864">
            <v>0</v>
          </cell>
        </row>
        <row r="2865">
          <cell r="A2865">
            <v>0</v>
          </cell>
        </row>
        <row r="2866">
          <cell r="A2866">
            <v>0</v>
          </cell>
        </row>
        <row r="2867">
          <cell r="A2867">
            <v>0</v>
          </cell>
        </row>
        <row r="2868">
          <cell r="A2868">
            <v>0</v>
          </cell>
        </row>
        <row r="2869">
          <cell r="A2869">
            <v>0</v>
          </cell>
        </row>
        <row r="2870">
          <cell r="A2870">
            <v>0</v>
          </cell>
        </row>
        <row r="2871">
          <cell r="A2871">
            <v>0</v>
          </cell>
        </row>
        <row r="2872">
          <cell r="A2872">
            <v>0</v>
          </cell>
        </row>
        <row r="2873">
          <cell r="A2873">
            <v>0</v>
          </cell>
        </row>
        <row r="2874">
          <cell r="A2874">
            <v>0</v>
          </cell>
        </row>
        <row r="2875">
          <cell r="A2875">
            <v>0</v>
          </cell>
        </row>
        <row r="2876">
          <cell r="A2876">
            <v>0</v>
          </cell>
        </row>
        <row r="2877">
          <cell r="A2877">
            <v>0</v>
          </cell>
        </row>
        <row r="2878">
          <cell r="A2878">
            <v>0</v>
          </cell>
        </row>
        <row r="2879">
          <cell r="A2879">
            <v>0</v>
          </cell>
        </row>
        <row r="2880">
          <cell r="A2880">
            <v>0</v>
          </cell>
        </row>
        <row r="2881">
          <cell r="A2881">
            <v>0</v>
          </cell>
        </row>
        <row r="2882">
          <cell r="A2882">
            <v>0</v>
          </cell>
        </row>
        <row r="2883">
          <cell r="A2883">
            <v>0</v>
          </cell>
        </row>
        <row r="2884">
          <cell r="A2884">
            <v>0</v>
          </cell>
        </row>
        <row r="2885">
          <cell r="A2885">
            <v>0</v>
          </cell>
        </row>
        <row r="2886">
          <cell r="A2886">
            <v>0</v>
          </cell>
        </row>
        <row r="2887">
          <cell r="A2887">
            <v>0</v>
          </cell>
        </row>
        <row r="2888">
          <cell r="A2888">
            <v>0</v>
          </cell>
        </row>
        <row r="2889">
          <cell r="A2889">
            <v>0</v>
          </cell>
        </row>
        <row r="2890">
          <cell r="A2890">
            <v>0</v>
          </cell>
        </row>
        <row r="2891">
          <cell r="A2891">
            <v>0</v>
          </cell>
        </row>
        <row r="2892">
          <cell r="A2892">
            <v>0</v>
          </cell>
        </row>
        <row r="2893">
          <cell r="A2893">
            <v>0</v>
          </cell>
        </row>
        <row r="2894">
          <cell r="A2894">
            <v>0</v>
          </cell>
        </row>
        <row r="2895">
          <cell r="A2895">
            <v>0</v>
          </cell>
        </row>
        <row r="2896">
          <cell r="A2896">
            <v>0</v>
          </cell>
        </row>
        <row r="2897">
          <cell r="A2897">
            <v>0</v>
          </cell>
        </row>
        <row r="2898">
          <cell r="A2898">
            <v>0</v>
          </cell>
        </row>
        <row r="2899">
          <cell r="A2899">
            <v>0</v>
          </cell>
        </row>
        <row r="2900">
          <cell r="A2900">
            <v>0</v>
          </cell>
        </row>
        <row r="2901">
          <cell r="A2901">
            <v>0</v>
          </cell>
        </row>
        <row r="2902">
          <cell r="A2902">
            <v>0</v>
          </cell>
        </row>
        <row r="2903">
          <cell r="A2903">
            <v>0</v>
          </cell>
        </row>
        <row r="2904">
          <cell r="A2904">
            <v>0</v>
          </cell>
        </row>
        <row r="2905">
          <cell r="A2905">
            <v>0</v>
          </cell>
        </row>
        <row r="2906">
          <cell r="A2906">
            <v>0</v>
          </cell>
        </row>
        <row r="2907">
          <cell r="A2907">
            <v>0</v>
          </cell>
        </row>
        <row r="2908">
          <cell r="A2908">
            <v>0</v>
          </cell>
        </row>
        <row r="2909">
          <cell r="A2909">
            <v>0</v>
          </cell>
        </row>
        <row r="2910">
          <cell r="A2910">
            <v>0</v>
          </cell>
        </row>
        <row r="2911">
          <cell r="A2911">
            <v>0</v>
          </cell>
        </row>
        <row r="2912">
          <cell r="A2912">
            <v>0</v>
          </cell>
        </row>
        <row r="2913">
          <cell r="A2913">
            <v>0</v>
          </cell>
        </row>
        <row r="2914">
          <cell r="A2914">
            <v>0</v>
          </cell>
        </row>
        <row r="2915">
          <cell r="A2915">
            <v>0</v>
          </cell>
        </row>
        <row r="2916">
          <cell r="A2916">
            <v>0</v>
          </cell>
        </row>
        <row r="2917">
          <cell r="A2917">
            <v>0</v>
          </cell>
        </row>
        <row r="2918">
          <cell r="A2918">
            <v>0</v>
          </cell>
        </row>
        <row r="2919">
          <cell r="A2919">
            <v>0</v>
          </cell>
        </row>
        <row r="2920">
          <cell r="A2920">
            <v>0</v>
          </cell>
        </row>
        <row r="2921">
          <cell r="A2921">
            <v>0</v>
          </cell>
        </row>
        <row r="2922">
          <cell r="A2922">
            <v>0</v>
          </cell>
        </row>
        <row r="2923">
          <cell r="A2923">
            <v>0</v>
          </cell>
        </row>
        <row r="2924">
          <cell r="A2924">
            <v>0</v>
          </cell>
        </row>
        <row r="2925">
          <cell r="A2925">
            <v>0</v>
          </cell>
        </row>
        <row r="2926">
          <cell r="A2926">
            <v>0</v>
          </cell>
        </row>
        <row r="2927">
          <cell r="A2927">
            <v>0</v>
          </cell>
        </row>
        <row r="2928">
          <cell r="A2928">
            <v>0</v>
          </cell>
        </row>
        <row r="2929">
          <cell r="A2929">
            <v>0</v>
          </cell>
        </row>
        <row r="2930">
          <cell r="A2930">
            <v>0</v>
          </cell>
        </row>
        <row r="2931">
          <cell r="A2931">
            <v>0</v>
          </cell>
        </row>
        <row r="2932">
          <cell r="A2932">
            <v>0</v>
          </cell>
        </row>
        <row r="2933">
          <cell r="A2933">
            <v>0</v>
          </cell>
        </row>
        <row r="2934">
          <cell r="A2934">
            <v>0</v>
          </cell>
        </row>
        <row r="2935">
          <cell r="A2935">
            <v>0</v>
          </cell>
        </row>
        <row r="2936">
          <cell r="A2936">
            <v>0</v>
          </cell>
        </row>
        <row r="2937">
          <cell r="A2937">
            <v>0</v>
          </cell>
        </row>
        <row r="2938">
          <cell r="A2938">
            <v>0</v>
          </cell>
        </row>
        <row r="2939">
          <cell r="A2939">
            <v>0</v>
          </cell>
        </row>
        <row r="2940">
          <cell r="A2940">
            <v>0</v>
          </cell>
        </row>
        <row r="2941">
          <cell r="A2941">
            <v>0</v>
          </cell>
        </row>
        <row r="2942">
          <cell r="A2942">
            <v>0</v>
          </cell>
        </row>
        <row r="2943">
          <cell r="A2943">
            <v>0</v>
          </cell>
        </row>
        <row r="2944">
          <cell r="A2944">
            <v>0</v>
          </cell>
        </row>
        <row r="2945">
          <cell r="A2945">
            <v>0</v>
          </cell>
        </row>
        <row r="2946">
          <cell r="A2946">
            <v>0</v>
          </cell>
        </row>
        <row r="2947">
          <cell r="A2947">
            <v>0</v>
          </cell>
        </row>
        <row r="2948">
          <cell r="A2948">
            <v>0</v>
          </cell>
        </row>
        <row r="2949">
          <cell r="A2949">
            <v>0</v>
          </cell>
        </row>
        <row r="2950">
          <cell r="A2950">
            <v>0</v>
          </cell>
        </row>
        <row r="2951">
          <cell r="A2951">
            <v>0</v>
          </cell>
        </row>
        <row r="2952">
          <cell r="A2952">
            <v>0</v>
          </cell>
        </row>
        <row r="2953">
          <cell r="A2953">
            <v>0</v>
          </cell>
        </row>
        <row r="2954">
          <cell r="A2954">
            <v>0</v>
          </cell>
        </row>
        <row r="2955">
          <cell r="A2955">
            <v>0</v>
          </cell>
        </row>
        <row r="2956">
          <cell r="A2956">
            <v>0</v>
          </cell>
        </row>
        <row r="2957">
          <cell r="A2957">
            <v>0</v>
          </cell>
        </row>
        <row r="2958">
          <cell r="A2958">
            <v>0</v>
          </cell>
        </row>
        <row r="2959">
          <cell r="A2959">
            <v>0</v>
          </cell>
        </row>
        <row r="2960">
          <cell r="A2960">
            <v>0</v>
          </cell>
        </row>
        <row r="2961">
          <cell r="A2961">
            <v>0</v>
          </cell>
        </row>
        <row r="2962">
          <cell r="A2962">
            <v>0</v>
          </cell>
        </row>
        <row r="2963">
          <cell r="A2963">
            <v>0</v>
          </cell>
        </row>
        <row r="2964">
          <cell r="A2964">
            <v>0</v>
          </cell>
        </row>
        <row r="2965">
          <cell r="A2965">
            <v>0</v>
          </cell>
        </row>
        <row r="2966">
          <cell r="A2966">
            <v>0</v>
          </cell>
        </row>
        <row r="2967">
          <cell r="A2967">
            <v>0</v>
          </cell>
        </row>
        <row r="2968">
          <cell r="A2968">
            <v>0</v>
          </cell>
        </row>
        <row r="2969">
          <cell r="A2969">
            <v>0</v>
          </cell>
        </row>
        <row r="2970">
          <cell r="A2970">
            <v>0</v>
          </cell>
        </row>
        <row r="2971">
          <cell r="A2971">
            <v>0</v>
          </cell>
        </row>
        <row r="2972">
          <cell r="A2972">
            <v>0</v>
          </cell>
        </row>
        <row r="2973">
          <cell r="A2973">
            <v>0</v>
          </cell>
        </row>
        <row r="2974">
          <cell r="A2974">
            <v>0</v>
          </cell>
        </row>
        <row r="2975">
          <cell r="A2975">
            <v>0</v>
          </cell>
        </row>
        <row r="2976">
          <cell r="A2976">
            <v>0</v>
          </cell>
        </row>
        <row r="2977">
          <cell r="A2977">
            <v>0</v>
          </cell>
        </row>
        <row r="2978">
          <cell r="A2978">
            <v>0</v>
          </cell>
        </row>
        <row r="2979">
          <cell r="A2979">
            <v>0</v>
          </cell>
        </row>
        <row r="2980">
          <cell r="A2980">
            <v>0</v>
          </cell>
        </row>
        <row r="2981">
          <cell r="A2981">
            <v>0</v>
          </cell>
        </row>
        <row r="2982">
          <cell r="A2982">
            <v>0</v>
          </cell>
        </row>
        <row r="2983">
          <cell r="A2983">
            <v>0</v>
          </cell>
        </row>
        <row r="2984">
          <cell r="A2984">
            <v>0</v>
          </cell>
        </row>
        <row r="2985">
          <cell r="A2985">
            <v>0</v>
          </cell>
        </row>
        <row r="2986">
          <cell r="A2986">
            <v>0</v>
          </cell>
        </row>
        <row r="2987">
          <cell r="A2987">
            <v>0</v>
          </cell>
        </row>
        <row r="2988">
          <cell r="A2988">
            <v>0</v>
          </cell>
        </row>
        <row r="2989">
          <cell r="A2989">
            <v>0</v>
          </cell>
        </row>
        <row r="2990">
          <cell r="A2990">
            <v>0</v>
          </cell>
        </row>
        <row r="2991">
          <cell r="A2991">
            <v>0</v>
          </cell>
        </row>
        <row r="2992">
          <cell r="A2992">
            <v>0</v>
          </cell>
        </row>
        <row r="2993">
          <cell r="A2993">
            <v>0</v>
          </cell>
        </row>
        <row r="2994">
          <cell r="A2994">
            <v>0</v>
          </cell>
        </row>
        <row r="2995">
          <cell r="A2995">
            <v>0</v>
          </cell>
        </row>
        <row r="2996">
          <cell r="A2996">
            <v>0</v>
          </cell>
        </row>
        <row r="2997">
          <cell r="A2997">
            <v>0</v>
          </cell>
        </row>
        <row r="2998">
          <cell r="A2998">
            <v>0</v>
          </cell>
        </row>
        <row r="2999">
          <cell r="A2999">
            <v>0</v>
          </cell>
        </row>
        <row r="3000">
          <cell r="A3000">
            <v>0</v>
          </cell>
        </row>
        <row r="3001">
          <cell r="A3001">
            <v>0</v>
          </cell>
        </row>
        <row r="3002">
          <cell r="A3002">
            <v>0</v>
          </cell>
        </row>
        <row r="3003">
          <cell r="A3003">
            <v>0</v>
          </cell>
        </row>
        <row r="3004">
          <cell r="A3004">
            <v>0</v>
          </cell>
        </row>
        <row r="3005">
          <cell r="A3005">
            <v>0</v>
          </cell>
        </row>
        <row r="3006">
          <cell r="A3006">
            <v>0</v>
          </cell>
        </row>
        <row r="3007">
          <cell r="A3007">
            <v>0</v>
          </cell>
        </row>
        <row r="3008">
          <cell r="A3008">
            <v>0</v>
          </cell>
        </row>
        <row r="3009">
          <cell r="A3009">
            <v>0</v>
          </cell>
        </row>
        <row r="3010">
          <cell r="A3010">
            <v>0</v>
          </cell>
        </row>
        <row r="3011">
          <cell r="A3011">
            <v>0</v>
          </cell>
        </row>
        <row r="3012">
          <cell r="A3012">
            <v>0</v>
          </cell>
        </row>
        <row r="3013">
          <cell r="A3013">
            <v>0</v>
          </cell>
        </row>
        <row r="3014">
          <cell r="A3014">
            <v>0</v>
          </cell>
        </row>
        <row r="3015">
          <cell r="A3015">
            <v>0</v>
          </cell>
        </row>
        <row r="3016">
          <cell r="A3016">
            <v>0</v>
          </cell>
        </row>
        <row r="3017">
          <cell r="A3017">
            <v>0</v>
          </cell>
        </row>
        <row r="3018">
          <cell r="A3018">
            <v>0</v>
          </cell>
        </row>
        <row r="3019">
          <cell r="A3019">
            <v>0</v>
          </cell>
        </row>
        <row r="3020">
          <cell r="A3020">
            <v>0</v>
          </cell>
        </row>
        <row r="3021">
          <cell r="A3021">
            <v>0</v>
          </cell>
        </row>
        <row r="3022">
          <cell r="A3022">
            <v>0</v>
          </cell>
        </row>
        <row r="3023">
          <cell r="A3023">
            <v>0</v>
          </cell>
        </row>
        <row r="3024">
          <cell r="A3024">
            <v>0</v>
          </cell>
        </row>
        <row r="3025">
          <cell r="A3025">
            <v>0</v>
          </cell>
        </row>
        <row r="3026">
          <cell r="A3026">
            <v>0</v>
          </cell>
        </row>
        <row r="3027">
          <cell r="A3027">
            <v>0</v>
          </cell>
        </row>
        <row r="3028">
          <cell r="A3028">
            <v>0</v>
          </cell>
        </row>
        <row r="3029">
          <cell r="A3029">
            <v>0</v>
          </cell>
        </row>
        <row r="3030">
          <cell r="A3030">
            <v>0</v>
          </cell>
        </row>
        <row r="3031">
          <cell r="A3031">
            <v>0</v>
          </cell>
        </row>
        <row r="3032">
          <cell r="A3032">
            <v>0</v>
          </cell>
        </row>
        <row r="3033">
          <cell r="A3033">
            <v>0</v>
          </cell>
        </row>
        <row r="3034">
          <cell r="A3034">
            <v>0</v>
          </cell>
        </row>
        <row r="3035">
          <cell r="A3035">
            <v>0</v>
          </cell>
        </row>
        <row r="3036">
          <cell r="A3036">
            <v>0</v>
          </cell>
        </row>
        <row r="3037">
          <cell r="A3037">
            <v>0</v>
          </cell>
        </row>
        <row r="3038">
          <cell r="A3038">
            <v>0</v>
          </cell>
        </row>
        <row r="3039">
          <cell r="A3039">
            <v>0</v>
          </cell>
        </row>
        <row r="3040">
          <cell r="A3040">
            <v>0</v>
          </cell>
        </row>
        <row r="3041">
          <cell r="A3041">
            <v>0</v>
          </cell>
        </row>
        <row r="3042">
          <cell r="A3042">
            <v>0</v>
          </cell>
        </row>
        <row r="3043">
          <cell r="A3043">
            <v>0</v>
          </cell>
        </row>
        <row r="3044">
          <cell r="A3044">
            <v>0</v>
          </cell>
        </row>
        <row r="3045">
          <cell r="A3045">
            <v>0</v>
          </cell>
        </row>
        <row r="3046">
          <cell r="A3046">
            <v>0</v>
          </cell>
        </row>
        <row r="3047">
          <cell r="A3047">
            <v>0</v>
          </cell>
        </row>
        <row r="3048">
          <cell r="A3048">
            <v>0</v>
          </cell>
        </row>
        <row r="3049">
          <cell r="A3049">
            <v>0</v>
          </cell>
        </row>
        <row r="3050">
          <cell r="A3050">
            <v>0</v>
          </cell>
        </row>
        <row r="3051">
          <cell r="A3051">
            <v>0</v>
          </cell>
        </row>
        <row r="3052">
          <cell r="A3052">
            <v>0</v>
          </cell>
        </row>
        <row r="3053">
          <cell r="A3053">
            <v>0</v>
          </cell>
        </row>
        <row r="3054">
          <cell r="A3054">
            <v>0</v>
          </cell>
        </row>
        <row r="3055">
          <cell r="A3055">
            <v>0</v>
          </cell>
        </row>
        <row r="3056">
          <cell r="A3056">
            <v>0</v>
          </cell>
        </row>
        <row r="3057">
          <cell r="A3057">
            <v>0</v>
          </cell>
        </row>
        <row r="3058">
          <cell r="A3058">
            <v>0</v>
          </cell>
        </row>
        <row r="3059">
          <cell r="A3059">
            <v>0</v>
          </cell>
        </row>
        <row r="3060">
          <cell r="A3060">
            <v>0</v>
          </cell>
        </row>
        <row r="3061">
          <cell r="A3061">
            <v>0</v>
          </cell>
        </row>
        <row r="3062">
          <cell r="A3062">
            <v>0</v>
          </cell>
        </row>
        <row r="3063">
          <cell r="A3063">
            <v>0</v>
          </cell>
        </row>
        <row r="3064">
          <cell r="A3064">
            <v>0</v>
          </cell>
        </row>
        <row r="3065">
          <cell r="A3065">
            <v>0</v>
          </cell>
        </row>
        <row r="3066">
          <cell r="A3066">
            <v>0</v>
          </cell>
        </row>
        <row r="3067">
          <cell r="A3067">
            <v>0</v>
          </cell>
        </row>
        <row r="3068">
          <cell r="A3068">
            <v>0</v>
          </cell>
        </row>
        <row r="3069">
          <cell r="A3069">
            <v>0</v>
          </cell>
        </row>
        <row r="3070">
          <cell r="A3070">
            <v>0</v>
          </cell>
        </row>
        <row r="3071">
          <cell r="A3071">
            <v>0</v>
          </cell>
        </row>
        <row r="3072">
          <cell r="A3072">
            <v>0</v>
          </cell>
        </row>
        <row r="3073">
          <cell r="A3073">
            <v>0</v>
          </cell>
        </row>
        <row r="3074">
          <cell r="A3074">
            <v>0</v>
          </cell>
        </row>
        <row r="3075">
          <cell r="A3075">
            <v>0</v>
          </cell>
        </row>
        <row r="3076">
          <cell r="A3076">
            <v>0</v>
          </cell>
        </row>
        <row r="3077">
          <cell r="A3077">
            <v>0</v>
          </cell>
        </row>
        <row r="3078">
          <cell r="A3078">
            <v>0</v>
          </cell>
        </row>
        <row r="3079">
          <cell r="A3079">
            <v>0</v>
          </cell>
        </row>
        <row r="3080">
          <cell r="A3080">
            <v>0</v>
          </cell>
        </row>
        <row r="3081">
          <cell r="A3081">
            <v>0</v>
          </cell>
        </row>
        <row r="3082">
          <cell r="A3082">
            <v>0</v>
          </cell>
        </row>
        <row r="3083">
          <cell r="A3083">
            <v>0</v>
          </cell>
        </row>
        <row r="3084">
          <cell r="A3084">
            <v>0</v>
          </cell>
        </row>
        <row r="3085">
          <cell r="A3085">
            <v>0</v>
          </cell>
        </row>
        <row r="3086">
          <cell r="A3086">
            <v>0</v>
          </cell>
        </row>
        <row r="3087">
          <cell r="A3087">
            <v>0</v>
          </cell>
        </row>
        <row r="3088">
          <cell r="A3088">
            <v>0</v>
          </cell>
        </row>
        <row r="3089">
          <cell r="A3089">
            <v>0</v>
          </cell>
        </row>
        <row r="3090">
          <cell r="A3090">
            <v>0</v>
          </cell>
        </row>
        <row r="3091">
          <cell r="A3091">
            <v>0</v>
          </cell>
        </row>
        <row r="3092">
          <cell r="A3092">
            <v>0</v>
          </cell>
        </row>
        <row r="3093">
          <cell r="A3093">
            <v>0</v>
          </cell>
        </row>
        <row r="3094">
          <cell r="A3094">
            <v>0</v>
          </cell>
        </row>
        <row r="3095">
          <cell r="A3095">
            <v>0</v>
          </cell>
        </row>
        <row r="3096">
          <cell r="A3096">
            <v>0</v>
          </cell>
        </row>
        <row r="3097">
          <cell r="A3097">
            <v>0</v>
          </cell>
        </row>
        <row r="3098">
          <cell r="A3098">
            <v>0</v>
          </cell>
        </row>
        <row r="3099">
          <cell r="A3099">
            <v>0</v>
          </cell>
        </row>
        <row r="3100">
          <cell r="A3100">
            <v>0</v>
          </cell>
        </row>
        <row r="3101">
          <cell r="A3101">
            <v>0</v>
          </cell>
        </row>
        <row r="3102">
          <cell r="A3102">
            <v>0</v>
          </cell>
        </row>
        <row r="3103">
          <cell r="A3103">
            <v>0</v>
          </cell>
        </row>
        <row r="3104">
          <cell r="A3104">
            <v>0</v>
          </cell>
        </row>
        <row r="3105">
          <cell r="A3105">
            <v>0</v>
          </cell>
        </row>
        <row r="3106">
          <cell r="A3106">
            <v>0</v>
          </cell>
        </row>
        <row r="3107">
          <cell r="A3107">
            <v>0</v>
          </cell>
        </row>
        <row r="3108">
          <cell r="A3108">
            <v>0</v>
          </cell>
        </row>
        <row r="3109">
          <cell r="A3109">
            <v>0</v>
          </cell>
        </row>
        <row r="3110">
          <cell r="A3110">
            <v>0</v>
          </cell>
        </row>
        <row r="3111">
          <cell r="A3111">
            <v>0</v>
          </cell>
        </row>
        <row r="3112">
          <cell r="A3112">
            <v>0</v>
          </cell>
        </row>
        <row r="3113">
          <cell r="A3113">
            <v>0</v>
          </cell>
        </row>
        <row r="3114">
          <cell r="A3114">
            <v>0</v>
          </cell>
        </row>
        <row r="3115">
          <cell r="A3115">
            <v>0</v>
          </cell>
        </row>
        <row r="3116">
          <cell r="A3116">
            <v>0</v>
          </cell>
        </row>
        <row r="3117">
          <cell r="A3117">
            <v>0</v>
          </cell>
        </row>
        <row r="3118">
          <cell r="A3118">
            <v>0</v>
          </cell>
        </row>
        <row r="3119">
          <cell r="A3119">
            <v>0</v>
          </cell>
        </row>
        <row r="3120">
          <cell r="A3120">
            <v>0</v>
          </cell>
        </row>
        <row r="3121">
          <cell r="A3121">
            <v>0</v>
          </cell>
        </row>
        <row r="3122">
          <cell r="A3122">
            <v>0</v>
          </cell>
        </row>
        <row r="3123">
          <cell r="A3123">
            <v>0</v>
          </cell>
        </row>
        <row r="3124">
          <cell r="A3124">
            <v>0</v>
          </cell>
        </row>
        <row r="3125">
          <cell r="A3125">
            <v>0</v>
          </cell>
        </row>
        <row r="3126">
          <cell r="A3126">
            <v>0</v>
          </cell>
        </row>
        <row r="3127">
          <cell r="A3127">
            <v>0</v>
          </cell>
        </row>
        <row r="3128">
          <cell r="A3128">
            <v>0</v>
          </cell>
        </row>
        <row r="3129">
          <cell r="A3129">
            <v>0</v>
          </cell>
        </row>
        <row r="3130">
          <cell r="A3130">
            <v>0</v>
          </cell>
        </row>
        <row r="3131">
          <cell r="A3131">
            <v>0</v>
          </cell>
        </row>
        <row r="3132">
          <cell r="A3132">
            <v>0</v>
          </cell>
        </row>
        <row r="3133">
          <cell r="A3133">
            <v>0</v>
          </cell>
        </row>
        <row r="3134">
          <cell r="A3134">
            <v>0</v>
          </cell>
        </row>
        <row r="3135">
          <cell r="A3135">
            <v>0</v>
          </cell>
        </row>
        <row r="3136">
          <cell r="A3136">
            <v>0</v>
          </cell>
        </row>
        <row r="3137">
          <cell r="A3137">
            <v>0</v>
          </cell>
        </row>
        <row r="3138">
          <cell r="A3138">
            <v>0</v>
          </cell>
        </row>
        <row r="3139">
          <cell r="A3139">
            <v>0</v>
          </cell>
        </row>
        <row r="3140">
          <cell r="A3140">
            <v>0</v>
          </cell>
        </row>
        <row r="3141">
          <cell r="A3141">
            <v>0</v>
          </cell>
        </row>
        <row r="3142">
          <cell r="A3142">
            <v>0</v>
          </cell>
        </row>
        <row r="3143">
          <cell r="A3143">
            <v>0</v>
          </cell>
        </row>
        <row r="3144">
          <cell r="A3144">
            <v>0</v>
          </cell>
        </row>
        <row r="3145">
          <cell r="A3145">
            <v>0</v>
          </cell>
        </row>
        <row r="3146">
          <cell r="A3146">
            <v>0</v>
          </cell>
        </row>
        <row r="3147">
          <cell r="A3147">
            <v>0</v>
          </cell>
        </row>
        <row r="3148">
          <cell r="A3148">
            <v>0</v>
          </cell>
        </row>
        <row r="3149">
          <cell r="A3149">
            <v>0</v>
          </cell>
        </row>
        <row r="3150">
          <cell r="A3150">
            <v>0</v>
          </cell>
        </row>
        <row r="3151">
          <cell r="A3151">
            <v>0</v>
          </cell>
        </row>
        <row r="3152">
          <cell r="A3152">
            <v>0</v>
          </cell>
        </row>
        <row r="3153">
          <cell r="A3153">
            <v>0</v>
          </cell>
        </row>
        <row r="3154">
          <cell r="A3154">
            <v>0</v>
          </cell>
        </row>
        <row r="3155">
          <cell r="A3155">
            <v>0</v>
          </cell>
        </row>
        <row r="3156">
          <cell r="A3156">
            <v>0</v>
          </cell>
        </row>
        <row r="3157">
          <cell r="A3157">
            <v>0</v>
          </cell>
        </row>
        <row r="3158">
          <cell r="A3158">
            <v>0</v>
          </cell>
        </row>
        <row r="3159">
          <cell r="A3159">
            <v>0</v>
          </cell>
        </row>
        <row r="3160">
          <cell r="A3160">
            <v>0</v>
          </cell>
        </row>
        <row r="3161">
          <cell r="A3161">
            <v>0</v>
          </cell>
        </row>
        <row r="3162">
          <cell r="A3162">
            <v>0</v>
          </cell>
        </row>
        <row r="3163">
          <cell r="A3163">
            <v>0</v>
          </cell>
        </row>
        <row r="3164">
          <cell r="A3164">
            <v>0</v>
          </cell>
        </row>
        <row r="3165">
          <cell r="A3165">
            <v>0</v>
          </cell>
        </row>
        <row r="3166">
          <cell r="A3166">
            <v>0</v>
          </cell>
        </row>
        <row r="3167">
          <cell r="A3167">
            <v>0</v>
          </cell>
        </row>
        <row r="3168">
          <cell r="A3168">
            <v>0</v>
          </cell>
        </row>
        <row r="3169">
          <cell r="A3169">
            <v>0</v>
          </cell>
        </row>
        <row r="3170">
          <cell r="A3170">
            <v>0</v>
          </cell>
        </row>
        <row r="3171">
          <cell r="A3171">
            <v>0</v>
          </cell>
        </row>
        <row r="3172">
          <cell r="A3172">
            <v>0</v>
          </cell>
        </row>
        <row r="3173">
          <cell r="A3173">
            <v>0</v>
          </cell>
        </row>
        <row r="3174">
          <cell r="A3174">
            <v>0</v>
          </cell>
        </row>
        <row r="3175">
          <cell r="A3175">
            <v>0</v>
          </cell>
        </row>
        <row r="3176">
          <cell r="A3176">
            <v>0</v>
          </cell>
        </row>
        <row r="3177">
          <cell r="A3177">
            <v>0</v>
          </cell>
        </row>
        <row r="3178">
          <cell r="A3178">
            <v>0</v>
          </cell>
        </row>
        <row r="3179">
          <cell r="A3179">
            <v>0</v>
          </cell>
        </row>
        <row r="3180">
          <cell r="A3180">
            <v>0</v>
          </cell>
        </row>
        <row r="3181">
          <cell r="A3181">
            <v>0</v>
          </cell>
        </row>
        <row r="3182">
          <cell r="A3182">
            <v>0</v>
          </cell>
        </row>
        <row r="3183">
          <cell r="A3183">
            <v>0</v>
          </cell>
        </row>
        <row r="3184">
          <cell r="A3184">
            <v>0</v>
          </cell>
        </row>
        <row r="3185">
          <cell r="A3185">
            <v>0</v>
          </cell>
        </row>
        <row r="3186">
          <cell r="A3186">
            <v>0</v>
          </cell>
        </row>
        <row r="3187">
          <cell r="A3187">
            <v>0</v>
          </cell>
        </row>
        <row r="3188">
          <cell r="A3188">
            <v>0</v>
          </cell>
        </row>
        <row r="3189">
          <cell r="A3189">
            <v>0</v>
          </cell>
        </row>
        <row r="3190">
          <cell r="A3190">
            <v>0</v>
          </cell>
        </row>
        <row r="3191">
          <cell r="A3191">
            <v>0</v>
          </cell>
        </row>
        <row r="3192">
          <cell r="A3192">
            <v>0</v>
          </cell>
        </row>
        <row r="3193">
          <cell r="A3193">
            <v>0</v>
          </cell>
        </row>
        <row r="3194">
          <cell r="A3194">
            <v>0</v>
          </cell>
        </row>
        <row r="3195">
          <cell r="A3195">
            <v>0</v>
          </cell>
        </row>
        <row r="3196">
          <cell r="A3196">
            <v>0</v>
          </cell>
        </row>
        <row r="3197">
          <cell r="A3197">
            <v>0</v>
          </cell>
        </row>
        <row r="3198">
          <cell r="A3198">
            <v>0</v>
          </cell>
        </row>
        <row r="3199">
          <cell r="A3199">
            <v>0</v>
          </cell>
        </row>
        <row r="3200">
          <cell r="A3200">
            <v>0</v>
          </cell>
        </row>
        <row r="3201">
          <cell r="A3201">
            <v>0</v>
          </cell>
        </row>
        <row r="3202">
          <cell r="A3202">
            <v>0</v>
          </cell>
        </row>
        <row r="3203">
          <cell r="A3203">
            <v>0</v>
          </cell>
        </row>
        <row r="3204">
          <cell r="A3204">
            <v>0</v>
          </cell>
        </row>
        <row r="3205">
          <cell r="A3205">
            <v>0</v>
          </cell>
        </row>
        <row r="3206">
          <cell r="A3206">
            <v>0</v>
          </cell>
        </row>
        <row r="3207">
          <cell r="A3207">
            <v>0</v>
          </cell>
        </row>
        <row r="3208">
          <cell r="A3208">
            <v>0</v>
          </cell>
        </row>
        <row r="3209">
          <cell r="A3209">
            <v>0</v>
          </cell>
        </row>
        <row r="3210">
          <cell r="A3210">
            <v>0</v>
          </cell>
        </row>
        <row r="3211">
          <cell r="A3211">
            <v>0</v>
          </cell>
        </row>
        <row r="3212">
          <cell r="A3212">
            <v>0</v>
          </cell>
        </row>
        <row r="3213">
          <cell r="A3213">
            <v>0</v>
          </cell>
        </row>
        <row r="3214">
          <cell r="A3214">
            <v>0</v>
          </cell>
        </row>
        <row r="3215">
          <cell r="A3215">
            <v>0</v>
          </cell>
        </row>
        <row r="3216">
          <cell r="A3216">
            <v>0</v>
          </cell>
        </row>
        <row r="3217">
          <cell r="A3217">
            <v>0</v>
          </cell>
        </row>
        <row r="3218">
          <cell r="A3218">
            <v>0</v>
          </cell>
        </row>
        <row r="3219">
          <cell r="A3219">
            <v>0</v>
          </cell>
        </row>
        <row r="3220">
          <cell r="A3220">
            <v>0</v>
          </cell>
        </row>
        <row r="3221">
          <cell r="A3221">
            <v>0</v>
          </cell>
        </row>
        <row r="3222">
          <cell r="A3222">
            <v>0</v>
          </cell>
        </row>
        <row r="3223">
          <cell r="A3223">
            <v>0</v>
          </cell>
        </row>
        <row r="3224">
          <cell r="A3224">
            <v>0</v>
          </cell>
        </row>
        <row r="3225">
          <cell r="A3225">
            <v>0</v>
          </cell>
        </row>
        <row r="3226">
          <cell r="A3226">
            <v>0</v>
          </cell>
        </row>
        <row r="3227">
          <cell r="A3227">
            <v>0</v>
          </cell>
        </row>
        <row r="3228">
          <cell r="A3228">
            <v>0</v>
          </cell>
        </row>
        <row r="3229">
          <cell r="A3229">
            <v>0</v>
          </cell>
        </row>
        <row r="3230">
          <cell r="A3230">
            <v>0</v>
          </cell>
        </row>
        <row r="3231">
          <cell r="A3231">
            <v>0</v>
          </cell>
        </row>
        <row r="3232">
          <cell r="A3232">
            <v>0</v>
          </cell>
        </row>
        <row r="3233">
          <cell r="A3233">
            <v>0</v>
          </cell>
        </row>
        <row r="3234">
          <cell r="A3234">
            <v>0</v>
          </cell>
        </row>
        <row r="3235">
          <cell r="A3235">
            <v>0</v>
          </cell>
        </row>
        <row r="3236">
          <cell r="A3236">
            <v>0</v>
          </cell>
        </row>
        <row r="3237">
          <cell r="A3237">
            <v>0</v>
          </cell>
        </row>
        <row r="3238">
          <cell r="A3238">
            <v>0</v>
          </cell>
        </row>
        <row r="3239">
          <cell r="A3239">
            <v>0</v>
          </cell>
        </row>
        <row r="3240">
          <cell r="A3240">
            <v>0</v>
          </cell>
        </row>
        <row r="3241">
          <cell r="A3241">
            <v>0</v>
          </cell>
        </row>
        <row r="3242">
          <cell r="A3242">
            <v>0</v>
          </cell>
        </row>
        <row r="3243">
          <cell r="A3243">
            <v>0</v>
          </cell>
        </row>
        <row r="3244">
          <cell r="A3244">
            <v>0</v>
          </cell>
        </row>
        <row r="3245">
          <cell r="A3245">
            <v>0</v>
          </cell>
        </row>
        <row r="3246">
          <cell r="A3246">
            <v>0</v>
          </cell>
        </row>
        <row r="3247">
          <cell r="A3247">
            <v>0</v>
          </cell>
        </row>
        <row r="3248">
          <cell r="A3248">
            <v>0</v>
          </cell>
        </row>
        <row r="3249">
          <cell r="A3249">
            <v>0</v>
          </cell>
        </row>
        <row r="3250">
          <cell r="A3250">
            <v>0</v>
          </cell>
        </row>
        <row r="3251">
          <cell r="A3251">
            <v>0</v>
          </cell>
        </row>
        <row r="3252">
          <cell r="A3252">
            <v>0</v>
          </cell>
        </row>
        <row r="3253">
          <cell r="A3253">
            <v>0</v>
          </cell>
        </row>
        <row r="3254">
          <cell r="A3254">
            <v>0</v>
          </cell>
        </row>
        <row r="3255">
          <cell r="A3255">
            <v>0</v>
          </cell>
        </row>
        <row r="3256">
          <cell r="A3256">
            <v>0</v>
          </cell>
        </row>
        <row r="3257">
          <cell r="A3257">
            <v>0</v>
          </cell>
        </row>
        <row r="3258">
          <cell r="A3258">
            <v>0</v>
          </cell>
        </row>
        <row r="3259">
          <cell r="A3259">
            <v>0</v>
          </cell>
        </row>
        <row r="3260">
          <cell r="A3260">
            <v>0</v>
          </cell>
        </row>
        <row r="3261">
          <cell r="A3261">
            <v>0</v>
          </cell>
        </row>
        <row r="3262">
          <cell r="A3262">
            <v>0</v>
          </cell>
        </row>
        <row r="3263">
          <cell r="A3263">
            <v>0</v>
          </cell>
        </row>
        <row r="3264">
          <cell r="A3264">
            <v>0</v>
          </cell>
        </row>
        <row r="3265">
          <cell r="A3265">
            <v>0</v>
          </cell>
        </row>
        <row r="3266">
          <cell r="A3266">
            <v>0</v>
          </cell>
        </row>
        <row r="3267">
          <cell r="A3267">
            <v>0</v>
          </cell>
        </row>
        <row r="3268">
          <cell r="A3268">
            <v>0</v>
          </cell>
        </row>
        <row r="3269">
          <cell r="A3269">
            <v>0</v>
          </cell>
        </row>
        <row r="3270">
          <cell r="A3270">
            <v>0</v>
          </cell>
        </row>
        <row r="3271">
          <cell r="A3271">
            <v>0</v>
          </cell>
        </row>
        <row r="3272">
          <cell r="A3272">
            <v>0</v>
          </cell>
        </row>
        <row r="3273">
          <cell r="A3273">
            <v>0</v>
          </cell>
        </row>
        <row r="3274">
          <cell r="A3274">
            <v>0</v>
          </cell>
        </row>
        <row r="3275">
          <cell r="A3275">
            <v>0</v>
          </cell>
        </row>
        <row r="3276">
          <cell r="A3276">
            <v>0</v>
          </cell>
        </row>
        <row r="3277">
          <cell r="A3277">
            <v>0</v>
          </cell>
        </row>
        <row r="3278">
          <cell r="A3278">
            <v>0</v>
          </cell>
        </row>
        <row r="3279">
          <cell r="A3279">
            <v>0</v>
          </cell>
        </row>
        <row r="3280">
          <cell r="A3280">
            <v>0</v>
          </cell>
        </row>
        <row r="3281">
          <cell r="A3281">
            <v>0</v>
          </cell>
        </row>
        <row r="3282">
          <cell r="A3282">
            <v>0</v>
          </cell>
        </row>
        <row r="3283">
          <cell r="A3283">
            <v>0</v>
          </cell>
        </row>
        <row r="3284">
          <cell r="A3284">
            <v>0</v>
          </cell>
        </row>
        <row r="3285">
          <cell r="A3285">
            <v>0</v>
          </cell>
        </row>
        <row r="3286">
          <cell r="A3286">
            <v>0</v>
          </cell>
        </row>
        <row r="3287">
          <cell r="A3287">
            <v>0</v>
          </cell>
        </row>
        <row r="3288">
          <cell r="A3288">
            <v>0</v>
          </cell>
        </row>
        <row r="3289">
          <cell r="A3289">
            <v>0</v>
          </cell>
        </row>
        <row r="3290">
          <cell r="A3290">
            <v>0</v>
          </cell>
        </row>
        <row r="3291">
          <cell r="A3291">
            <v>0</v>
          </cell>
        </row>
        <row r="3292">
          <cell r="A3292">
            <v>0</v>
          </cell>
        </row>
        <row r="3293">
          <cell r="A3293">
            <v>0</v>
          </cell>
        </row>
        <row r="3294">
          <cell r="A3294">
            <v>0</v>
          </cell>
        </row>
        <row r="3295">
          <cell r="A3295">
            <v>0</v>
          </cell>
        </row>
        <row r="3296">
          <cell r="A3296">
            <v>0</v>
          </cell>
        </row>
        <row r="3297">
          <cell r="A3297">
            <v>0</v>
          </cell>
        </row>
        <row r="3298">
          <cell r="A3298">
            <v>0</v>
          </cell>
        </row>
        <row r="3299">
          <cell r="A3299">
            <v>0</v>
          </cell>
        </row>
        <row r="3300">
          <cell r="A3300">
            <v>0</v>
          </cell>
        </row>
        <row r="3301">
          <cell r="A3301">
            <v>0</v>
          </cell>
        </row>
        <row r="3302">
          <cell r="A3302">
            <v>0</v>
          </cell>
        </row>
        <row r="3303">
          <cell r="A3303">
            <v>0</v>
          </cell>
        </row>
        <row r="3304">
          <cell r="A3304">
            <v>0</v>
          </cell>
        </row>
        <row r="3305">
          <cell r="A3305">
            <v>0</v>
          </cell>
        </row>
        <row r="3306">
          <cell r="A3306">
            <v>0</v>
          </cell>
        </row>
        <row r="3307">
          <cell r="A3307">
            <v>0</v>
          </cell>
        </row>
        <row r="3308">
          <cell r="A3308">
            <v>0</v>
          </cell>
        </row>
        <row r="3309">
          <cell r="A3309">
            <v>0</v>
          </cell>
        </row>
        <row r="3310">
          <cell r="A3310">
            <v>0</v>
          </cell>
        </row>
        <row r="3311">
          <cell r="A3311">
            <v>0</v>
          </cell>
        </row>
        <row r="3312">
          <cell r="A3312">
            <v>0</v>
          </cell>
        </row>
        <row r="3313">
          <cell r="A3313">
            <v>0</v>
          </cell>
        </row>
        <row r="3314">
          <cell r="A3314">
            <v>0</v>
          </cell>
        </row>
        <row r="3315">
          <cell r="A3315">
            <v>0</v>
          </cell>
        </row>
        <row r="3316">
          <cell r="A3316">
            <v>0</v>
          </cell>
        </row>
        <row r="3317">
          <cell r="A3317">
            <v>0</v>
          </cell>
        </row>
        <row r="3318">
          <cell r="A3318">
            <v>0</v>
          </cell>
        </row>
        <row r="3319">
          <cell r="A3319">
            <v>0</v>
          </cell>
        </row>
        <row r="3320">
          <cell r="A3320">
            <v>0</v>
          </cell>
        </row>
        <row r="3321">
          <cell r="A3321">
            <v>0</v>
          </cell>
        </row>
        <row r="3322">
          <cell r="A3322">
            <v>0</v>
          </cell>
        </row>
        <row r="3323">
          <cell r="A3323">
            <v>0</v>
          </cell>
        </row>
        <row r="3324">
          <cell r="A3324">
            <v>0</v>
          </cell>
        </row>
        <row r="3325">
          <cell r="A3325">
            <v>0</v>
          </cell>
        </row>
        <row r="3326">
          <cell r="A3326">
            <v>0</v>
          </cell>
        </row>
        <row r="3327">
          <cell r="A3327">
            <v>0</v>
          </cell>
        </row>
        <row r="3328">
          <cell r="A3328">
            <v>0</v>
          </cell>
        </row>
        <row r="3329">
          <cell r="A3329">
            <v>0</v>
          </cell>
        </row>
        <row r="3330">
          <cell r="A3330">
            <v>0</v>
          </cell>
        </row>
        <row r="3331">
          <cell r="A3331">
            <v>0</v>
          </cell>
        </row>
        <row r="3332">
          <cell r="A3332">
            <v>0</v>
          </cell>
        </row>
        <row r="3333">
          <cell r="A3333">
            <v>0</v>
          </cell>
        </row>
        <row r="3334">
          <cell r="A3334">
            <v>0</v>
          </cell>
        </row>
        <row r="3335">
          <cell r="A3335">
            <v>0</v>
          </cell>
        </row>
        <row r="3336">
          <cell r="A3336">
            <v>0</v>
          </cell>
        </row>
        <row r="3337">
          <cell r="A3337">
            <v>0</v>
          </cell>
        </row>
        <row r="3338">
          <cell r="A3338">
            <v>0</v>
          </cell>
        </row>
        <row r="3339">
          <cell r="A3339">
            <v>0</v>
          </cell>
        </row>
        <row r="3340">
          <cell r="A3340">
            <v>0</v>
          </cell>
        </row>
        <row r="3341">
          <cell r="A3341">
            <v>0</v>
          </cell>
        </row>
        <row r="3342">
          <cell r="A3342">
            <v>0</v>
          </cell>
        </row>
        <row r="3343">
          <cell r="A3343">
            <v>0</v>
          </cell>
        </row>
        <row r="3344">
          <cell r="A3344">
            <v>0</v>
          </cell>
        </row>
        <row r="3345">
          <cell r="A3345">
            <v>0</v>
          </cell>
        </row>
        <row r="3346">
          <cell r="A3346">
            <v>0</v>
          </cell>
        </row>
        <row r="3347">
          <cell r="A3347">
            <v>0</v>
          </cell>
        </row>
        <row r="3348">
          <cell r="A3348">
            <v>0</v>
          </cell>
        </row>
        <row r="3349">
          <cell r="A3349">
            <v>0</v>
          </cell>
        </row>
        <row r="3350">
          <cell r="A3350">
            <v>0</v>
          </cell>
        </row>
        <row r="3351">
          <cell r="A3351">
            <v>0</v>
          </cell>
        </row>
        <row r="3352">
          <cell r="A3352">
            <v>0</v>
          </cell>
        </row>
        <row r="3353">
          <cell r="A3353">
            <v>0</v>
          </cell>
        </row>
        <row r="3354">
          <cell r="A3354">
            <v>0</v>
          </cell>
        </row>
        <row r="3355">
          <cell r="A3355">
            <v>0</v>
          </cell>
        </row>
        <row r="3356">
          <cell r="A3356">
            <v>0</v>
          </cell>
        </row>
        <row r="3357">
          <cell r="A3357">
            <v>0</v>
          </cell>
        </row>
        <row r="3358">
          <cell r="A3358">
            <v>0</v>
          </cell>
        </row>
        <row r="3359">
          <cell r="A3359">
            <v>0</v>
          </cell>
        </row>
        <row r="3360">
          <cell r="A3360">
            <v>0</v>
          </cell>
        </row>
        <row r="3361">
          <cell r="A3361">
            <v>0</v>
          </cell>
        </row>
        <row r="3362">
          <cell r="A3362">
            <v>0</v>
          </cell>
        </row>
        <row r="3363">
          <cell r="A3363">
            <v>0</v>
          </cell>
        </row>
        <row r="3364">
          <cell r="A3364">
            <v>0</v>
          </cell>
        </row>
        <row r="3365">
          <cell r="A3365">
            <v>0</v>
          </cell>
        </row>
        <row r="3366">
          <cell r="A3366">
            <v>0</v>
          </cell>
        </row>
        <row r="3367">
          <cell r="A3367">
            <v>0</v>
          </cell>
        </row>
        <row r="3368">
          <cell r="A3368">
            <v>0</v>
          </cell>
        </row>
        <row r="3369">
          <cell r="A3369">
            <v>0</v>
          </cell>
        </row>
        <row r="3370">
          <cell r="A3370">
            <v>0</v>
          </cell>
        </row>
        <row r="3371">
          <cell r="A3371">
            <v>0</v>
          </cell>
        </row>
        <row r="3372">
          <cell r="A3372">
            <v>0</v>
          </cell>
        </row>
        <row r="3373">
          <cell r="A3373">
            <v>0</v>
          </cell>
        </row>
        <row r="3374">
          <cell r="A3374">
            <v>0</v>
          </cell>
        </row>
        <row r="3375">
          <cell r="A3375">
            <v>0</v>
          </cell>
        </row>
        <row r="3376">
          <cell r="A3376">
            <v>0</v>
          </cell>
        </row>
        <row r="3377">
          <cell r="A3377">
            <v>0</v>
          </cell>
        </row>
        <row r="3378">
          <cell r="A3378">
            <v>0</v>
          </cell>
        </row>
        <row r="3379">
          <cell r="A3379">
            <v>0</v>
          </cell>
        </row>
        <row r="3380">
          <cell r="A3380">
            <v>0</v>
          </cell>
        </row>
        <row r="3381">
          <cell r="A3381">
            <v>0</v>
          </cell>
        </row>
        <row r="3382">
          <cell r="A3382">
            <v>0</v>
          </cell>
        </row>
        <row r="3383">
          <cell r="A3383">
            <v>0</v>
          </cell>
        </row>
        <row r="3384">
          <cell r="A3384">
            <v>0</v>
          </cell>
        </row>
        <row r="3385">
          <cell r="A3385">
            <v>0</v>
          </cell>
        </row>
        <row r="3386">
          <cell r="A3386">
            <v>0</v>
          </cell>
        </row>
        <row r="3387">
          <cell r="A3387">
            <v>0</v>
          </cell>
        </row>
        <row r="3388">
          <cell r="A3388">
            <v>0</v>
          </cell>
        </row>
        <row r="3389">
          <cell r="A3389">
            <v>0</v>
          </cell>
        </row>
        <row r="3390">
          <cell r="A3390">
            <v>0</v>
          </cell>
        </row>
        <row r="3391">
          <cell r="A3391">
            <v>0</v>
          </cell>
        </row>
        <row r="3392">
          <cell r="A3392">
            <v>0</v>
          </cell>
        </row>
        <row r="3393">
          <cell r="A3393">
            <v>0</v>
          </cell>
        </row>
        <row r="3394">
          <cell r="A3394">
            <v>0</v>
          </cell>
        </row>
        <row r="3395">
          <cell r="A3395">
            <v>0</v>
          </cell>
        </row>
        <row r="3396">
          <cell r="A3396">
            <v>0</v>
          </cell>
        </row>
        <row r="3397">
          <cell r="A3397">
            <v>0</v>
          </cell>
        </row>
        <row r="3398">
          <cell r="A3398">
            <v>0</v>
          </cell>
        </row>
        <row r="3399">
          <cell r="A3399">
            <v>0</v>
          </cell>
        </row>
        <row r="3400">
          <cell r="A3400">
            <v>0</v>
          </cell>
        </row>
        <row r="3401">
          <cell r="A3401">
            <v>0</v>
          </cell>
        </row>
        <row r="3402">
          <cell r="A3402">
            <v>0</v>
          </cell>
        </row>
        <row r="3403">
          <cell r="A3403">
            <v>0</v>
          </cell>
        </row>
        <row r="3404">
          <cell r="A3404">
            <v>0</v>
          </cell>
        </row>
        <row r="3405">
          <cell r="A3405">
            <v>0</v>
          </cell>
        </row>
        <row r="3406">
          <cell r="A3406">
            <v>0</v>
          </cell>
        </row>
        <row r="3407">
          <cell r="A3407">
            <v>0</v>
          </cell>
        </row>
        <row r="3408">
          <cell r="A3408">
            <v>0</v>
          </cell>
        </row>
        <row r="3409">
          <cell r="A3409">
            <v>0</v>
          </cell>
        </row>
        <row r="3410">
          <cell r="A3410">
            <v>0</v>
          </cell>
        </row>
        <row r="3411">
          <cell r="A3411">
            <v>0</v>
          </cell>
        </row>
        <row r="3412">
          <cell r="A3412">
            <v>0</v>
          </cell>
        </row>
        <row r="3413">
          <cell r="A3413">
            <v>0</v>
          </cell>
        </row>
        <row r="3414">
          <cell r="A3414">
            <v>0</v>
          </cell>
        </row>
        <row r="3415">
          <cell r="A3415">
            <v>0</v>
          </cell>
        </row>
        <row r="3416">
          <cell r="A3416">
            <v>0</v>
          </cell>
        </row>
        <row r="3417">
          <cell r="A3417">
            <v>0</v>
          </cell>
        </row>
        <row r="3418">
          <cell r="A3418">
            <v>0</v>
          </cell>
        </row>
        <row r="3419">
          <cell r="A3419">
            <v>0</v>
          </cell>
        </row>
        <row r="3420">
          <cell r="A3420">
            <v>0</v>
          </cell>
        </row>
        <row r="3421">
          <cell r="A3421">
            <v>0</v>
          </cell>
        </row>
        <row r="3422">
          <cell r="A3422">
            <v>0</v>
          </cell>
        </row>
        <row r="3423">
          <cell r="A3423">
            <v>0</v>
          </cell>
        </row>
        <row r="3424">
          <cell r="A3424">
            <v>0</v>
          </cell>
        </row>
        <row r="3425">
          <cell r="A3425">
            <v>0</v>
          </cell>
        </row>
        <row r="3426">
          <cell r="A3426">
            <v>0</v>
          </cell>
        </row>
        <row r="3427">
          <cell r="A3427">
            <v>0</v>
          </cell>
        </row>
        <row r="3428">
          <cell r="A3428">
            <v>0</v>
          </cell>
        </row>
        <row r="3429">
          <cell r="A3429">
            <v>0</v>
          </cell>
        </row>
        <row r="3430">
          <cell r="A3430">
            <v>0</v>
          </cell>
        </row>
        <row r="3431">
          <cell r="A3431">
            <v>0</v>
          </cell>
        </row>
        <row r="3432">
          <cell r="A3432">
            <v>0</v>
          </cell>
        </row>
        <row r="3433">
          <cell r="A3433">
            <v>0</v>
          </cell>
        </row>
        <row r="3434">
          <cell r="A3434">
            <v>0</v>
          </cell>
        </row>
        <row r="3435">
          <cell r="A3435">
            <v>0</v>
          </cell>
        </row>
        <row r="3436">
          <cell r="A3436">
            <v>0</v>
          </cell>
        </row>
        <row r="3437">
          <cell r="A3437">
            <v>0</v>
          </cell>
        </row>
        <row r="3438">
          <cell r="A3438">
            <v>0</v>
          </cell>
        </row>
        <row r="3439">
          <cell r="A3439">
            <v>0</v>
          </cell>
        </row>
        <row r="3440">
          <cell r="A3440">
            <v>0</v>
          </cell>
        </row>
        <row r="3441">
          <cell r="A3441">
            <v>0</v>
          </cell>
        </row>
        <row r="3442">
          <cell r="A3442">
            <v>0</v>
          </cell>
        </row>
        <row r="3443">
          <cell r="A3443">
            <v>0</v>
          </cell>
        </row>
        <row r="3444">
          <cell r="A3444">
            <v>0</v>
          </cell>
        </row>
        <row r="3445">
          <cell r="A3445">
            <v>0</v>
          </cell>
        </row>
        <row r="3446">
          <cell r="A3446">
            <v>0</v>
          </cell>
        </row>
        <row r="3447">
          <cell r="A3447">
            <v>0</v>
          </cell>
        </row>
        <row r="3448">
          <cell r="A3448">
            <v>0</v>
          </cell>
        </row>
        <row r="3449">
          <cell r="A3449">
            <v>0</v>
          </cell>
        </row>
        <row r="3450">
          <cell r="A3450">
            <v>0</v>
          </cell>
        </row>
        <row r="3451">
          <cell r="A3451">
            <v>0</v>
          </cell>
        </row>
        <row r="3452">
          <cell r="A3452">
            <v>0</v>
          </cell>
        </row>
        <row r="3453">
          <cell r="A3453">
            <v>0</v>
          </cell>
        </row>
        <row r="3454">
          <cell r="A3454">
            <v>0</v>
          </cell>
        </row>
        <row r="3455">
          <cell r="A3455">
            <v>0</v>
          </cell>
        </row>
        <row r="3456">
          <cell r="A3456">
            <v>0</v>
          </cell>
        </row>
        <row r="3457">
          <cell r="A3457">
            <v>0</v>
          </cell>
        </row>
        <row r="3458">
          <cell r="A3458">
            <v>0</v>
          </cell>
        </row>
        <row r="3459">
          <cell r="A3459">
            <v>0</v>
          </cell>
        </row>
        <row r="3460">
          <cell r="A3460">
            <v>0</v>
          </cell>
        </row>
        <row r="3461">
          <cell r="A3461">
            <v>0</v>
          </cell>
        </row>
        <row r="3462">
          <cell r="A3462">
            <v>0</v>
          </cell>
        </row>
        <row r="3463">
          <cell r="A3463">
            <v>0</v>
          </cell>
        </row>
        <row r="3464">
          <cell r="A3464">
            <v>0</v>
          </cell>
        </row>
        <row r="3465">
          <cell r="A3465">
            <v>0</v>
          </cell>
        </row>
        <row r="3466">
          <cell r="A3466">
            <v>0</v>
          </cell>
        </row>
        <row r="3467">
          <cell r="A3467">
            <v>0</v>
          </cell>
        </row>
        <row r="3468">
          <cell r="A3468">
            <v>0</v>
          </cell>
        </row>
        <row r="3469">
          <cell r="A3469">
            <v>0</v>
          </cell>
        </row>
        <row r="3470">
          <cell r="A3470">
            <v>0</v>
          </cell>
        </row>
        <row r="3471">
          <cell r="A3471">
            <v>0</v>
          </cell>
        </row>
        <row r="3472">
          <cell r="A3472">
            <v>0</v>
          </cell>
        </row>
        <row r="3473">
          <cell r="A3473">
            <v>0</v>
          </cell>
        </row>
        <row r="3474">
          <cell r="A3474">
            <v>0</v>
          </cell>
        </row>
        <row r="3475">
          <cell r="A3475">
            <v>0</v>
          </cell>
        </row>
        <row r="3476">
          <cell r="A3476">
            <v>0</v>
          </cell>
        </row>
        <row r="3477">
          <cell r="A3477">
            <v>0</v>
          </cell>
        </row>
        <row r="3478">
          <cell r="A3478">
            <v>0</v>
          </cell>
        </row>
        <row r="3479">
          <cell r="A3479">
            <v>0</v>
          </cell>
        </row>
        <row r="3480">
          <cell r="A3480">
            <v>0</v>
          </cell>
        </row>
        <row r="3481">
          <cell r="A3481">
            <v>0</v>
          </cell>
        </row>
        <row r="3482">
          <cell r="A3482">
            <v>0</v>
          </cell>
        </row>
        <row r="3483">
          <cell r="A3483">
            <v>0</v>
          </cell>
        </row>
        <row r="3484">
          <cell r="A3484">
            <v>0</v>
          </cell>
        </row>
        <row r="3485">
          <cell r="A3485">
            <v>0</v>
          </cell>
        </row>
        <row r="3486">
          <cell r="A3486">
            <v>0</v>
          </cell>
        </row>
        <row r="3487">
          <cell r="A3487">
            <v>0</v>
          </cell>
        </row>
        <row r="3488">
          <cell r="A3488">
            <v>0</v>
          </cell>
        </row>
        <row r="3489">
          <cell r="A3489">
            <v>0</v>
          </cell>
        </row>
        <row r="3490">
          <cell r="A3490">
            <v>0</v>
          </cell>
        </row>
        <row r="3491">
          <cell r="A3491">
            <v>0</v>
          </cell>
        </row>
        <row r="3492">
          <cell r="A3492">
            <v>0</v>
          </cell>
        </row>
        <row r="3493">
          <cell r="A3493">
            <v>0</v>
          </cell>
        </row>
        <row r="3494">
          <cell r="A3494">
            <v>0</v>
          </cell>
        </row>
        <row r="3495">
          <cell r="A3495">
            <v>0</v>
          </cell>
        </row>
        <row r="3496">
          <cell r="A3496">
            <v>0</v>
          </cell>
        </row>
        <row r="3497">
          <cell r="A3497">
            <v>0</v>
          </cell>
        </row>
        <row r="3498">
          <cell r="A3498">
            <v>0</v>
          </cell>
        </row>
        <row r="3499">
          <cell r="A3499">
            <v>0</v>
          </cell>
        </row>
        <row r="3500">
          <cell r="A3500">
            <v>0</v>
          </cell>
        </row>
        <row r="3501">
          <cell r="A3501">
            <v>0</v>
          </cell>
        </row>
        <row r="3502">
          <cell r="A3502">
            <v>0</v>
          </cell>
        </row>
        <row r="3503">
          <cell r="A3503">
            <v>0</v>
          </cell>
        </row>
        <row r="3504">
          <cell r="A3504">
            <v>0</v>
          </cell>
        </row>
        <row r="3505">
          <cell r="A3505">
            <v>0</v>
          </cell>
        </row>
        <row r="3506">
          <cell r="A3506">
            <v>0</v>
          </cell>
        </row>
        <row r="3507">
          <cell r="A3507">
            <v>0</v>
          </cell>
        </row>
        <row r="3508">
          <cell r="A3508">
            <v>0</v>
          </cell>
        </row>
        <row r="3509">
          <cell r="A3509">
            <v>0</v>
          </cell>
        </row>
        <row r="3510">
          <cell r="A3510">
            <v>0</v>
          </cell>
        </row>
        <row r="3511">
          <cell r="A3511">
            <v>0</v>
          </cell>
        </row>
        <row r="3512">
          <cell r="A3512">
            <v>0</v>
          </cell>
        </row>
        <row r="3513">
          <cell r="A3513">
            <v>0</v>
          </cell>
        </row>
        <row r="3514">
          <cell r="A3514">
            <v>0</v>
          </cell>
        </row>
        <row r="3515">
          <cell r="A3515">
            <v>0</v>
          </cell>
        </row>
        <row r="3516">
          <cell r="A3516">
            <v>0</v>
          </cell>
        </row>
        <row r="3517">
          <cell r="A3517">
            <v>0</v>
          </cell>
        </row>
        <row r="3518">
          <cell r="A3518">
            <v>0</v>
          </cell>
        </row>
        <row r="3519">
          <cell r="A3519">
            <v>0</v>
          </cell>
        </row>
        <row r="3520">
          <cell r="A3520">
            <v>0</v>
          </cell>
        </row>
        <row r="3521">
          <cell r="A3521">
            <v>0</v>
          </cell>
        </row>
        <row r="3522">
          <cell r="A3522">
            <v>0</v>
          </cell>
        </row>
        <row r="3523">
          <cell r="A3523">
            <v>0</v>
          </cell>
        </row>
        <row r="3524">
          <cell r="A3524">
            <v>0</v>
          </cell>
        </row>
        <row r="3525">
          <cell r="A3525">
            <v>0</v>
          </cell>
        </row>
        <row r="3526">
          <cell r="A3526">
            <v>0</v>
          </cell>
        </row>
        <row r="3527">
          <cell r="A3527">
            <v>0</v>
          </cell>
        </row>
        <row r="3528">
          <cell r="A3528">
            <v>0</v>
          </cell>
        </row>
        <row r="3529">
          <cell r="A3529">
            <v>0</v>
          </cell>
        </row>
        <row r="3530">
          <cell r="A3530">
            <v>0</v>
          </cell>
        </row>
        <row r="3531">
          <cell r="A3531">
            <v>0</v>
          </cell>
        </row>
        <row r="3532">
          <cell r="A3532">
            <v>0</v>
          </cell>
        </row>
        <row r="3533">
          <cell r="A3533">
            <v>0</v>
          </cell>
        </row>
        <row r="3534">
          <cell r="A3534">
            <v>0</v>
          </cell>
        </row>
        <row r="3535">
          <cell r="A3535">
            <v>0</v>
          </cell>
        </row>
        <row r="3536">
          <cell r="A3536">
            <v>0</v>
          </cell>
        </row>
        <row r="3537">
          <cell r="A3537">
            <v>0</v>
          </cell>
        </row>
        <row r="3538">
          <cell r="A3538">
            <v>0</v>
          </cell>
        </row>
        <row r="3539">
          <cell r="A3539">
            <v>0</v>
          </cell>
        </row>
        <row r="3540">
          <cell r="A3540">
            <v>0</v>
          </cell>
        </row>
        <row r="3541">
          <cell r="A3541">
            <v>0</v>
          </cell>
        </row>
        <row r="3542">
          <cell r="A3542">
            <v>0</v>
          </cell>
        </row>
        <row r="3543">
          <cell r="A3543">
            <v>0</v>
          </cell>
        </row>
        <row r="3544">
          <cell r="A3544">
            <v>0</v>
          </cell>
        </row>
        <row r="3545">
          <cell r="A3545">
            <v>0</v>
          </cell>
        </row>
        <row r="3546">
          <cell r="A3546">
            <v>0</v>
          </cell>
        </row>
        <row r="3547">
          <cell r="A3547">
            <v>0</v>
          </cell>
        </row>
        <row r="3548">
          <cell r="A3548">
            <v>0</v>
          </cell>
        </row>
        <row r="3549">
          <cell r="A3549">
            <v>0</v>
          </cell>
        </row>
        <row r="3550">
          <cell r="A3550">
            <v>0</v>
          </cell>
        </row>
        <row r="3551">
          <cell r="A3551">
            <v>0</v>
          </cell>
        </row>
        <row r="3552">
          <cell r="A3552">
            <v>0</v>
          </cell>
        </row>
        <row r="3553">
          <cell r="A3553">
            <v>0</v>
          </cell>
        </row>
        <row r="3554">
          <cell r="A3554">
            <v>0</v>
          </cell>
        </row>
        <row r="3555">
          <cell r="A3555">
            <v>0</v>
          </cell>
        </row>
        <row r="3556">
          <cell r="A3556">
            <v>0</v>
          </cell>
        </row>
        <row r="3557">
          <cell r="A3557">
            <v>0</v>
          </cell>
        </row>
        <row r="3558">
          <cell r="A3558">
            <v>0</v>
          </cell>
        </row>
        <row r="3559">
          <cell r="A3559">
            <v>0</v>
          </cell>
        </row>
        <row r="3560">
          <cell r="A3560">
            <v>0</v>
          </cell>
        </row>
        <row r="3561">
          <cell r="A3561">
            <v>0</v>
          </cell>
        </row>
        <row r="3562">
          <cell r="A3562">
            <v>0</v>
          </cell>
        </row>
        <row r="3563">
          <cell r="A3563">
            <v>0</v>
          </cell>
        </row>
        <row r="3564">
          <cell r="A3564">
            <v>0</v>
          </cell>
        </row>
        <row r="3565">
          <cell r="A3565">
            <v>0</v>
          </cell>
        </row>
        <row r="3566">
          <cell r="A3566">
            <v>0</v>
          </cell>
        </row>
        <row r="3567">
          <cell r="A3567">
            <v>0</v>
          </cell>
        </row>
        <row r="3568">
          <cell r="A3568">
            <v>0</v>
          </cell>
        </row>
        <row r="3569">
          <cell r="A3569">
            <v>0</v>
          </cell>
        </row>
        <row r="3570">
          <cell r="A3570">
            <v>0</v>
          </cell>
        </row>
        <row r="3571">
          <cell r="A3571">
            <v>0</v>
          </cell>
        </row>
        <row r="3572">
          <cell r="A3572">
            <v>0</v>
          </cell>
        </row>
        <row r="3573">
          <cell r="A3573">
            <v>0</v>
          </cell>
        </row>
        <row r="3574">
          <cell r="A3574">
            <v>0</v>
          </cell>
        </row>
        <row r="3575">
          <cell r="A3575">
            <v>0</v>
          </cell>
        </row>
        <row r="3576">
          <cell r="A3576">
            <v>0</v>
          </cell>
        </row>
        <row r="3577">
          <cell r="A3577">
            <v>0</v>
          </cell>
        </row>
        <row r="3578">
          <cell r="A3578">
            <v>0</v>
          </cell>
        </row>
        <row r="3579">
          <cell r="A3579">
            <v>0</v>
          </cell>
        </row>
        <row r="3580">
          <cell r="A3580">
            <v>0</v>
          </cell>
        </row>
        <row r="3581">
          <cell r="A3581">
            <v>0</v>
          </cell>
        </row>
        <row r="3582">
          <cell r="A3582">
            <v>0</v>
          </cell>
        </row>
        <row r="3583">
          <cell r="A3583">
            <v>0</v>
          </cell>
        </row>
        <row r="3584">
          <cell r="A3584">
            <v>0</v>
          </cell>
        </row>
        <row r="3585">
          <cell r="A3585">
            <v>0</v>
          </cell>
        </row>
        <row r="3586">
          <cell r="A3586">
            <v>0</v>
          </cell>
        </row>
        <row r="3587">
          <cell r="A3587">
            <v>0</v>
          </cell>
        </row>
        <row r="3588">
          <cell r="A3588">
            <v>0</v>
          </cell>
        </row>
        <row r="3589">
          <cell r="A3589">
            <v>0</v>
          </cell>
        </row>
        <row r="3590">
          <cell r="A3590">
            <v>0</v>
          </cell>
        </row>
        <row r="3591">
          <cell r="A3591">
            <v>0</v>
          </cell>
        </row>
        <row r="3592">
          <cell r="A3592">
            <v>0</v>
          </cell>
        </row>
        <row r="3593">
          <cell r="A3593">
            <v>0</v>
          </cell>
        </row>
        <row r="3594">
          <cell r="A3594">
            <v>0</v>
          </cell>
        </row>
        <row r="3595">
          <cell r="A3595">
            <v>0</v>
          </cell>
        </row>
        <row r="3596">
          <cell r="A3596">
            <v>0</v>
          </cell>
        </row>
        <row r="3597">
          <cell r="A3597">
            <v>0</v>
          </cell>
        </row>
        <row r="3598">
          <cell r="A3598">
            <v>0</v>
          </cell>
        </row>
        <row r="3599">
          <cell r="A3599">
            <v>0</v>
          </cell>
        </row>
        <row r="3600">
          <cell r="A3600">
            <v>0</v>
          </cell>
        </row>
        <row r="3601">
          <cell r="A3601">
            <v>0</v>
          </cell>
        </row>
        <row r="3602">
          <cell r="A3602">
            <v>0</v>
          </cell>
        </row>
        <row r="3603">
          <cell r="A3603">
            <v>0</v>
          </cell>
        </row>
        <row r="3604">
          <cell r="A3604">
            <v>0</v>
          </cell>
        </row>
        <row r="3605">
          <cell r="A3605">
            <v>0</v>
          </cell>
        </row>
        <row r="3606">
          <cell r="A3606">
            <v>0</v>
          </cell>
        </row>
        <row r="3607">
          <cell r="A3607">
            <v>0</v>
          </cell>
        </row>
        <row r="3608">
          <cell r="A3608">
            <v>0</v>
          </cell>
        </row>
        <row r="3609">
          <cell r="A3609">
            <v>0</v>
          </cell>
        </row>
        <row r="3610">
          <cell r="A3610">
            <v>0</v>
          </cell>
        </row>
        <row r="3611">
          <cell r="A3611">
            <v>0</v>
          </cell>
        </row>
        <row r="3612">
          <cell r="A3612">
            <v>0</v>
          </cell>
        </row>
        <row r="3613">
          <cell r="A3613">
            <v>0</v>
          </cell>
        </row>
        <row r="3614">
          <cell r="A3614">
            <v>0</v>
          </cell>
        </row>
        <row r="3615">
          <cell r="A3615">
            <v>0</v>
          </cell>
        </row>
        <row r="3616">
          <cell r="A3616">
            <v>0</v>
          </cell>
        </row>
        <row r="3617">
          <cell r="A3617">
            <v>0</v>
          </cell>
        </row>
        <row r="3618">
          <cell r="A3618">
            <v>0</v>
          </cell>
        </row>
        <row r="3619">
          <cell r="A3619">
            <v>0</v>
          </cell>
        </row>
        <row r="3620">
          <cell r="A3620">
            <v>0</v>
          </cell>
        </row>
        <row r="3621">
          <cell r="A3621">
            <v>0</v>
          </cell>
        </row>
        <row r="3622">
          <cell r="A3622">
            <v>0</v>
          </cell>
        </row>
        <row r="3623">
          <cell r="A3623">
            <v>0</v>
          </cell>
        </row>
        <row r="3624">
          <cell r="A3624">
            <v>0</v>
          </cell>
        </row>
        <row r="3625">
          <cell r="A3625">
            <v>0</v>
          </cell>
        </row>
        <row r="3626">
          <cell r="A3626">
            <v>0</v>
          </cell>
        </row>
        <row r="3627">
          <cell r="A3627">
            <v>0</v>
          </cell>
        </row>
        <row r="3628">
          <cell r="A3628">
            <v>0</v>
          </cell>
        </row>
        <row r="3629">
          <cell r="A3629">
            <v>0</v>
          </cell>
        </row>
        <row r="3630">
          <cell r="A3630">
            <v>0</v>
          </cell>
        </row>
        <row r="3631">
          <cell r="A3631">
            <v>0</v>
          </cell>
        </row>
        <row r="3632">
          <cell r="A3632">
            <v>0</v>
          </cell>
        </row>
        <row r="3633">
          <cell r="A3633">
            <v>0</v>
          </cell>
        </row>
        <row r="3634">
          <cell r="A3634">
            <v>0</v>
          </cell>
        </row>
        <row r="3635">
          <cell r="A3635">
            <v>0</v>
          </cell>
        </row>
        <row r="3636">
          <cell r="A3636">
            <v>0</v>
          </cell>
        </row>
        <row r="3637">
          <cell r="A3637">
            <v>0</v>
          </cell>
        </row>
        <row r="3638">
          <cell r="A3638">
            <v>0</v>
          </cell>
        </row>
        <row r="3639">
          <cell r="A3639">
            <v>0</v>
          </cell>
        </row>
        <row r="3640">
          <cell r="A3640">
            <v>0</v>
          </cell>
        </row>
        <row r="3641">
          <cell r="A3641">
            <v>0</v>
          </cell>
        </row>
        <row r="3642">
          <cell r="A3642">
            <v>0</v>
          </cell>
        </row>
        <row r="3643">
          <cell r="A3643">
            <v>0</v>
          </cell>
        </row>
        <row r="3644">
          <cell r="A3644">
            <v>0</v>
          </cell>
        </row>
        <row r="3645">
          <cell r="A3645">
            <v>0</v>
          </cell>
        </row>
        <row r="3646">
          <cell r="A3646">
            <v>0</v>
          </cell>
        </row>
        <row r="3647">
          <cell r="A3647">
            <v>0</v>
          </cell>
        </row>
        <row r="3648">
          <cell r="A3648">
            <v>0</v>
          </cell>
        </row>
        <row r="3649">
          <cell r="A3649">
            <v>0</v>
          </cell>
        </row>
        <row r="3650">
          <cell r="A3650">
            <v>0</v>
          </cell>
        </row>
        <row r="3651">
          <cell r="A3651">
            <v>0</v>
          </cell>
        </row>
        <row r="3652">
          <cell r="A3652">
            <v>0</v>
          </cell>
        </row>
        <row r="3653">
          <cell r="A3653">
            <v>0</v>
          </cell>
        </row>
        <row r="3654">
          <cell r="A3654">
            <v>0</v>
          </cell>
        </row>
        <row r="3655">
          <cell r="A3655">
            <v>0</v>
          </cell>
        </row>
        <row r="3656">
          <cell r="A3656">
            <v>0</v>
          </cell>
        </row>
        <row r="3657">
          <cell r="A3657">
            <v>0</v>
          </cell>
        </row>
        <row r="3658">
          <cell r="A3658">
            <v>0</v>
          </cell>
        </row>
        <row r="3659">
          <cell r="A3659">
            <v>0</v>
          </cell>
        </row>
        <row r="3660">
          <cell r="A3660">
            <v>0</v>
          </cell>
        </row>
        <row r="3661">
          <cell r="A3661">
            <v>0</v>
          </cell>
        </row>
        <row r="3662">
          <cell r="A3662">
            <v>0</v>
          </cell>
        </row>
        <row r="3663">
          <cell r="A3663">
            <v>0</v>
          </cell>
        </row>
        <row r="3664">
          <cell r="A3664">
            <v>0</v>
          </cell>
        </row>
        <row r="3665">
          <cell r="A3665">
            <v>0</v>
          </cell>
        </row>
        <row r="3666">
          <cell r="A3666">
            <v>0</v>
          </cell>
        </row>
        <row r="3667">
          <cell r="A3667">
            <v>0</v>
          </cell>
        </row>
        <row r="3668">
          <cell r="A3668">
            <v>0</v>
          </cell>
        </row>
        <row r="3669">
          <cell r="A3669">
            <v>0</v>
          </cell>
        </row>
        <row r="3670">
          <cell r="A3670">
            <v>0</v>
          </cell>
        </row>
        <row r="3671">
          <cell r="A3671">
            <v>0</v>
          </cell>
        </row>
        <row r="3672">
          <cell r="A3672">
            <v>0</v>
          </cell>
        </row>
        <row r="3673">
          <cell r="A3673">
            <v>0</v>
          </cell>
        </row>
        <row r="3674">
          <cell r="A3674">
            <v>0</v>
          </cell>
        </row>
        <row r="3675">
          <cell r="A3675">
            <v>0</v>
          </cell>
        </row>
        <row r="3676">
          <cell r="A3676">
            <v>0</v>
          </cell>
        </row>
        <row r="3677">
          <cell r="A3677">
            <v>0</v>
          </cell>
        </row>
        <row r="3678">
          <cell r="A3678">
            <v>0</v>
          </cell>
        </row>
        <row r="3679">
          <cell r="A3679">
            <v>0</v>
          </cell>
        </row>
        <row r="3680">
          <cell r="A3680">
            <v>0</v>
          </cell>
        </row>
        <row r="3681">
          <cell r="A3681">
            <v>0</v>
          </cell>
        </row>
        <row r="3682">
          <cell r="A3682">
            <v>0</v>
          </cell>
        </row>
        <row r="3683">
          <cell r="A3683">
            <v>0</v>
          </cell>
        </row>
        <row r="3684">
          <cell r="A3684">
            <v>0</v>
          </cell>
        </row>
        <row r="3685">
          <cell r="A3685">
            <v>0</v>
          </cell>
        </row>
        <row r="3686">
          <cell r="A3686">
            <v>0</v>
          </cell>
        </row>
        <row r="3687">
          <cell r="A3687">
            <v>0</v>
          </cell>
        </row>
        <row r="3688">
          <cell r="A3688">
            <v>0</v>
          </cell>
        </row>
        <row r="3689">
          <cell r="A3689">
            <v>0</v>
          </cell>
        </row>
        <row r="3690">
          <cell r="A3690">
            <v>0</v>
          </cell>
        </row>
        <row r="3691">
          <cell r="A3691">
            <v>0</v>
          </cell>
        </row>
        <row r="3692">
          <cell r="A3692">
            <v>0</v>
          </cell>
        </row>
        <row r="3693">
          <cell r="A3693">
            <v>0</v>
          </cell>
        </row>
        <row r="3694">
          <cell r="A3694">
            <v>0</v>
          </cell>
        </row>
        <row r="3695">
          <cell r="A3695">
            <v>0</v>
          </cell>
        </row>
        <row r="3696">
          <cell r="A3696">
            <v>0</v>
          </cell>
        </row>
        <row r="3697">
          <cell r="A3697">
            <v>0</v>
          </cell>
        </row>
        <row r="3698">
          <cell r="A3698">
            <v>0</v>
          </cell>
        </row>
        <row r="3699">
          <cell r="A3699">
            <v>0</v>
          </cell>
        </row>
        <row r="3700">
          <cell r="A3700">
            <v>0</v>
          </cell>
        </row>
        <row r="3701">
          <cell r="A3701">
            <v>0</v>
          </cell>
        </row>
        <row r="3702">
          <cell r="A3702">
            <v>0</v>
          </cell>
        </row>
        <row r="3703">
          <cell r="A3703">
            <v>0</v>
          </cell>
        </row>
        <row r="3704">
          <cell r="A3704">
            <v>0</v>
          </cell>
        </row>
        <row r="3705">
          <cell r="A3705">
            <v>0</v>
          </cell>
        </row>
        <row r="3706">
          <cell r="A3706">
            <v>0</v>
          </cell>
        </row>
        <row r="3707">
          <cell r="A3707">
            <v>0</v>
          </cell>
        </row>
        <row r="3708">
          <cell r="A3708">
            <v>0</v>
          </cell>
        </row>
        <row r="3709">
          <cell r="A3709">
            <v>0</v>
          </cell>
        </row>
        <row r="3710">
          <cell r="A3710">
            <v>0</v>
          </cell>
        </row>
        <row r="3711">
          <cell r="A3711">
            <v>0</v>
          </cell>
        </row>
        <row r="3712">
          <cell r="A3712">
            <v>0</v>
          </cell>
        </row>
        <row r="3713">
          <cell r="A3713">
            <v>0</v>
          </cell>
        </row>
        <row r="3714">
          <cell r="A3714">
            <v>0</v>
          </cell>
        </row>
        <row r="3715">
          <cell r="A3715">
            <v>0</v>
          </cell>
        </row>
        <row r="3716">
          <cell r="A3716">
            <v>0</v>
          </cell>
        </row>
        <row r="3717">
          <cell r="A3717">
            <v>0</v>
          </cell>
        </row>
        <row r="3718">
          <cell r="A3718">
            <v>0</v>
          </cell>
        </row>
        <row r="3719">
          <cell r="A3719">
            <v>0</v>
          </cell>
        </row>
        <row r="3720">
          <cell r="A3720">
            <v>0</v>
          </cell>
        </row>
        <row r="3721">
          <cell r="A3721">
            <v>0</v>
          </cell>
        </row>
        <row r="3722">
          <cell r="A3722">
            <v>0</v>
          </cell>
        </row>
        <row r="3723">
          <cell r="A3723">
            <v>0</v>
          </cell>
        </row>
        <row r="3724">
          <cell r="A3724">
            <v>0</v>
          </cell>
        </row>
        <row r="3725">
          <cell r="A3725">
            <v>0</v>
          </cell>
        </row>
        <row r="3726">
          <cell r="A3726">
            <v>0</v>
          </cell>
        </row>
        <row r="3727">
          <cell r="A3727">
            <v>0</v>
          </cell>
        </row>
        <row r="3728">
          <cell r="A3728">
            <v>0</v>
          </cell>
        </row>
        <row r="3729">
          <cell r="A3729">
            <v>0</v>
          </cell>
        </row>
        <row r="3730">
          <cell r="A3730">
            <v>0</v>
          </cell>
        </row>
        <row r="3731">
          <cell r="A3731">
            <v>0</v>
          </cell>
        </row>
        <row r="3732">
          <cell r="A3732">
            <v>0</v>
          </cell>
        </row>
        <row r="3733">
          <cell r="A3733">
            <v>0</v>
          </cell>
        </row>
        <row r="3734">
          <cell r="A3734">
            <v>0</v>
          </cell>
        </row>
        <row r="3735">
          <cell r="A3735">
            <v>0</v>
          </cell>
        </row>
        <row r="3736">
          <cell r="A3736">
            <v>0</v>
          </cell>
        </row>
        <row r="3737">
          <cell r="A3737">
            <v>0</v>
          </cell>
        </row>
        <row r="3738">
          <cell r="A3738">
            <v>0</v>
          </cell>
        </row>
        <row r="3739">
          <cell r="A3739">
            <v>0</v>
          </cell>
        </row>
        <row r="3740">
          <cell r="A3740">
            <v>0</v>
          </cell>
        </row>
        <row r="3741">
          <cell r="A3741">
            <v>0</v>
          </cell>
        </row>
        <row r="3742">
          <cell r="A3742">
            <v>0</v>
          </cell>
        </row>
        <row r="3743">
          <cell r="A3743">
            <v>0</v>
          </cell>
        </row>
        <row r="3744">
          <cell r="A3744">
            <v>0</v>
          </cell>
        </row>
        <row r="3745">
          <cell r="A3745">
            <v>0</v>
          </cell>
        </row>
        <row r="3746">
          <cell r="A3746">
            <v>0</v>
          </cell>
        </row>
        <row r="3747">
          <cell r="A3747">
            <v>0</v>
          </cell>
        </row>
        <row r="3748">
          <cell r="A3748">
            <v>0</v>
          </cell>
        </row>
        <row r="3749">
          <cell r="A3749">
            <v>0</v>
          </cell>
        </row>
        <row r="3750">
          <cell r="A3750">
            <v>0</v>
          </cell>
        </row>
        <row r="3751">
          <cell r="A3751">
            <v>0</v>
          </cell>
        </row>
        <row r="3752">
          <cell r="A3752">
            <v>0</v>
          </cell>
        </row>
        <row r="3753">
          <cell r="A3753">
            <v>0</v>
          </cell>
        </row>
        <row r="3754">
          <cell r="A3754">
            <v>0</v>
          </cell>
        </row>
        <row r="3755">
          <cell r="A3755">
            <v>0</v>
          </cell>
        </row>
        <row r="3756">
          <cell r="A3756">
            <v>0</v>
          </cell>
        </row>
        <row r="3757">
          <cell r="A3757">
            <v>0</v>
          </cell>
        </row>
        <row r="3758">
          <cell r="A3758">
            <v>0</v>
          </cell>
        </row>
        <row r="3759">
          <cell r="A3759">
            <v>0</v>
          </cell>
        </row>
        <row r="3760">
          <cell r="A3760">
            <v>0</v>
          </cell>
        </row>
        <row r="3761">
          <cell r="A3761">
            <v>0</v>
          </cell>
        </row>
        <row r="3762">
          <cell r="A3762">
            <v>0</v>
          </cell>
        </row>
        <row r="3763">
          <cell r="A3763">
            <v>0</v>
          </cell>
        </row>
        <row r="3764">
          <cell r="A3764">
            <v>0</v>
          </cell>
        </row>
        <row r="3765">
          <cell r="A3765">
            <v>0</v>
          </cell>
        </row>
        <row r="3766">
          <cell r="A3766">
            <v>0</v>
          </cell>
        </row>
        <row r="3767">
          <cell r="A3767">
            <v>0</v>
          </cell>
        </row>
        <row r="3768">
          <cell r="A3768">
            <v>0</v>
          </cell>
        </row>
        <row r="3769">
          <cell r="A3769">
            <v>0</v>
          </cell>
        </row>
        <row r="3770">
          <cell r="A3770">
            <v>0</v>
          </cell>
        </row>
        <row r="3771">
          <cell r="A3771">
            <v>0</v>
          </cell>
        </row>
        <row r="3772">
          <cell r="A3772">
            <v>0</v>
          </cell>
        </row>
        <row r="3773">
          <cell r="A3773">
            <v>0</v>
          </cell>
        </row>
        <row r="3774">
          <cell r="A3774">
            <v>0</v>
          </cell>
        </row>
        <row r="3775">
          <cell r="A3775">
            <v>0</v>
          </cell>
        </row>
        <row r="3776">
          <cell r="A3776">
            <v>0</v>
          </cell>
        </row>
        <row r="3777">
          <cell r="A3777">
            <v>0</v>
          </cell>
        </row>
        <row r="3778">
          <cell r="A3778">
            <v>0</v>
          </cell>
        </row>
        <row r="3779">
          <cell r="A3779">
            <v>0</v>
          </cell>
        </row>
        <row r="3780">
          <cell r="A3780">
            <v>0</v>
          </cell>
        </row>
        <row r="3781">
          <cell r="A3781">
            <v>0</v>
          </cell>
        </row>
        <row r="3782">
          <cell r="A3782">
            <v>0</v>
          </cell>
        </row>
        <row r="3783">
          <cell r="A3783">
            <v>0</v>
          </cell>
        </row>
        <row r="3784">
          <cell r="A3784">
            <v>0</v>
          </cell>
        </row>
        <row r="3785">
          <cell r="A3785">
            <v>0</v>
          </cell>
        </row>
        <row r="3786">
          <cell r="A3786">
            <v>0</v>
          </cell>
        </row>
        <row r="3787">
          <cell r="A3787">
            <v>0</v>
          </cell>
        </row>
        <row r="3788">
          <cell r="A3788">
            <v>0</v>
          </cell>
        </row>
        <row r="3789">
          <cell r="A3789">
            <v>0</v>
          </cell>
        </row>
        <row r="3790">
          <cell r="A3790">
            <v>0</v>
          </cell>
        </row>
        <row r="3791">
          <cell r="A3791">
            <v>0</v>
          </cell>
        </row>
        <row r="3792">
          <cell r="A3792">
            <v>0</v>
          </cell>
        </row>
        <row r="3793">
          <cell r="A3793">
            <v>0</v>
          </cell>
        </row>
        <row r="3794">
          <cell r="A3794">
            <v>0</v>
          </cell>
        </row>
        <row r="3795">
          <cell r="A3795">
            <v>0</v>
          </cell>
        </row>
        <row r="3796">
          <cell r="A3796">
            <v>0</v>
          </cell>
        </row>
        <row r="3797">
          <cell r="A3797">
            <v>0</v>
          </cell>
        </row>
        <row r="3798">
          <cell r="A3798">
            <v>0</v>
          </cell>
        </row>
        <row r="3799">
          <cell r="A3799">
            <v>0</v>
          </cell>
        </row>
        <row r="3800">
          <cell r="A3800">
            <v>0</v>
          </cell>
        </row>
        <row r="3801">
          <cell r="A3801">
            <v>0</v>
          </cell>
        </row>
        <row r="3802">
          <cell r="A3802">
            <v>0</v>
          </cell>
        </row>
        <row r="3803">
          <cell r="A3803">
            <v>0</v>
          </cell>
        </row>
        <row r="3804">
          <cell r="A3804">
            <v>0</v>
          </cell>
        </row>
        <row r="3805">
          <cell r="A3805">
            <v>0</v>
          </cell>
        </row>
        <row r="3806">
          <cell r="A3806">
            <v>0</v>
          </cell>
        </row>
        <row r="3807">
          <cell r="A3807">
            <v>0</v>
          </cell>
        </row>
        <row r="3808">
          <cell r="A3808">
            <v>0</v>
          </cell>
        </row>
        <row r="3809">
          <cell r="A3809">
            <v>0</v>
          </cell>
        </row>
        <row r="3810">
          <cell r="A3810">
            <v>0</v>
          </cell>
        </row>
        <row r="3811">
          <cell r="A3811">
            <v>0</v>
          </cell>
        </row>
        <row r="3812">
          <cell r="A3812">
            <v>0</v>
          </cell>
        </row>
        <row r="3813">
          <cell r="A3813">
            <v>0</v>
          </cell>
        </row>
        <row r="3814">
          <cell r="A3814">
            <v>0</v>
          </cell>
        </row>
        <row r="3815">
          <cell r="A3815">
            <v>0</v>
          </cell>
        </row>
        <row r="3816">
          <cell r="A3816">
            <v>0</v>
          </cell>
        </row>
        <row r="3817">
          <cell r="A3817">
            <v>0</v>
          </cell>
        </row>
        <row r="3818">
          <cell r="A3818">
            <v>0</v>
          </cell>
        </row>
        <row r="3819">
          <cell r="A3819">
            <v>0</v>
          </cell>
        </row>
        <row r="3820">
          <cell r="A3820">
            <v>0</v>
          </cell>
        </row>
        <row r="3821">
          <cell r="A3821">
            <v>0</v>
          </cell>
        </row>
        <row r="3822">
          <cell r="A3822">
            <v>0</v>
          </cell>
        </row>
        <row r="3823">
          <cell r="A3823">
            <v>0</v>
          </cell>
        </row>
        <row r="3824">
          <cell r="A3824">
            <v>0</v>
          </cell>
        </row>
        <row r="3825">
          <cell r="A3825">
            <v>0</v>
          </cell>
        </row>
        <row r="3826">
          <cell r="A3826">
            <v>0</v>
          </cell>
        </row>
        <row r="3827">
          <cell r="A3827">
            <v>0</v>
          </cell>
        </row>
        <row r="3828">
          <cell r="A3828">
            <v>0</v>
          </cell>
        </row>
        <row r="3829">
          <cell r="A3829">
            <v>0</v>
          </cell>
        </row>
        <row r="3830">
          <cell r="A3830">
            <v>0</v>
          </cell>
        </row>
        <row r="3831">
          <cell r="A3831">
            <v>0</v>
          </cell>
        </row>
        <row r="3832">
          <cell r="A3832">
            <v>0</v>
          </cell>
        </row>
        <row r="3833">
          <cell r="A3833">
            <v>0</v>
          </cell>
        </row>
        <row r="3834">
          <cell r="A3834">
            <v>0</v>
          </cell>
        </row>
        <row r="3835">
          <cell r="A3835">
            <v>0</v>
          </cell>
        </row>
        <row r="3836">
          <cell r="A3836">
            <v>0</v>
          </cell>
        </row>
        <row r="3837">
          <cell r="A3837">
            <v>0</v>
          </cell>
        </row>
        <row r="3838">
          <cell r="A3838">
            <v>0</v>
          </cell>
        </row>
        <row r="3839">
          <cell r="A3839">
            <v>0</v>
          </cell>
        </row>
        <row r="3840">
          <cell r="A3840">
            <v>0</v>
          </cell>
        </row>
        <row r="3841">
          <cell r="A3841">
            <v>0</v>
          </cell>
        </row>
        <row r="3842">
          <cell r="A3842">
            <v>0</v>
          </cell>
        </row>
        <row r="3843">
          <cell r="A3843">
            <v>0</v>
          </cell>
        </row>
        <row r="3844">
          <cell r="A3844">
            <v>0</v>
          </cell>
        </row>
        <row r="3845">
          <cell r="A3845">
            <v>0</v>
          </cell>
        </row>
        <row r="3846">
          <cell r="A3846">
            <v>0</v>
          </cell>
        </row>
        <row r="3847">
          <cell r="A3847">
            <v>0</v>
          </cell>
        </row>
        <row r="3848">
          <cell r="A3848">
            <v>0</v>
          </cell>
        </row>
        <row r="3849">
          <cell r="A3849">
            <v>0</v>
          </cell>
        </row>
        <row r="3850">
          <cell r="A3850">
            <v>0</v>
          </cell>
        </row>
        <row r="3851">
          <cell r="A3851">
            <v>0</v>
          </cell>
        </row>
        <row r="3852">
          <cell r="A3852">
            <v>0</v>
          </cell>
        </row>
        <row r="3853">
          <cell r="A3853">
            <v>0</v>
          </cell>
        </row>
        <row r="3854">
          <cell r="A3854">
            <v>0</v>
          </cell>
        </row>
        <row r="3855">
          <cell r="A3855">
            <v>0</v>
          </cell>
        </row>
        <row r="3856">
          <cell r="A3856">
            <v>0</v>
          </cell>
        </row>
        <row r="3857">
          <cell r="A3857">
            <v>0</v>
          </cell>
        </row>
        <row r="3858">
          <cell r="A3858">
            <v>0</v>
          </cell>
        </row>
        <row r="3859">
          <cell r="A3859">
            <v>0</v>
          </cell>
        </row>
        <row r="3860">
          <cell r="A3860">
            <v>0</v>
          </cell>
        </row>
        <row r="3861">
          <cell r="A3861">
            <v>0</v>
          </cell>
        </row>
        <row r="3862">
          <cell r="A3862">
            <v>0</v>
          </cell>
        </row>
        <row r="3863">
          <cell r="A3863">
            <v>0</v>
          </cell>
        </row>
        <row r="3864">
          <cell r="A3864">
            <v>0</v>
          </cell>
        </row>
        <row r="3865">
          <cell r="A3865">
            <v>0</v>
          </cell>
        </row>
        <row r="3866">
          <cell r="A3866">
            <v>0</v>
          </cell>
        </row>
        <row r="3867">
          <cell r="A3867">
            <v>0</v>
          </cell>
        </row>
        <row r="3868">
          <cell r="A3868">
            <v>0</v>
          </cell>
        </row>
        <row r="3869">
          <cell r="A3869">
            <v>0</v>
          </cell>
        </row>
        <row r="3870">
          <cell r="A3870">
            <v>0</v>
          </cell>
        </row>
        <row r="3871">
          <cell r="A3871">
            <v>0</v>
          </cell>
        </row>
        <row r="3872">
          <cell r="A3872">
            <v>0</v>
          </cell>
        </row>
        <row r="3873">
          <cell r="A3873">
            <v>0</v>
          </cell>
        </row>
        <row r="3874">
          <cell r="A3874">
            <v>0</v>
          </cell>
        </row>
        <row r="3875">
          <cell r="A3875">
            <v>0</v>
          </cell>
        </row>
        <row r="3876">
          <cell r="A3876">
            <v>0</v>
          </cell>
        </row>
        <row r="3877">
          <cell r="A3877">
            <v>0</v>
          </cell>
        </row>
        <row r="3878">
          <cell r="A3878">
            <v>0</v>
          </cell>
        </row>
        <row r="3879">
          <cell r="A3879">
            <v>0</v>
          </cell>
        </row>
        <row r="3880">
          <cell r="A3880">
            <v>0</v>
          </cell>
        </row>
        <row r="3881">
          <cell r="A3881">
            <v>0</v>
          </cell>
        </row>
        <row r="3882">
          <cell r="A3882">
            <v>0</v>
          </cell>
        </row>
        <row r="3883">
          <cell r="A3883">
            <v>0</v>
          </cell>
        </row>
        <row r="3884">
          <cell r="A3884">
            <v>0</v>
          </cell>
        </row>
        <row r="3885">
          <cell r="A3885">
            <v>0</v>
          </cell>
        </row>
        <row r="3886">
          <cell r="A3886">
            <v>0</v>
          </cell>
        </row>
        <row r="3887">
          <cell r="A3887">
            <v>0</v>
          </cell>
        </row>
        <row r="3888">
          <cell r="A3888">
            <v>0</v>
          </cell>
        </row>
        <row r="3889">
          <cell r="A3889">
            <v>0</v>
          </cell>
        </row>
        <row r="3890">
          <cell r="A3890">
            <v>0</v>
          </cell>
        </row>
        <row r="3891">
          <cell r="A3891">
            <v>0</v>
          </cell>
        </row>
        <row r="3892">
          <cell r="A3892">
            <v>0</v>
          </cell>
        </row>
        <row r="3893">
          <cell r="A3893">
            <v>0</v>
          </cell>
        </row>
        <row r="3894">
          <cell r="A3894">
            <v>0</v>
          </cell>
        </row>
        <row r="3895">
          <cell r="A3895">
            <v>0</v>
          </cell>
        </row>
        <row r="3896">
          <cell r="A3896">
            <v>0</v>
          </cell>
        </row>
        <row r="3897">
          <cell r="A3897">
            <v>0</v>
          </cell>
        </row>
        <row r="3898">
          <cell r="A3898">
            <v>0</v>
          </cell>
        </row>
        <row r="3899">
          <cell r="A3899">
            <v>0</v>
          </cell>
        </row>
        <row r="3900">
          <cell r="A3900">
            <v>0</v>
          </cell>
        </row>
        <row r="3901">
          <cell r="A3901">
            <v>0</v>
          </cell>
        </row>
        <row r="3902">
          <cell r="A3902">
            <v>0</v>
          </cell>
        </row>
        <row r="3903">
          <cell r="A3903">
            <v>0</v>
          </cell>
        </row>
        <row r="3904">
          <cell r="A3904">
            <v>0</v>
          </cell>
        </row>
        <row r="3905">
          <cell r="A3905">
            <v>0</v>
          </cell>
        </row>
        <row r="3906">
          <cell r="A3906">
            <v>0</v>
          </cell>
        </row>
        <row r="3907">
          <cell r="A3907">
            <v>0</v>
          </cell>
        </row>
        <row r="3908">
          <cell r="A3908">
            <v>0</v>
          </cell>
        </row>
        <row r="3909">
          <cell r="A3909">
            <v>0</v>
          </cell>
        </row>
        <row r="3910">
          <cell r="A3910">
            <v>0</v>
          </cell>
        </row>
        <row r="3911">
          <cell r="A3911">
            <v>0</v>
          </cell>
        </row>
        <row r="3912">
          <cell r="A3912">
            <v>0</v>
          </cell>
        </row>
        <row r="3913">
          <cell r="A3913">
            <v>0</v>
          </cell>
        </row>
        <row r="3914">
          <cell r="A3914">
            <v>0</v>
          </cell>
        </row>
        <row r="3915">
          <cell r="A3915">
            <v>0</v>
          </cell>
        </row>
        <row r="3916">
          <cell r="A3916">
            <v>0</v>
          </cell>
        </row>
        <row r="3917">
          <cell r="A3917">
            <v>0</v>
          </cell>
        </row>
        <row r="3918">
          <cell r="A3918">
            <v>0</v>
          </cell>
        </row>
        <row r="3919">
          <cell r="A3919">
            <v>0</v>
          </cell>
        </row>
        <row r="3920">
          <cell r="A3920">
            <v>0</v>
          </cell>
        </row>
        <row r="3921">
          <cell r="A3921">
            <v>0</v>
          </cell>
        </row>
        <row r="3922">
          <cell r="A3922">
            <v>0</v>
          </cell>
        </row>
        <row r="3923">
          <cell r="A3923">
            <v>0</v>
          </cell>
        </row>
        <row r="3924">
          <cell r="A3924">
            <v>0</v>
          </cell>
        </row>
        <row r="3925">
          <cell r="A3925">
            <v>0</v>
          </cell>
        </row>
        <row r="3926">
          <cell r="A3926">
            <v>0</v>
          </cell>
        </row>
        <row r="3927">
          <cell r="A3927">
            <v>0</v>
          </cell>
        </row>
        <row r="3928">
          <cell r="A3928">
            <v>0</v>
          </cell>
        </row>
        <row r="3929">
          <cell r="A3929">
            <v>0</v>
          </cell>
        </row>
        <row r="3930">
          <cell r="A3930">
            <v>0</v>
          </cell>
        </row>
        <row r="3931">
          <cell r="A3931">
            <v>0</v>
          </cell>
        </row>
        <row r="3932">
          <cell r="A3932">
            <v>0</v>
          </cell>
        </row>
        <row r="3933">
          <cell r="A3933">
            <v>0</v>
          </cell>
        </row>
        <row r="3934">
          <cell r="A3934">
            <v>0</v>
          </cell>
        </row>
        <row r="3935">
          <cell r="A3935">
            <v>0</v>
          </cell>
        </row>
        <row r="3936">
          <cell r="A3936">
            <v>0</v>
          </cell>
        </row>
        <row r="3937">
          <cell r="A3937">
            <v>0</v>
          </cell>
        </row>
        <row r="3938">
          <cell r="A3938">
            <v>0</v>
          </cell>
        </row>
        <row r="3939">
          <cell r="A3939">
            <v>0</v>
          </cell>
        </row>
        <row r="3940">
          <cell r="A3940">
            <v>0</v>
          </cell>
        </row>
        <row r="3941">
          <cell r="A3941">
            <v>0</v>
          </cell>
        </row>
        <row r="3942">
          <cell r="A3942">
            <v>0</v>
          </cell>
        </row>
        <row r="3943">
          <cell r="A3943">
            <v>0</v>
          </cell>
        </row>
        <row r="3944">
          <cell r="A3944">
            <v>0</v>
          </cell>
        </row>
        <row r="3945">
          <cell r="A3945">
            <v>0</v>
          </cell>
        </row>
        <row r="3946">
          <cell r="A3946">
            <v>0</v>
          </cell>
        </row>
        <row r="3947">
          <cell r="A3947">
            <v>0</v>
          </cell>
        </row>
        <row r="3948">
          <cell r="A3948">
            <v>0</v>
          </cell>
        </row>
        <row r="3949">
          <cell r="A3949">
            <v>0</v>
          </cell>
        </row>
        <row r="3950">
          <cell r="A3950">
            <v>0</v>
          </cell>
        </row>
        <row r="3951">
          <cell r="A3951">
            <v>0</v>
          </cell>
        </row>
        <row r="3952">
          <cell r="A3952">
            <v>0</v>
          </cell>
        </row>
        <row r="3953">
          <cell r="A3953">
            <v>0</v>
          </cell>
        </row>
        <row r="3954">
          <cell r="A3954">
            <v>0</v>
          </cell>
        </row>
        <row r="3955">
          <cell r="A3955">
            <v>0</v>
          </cell>
        </row>
        <row r="3956">
          <cell r="A3956">
            <v>0</v>
          </cell>
        </row>
        <row r="3957">
          <cell r="A3957">
            <v>0</v>
          </cell>
        </row>
        <row r="3958">
          <cell r="A3958">
            <v>0</v>
          </cell>
        </row>
        <row r="3959">
          <cell r="A3959">
            <v>0</v>
          </cell>
        </row>
        <row r="3960">
          <cell r="A3960">
            <v>0</v>
          </cell>
        </row>
        <row r="3961">
          <cell r="A3961">
            <v>0</v>
          </cell>
        </row>
        <row r="3962">
          <cell r="A3962">
            <v>0</v>
          </cell>
        </row>
        <row r="3963">
          <cell r="A3963">
            <v>0</v>
          </cell>
        </row>
        <row r="3964">
          <cell r="A3964">
            <v>0</v>
          </cell>
        </row>
        <row r="3965">
          <cell r="A3965">
            <v>0</v>
          </cell>
        </row>
        <row r="3966">
          <cell r="A3966">
            <v>0</v>
          </cell>
        </row>
        <row r="3967">
          <cell r="A3967">
            <v>0</v>
          </cell>
        </row>
        <row r="3968">
          <cell r="A3968">
            <v>0</v>
          </cell>
        </row>
        <row r="3969">
          <cell r="A3969">
            <v>0</v>
          </cell>
        </row>
        <row r="3970">
          <cell r="A3970">
            <v>0</v>
          </cell>
        </row>
        <row r="3971">
          <cell r="A3971">
            <v>0</v>
          </cell>
        </row>
        <row r="3972">
          <cell r="A3972">
            <v>0</v>
          </cell>
        </row>
        <row r="3973">
          <cell r="A3973">
            <v>0</v>
          </cell>
        </row>
        <row r="3974">
          <cell r="A3974">
            <v>0</v>
          </cell>
        </row>
        <row r="3975">
          <cell r="A3975">
            <v>0</v>
          </cell>
        </row>
        <row r="3976">
          <cell r="A3976">
            <v>0</v>
          </cell>
        </row>
        <row r="3977">
          <cell r="A3977">
            <v>0</v>
          </cell>
        </row>
        <row r="3978">
          <cell r="A3978">
            <v>0</v>
          </cell>
        </row>
        <row r="3979">
          <cell r="A3979">
            <v>0</v>
          </cell>
        </row>
        <row r="3980">
          <cell r="A3980">
            <v>0</v>
          </cell>
        </row>
        <row r="3981">
          <cell r="A3981">
            <v>0</v>
          </cell>
        </row>
        <row r="3982">
          <cell r="A3982">
            <v>0</v>
          </cell>
        </row>
        <row r="3983">
          <cell r="A3983">
            <v>0</v>
          </cell>
        </row>
        <row r="3984">
          <cell r="A3984">
            <v>0</v>
          </cell>
        </row>
        <row r="3985">
          <cell r="A3985">
            <v>0</v>
          </cell>
        </row>
        <row r="3986">
          <cell r="A3986">
            <v>0</v>
          </cell>
        </row>
        <row r="3987">
          <cell r="A3987">
            <v>0</v>
          </cell>
        </row>
        <row r="3988">
          <cell r="A3988">
            <v>0</v>
          </cell>
        </row>
        <row r="3989">
          <cell r="A3989">
            <v>0</v>
          </cell>
        </row>
        <row r="3990">
          <cell r="A3990">
            <v>0</v>
          </cell>
        </row>
        <row r="3991">
          <cell r="A3991">
            <v>0</v>
          </cell>
        </row>
        <row r="3992">
          <cell r="A3992">
            <v>0</v>
          </cell>
        </row>
        <row r="3993">
          <cell r="A3993">
            <v>0</v>
          </cell>
        </row>
        <row r="3994">
          <cell r="A3994">
            <v>0</v>
          </cell>
        </row>
        <row r="3995">
          <cell r="A3995">
            <v>0</v>
          </cell>
        </row>
        <row r="3996">
          <cell r="A3996">
            <v>0</v>
          </cell>
        </row>
        <row r="3997">
          <cell r="A3997">
            <v>0</v>
          </cell>
        </row>
        <row r="3998">
          <cell r="A3998">
            <v>0</v>
          </cell>
        </row>
        <row r="3999">
          <cell r="A3999">
            <v>0</v>
          </cell>
        </row>
        <row r="4000">
          <cell r="A4000">
            <v>0</v>
          </cell>
        </row>
        <row r="4001">
          <cell r="A4001">
            <v>0</v>
          </cell>
        </row>
        <row r="4002">
          <cell r="A4002">
            <v>0</v>
          </cell>
        </row>
        <row r="4003">
          <cell r="A4003">
            <v>0</v>
          </cell>
        </row>
        <row r="4004">
          <cell r="A4004">
            <v>0</v>
          </cell>
        </row>
        <row r="4005">
          <cell r="A4005">
            <v>0</v>
          </cell>
        </row>
        <row r="4006">
          <cell r="A4006">
            <v>0</v>
          </cell>
        </row>
        <row r="4007">
          <cell r="A4007">
            <v>0</v>
          </cell>
        </row>
        <row r="4008">
          <cell r="A4008">
            <v>0</v>
          </cell>
        </row>
        <row r="4009">
          <cell r="A4009">
            <v>0</v>
          </cell>
        </row>
        <row r="4010">
          <cell r="A4010">
            <v>0</v>
          </cell>
        </row>
        <row r="4011">
          <cell r="A4011">
            <v>0</v>
          </cell>
        </row>
        <row r="4012">
          <cell r="A4012">
            <v>0</v>
          </cell>
        </row>
        <row r="4013">
          <cell r="A4013">
            <v>0</v>
          </cell>
        </row>
        <row r="4014">
          <cell r="A4014">
            <v>0</v>
          </cell>
        </row>
        <row r="4015">
          <cell r="A4015">
            <v>0</v>
          </cell>
        </row>
        <row r="4016">
          <cell r="A4016">
            <v>0</v>
          </cell>
        </row>
        <row r="4017">
          <cell r="A4017">
            <v>0</v>
          </cell>
        </row>
        <row r="4018">
          <cell r="A4018">
            <v>0</v>
          </cell>
        </row>
        <row r="4019">
          <cell r="A4019">
            <v>0</v>
          </cell>
        </row>
        <row r="4020">
          <cell r="A4020">
            <v>0</v>
          </cell>
        </row>
        <row r="4021">
          <cell r="A4021">
            <v>0</v>
          </cell>
        </row>
        <row r="4022">
          <cell r="A4022">
            <v>0</v>
          </cell>
        </row>
        <row r="4023">
          <cell r="A4023">
            <v>0</v>
          </cell>
        </row>
        <row r="4024">
          <cell r="A4024">
            <v>0</v>
          </cell>
        </row>
        <row r="4025">
          <cell r="A4025">
            <v>0</v>
          </cell>
        </row>
        <row r="4026">
          <cell r="A4026">
            <v>0</v>
          </cell>
        </row>
        <row r="4027">
          <cell r="A4027">
            <v>0</v>
          </cell>
        </row>
        <row r="4028">
          <cell r="A4028">
            <v>0</v>
          </cell>
        </row>
        <row r="4029">
          <cell r="A4029">
            <v>0</v>
          </cell>
        </row>
        <row r="4030">
          <cell r="A4030">
            <v>0</v>
          </cell>
        </row>
      </sheetData>
      <sheetData sheetId="3">
        <row r="478">
          <cell r="A478" t="str">
            <v xml:space="preserve"> **</v>
          </cell>
        </row>
      </sheetData>
      <sheetData sheetId="4"/>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bcontractors"/>
      <sheetName val="Receiving1"/>
      <sheetName val="Form Responses Cleaned"/>
      <sheetName val="Validation List"/>
      <sheetName val="Worker List v2"/>
    </sheetNames>
    <sheetDataSet>
      <sheetData sheetId="0"/>
      <sheetData sheetId="1">
        <row r="1">
          <cell r="A1" t="str">
            <v>Name</v>
          </cell>
        </row>
      </sheetData>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bcontractors"/>
      <sheetName val="Receiving1"/>
      <sheetName val="Form Responses Cleaned"/>
      <sheetName val="Validation List"/>
      <sheetName val="Worker List v2.0"/>
      <sheetName val="Subcontractors (2)"/>
    </sheetNames>
    <sheetDataSet>
      <sheetData sheetId="0">
        <row r="1">
          <cell r="B1" t="str">
            <v>Name</v>
          </cell>
        </row>
      </sheetData>
      <sheetData sheetId="1">
        <row r="1">
          <cell r="A1" t="str">
            <v>Name</v>
          </cell>
        </row>
      </sheetData>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Bergel Sarenas" id="{AB6C3669-C627-421B-BD09-B7E4B77E475D}" userId="ae7087b93e35e4e5" providerId="Windows Live"/>
  <person displayName="Office MMJ" id="{E1509E43-0793-4107-8BAF-A3F5EA049630}" userId="d12ad7908e2e5e87" providerId="Windows Live"/>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220221-6F3E-4CB8-AE0F-54C4862703AB}" name="Table1" displayName="Table1" ref="A1:F957" totalsRowShown="0" headerRowDxfId="272" dataDxfId="270" headerRowBorderDxfId="271" tableBorderDxfId="269">
  <autoFilter ref="A1:F957" xr:uid="{44220221-6F3E-4CB8-AE0F-54C4862703AB}">
    <filterColumn colId="4">
      <filters>
        <filter val="$1,032.30"/>
        <filter val="$1,082.25"/>
        <filter val="$1,211.29"/>
        <filter val="$1,280.00"/>
        <filter val="$1,402.76"/>
        <filter val="$1,440.23"/>
        <filter val="$1,502.66"/>
        <filter val="$1,531.80"/>
        <filter val="$1,550.00"/>
        <filter val="$1,800.00"/>
        <filter val="$1,839.83"/>
        <filter val="$1,889.78"/>
        <filter val="$116.55"/>
        <filter val="$124.00"/>
        <filter val="$124.88"/>
        <filter val="$129.04"/>
        <filter val="$133.20"/>
        <filter val="$144.00"/>
        <filter val="$149.85"/>
        <filter val="$174.83"/>
        <filter val="$183.15"/>
        <filter val="$199.80"/>
        <filter val="$2,105.00"/>
        <filter val="$2,115.00"/>
        <filter val="$208.13"/>
        <filter val="$220.61"/>
        <filter val="$224.40"/>
        <filter val="$224.78"/>
        <filter val="$249.75"/>
        <filter val="$270.56"/>
        <filter val="$283.05"/>
        <filter val="$299.70"/>
        <filter val="$303.86"/>
        <filter val="$306.00"/>
        <filter val="$328.84"/>
        <filter val="$366.30"/>
        <filter val="$370.46"/>
        <filter val="$449.55"/>
        <filter val="$49.95"/>
        <filter val="$511.99"/>
        <filter val="$513.00"/>
        <filter val="$566.10"/>
        <filter val="$58.28"/>
        <filter val="$607.73"/>
        <filter val="$624.38"/>
        <filter val="$636.86"/>
        <filter val="$66.60"/>
        <filter val="$666.00"/>
        <filter val="$674.33"/>
        <filter val="$714.00"/>
        <filter val="$715.95"/>
        <filter val="$724.28"/>
        <filter val="$728.44"/>
        <filter val="$756.00"/>
        <filter val="$782.55"/>
        <filter val="$80.00"/>
        <filter val="$820.01"/>
        <filter val="$828.34"/>
        <filter val="$87.41"/>
        <filter val="$874.13"/>
        <filter val="$99.90"/>
      </filters>
    </filterColumn>
    <filterColumn colId="5">
      <customFilters>
        <customFilter operator="notEqual" val=" "/>
      </customFilters>
    </filterColumn>
  </autoFilter>
  <sortState xmlns:xlrd2="http://schemas.microsoft.com/office/spreadsheetml/2017/richdata2" ref="A25:F904">
    <sortCondition ref="F1:F957"/>
  </sortState>
  <tableColumns count="6">
    <tableColumn id="1" xr3:uid="{77430232-ADCF-4600-A9B8-BC824E0733A3}" name="PAY PERIOD September 20 - October 3, 2025" dataDxfId="268"/>
    <tableColumn id="2" xr3:uid="{F88AD56B-4823-4612-B50E-26884B6CD610}" name="HOURS" dataDxfId="267"/>
    <tableColumn id="3" xr3:uid="{12625C6C-3DC8-422D-82BA-8D8AD696AE45}" name="TYPE" dataDxfId="266"/>
    <tableColumn id="4" xr3:uid="{EA6307D1-975C-4010-9B95-E363A2105711}" name="RATE" dataDxfId="265"/>
    <tableColumn id="5" xr3:uid="{2BE1E9A2-D7C8-415E-92A6-07D4CB57E80F}" name="TOTAL" dataDxfId="264"/>
    <tableColumn id="6" xr3:uid="{FD0C57E1-378E-4C69-8E45-155A71C691FD}" name="HOTEL" dataDxfId="26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A9B847-0661-49A9-BFD2-58CD289F0265}" name="Table4" displayName="Table4" ref="A1:J1734" totalsRowShown="0" headerRowDxfId="262" dataDxfId="260" headerRowBorderDxfId="261" tableBorderDxfId="259" totalsRowBorderDxfId="258">
  <autoFilter ref="A1:J1734" xr:uid="{06715C47-232C-45C7-A793-9E92CF0B0959}"/>
  <sortState xmlns:xlrd2="http://schemas.microsoft.com/office/spreadsheetml/2017/richdata2" ref="A2:J1734">
    <sortCondition ref="B1:B1734"/>
  </sortState>
  <tableColumns count="10">
    <tableColumn id="6" xr3:uid="{9ED92550-D6FD-4C55-A252-F32982B71E1B}" name="ID" dataDxfId="257"/>
    <tableColumn id="1" xr3:uid="{6336BD9A-D8AC-4B7D-A955-914D3675F8A4}" name="Name" dataDxfId="256"/>
    <tableColumn id="2" xr3:uid="{DEA2A955-D1D7-49EB-AA4F-B9FA89BF2B41}" name="Physical Address" dataDxfId="255"/>
    <tableColumn id="9" xr3:uid="{01021391-7663-46C3-BA1E-A26C7C5B00E5}" name="Interac Email Final" dataDxfId="254"/>
    <tableColumn id="4" xr3:uid="{698354B5-0BF4-4956-B37D-61489E96EBBB}" name="Phone Number" dataDxfId="253"/>
    <tableColumn id="3" xr3:uid="{52582FBE-8ACD-464D-AB72-28EF0F889CAD}" name="Alias" dataDxfId="252"/>
    <tableColumn id="7" xr3:uid="{AA5AD907-3E10-4D94-956C-B1D39F655B54}" name="Comment" dataDxfId="251"/>
    <tableColumn id="10" xr3:uid="{67E51C4D-7157-47C1-BCF1-59BAAE043589}" name="Mail or Pickup" dataDxfId="250"/>
    <tableColumn id="5" xr3:uid="{BB0BD646-C87E-4D41-A348-71BD2811E085}" name="Column1" dataDxfId="249"/>
    <tableColumn id="8" xr3:uid="{BFF3BFF1-5769-4819-BF48-619AE85BF2B9}" name="Column2" dataDxfId="248"/>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4" dT="2024-06-19T17:25:16.41" personId="{AB6C3669-C627-421B-BD09-B7E4B77E475D}" id="{6CC91329-3205-4765-91B1-ECF45DB4508E}">
    <text>Carry Over to next</text>
  </threadedComment>
  <threadedComment ref="I4" dT="2024-06-25T17:39:43.12" personId="{AB6C3669-C627-421B-BD09-B7E4B77E475D}" id="{CA7F66F1-A180-4515-808E-6F7EF8796FE1}" parentId="{6CC91329-3205-4765-91B1-ECF45DB4508E}">
    <text>162.8 for aafiyat
209.6 excess last pay period</text>
  </threadedComment>
  <threadedComment ref="L4" dT="2024-08-27T14:12:21.00" personId="{AB6C3669-C627-421B-BD09-B7E4B77E475D}" id="{B3DA7C06-7AA7-4AD2-89B2-6B92E24447AE}">
    <text>Took out 5.36 hours to complete 80</text>
  </threadedComment>
</ThreadedComments>
</file>

<file path=xl/threadedComments/threadedComment2.xml><?xml version="1.0" encoding="utf-8"?>
<ThreadedComments xmlns="http://schemas.microsoft.com/office/spreadsheetml/2018/threadedcomments" xmlns:x="http://schemas.openxmlformats.org/spreadsheetml/2006/main">
  <threadedComment ref="A19" dT="2025-04-24T14:05:09.96" personId="{AB6C3669-C627-421B-BD09-B7E4B77E475D}" id="{5A1578B1-E44F-45BD-92A7-9EE86DA57989}">
    <text>For Karanveer</text>
  </threadedComment>
  <threadedComment ref="A104" dT="2025-06-17T18:42:17.36" personId="{AB6C3669-C627-421B-BD09-B7E4B77E475D}" id="{64C90BB4-3CB9-45DE-95EC-CFD4EC2166D6}">
    <text>Balvir</text>
  </threadedComment>
  <threadedComment ref="A116" dT="2025-06-17T18:56:38.03" personId="{AB6C3669-C627-421B-BD09-B7E4B77E475D}" id="{E573BE0F-D560-441B-A2BC-7DB01B6290F7}">
    <text>For Nishal</text>
  </threadedComment>
  <threadedComment ref="A159" dT="2024-11-19T20:21:47.56" personId="{AB6C3669-C627-421B-BD09-B7E4B77E475D}" id="{69C66D56-6194-4D78-B245-FD15F3CEF9D7}">
    <text xml:space="preserve">Flor De Liz
</text>
  </threadedComment>
  <threadedComment ref="A171" dT="2025-01-29T17:59:30.87" personId="{AB6C3669-C627-421B-BD09-B7E4B77E475D}" id="{EB381146-2C21-481E-A800-3C75FCFA9893}">
    <text>For Ibrahim Kamaru</text>
  </threadedComment>
  <threadedComment ref="A184" dT="2025-02-10T17:22:51.81" personId="{AB6C3669-C627-421B-BD09-B7E4B77E475D}" id="{DFD8766E-FA87-4468-91D2-2DD6C89CC669}">
    <text>Sofoa</text>
  </threadedComment>
  <threadedComment ref="A198" dT="2024-11-12T19:19:46.64" personId="{AB6C3669-C627-421B-BD09-B7E4B77E475D}" id="{89CABBAE-F727-4BD7-AD83-64B067F91616}">
    <text>Maintenane</text>
  </threadedComment>
  <threadedComment ref="A205" dT="2025-06-23T16:43:35.54" personId="{AB6C3669-C627-421B-BD09-B7E4B77E475D}" id="{55327118-E5BA-4573-944D-6008D1AE957E}">
    <text>For Baljit Kaur</text>
  </threadedComment>
  <threadedComment ref="A231" dT="2025-10-15T17:23:57.07" personId="{E1509E43-0793-4107-8BAF-A3F5EA049630}" id="{F7EFF8E3-CDBB-42D7-8B8D-F81D2A369B07}">
    <text>For RIza</text>
  </threadedComment>
  <threadedComment ref="A281" dT="2024-11-19T20:21:47.56" personId="{AB6C3669-C627-421B-BD09-B7E4B77E475D}" id="{4D07DEDD-5084-4163-9D25-C4C1A8007D1F}">
    <text xml:space="preserve">Flor De Liz
</text>
  </threadedComment>
  <threadedComment ref="A315" dT="2025-01-29T17:59:30.87" personId="{AB6C3669-C627-421B-BD09-B7E4B77E475D}" id="{DDC04BDF-42F7-4E14-830B-0FAC03E6B5D1}">
    <text>For Ibrahim Kamaru</text>
  </threadedComment>
  <threadedComment ref="A320" dT="2025-02-10T17:22:51.81" personId="{AB6C3669-C627-421B-BD09-B7E4B77E475D}" id="{244868C2-6462-437F-B25F-28C03AF36B35}">
    <text>Sofoa</text>
  </threadedComment>
  <threadedComment ref="A367" dT="2025-07-10T15:14:35.33" personId="{AB6C3669-C627-421B-BD09-B7E4B77E475D}" id="{74D4C0C9-65A9-44D5-A645-DC3D16412328}">
    <text>Tunde</text>
  </threadedComment>
  <threadedComment ref="A439" dT="2025-10-15T16:50:46.59" personId="{E1509E43-0793-4107-8BAF-A3F5EA049630}" id="{3F87265E-24A3-4C2A-BF49-14F185351FEE}">
    <text>Naneth</text>
  </threadedComment>
  <threadedComment ref="A441" dT="2025-10-15T16:49:46.25" personId="{E1509E43-0793-4107-8BAF-A3F5EA049630}" id="{562AB762-3A30-4F1B-9725-891AED571FBE}">
    <text>Irene</text>
  </threadedComment>
  <threadedComment ref="A449" dT="2025-07-10T15:14:35.33" personId="{AB6C3669-C627-421B-BD09-B7E4B77E475D}" id="{82973842-EC58-40A7-B642-4F50A54753FB}">
    <text>Tunde</text>
  </threadedComment>
  <threadedComment ref="A601" dT="2025-06-23T16:43:35.54" personId="{AB6C3669-C627-421B-BD09-B7E4B77E475D}" id="{47C3AA86-B697-40E3-99D7-92460783EC38}">
    <text>For Baljit Kaur</text>
  </threadedComment>
  <threadedComment ref="A604" dT="2024-11-19T14:28:56.88" personId="{AB6C3669-C627-421B-BD09-B7E4B77E475D}" id="{1473701A-B616-4B4B-9551-D67D1BBFB6C9}">
    <text>Kenneth Abarra</text>
  </threadedComment>
</ThreadedComments>
</file>

<file path=xl/threadedComments/threadedComment3.xml><?xml version="1.0" encoding="utf-8"?>
<ThreadedComments xmlns="http://schemas.microsoft.com/office/spreadsheetml/2018/threadedcomments" xmlns:x="http://schemas.openxmlformats.org/spreadsheetml/2006/main">
  <threadedComment ref="A19" dT="2025-04-24T14:05:09.96" personId="{AB6C3669-C627-421B-BD09-B7E4B77E475D}" id="{9C2D1C86-73F6-40BC-91F5-8D25337490DE}">
    <text>For Karanveer</text>
  </threadedComment>
  <threadedComment ref="A103" dT="2025-06-17T18:42:17.36" personId="{AB6C3669-C627-421B-BD09-B7E4B77E475D}" id="{36BE9C0B-758F-40DF-879C-3A0DD947EF7B}">
    <text>Balvir</text>
  </threadedComment>
  <threadedComment ref="A115" dT="2025-06-17T18:56:38.03" personId="{AB6C3669-C627-421B-BD09-B7E4B77E475D}" id="{D5904683-7F27-4B23-8454-22F18D08C1A2}">
    <text>For Nishal</text>
  </threadedComment>
  <threadedComment ref="A155" dT="2024-11-19T20:21:47.56" personId="{AB6C3669-C627-421B-BD09-B7E4B77E475D}" id="{ED297C87-DF6F-4766-8933-DEA02DEDCB4C}">
    <text xml:space="preserve">Flor De Liz
</text>
  </threadedComment>
  <threadedComment ref="A167" dT="2025-01-29T17:59:30.87" personId="{AB6C3669-C627-421B-BD09-B7E4B77E475D}" id="{DE779676-000B-498C-8336-33C28039A4C7}">
    <text>For Ibrahim Kamaru</text>
  </threadedComment>
  <threadedComment ref="A180" dT="2025-02-10T17:22:51.81" personId="{AB6C3669-C627-421B-BD09-B7E4B77E475D}" id="{2005B662-B8EF-4BE0-ADDC-C4B75D3175DE}">
    <text>Sofoa</text>
  </threadedComment>
  <threadedComment ref="A194" dT="2024-11-12T19:19:46.64" personId="{AB6C3669-C627-421B-BD09-B7E4B77E475D}" id="{CB8B9788-9DF4-4BA1-BDE2-BECD353FF303}">
    <text>Maintenane</text>
  </threadedComment>
  <threadedComment ref="A201" dT="2025-06-23T16:43:35.54" personId="{AB6C3669-C627-421B-BD09-B7E4B77E475D}" id="{939FF971-EECD-4973-92C7-86341679FC7C}">
    <text>For Baljit Kaur</text>
  </threadedComment>
  <threadedComment ref="A246" dT="2024-06-27T17:04:50.49" personId="{AB6C3669-C627-421B-BD09-B7E4B77E475D}" id="{73316BE7-0E3A-473F-AD0C-9F3222EDAB29}">
    <text>Bartender</text>
  </threadedComment>
  <threadedComment ref="A277" dT="2024-11-19T20:21:47.56" personId="{AB6C3669-C627-421B-BD09-B7E4B77E475D}" id="{574EF3B8-8BC4-4550-A713-C1121E636F62}">
    <text xml:space="preserve">Flor De Liz
</text>
  </threadedComment>
  <threadedComment ref="A311" dT="2025-01-29T17:59:30.87" personId="{AB6C3669-C627-421B-BD09-B7E4B77E475D}" id="{E93C58DF-2017-4169-B163-6C74E9BA5147}">
    <text>For Ibrahim Kamaru</text>
  </threadedComment>
  <threadedComment ref="A316" dT="2025-02-10T17:22:51.81" personId="{AB6C3669-C627-421B-BD09-B7E4B77E475D}" id="{53B26393-AB6D-4D66-84F3-F8A22FE38788}">
    <text>Sofoa</text>
  </threadedComment>
  <threadedComment ref="A363" dT="2025-07-10T15:14:35.33" personId="{AB6C3669-C627-421B-BD09-B7E4B77E475D}" id="{85A03567-B72B-4A92-AD9D-EC131B72C973}">
    <text>Tunde</text>
  </threadedComment>
  <threadedComment ref="A463" dT="2025-07-10T15:14:35.33" personId="{AB6C3669-C627-421B-BD09-B7E4B77E475D}" id="{19226151-C45E-4306-933D-85E5F1A78AAB}">
    <text>Tunde</text>
  </threadedComment>
  <threadedComment ref="A584" dT="2025-06-23T16:43:35.54" personId="{AB6C3669-C627-421B-BD09-B7E4B77E475D}" id="{9676F495-E536-4CEB-B63C-7137648A7B72}">
    <text>For Baljit Kaur</text>
  </threadedComment>
  <threadedComment ref="A587" dT="2024-11-19T14:28:56.88" personId="{AB6C3669-C627-421B-BD09-B7E4B77E475D}" id="{CA04A4DB-7CD4-4DB0-8914-DE6A7B9ABECD}">
    <text>Kenneth Abarra</text>
  </threadedComment>
  <threadedComment ref="A654" dT="2024-06-27T17:04:50.49" personId="{AB6C3669-C627-421B-BD09-B7E4B77E475D}" id="{01177822-78B4-402A-9DCF-6F9600C63173}">
    <text>Bartender</text>
  </threadedComment>
  <threadedComment ref="A655" dT="2024-06-27T17:08:48.51" personId="{AB6C3669-C627-421B-BD09-B7E4B77E475D}" id="{735EF59D-B8DD-4125-A726-58C68585E309}">
    <text>Darran Server</text>
  </threadedComment>
  <threadedComment ref="A661" dT="2025-07-14T16:43:46.61" personId="{AB6C3669-C627-421B-BD09-B7E4B77E475D}" id="{182FF2FE-FD79-4C82-983F-772C5E1EBAA0}">
    <text>Eduardo</text>
  </threadedComment>
  <threadedComment ref="A676" dT="2024-11-19T20:39:32.09" personId="{AB6C3669-C627-421B-BD09-B7E4B77E475D}" id="{9A50A460-FD6B-499F-AF03-DCE78D9121D4}">
    <text>Frances Danielle</text>
  </threadedComment>
  <threadedComment ref="A681" dT="2024-11-19T20:39:32.09" personId="{AB6C3669-C627-421B-BD09-B7E4B77E475D}" id="{EF0192E9-367D-46C1-9526-C7DB71FE228B}">
    <text>Frances Danielle</text>
  </threadedComment>
  <threadedComment ref="A715" dT="2024-09-04T14:28:02.13" personId="{AB6C3669-C627-421B-BD09-B7E4B77E475D}" id="{794C7314-DEDA-4B61-A536-D7CD27AC54D9}">
    <text>Bartender</text>
  </threadedComment>
  <threadedComment ref="A716" dT="2024-09-04T14:28:02.13" personId="{AB6C3669-C627-421B-BD09-B7E4B77E475D}" id="{9E04986F-9523-4B1C-AA0C-712E2CCC1467}">
    <text>server</text>
  </threadedComment>
  <threadedComment ref="A732" dT="2024-11-19T14:28:56.88" personId="{AB6C3669-C627-421B-BD09-B7E4B77E475D}" id="{7BABC2FC-2FA5-43DB-897F-2E33C1BCE862}">
    <text>Kenneth Abarra</text>
  </threadedComment>
</ThreadedComments>
</file>

<file path=xl/threadedComments/threadedComment4.xml><?xml version="1.0" encoding="utf-8"?>
<ThreadedComments xmlns="http://schemas.microsoft.com/office/spreadsheetml/2018/threadedcomments" xmlns:x="http://schemas.openxmlformats.org/spreadsheetml/2006/main">
  <threadedComment ref="A61" dT="2024-11-19T14:28:56.88" personId="{AB6C3669-C627-421B-BD09-B7E4B77E475D}" id="{382AAD84-9E89-4D6A-A4B3-AF5F7458FCDA}">
    <text>Kenneth Abarra</text>
  </threadedComment>
</ThreadedComments>
</file>

<file path=xl/threadedComments/threadedComment5.xml><?xml version="1.0" encoding="utf-8"?>
<ThreadedComments xmlns="http://schemas.microsoft.com/office/spreadsheetml/2018/threadedcomments" xmlns:x="http://schemas.openxmlformats.org/spreadsheetml/2006/main">
  <threadedComment ref="A19" dT="2025-04-24T14:05:09.96" personId="{AB6C3669-C627-421B-BD09-B7E4B77E475D}" id="{FD72F3BE-E866-496F-ACD8-65DC638231C1}">
    <text>For Karanveer</text>
  </threadedComment>
  <threadedComment ref="A88" dT="2025-06-17T18:42:17.36" personId="{AB6C3669-C627-421B-BD09-B7E4B77E475D}" id="{CA9A2ACB-0C24-425F-958A-00754AC1A7F4}">
    <text>Balvir</text>
  </threadedComment>
  <threadedComment ref="A100" dT="2025-06-17T18:56:38.03" personId="{AB6C3669-C627-421B-BD09-B7E4B77E475D}" id="{58C0AC54-2709-4B79-AF46-48096072F283}">
    <text>For Nishal</text>
  </threadedComment>
  <threadedComment ref="A139" dT="2024-11-19T20:21:47.56" personId="{AB6C3669-C627-421B-BD09-B7E4B77E475D}" id="{227F17F5-758D-4F2A-99BD-990629DA8F9E}">
    <text xml:space="preserve">Flor De Liz
</text>
  </threadedComment>
  <threadedComment ref="A151" dT="2025-01-29T17:59:30.87" personId="{AB6C3669-C627-421B-BD09-B7E4B77E475D}" id="{FEB4A096-F668-4B50-8C0D-067D8AFB94CC}">
    <text>For Ibrahim Kamaru</text>
  </threadedComment>
  <threadedComment ref="A164" dT="2025-02-10T17:22:51.81" personId="{AB6C3669-C627-421B-BD09-B7E4B77E475D}" id="{D1C3A104-E73E-4423-881E-672EE57C41E6}">
    <text>Sofoa</text>
  </threadedComment>
  <threadedComment ref="A178" dT="2024-11-12T19:19:46.64" personId="{AB6C3669-C627-421B-BD09-B7E4B77E475D}" id="{2E58C968-324C-4D68-988D-B840D9CDE42B}">
    <text>Maintenane</text>
  </threadedComment>
  <threadedComment ref="A185" dT="2025-06-23T16:43:35.54" personId="{AB6C3669-C627-421B-BD09-B7E4B77E475D}" id="{278C0C9D-A2BF-4879-BF84-2C7702374630}">
    <text>For Baljit Kaur</text>
  </threadedComment>
  <threadedComment ref="A230" dT="2024-06-27T17:04:50.49" personId="{AB6C3669-C627-421B-BD09-B7E4B77E475D}" id="{8E12C34F-24C3-414E-A0AD-2B41BBBC2788}">
    <text>Bartender</text>
  </threadedComment>
  <threadedComment ref="A261" dT="2024-11-19T20:21:47.56" personId="{AB6C3669-C627-421B-BD09-B7E4B77E475D}" id="{7EAE34C3-A155-41B5-BEDF-0B004C3351E2}">
    <text xml:space="preserve">Flor De Liz
</text>
  </threadedComment>
  <threadedComment ref="A295" dT="2025-01-29T17:59:30.87" personId="{AB6C3669-C627-421B-BD09-B7E4B77E475D}" id="{4931C6EB-85BC-4327-A72C-ACC0B1CADA53}">
    <text>For Ibrahim Kamaru</text>
  </threadedComment>
  <threadedComment ref="A300" dT="2025-02-10T17:22:51.81" personId="{AB6C3669-C627-421B-BD09-B7E4B77E475D}" id="{4C9B3FBC-21D1-41B4-B02B-F93AE45E768B}">
    <text>Sofoa</text>
  </threadedComment>
  <threadedComment ref="A346" dT="2025-07-10T15:14:35.33" personId="{AB6C3669-C627-421B-BD09-B7E4B77E475D}" id="{D534F1DB-01E0-436B-A992-6BE1D8BCE68D}">
    <text>Tunde</text>
  </threadedComment>
  <threadedComment ref="A443" dT="2025-07-10T15:14:35.33" personId="{AB6C3669-C627-421B-BD09-B7E4B77E475D}" id="{4B4A687F-FFF6-420C-926C-2BF991DB9322}">
    <text>Tunde</text>
  </threadedComment>
  <threadedComment ref="A563" dT="2025-06-23T16:43:35.54" personId="{AB6C3669-C627-421B-BD09-B7E4B77E475D}" id="{362752D4-2BB8-41A4-B105-44B9418C5FFA}">
    <text>For Baljit Kaur</text>
  </threadedComment>
  <threadedComment ref="A566" dT="2024-11-19T14:28:56.88" personId="{AB6C3669-C627-421B-BD09-B7E4B77E475D}" id="{1F48AB65-8437-4310-B74F-294023D4FC00}">
    <text>Kenneth Abarra</text>
  </threadedComment>
  <threadedComment ref="A632" dT="2024-06-27T17:04:50.49" personId="{AB6C3669-C627-421B-BD09-B7E4B77E475D}" id="{3446B337-3554-430F-B955-12AE606CF052}">
    <text>Bartender</text>
  </threadedComment>
  <threadedComment ref="A633" dT="2024-06-27T17:08:48.51" personId="{AB6C3669-C627-421B-BD09-B7E4B77E475D}" id="{C0DBA24E-52B0-4362-9B41-0FD8B0026C64}">
    <text>Darran Server</text>
  </threadedComment>
  <threadedComment ref="A638" dT="2025-07-14T16:43:46.61" personId="{AB6C3669-C627-421B-BD09-B7E4B77E475D}" id="{762D6725-CF2A-47AA-B34C-3FC73783EBF8}">
    <text>Eduardo</text>
  </threadedComment>
  <threadedComment ref="A648" dT="2024-11-19T20:39:32.09" personId="{AB6C3669-C627-421B-BD09-B7E4B77E475D}" id="{11CCAEB9-03BA-43F9-B002-D59CF8A86152}">
    <text>Frances Danielle</text>
  </threadedComment>
  <threadedComment ref="A687" dT="2024-09-04T14:28:02.13" personId="{AB6C3669-C627-421B-BD09-B7E4B77E475D}" id="{D20B88A9-AE3E-4F6E-A7F3-48C756633817}">
    <text>Bartender</text>
  </threadedComment>
  <threadedComment ref="A688" dT="2024-09-04T14:28:02.13" personId="{AB6C3669-C627-421B-BD09-B7E4B77E475D}" id="{3CF1C9C0-A94A-419C-9194-C838BD52F349}">
    <text>server</text>
  </threadedComment>
  <threadedComment ref="A692" dT="2024-11-19T20:39:32.09" personId="{AB6C3669-C627-421B-BD09-B7E4B77E475D}" id="{406B6C8B-2492-4BB8-880D-D8168E969495}">
    <text>Frances Danielle</text>
  </threadedComment>
  <threadedComment ref="A705" dT="2024-11-19T14:28:56.88" personId="{AB6C3669-C627-421B-BD09-B7E4B77E475D}" id="{0B7427D5-F677-4703-BAE1-8392C2660F28}">
    <text>Kenneth Abarra</text>
  </threadedComment>
</ThreadedComments>
</file>

<file path=xl/threadedComments/threadedComment6.xml><?xml version="1.0" encoding="utf-8"?>
<ThreadedComments xmlns="http://schemas.microsoft.com/office/spreadsheetml/2018/threadedcomments" xmlns:x="http://schemas.openxmlformats.org/spreadsheetml/2006/main">
  <threadedComment ref="A19" dT="2025-04-24T14:05:09.96" personId="{AB6C3669-C627-421B-BD09-B7E4B77E475D}" id="{C943B357-92C0-4FCB-90FE-892FF6ACD3A1}">
    <text>For Karanveer</text>
  </threadedComment>
  <threadedComment ref="A104" dT="2025-06-17T18:42:17.36" personId="{AB6C3669-C627-421B-BD09-B7E4B77E475D}" id="{B46A4C05-ADFA-4FDC-9514-D76507254CC2}">
    <text>Balvir</text>
  </threadedComment>
  <threadedComment ref="A116" dT="2025-06-17T18:56:38.03" personId="{AB6C3669-C627-421B-BD09-B7E4B77E475D}" id="{FD352F4D-BF3C-4750-9F75-F304754CFF5B}">
    <text>For Nishal</text>
  </threadedComment>
  <threadedComment ref="A159" dT="2024-11-19T20:21:47.56" personId="{AB6C3669-C627-421B-BD09-B7E4B77E475D}" id="{5DC9EE6E-5786-4C25-8DF9-214F892D6417}">
    <text xml:space="preserve">Flor De Liz
</text>
  </threadedComment>
  <threadedComment ref="A171" dT="2025-01-29T17:59:30.87" personId="{AB6C3669-C627-421B-BD09-B7E4B77E475D}" id="{F9BC0692-3D58-4EB3-9869-420E1089CEF0}">
    <text>For Ibrahim Kamaru</text>
  </threadedComment>
  <threadedComment ref="A184" dT="2025-02-10T17:22:51.81" personId="{AB6C3669-C627-421B-BD09-B7E4B77E475D}" id="{E3149137-ABBA-4586-9893-FE959C88CA75}">
    <text>Sofoa</text>
  </threadedComment>
  <threadedComment ref="A198" dT="2024-11-12T19:19:46.64" personId="{AB6C3669-C627-421B-BD09-B7E4B77E475D}" id="{7A9883A1-6B2B-4B48-8414-4086E0816A56}">
    <text>Maintenane</text>
  </threadedComment>
  <threadedComment ref="A205" dT="2025-06-23T16:43:35.54" personId="{AB6C3669-C627-421B-BD09-B7E4B77E475D}" id="{34EC8A6E-82D5-47CC-9282-F926E5F3B92D}">
    <text>For Baljit Kaur</text>
  </threadedComment>
  <threadedComment ref="A250" dT="2024-06-27T17:04:50.49" personId="{AB6C3669-C627-421B-BD09-B7E4B77E475D}" id="{92974B74-D927-492C-871B-428769075810}">
    <text>Bartender</text>
  </threadedComment>
  <threadedComment ref="A281" dT="2024-11-19T20:21:47.56" personId="{AB6C3669-C627-421B-BD09-B7E4B77E475D}" id="{27D6A409-66E4-4765-8855-9C7B30EAF81A}">
    <text xml:space="preserve">Flor De Liz
</text>
  </threadedComment>
  <threadedComment ref="A315" dT="2025-01-29T17:59:30.87" personId="{AB6C3669-C627-421B-BD09-B7E4B77E475D}" id="{D8F5B93E-61CD-499B-B655-EB4EA1A2C094}">
    <text>For Ibrahim Kamaru</text>
  </threadedComment>
  <threadedComment ref="A320" dT="2025-02-10T17:22:51.81" personId="{AB6C3669-C627-421B-BD09-B7E4B77E475D}" id="{D937472D-187E-4D9E-96AB-1C6DEE34C356}">
    <text>Sofoa</text>
  </threadedComment>
  <threadedComment ref="A366" dT="2025-07-10T15:14:35.33" personId="{AB6C3669-C627-421B-BD09-B7E4B77E475D}" id="{C2FAC1A2-1C81-45E2-A0FE-6037B331E2CD}">
    <text>Tunde</text>
  </threadedComment>
  <threadedComment ref="A463" dT="2025-07-10T15:14:35.33" personId="{AB6C3669-C627-421B-BD09-B7E4B77E475D}" id="{0BD91E48-AE7F-4D7F-80A2-D242979B576C}">
    <text>Tunde</text>
  </threadedComment>
  <threadedComment ref="A582" dT="2025-06-23T16:43:35.54" personId="{AB6C3669-C627-421B-BD09-B7E4B77E475D}" id="{CF62AA5F-9B7A-4550-84CA-465225E00C15}">
    <text>For Baljit Kaur</text>
  </threadedComment>
  <threadedComment ref="A585" dT="2024-11-19T14:28:56.88" personId="{AB6C3669-C627-421B-BD09-B7E4B77E475D}" id="{034D100E-B539-4F73-B325-EF861ACC88DE}">
    <text>Kenneth Abarra</text>
  </threadedComment>
  <threadedComment ref="A652" dT="2024-06-27T17:04:50.49" personId="{AB6C3669-C627-421B-BD09-B7E4B77E475D}" id="{07FE8577-4F29-4D71-A3C3-49C849241644}">
    <text>Bartender</text>
  </threadedComment>
  <threadedComment ref="A653" dT="2024-06-27T17:08:48.51" personId="{AB6C3669-C627-421B-BD09-B7E4B77E475D}" id="{264868B4-B3B9-49C1-9193-4A4E0D729ADE}">
    <text>Darran Server</text>
  </threadedComment>
  <threadedComment ref="A659" dT="2025-07-14T16:43:46.61" personId="{AB6C3669-C627-421B-BD09-B7E4B77E475D}" id="{9264375B-B62B-4F52-A3D3-5D844AB3C48A}">
    <text>Eduardo</text>
  </threadedComment>
  <threadedComment ref="A669" dT="2024-11-19T20:39:32.09" personId="{AB6C3669-C627-421B-BD09-B7E4B77E475D}" id="{44626DBA-0AB5-4051-B736-5678FE92F9BA}">
    <text>Frances Danielle</text>
  </threadedComment>
  <threadedComment ref="A706" dT="2024-09-04T14:28:02.13" personId="{AB6C3669-C627-421B-BD09-B7E4B77E475D}" id="{DD058897-9A19-4D2B-A5E9-CEE3A66B1B91}">
    <text>Bartender</text>
  </threadedComment>
  <threadedComment ref="A707" dT="2024-09-04T14:28:02.13" personId="{AB6C3669-C627-421B-BD09-B7E4B77E475D}" id="{5CAE46FA-ED24-47E1-BDE4-FCA4E899F834}">
    <text>server</text>
  </threadedComment>
  <threadedComment ref="A724" dT="2024-11-19T14:28:56.88" personId="{AB6C3669-C627-421B-BD09-B7E4B77E475D}" id="{CC557F1B-C67C-458E-93C2-A99C41FFC616}">
    <text>Kenneth Abarra</text>
  </threadedComment>
  <threadedComment ref="A728" dT="2024-11-19T20:39:32.09" personId="{AB6C3669-C627-421B-BD09-B7E4B77E475D}" id="{E725C439-FB3B-4D5A-A17E-B47CFBDBB166}">
    <text>Frances Danielle</text>
  </threadedComment>
</ThreadedComments>
</file>

<file path=xl/threadedComments/threadedComment7.xml><?xml version="1.0" encoding="utf-8"?>
<ThreadedComments xmlns="http://schemas.microsoft.com/office/spreadsheetml/2018/threadedcomments" xmlns:x="http://schemas.openxmlformats.org/spreadsheetml/2006/main">
  <threadedComment ref="AD114" dT="2025-10-15T17:24:19.55" personId="{E1509E43-0793-4107-8BAF-A3F5EA049630}" id="{6D2FA848-21A3-41FD-9FAC-D7CB476B8603}">
    <text>Riza</text>
  </threadedComment>
  <threadedComment ref="G240" dT="2025-10-15T16:50:28.11" personId="{E1509E43-0793-4107-8BAF-A3F5EA049630}" id="{87AD6D63-88AA-4D87-8D0C-8E11116E95A1}">
    <text>For Naneth</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9.bin"/><Relationship Id="rId1" Type="http://schemas.openxmlformats.org/officeDocument/2006/relationships/hyperlink" Target="mailto:ishpreetkaur28122004@gmail.com" TargetMode="Externa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 Id="rId4" Type="http://schemas.microsoft.com/office/2017/10/relationships/threadedComment" Target="../threadedComments/threadedComment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hyperlink" Target="mailto:Munjalchauhan125@gmail.com" TargetMode="External"/><Relationship Id="rId1" Type="http://schemas.openxmlformats.org/officeDocument/2006/relationships/hyperlink" Target="http://emendoza0131yahoo.com/"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6F695-0171-4154-BCB6-82B62786C7CA}">
  <dimension ref="A2:AG49"/>
  <sheetViews>
    <sheetView workbookViewId="0">
      <pane xSplit="1" topLeftCell="B1" activePane="topRight" state="frozen"/>
      <selection pane="topRight" activeCell="C3" sqref="C3:E3"/>
    </sheetView>
  </sheetViews>
  <sheetFormatPr defaultRowHeight="15"/>
  <cols>
    <col min="4" max="4" width="19.5703125" customWidth="1"/>
    <col min="5" max="5" width="9.140625" style="65"/>
    <col min="8" max="8" width="21.85546875" customWidth="1"/>
    <col min="9" max="9" width="9.140625" style="65"/>
    <col min="12" max="12" width="21.85546875" customWidth="1"/>
    <col min="13" max="13" width="9.140625" style="65"/>
    <col min="16" max="16" width="21.85546875" customWidth="1"/>
    <col min="17" max="17" width="9.140625" style="65"/>
    <col min="20" max="20" width="21.85546875" customWidth="1"/>
    <col min="21" max="21" width="9.140625" style="65"/>
    <col min="24" max="24" width="21.85546875" customWidth="1"/>
    <col min="25" max="25" width="9.140625" style="65"/>
    <col min="28" max="28" width="21.85546875" customWidth="1"/>
    <col min="29" max="29" width="9.140625" style="65"/>
    <col min="32" max="32" width="21.85546875" customWidth="1"/>
    <col min="33" max="33" width="10.5703125" style="65" bestFit="1" customWidth="1"/>
  </cols>
  <sheetData>
    <row r="2" spans="1:33" s="28" customFormat="1">
      <c r="A2" s="973">
        <v>46032</v>
      </c>
      <c r="C2" s="28" t="s">
        <v>1458</v>
      </c>
      <c r="D2" s="28" t="s">
        <v>2892</v>
      </c>
      <c r="E2" s="28" t="s">
        <v>7161</v>
      </c>
      <c r="G2" s="28" t="s">
        <v>1458</v>
      </c>
      <c r="H2" s="28" t="s">
        <v>7162</v>
      </c>
      <c r="I2" s="28" t="s">
        <v>7161</v>
      </c>
      <c r="K2" s="28" t="s">
        <v>1458</v>
      </c>
      <c r="L2" s="28" t="s">
        <v>7163</v>
      </c>
      <c r="M2" s="28" t="s">
        <v>7161</v>
      </c>
      <c r="O2" s="28" t="s">
        <v>1458</v>
      </c>
      <c r="P2" s="28" t="s">
        <v>7164</v>
      </c>
      <c r="Q2" s="28" t="s">
        <v>7161</v>
      </c>
      <c r="S2" s="28" t="s">
        <v>1458</v>
      </c>
      <c r="T2" s="28" t="s">
        <v>7165</v>
      </c>
      <c r="U2" s="28" t="s">
        <v>7161</v>
      </c>
      <c r="W2" s="28" t="s">
        <v>1458</v>
      </c>
      <c r="X2" s="28" t="s">
        <v>7166</v>
      </c>
      <c r="Y2" s="28" t="s">
        <v>7161</v>
      </c>
      <c r="AA2" s="28" t="s">
        <v>1458</v>
      </c>
      <c r="AB2" s="28" t="s">
        <v>7167</v>
      </c>
      <c r="AC2" s="28" t="s">
        <v>7161</v>
      </c>
      <c r="AE2" s="28" t="s">
        <v>1458</v>
      </c>
      <c r="AF2" s="28" t="s">
        <v>7168</v>
      </c>
      <c r="AG2" s="28" t="s">
        <v>7161</v>
      </c>
    </row>
    <row r="3" spans="1:33">
      <c r="A3" s="973">
        <v>46033</v>
      </c>
      <c r="C3" s="1078">
        <v>46038</v>
      </c>
      <c r="D3" s="1079" t="s">
        <v>7186</v>
      </c>
      <c r="E3" s="613">
        <v>7</v>
      </c>
      <c r="G3" s="981">
        <v>46035</v>
      </c>
      <c r="H3" s="982" t="s">
        <v>7181</v>
      </c>
      <c r="I3" s="983">
        <v>6.5</v>
      </c>
      <c r="K3" s="973"/>
      <c r="O3" s="973"/>
      <c r="T3" t="s">
        <v>7174</v>
      </c>
      <c r="W3" s="981">
        <v>46033</v>
      </c>
      <c r="X3" s="982" t="s">
        <v>441</v>
      </c>
      <c r="Y3" s="983">
        <v>13</v>
      </c>
      <c r="AA3" s="981">
        <v>46032</v>
      </c>
      <c r="AB3" s="982" t="s">
        <v>339</v>
      </c>
      <c r="AC3" s="983">
        <v>8.5</v>
      </c>
      <c r="AE3" s="973"/>
      <c r="AF3" s="974"/>
    </row>
    <row r="4" spans="1:33">
      <c r="A4" s="973">
        <v>46034</v>
      </c>
      <c r="C4" s="973"/>
      <c r="D4" s="978"/>
      <c r="G4" s="981">
        <v>46037</v>
      </c>
      <c r="H4" s="982" t="s">
        <v>7181</v>
      </c>
      <c r="I4" s="983">
        <v>7.5</v>
      </c>
      <c r="K4" s="973"/>
      <c r="O4" s="973"/>
      <c r="W4" s="981">
        <v>46034</v>
      </c>
      <c r="X4" s="982" t="s">
        <v>441</v>
      </c>
      <c r="Y4" s="983">
        <v>7</v>
      </c>
      <c r="AA4" s="981">
        <v>46035</v>
      </c>
      <c r="AB4" s="984" t="s">
        <v>339</v>
      </c>
      <c r="AC4" s="983">
        <v>8.5</v>
      </c>
      <c r="AE4" s="973"/>
      <c r="AF4" s="974"/>
    </row>
    <row r="5" spans="1:33">
      <c r="A5" s="973">
        <v>46035</v>
      </c>
      <c r="C5" s="973"/>
      <c r="G5" s="981">
        <v>46037</v>
      </c>
      <c r="H5" s="982" t="s">
        <v>7180</v>
      </c>
      <c r="I5" s="983">
        <v>6.5</v>
      </c>
      <c r="K5" s="973"/>
      <c r="O5" s="973"/>
      <c r="W5" s="981">
        <v>46035</v>
      </c>
      <c r="X5" s="982" t="s">
        <v>441</v>
      </c>
      <c r="Y5" s="983">
        <v>7</v>
      </c>
      <c r="AA5" s="981">
        <v>46038</v>
      </c>
      <c r="AB5" s="984" t="s">
        <v>339</v>
      </c>
      <c r="AC5" s="983">
        <v>8.5</v>
      </c>
      <c r="AE5" s="973"/>
      <c r="AF5" s="974"/>
    </row>
    <row r="6" spans="1:33">
      <c r="A6" s="973">
        <v>46036</v>
      </c>
      <c r="C6" s="973"/>
      <c r="H6" s="980" t="s">
        <v>7182</v>
      </c>
      <c r="K6" s="973"/>
      <c r="W6" s="981">
        <v>46036</v>
      </c>
      <c r="X6" s="982" t="s">
        <v>441</v>
      </c>
      <c r="Y6" s="983">
        <v>7</v>
      </c>
      <c r="AA6" s="981">
        <v>46039</v>
      </c>
      <c r="AB6" s="984" t="s">
        <v>339</v>
      </c>
      <c r="AC6" s="983">
        <v>8.5</v>
      </c>
      <c r="AE6" s="973"/>
      <c r="AF6" s="974"/>
    </row>
    <row r="7" spans="1:33" ht="15.75">
      <c r="A7" s="973">
        <v>46037</v>
      </c>
      <c r="C7" s="973"/>
      <c r="D7" s="978"/>
      <c r="K7" s="973"/>
      <c r="L7" s="8"/>
      <c r="M7" s="718"/>
      <c r="W7" s="981">
        <v>46037</v>
      </c>
      <c r="X7" s="982" t="s">
        <v>441</v>
      </c>
      <c r="Y7" s="983">
        <v>7</v>
      </c>
      <c r="AA7" s="973"/>
      <c r="AE7" s="973"/>
      <c r="AF7" s="974"/>
    </row>
    <row r="8" spans="1:33" ht="15.75">
      <c r="A8" s="973">
        <v>46038</v>
      </c>
      <c r="C8" s="973"/>
      <c r="D8" s="978"/>
      <c r="K8" s="973"/>
      <c r="L8" s="8"/>
      <c r="M8" s="718"/>
      <c r="W8" s="981">
        <v>46039</v>
      </c>
      <c r="X8" s="982" t="s">
        <v>441</v>
      </c>
      <c r="Y8" s="983">
        <v>13</v>
      </c>
      <c r="AA8" s="973"/>
      <c r="AE8" s="973"/>
      <c r="AF8" s="974"/>
    </row>
    <row r="9" spans="1:33">
      <c r="A9" s="973">
        <v>46039</v>
      </c>
      <c r="C9" s="973"/>
      <c r="D9" s="978"/>
      <c r="W9" s="981">
        <v>46041</v>
      </c>
      <c r="X9" s="982" t="s">
        <v>441</v>
      </c>
      <c r="Y9" s="983">
        <v>7</v>
      </c>
      <c r="AA9" s="973"/>
      <c r="AE9" s="973"/>
      <c r="AF9" s="974"/>
      <c r="AG9" s="977"/>
    </row>
    <row r="10" spans="1:33">
      <c r="A10" s="973">
        <v>46040</v>
      </c>
      <c r="C10" s="973"/>
      <c r="D10" s="978"/>
      <c r="W10" s="981">
        <v>46042</v>
      </c>
      <c r="X10" s="982" t="s">
        <v>441</v>
      </c>
      <c r="Y10" s="983">
        <v>7</v>
      </c>
      <c r="AA10" s="973"/>
      <c r="AE10" s="973"/>
      <c r="AF10" s="974"/>
    </row>
    <row r="11" spans="1:33">
      <c r="A11" s="973">
        <v>46041</v>
      </c>
      <c r="C11" s="973"/>
      <c r="D11" s="978"/>
      <c r="W11" s="981">
        <v>46044</v>
      </c>
      <c r="X11" s="982" t="s">
        <v>441</v>
      </c>
      <c r="Y11" s="983">
        <v>7</v>
      </c>
      <c r="AE11" s="973"/>
      <c r="AF11" s="974"/>
    </row>
    <row r="12" spans="1:33">
      <c r="A12" s="973">
        <v>46042</v>
      </c>
      <c r="C12" s="973"/>
      <c r="D12" s="978"/>
      <c r="W12" s="981">
        <v>46045</v>
      </c>
      <c r="X12" s="982" t="s">
        <v>441</v>
      </c>
      <c r="Y12" s="983">
        <v>7</v>
      </c>
      <c r="AA12" s="973"/>
      <c r="AB12" s="65"/>
      <c r="AE12" s="973"/>
      <c r="AF12" s="974"/>
    </row>
    <row r="13" spans="1:33">
      <c r="A13" s="973">
        <v>46043</v>
      </c>
      <c r="C13" s="973"/>
      <c r="D13" s="978"/>
      <c r="W13" s="981">
        <v>46032</v>
      </c>
      <c r="X13" s="982" t="s">
        <v>338</v>
      </c>
      <c r="Y13" s="983">
        <v>7</v>
      </c>
      <c r="AA13" s="973"/>
      <c r="AB13" s="65"/>
      <c r="AE13" s="973"/>
      <c r="AF13" s="974"/>
    </row>
    <row r="14" spans="1:33">
      <c r="A14" s="973">
        <v>46044</v>
      </c>
      <c r="C14" s="973"/>
      <c r="D14" s="978"/>
      <c r="W14" s="981">
        <v>46033</v>
      </c>
      <c r="X14" s="982" t="s">
        <v>338</v>
      </c>
      <c r="Y14" s="983">
        <v>8</v>
      </c>
      <c r="AA14" s="973"/>
      <c r="AB14" s="65"/>
      <c r="AE14" s="973"/>
      <c r="AF14" s="974"/>
    </row>
    <row r="15" spans="1:33">
      <c r="A15" s="973">
        <v>46045</v>
      </c>
      <c r="C15" s="973"/>
      <c r="D15" s="978"/>
      <c r="W15" s="981">
        <v>46035</v>
      </c>
      <c r="X15" s="982" t="s">
        <v>338</v>
      </c>
      <c r="Y15" s="983">
        <v>7.5</v>
      </c>
      <c r="AA15" s="973"/>
      <c r="AB15" s="65"/>
      <c r="AE15" s="973"/>
      <c r="AF15" s="974"/>
    </row>
    <row r="16" spans="1:33">
      <c r="C16" s="973"/>
      <c r="W16" s="981">
        <v>46036</v>
      </c>
      <c r="X16" s="982" t="s">
        <v>338</v>
      </c>
      <c r="Y16" s="983">
        <v>7.5</v>
      </c>
      <c r="AA16" s="973"/>
      <c r="AB16" s="65"/>
      <c r="AE16" s="973"/>
      <c r="AF16" s="974"/>
    </row>
    <row r="17" spans="3:32">
      <c r="C17" s="973"/>
      <c r="D17" s="978"/>
      <c r="W17" s="981">
        <v>46037</v>
      </c>
      <c r="X17" s="982" t="s">
        <v>338</v>
      </c>
      <c r="Y17" s="983">
        <v>7.5</v>
      </c>
      <c r="AA17" s="973"/>
      <c r="AB17" s="65"/>
      <c r="AE17" s="973"/>
      <c r="AF17" s="974"/>
    </row>
    <row r="18" spans="3:32">
      <c r="C18" s="973"/>
      <c r="D18" s="978"/>
      <c r="W18" s="981">
        <v>46038</v>
      </c>
      <c r="X18" s="982" t="s">
        <v>338</v>
      </c>
      <c r="Y18" s="983">
        <v>7</v>
      </c>
      <c r="AA18" s="973"/>
      <c r="AB18" s="65"/>
    </row>
    <row r="19" spans="3:32">
      <c r="C19" s="973"/>
      <c r="D19" s="978"/>
      <c r="W19" s="981">
        <v>46039</v>
      </c>
      <c r="X19" s="982" t="s">
        <v>338</v>
      </c>
      <c r="Y19" s="983">
        <v>6</v>
      </c>
      <c r="AA19" s="973"/>
      <c r="AB19" s="65"/>
    </row>
    <row r="20" spans="3:32">
      <c r="C20" s="973"/>
      <c r="W20" s="981">
        <v>46040</v>
      </c>
      <c r="X20" s="982" t="s">
        <v>338</v>
      </c>
      <c r="Y20" s="983">
        <v>6</v>
      </c>
      <c r="AA20" s="973"/>
      <c r="AB20" s="65"/>
    </row>
    <row r="21" spans="3:32">
      <c r="C21" s="973"/>
      <c r="W21" s="981">
        <v>46043</v>
      </c>
      <c r="X21" s="982" t="s">
        <v>338</v>
      </c>
      <c r="Y21" s="983">
        <v>7</v>
      </c>
      <c r="AA21" s="973"/>
      <c r="AB21" s="65"/>
    </row>
    <row r="22" spans="3:32">
      <c r="C22" s="973"/>
      <c r="W22" s="981">
        <v>46044</v>
      </c>
      <c r="X22" s="982" t="s">
        <v>338</v>
      </c>
      <c r="Y22" s="983">
        <v>8</v>
      </c>
      <c r="AA22" s="973"/>
      <c r="AB22" s="65"/>
    </row>
    <row r="23" spans="3:32">
      <c r="C23" s="973"/>
      <c r="W23" s="981">
        <v>46045</v>
      </c>
      <c r="X23" s="982" t="s">
        <v>338</v>
      </c>
      <c r="Y23" s="983">
        <v>7</v>
      </c>
      <c r="AA23" s="973"/>
    </row>
    <row r="24" spans="3:32">
      <c r="C24" s="973"/>
      <c r="AA24" s="973"/>
      <c r="AB24" s="65"/>
    </row>
    <row r="25" spans="3:32">
      <c r="C25" s="973"/>
      <c r="AA25" s="973"/>
      <c r="AB25" s="65"/>
    </row>
    <row r="26" spans="3:32">
      <c r="C26" s="973"/>
    </row>
    <row r="27" spans="3:32">
      <c r="C27" s="973"/>
    </row>
    <row r="28" spans="3:32">
      <c r="C28" s="973"/>
    </row>
    <row r="29" spans="3:32">
      <c r="C29" s="973"/>
    </row>
    <row r="30" spans="3:32">
      <c r="C30" s="973"/>
    </row>
    <row r="31" spans="3:32">
      <c r="C31" s="973"/>
    </row>
    <row r="32" spans="3:32">
      <c r="C32" s="973"/>
    </row>
    <row r="33" spans="3:3">
      <c r="C33" s="973"/>
    </row>
    <row r="34" spans="3:3">
      <c r="C34" s="973"/>
    </row>
    <row r="35" spans="3:3">
      <c r="C35" s="973"/>
    </row>
    <row r="36" spans="3:3">
      <c r="C36" s="973"/>
    </row>
    <row r="37" spans="3:3">
      <c r="C37" s="973"/>
    </row>
    <row r="38" spans="3:3">
      <c r="C38" s="973"/>
    </row>
    <row r="39" spans="3:3">
      <c r="C39" s="973"/>
    </row>
    <row r="40" spans="3:3">
      <c r="C40" s="973"/>
    </row>
    <row r="41" spans="3:3">
      <c r="C41" s="973"/>
    </row>
    <row r="42" spans="3:3">
      <c r="C42" s="973"/>
    </row>
    <row r="43" spans="3:3">
      <c r="C43" s="973"/>
    </row>
    <row r="44" spans="3:3">
      <c r="C44" s="973"/>
    </row>
    <row r="45" spans="3:3">
      <c r="C45" s="973"/>
    </row>
    <row r="46" spans="3:3">
      <c r="C46" s="973"/>
    </row>
    <row r="47" spans="3:3">
      <c r="C47" s="973"/>
    </row>
    <row r="48" spans="3:3">
      <c r="C48" s="973"/>
    </row>
    <row r="49" spans="3:3">
      <c r="C49" s="973"/>
    </row>
  </sheetData>
  <autoFilter ref="W2:Y23" xr:uid="{2AA6F695-0171-4154-BCB6-82B62786C7CA}">
    <sortState xmlns:xlrd2="http://schemas.microsoft.com/office/spreadsheetml/2017/richdata2" ref="W3:Y23">
      <sortCondition ref="X2:X23"/>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S141"/>
  <sheetViews>
    <sheetView view="pageLayout" topLeftCell="B1" zoomScaleNormal="100" zoomScaleSheetLayoutView="130" workbookViewId="0">
      <selection activeCell="G7" sqref="G7"/>
    </sheetView>
  </sheetViews>
  <sheetFormatPr defaultColWidth="9" defaultRowHeight="15"/>
  <cols>
    <col min="1" max="1" width="5.5703125" style="309" hidden="1" customWidth="1"/>
    <col min="2" max="2" width="50.140625" style="311" customWidth="1"/>
    <col min="3" max="3" width="14.140625" style="309" customWidth="1"/>
    <col min="4" max="4" width="16.7109375" style="309" customWidth="1"/>
    <col min="5" max="5" width="17.5703125" style="309" customWidth="1"/>
    <col min="6" max="7" width="14" style="310" customWidth="1"/>
    <col min="8" max="8" width="25.85546875" style="308" bestFit="1" customWidth="1"/>
    <col min="9" max="9" width="10.5703125" style="308" bestFit="1" customWidth="1"/>
    <col min="10" max="11" width="9" style="308"/>
    <col min="12" max="13" width="15.85546875" style="308" customWidth="1"/>
    <col min="14" max="14" width="13" style="308" customWidth="1"/>
    <col min="15" max="15" width="18.28515625" style="308" customWidth="1"/>
    <col min="16" max="16" width="16.5703125" style="308" customWidth="1"/>
    <col min="17" max="16384" width="9" style="308"/>
  </cols>
  <sheetData>
    <row r="1" spans="1:19" ht="15.75" thickBot="1">
      <c r="A1" s="905"/>
      <c r="B1" s="127" t="s">
        <v>7179</v>
      </c>
      <c r="C1" s="127" t="s">
        <v>0</v>
      </c>
      <c r="D1" s="128" t="s">
        <v>1</v>
      </c>
      <c r="E1" s="127" t="s">
        <v>2</v>
      </c>
      <c r="F1" s="129" t="s">
        <v>3</v>
      </c>
      <c r="G1" s="129" t="s">
        <v>4</v>
      </c>
      <c r="H1" s="906"/>
      <c r="I1" s="906"/>
      <c r="J1" s="906"/>
      <c r="K1" s="906"/>
      <c r="L1" s="906"/>
      <c r="M1" s="906"/>
      <c r="N1" s="906"/>
      <c r="O1" s="906"/>
      <c r="P1" s="906"/>
      <c r="Q1" s="906"/>
      <c r="R1" s="906"/>
      <c r="S1" s="907"/>
    </row>
    <row r="2" spans="1:19" ht="15" customHeight="1">
      <c r="A2" s="908"/>
      <c r="B2" s="909"/>
      <c r="C2" s="126"/>
      <c r="D2" s="126"/>
      <c r="E2" s="126"/>
      <c r="F2" s="112"/>
      <c r="G2" s="112"/>
      <c r="H2" s="906"/>
      <c r="I2" s="906"/>
      <c r="J2" s="910"/>
      <c r="K2" s="906"/>
      <c r="L2" s="987" t="s">
        <v>5</v>
      </c>
      <c r="M2" s="987" t="s">
        <v>6</v>
      </c>
      <c r="N2" s="987" t="s">
        <v>7</v>
      </c>
      <c r="O2" s="987" t="s">
        <v>8</v>
      </c>
      <c r="P2" s="987" t="s">
        <v>8</v>
      </c>
      <c r="Q2" s="989" t="s">
        <v>9</v>
      </c>
      <c r="R2" s="985" t="s">
        <v>10</v>
      </c>
      <c r="S2" s="906"/>
    </row>
    <row r="3" spans="1:19" ht="15.75" thickBot="1">
      <c r="A3" s="908"/>
      <c r="B3" s="130" t="s">
        <v>11</v>
      </c>
      <c r="C3" s="126"/>
      <c r="D3" s="126"/>
      <c r="E3" s="126"/>
      <c r="F3" s="112"/>
      <c r="G3" s="112"/>
      <c r="H3" s="906"/>
      <c r="I3" s="906"/>
      <c r="J3" s="911" t="s">
        <v>12</v>
      </c>
      <c r="K3" s="906"/>
      <c r="L3" s="988"/>
      <c r="M3" s="988"/>
      <c r="N3" s="988"/>
      <c r="O3" s="988"/>
      <c r="P3" s="988"/>
      <c r="Q3" s="990"/>
      <c r="R3" s="986"/>
      <c r="S3" s="906"/>
    </row>
    <row r="4" spans="1:19" ht="15.75" thickBot="1">
      <c r="A4" s="908">
        <v>5</v>
      </c>
      <c r="B4" s="909" t="s">
        <v>13</v>
      </c>
      <c r="C4" s="355">
        <v>60</v>
      </c>
      <c r="D4" s="126" t="s">
        <v>14</v>
      </c>
      <c r="E4" s="126">
        <v>17.600000000000001</v>
      </c>
      <c r="F4" s="112">
        <f>C4*E4</f>
        <v>1056</v>
      </c>
      <c r="G4" s="112">
        <v>938.48</v>
      </c>
      <c r="H4" s="354" t="e">
        <f>#REF!+#REF!</f>
        <v>#REF!</v>
      </c>
      <c r="I4" s="912"/>
      <c r="J4" s="913" t="e">
        <f>(H4+I4)/16.65</f>
        <v>#REF!</v>
      </c>
      <c r="K4" s="305">
        <f>SUM(N4:X4)</f>
        <v>104.5984684684685</v>
      </c>
      <c r="L4" s="338">
        <v>20.29</v>
      </c>
      <c r="M4" s="339">
        <v>20.585585585585591</v>
      </c>
      <c r="N4" s="339">
        <f>20.5855855855856-0.12</f>
        <v>20.4655855855856</v>
      </c>
      <c r="O4" s="339">
        <v>18.941441441441448</v>
      </c>
      <c r="P4" s="339">
        <v>18.941441441441448</v>
      </c>
      <c r="Q4" s="356">
        <v>23</v>
      </c>
      <c r="R4" s="307">
        <v>23.25</v>
      </c>
      <c r="S4" s="906"/>
    </row>
    <row r="5" spans="1:19">
      <c r="A5" s="908"/>
      <c r="B5" s="909"/>
      <c r="C5" s="126"/>
      <c r="D5" s="126"/>
      <c r="E5" s="126"/>
      <c r="F5" s="112"/>
      <c r="G5" s="112"/>
      <c r="H5" s="906"/>
      <c r="I5" s="906"/>
      <c r="J5" s="906"/>
      <c r="K5" s="906"/>
      <c r="L5" s="906"/>
      <c r="M5" s="906"/>
      <c r="N5" s="906"/>
      <c r="O5" s="906"/>
      <c r="P5" s="906"/>
      <c r="Q5" s="906"/>
      <c r="R5" s="906"/>
      <c r="S5" s="906"/>
    </row>
    <row r="6" spans="1:19">
      <c r="A6" s="914"/>
      <c r="B6" s="144" t="s">
        <v>15</v>
      </c>
      <c r="C6" s="142"/>
      <c r="D6" s="142"/>
      <c r="E6" s="914"/>
      <c r="F6" s="143"/>
      <c r="G6" s="143"/>
      <c r="H6" s="906"/>
      <c r="I6" s="906"/>
      <c r="J6" s="906"/>
      <c r="K6" s="906"/>
      <c r="L6" s="906"/>
      <c r="M6" s="906"/>
      <c r="N6" s="906"/>
      <c r="O6" s="906"/>
      <c r="P6" s="906"/>
      <c r="Q6" s="906"/>
      <c r="R6" s="906"/>
      <c r="S6" s="906"/>
    </row>
    <row r="7" spans="1:19">
      <c r="A7" s="914"/>
      <c r="B7" s="146" t="s">
        <v>16</v>
      </c>
      <c r="C7" s="905">
        <f>GTA!C219</f>
        <v>32</v>
      </c>
      <c r="D7" s="142" t="s">
        <v>14</v>
      </c>
      <c r="E7" s="914">
        <v>18</v>
      </c>
      <c r="F7" s="143">
        <f>C7*E7</f>
        <v>576</v>
      </c>
      <c r="G7" s="112">
        <v>589.28</v>
      </c>
      <c r="H7" s="906"/>
      <c r="I7" s="906"/>
      <c r="J7" s="906"/>
      <c r="K7" s="906"/>
      <c r="L7" s="906"/>
      <c r="M7" s="906"/>
      <c r="N7" s="906"/>
      <c r="O7" s="906"/>
      <c r="P7" s="906"/>
      <c r="Q7" s="906"/>
      <c r="R7" s="906"/>
      <c r="S7" s="906"/>
    </row>
    <row r="8" spans="1:19">
      <c r="A8" s="914"/>
      <c r="B8" s="915"/>
      <c r="C8" s="142"/>
      <c r="D8" s="142"/>
      <c r="E8" s="914"/>
      <c r="F8" s="112"/>
      <c r="G8" s="112"/>
      <c r="H8" s="906"/>
      <c r="I8" s="906"/>
      <c r="J8" s="906"/>
      <c r="K8" s="906"/>
      <c r="L8" s="906"/>
      <c r="M8" s="906"/>
      <c r="N8" s="906"/>
      <c r="O8" s="906"/>
      <c r="P8" s="906"/>
      <c r="Q8" s="906"/>
      <c r="R8" s="906"/>
      <c r="S8" s="906"/>
    </row>
    <row r="9" spans="1:19">
      <c r="A9" s="908"/>
      <c r="B9" s="145"/>
      <c r="C9" s="126"/>
      <c r="D9" s="126"/>
      <c r="E9" s="126"/>
      <c r="F9" s="112"/>
      <c r="G9" s="112"/>
      <c r="H9" s="306"/>
      <c r="I9" s="28"/>
      <c r="J9" s="906"/>
      <c r="K9" s="906"/>
      <c r="L9" s="906"/>
      <c r="M9" s="906"/>
      <c r="N9" s="906"/>
      <c r="O9" s="906"/>
      <c r="P9" s="906"/>
      <c r="Q9" s="906"/>
      <c r="R9" s="906"/>
      <c r="S9" s="906"/>
    </row>
    <row r="10" spans="1:19">
      <c r="A10" s="908"/>
      <c r="B10" s="909"/>
      <c r="C10" s="126"/>
      <c r="D10" s="126"/>
      <c r="E10" s="915" t="s">
        <v>19</v>
      </c>
      <c r="F10" s="952">
        <f>SUM(F2:F9)</f>
        <v>1632</v>
      </c>
      <c r="G10" s="952">
        <f>SUM(G2:G9)</f>
        <v>1527.76</v>
      </c>
      <c r="H10" s="906"/>
      <c r="I10" s="906"/>
      <c r="J10" s="906"/>
      <c r="K10" s="906"/>
      <c r="L10" s="906"/>
      <c r="M10" s="906"/>
      <c r="N10" s="906"/>
      <c r="O10" s="906"/>
      <c r="P10" s="906"/>
      <c r="Q10" s="906"/>
      <c r="R10" s="906"/>
      <c r="S10" s="906"/>
    </row>
    <row r="11" spans="1:19">
      <c r="A11" s="906"/>
      <c r="B11" s="906"/>
      <c r="C11" s="906"/>
      <c r="D11" s="906"/>
      <c r="E11" s="906"/>
      <c r="F11" s="906"/>
      <c r="G11" s="906"/>
      <c r="H11"/>
      <c r="I11" s="906"/>
      <c r="J11" s="906"/>
      <c r="K11" s="906"/>
      <c r="L11" s="906"/>
      <c r="M11" s="906"/>
      <c r="N11" s="906"/>
      <c r="O11" s="906"/>
      <c r="P11" s="906"/>
      <c r="Q11" s="906"/>
      <c r="R11" s="906"/>
      <c r="S11" s="906"/>
    </row>
    <row r="12" spans="1:19">
      <c r="A12" s="906"/>
      <c r="B12" s="906"/>
      <c r="C12" s="906"/>
      <c r="D12" s="906"/>
      <c r="E12" s="906"/>
      <c r="F12" s="906"/>
      <c r="G12" s="906"/>
      <c r="H12" s="906"/>
      <c r="I12" s="906"/>
      <c r="J12" s="906"/>
      <c r="K12" s="906"/>
      <c r="L12" s="906"/>
      <c r="M12" s="906"/>
      <c r="N12" s="906"/>
      <c r="O12" s="906"/>
      <c r="P12" s="906"/>
      <c r="Q12" s="906"/>
      <c r="R12" s="906"/>
      <c r="S12" s="906"/>
    </row>
    <row r="13" spans="1:19">
      <c r="A13" s="906"/>
      <c r="B13" s="906"/>
      <c r="C13" s="906"/>
      <c r="D13" s="906"/>
      <c r="E13" s="906"/>
      <c r="F13" s="906"/>
      <c r="G13" s="906"/>
      <c r="H13" s="906"/>
      <c r="I13" s="906"/>
      <c r="J13" s="906"/>
      <c r="K13" s="906"/>
      <c r="L13" s="906"/>
      <c r="M13" s="906"/>
      <c r="N13" s="906"/>
      <c r="O13" s="906"/>
      <c r="P13" s="906"/>
      <c r="Q13" s="906"/>
      <c r="R13" s="906"/>
      <c r="S13" s="906"/>
    </row>
    <row r="14" spans="1:19">
      <c r="A14" s="906"/>
      <c r="B14" s="906"/>
      <c r="C14" s="906"/>
      <c r="D14" s="906"/>
      <c r="E14" s="906"/>
      <c r="F14" s="906"/>
      <c r="G14" s="906"/>
      <c r="H14" s="906"/>
      <c r="I14" s="906"/>
      <c r="J14" s="906"/>
      <c r="K14" s="906"/>
      <c r="L14" s="906"/>
      <c r="M14" s="906"/>
      <c r="N14" s="906"/>
      <c r="O14" s="906"/>
      <c r="P14" s="906"/>
      <c r="Q14" s="906"/>
      <c r="R14" s="906"/>
      <c r="S14" s="906"/>
    </row>
    <row r="15" spans="1:19">
      <c r="A15" s="906"/>
      <c r="B15" s="906"/>
      <c r="C15" s="906"/>
      <c r="D15" s="906"/>
      <c r="E15" s="906"/>
      <c r="F15" s="906"/>
      <c r="G15" s="906"/>
      <c r="H15" s="906"/>
    </row>
    <row r="16" spans="1:19">
      <c r="A16" s="906"/>
      <c r="B16" s="906"/>
      <c r="C16" s="906"/>
      <c r="D16" s="906"/>
      <c r="E16" s="906"/>
      <c r="F16" s="906"/>
      <c r="G16" s="906"/>
      <c r="H16" s="906"/>
    </row>
    <row r="17" spans="1:8">
      <c r="A17" s="906"/>
      <c r="B17" s="906"/>
      <c r="C17" s="906"/>
      <c r="D17" s="906"/>
      <c r="E17" s="906"/>
      <c r="F17" s="906"/>
      <c r="G17" s="906"/>
      <c r="H17" s="906"/>
    </row>
    <row r="18" spans="1:8">
      <c r="A18" s="906"/>
      <c r="B18" s="906"/>
      <c r="C18" s="906"/>
      <c r="D18" s="906"/>
      <c r="E18" s="906"/>
      <c r="F18" s="906"/>
      <c r="G18" s="906"/>
      <c r="H18" s="906"/>
    </row>
    <row r="19" spans="1:8">
      <c r="A19" s="906"/>
      <c r="B19" s="906"/>
      <c r="C19" s="906"/>
      <c r="D19" s="906"/>
      <c r="E19" s="906"/>
      <c r="F19" s="906"/>
      <c r="G19" s="906"/>
      <c r="H19" s="906"/>
    </row>
    <row r="20" spans="1:8">
      <c r="A20" s="906"/>
      <c r="B20" s="906"/>
      <c r="C20" s="906"/>
      <c r="D20" s="906"/>
      <c r="E20" s="906"/>
      <c r="F20" s="906"/>
      <c r="G20" s="906"/>
      <c r="H20" s="906"/>
    </row>
    <row r="21" spans="1:8">
      <c r="A21" s="906"/>
      <c r="B21" s="906"/>
      <c r="C21" s="906"/>
      <c r="D21" s="906"/>
      <c r="E21" s="906"/>
      <c r="F21" s="906"/>
      <c r="G21" s="906"/>
      <c r="H21" s="906"/>
    </row>
    <row r="22" spans="1:8">
      <c r="A22" s="906"/>
      <c r="B22" s="906"/>
      <c r="C22" s="906"/>
      <c r="D22" s="906"/>
      <c r="E22" s="906"/>
      <c r="F22" s="906"/>
      <c r="G22" s="906"/>
      <c r="H22" s="906"/>
    </row>
    <row r="23" spans="1:8">
      <c r="A23" s="906"/>
      <c r="B23" s="906"/>
      <c r="C23" s="906"/>
      <c r="D23" s="906"/>
      <c r="E23" s="906"/>
      <c r="F23" s="906"/>
      <c r="G23" s="906"/>
      <c r="H23" s="906"/>
    </row>
    <row r="24" spans="1:8">
      <c r="A24" s="906"/>
      <c r="B24" s="906"/>
      <c r="C24" s="906"/>
      <c r="D24" s="906"/>
      <c r="E24" s="906"/>
      <c r="F24" s="906"/>
      <c r="G24" s="906"/>
      <c r="H24" s="906"/>
    </row>
    <row r="25" spans="1:8">
      <c r="A25" s="906"/>
      <c r="B25" s="906"/>
      <c r="C25" s="906"/>
      <c r="D25" s="906"/>
      <c r="E25" s="906"/>
      <c r="F25" s="906"/>
      <c r="G25" s="906"/>
      <c r="H25" s="906"/>
    </row>
    <row r="26" spans="1:8">
      <c r="A26" s="906"/>
      <c r="B26" s="906"/>
      <c r="C26" s="906"/>
      <c r="D26" s="906"/>
      <c r="E26" s="906"/>
      <c r="F26" s="906"/>
      <c r="G26" s="906"/>
      <c r="H26" s="906"/>
    </row>
    <row r="27" spans="1:8">
      <c r="A27" s="906"/>
      <c r="B27" s="906"/>
      <c r="C27" s="906"/>
      <c r="D27" s="906"/>
      <c r="E27" s="906"/>
      <c r="F27" s="906"/>
      <c r="G27" s="906"/>
      <c r="H27" s="906"/>
    </row>
    <row r="28" spans="1:8">
      <c r="A28" s="906"/>
      <c r="B28" s="906"/>
      <c r="C28" s="906"/>
      <c r="D28" s="906"/>
      <c r="E28" s="906"/>
      <c r="F28" s="906"/>
      <c r="G28" s="906"/>
      <c r="H28" s="906"/>
    </row>
    <row r="29" spans="1:8">
      <c r="A29" s="906"/>
      <c r="B29" s="906"/>
      <c r="C29" s="906"/>
      <c r="D29" s="906"/>
      <c r="E29" s="906"/>
      <c r="F29" s="906"/>
      <c r="G29" s="906"/>
      <c r="H29" s="906"/>
    </row>
    <row r="30" spans="1:8">
      <c r="A30" s="906"/>
      <c r="B30" s="906"/>
      <c r="C30" s="906"/>
      <c r="D30" s="906"/>
      <c r="E30" s="906"/>
      <c r="F30" s="906"/>
      <c r="G30" s="906"/>
      <c r="H30" s="906"/>
    </row>
    <row r="31" spans="1:8">
      <c r="A31" s="308"/>
      <c r="B31" s="308"/>
      <c r="C31" s="308"/>
      <c r="D31" s="308"/>
      <c r="E31" s="308"/>
      <c r="F31" s="308"/>
      <c r="G31" s="308"/>
    </row>
    <row r="32" spans="1:8">
      <c r="A32" s="308"/>
      <c r="B32" s="308"/>
      <c r="C32" s="308"/>
      <c r="D32" s="308"/>
      <c r="E32" s="308"/>
      <c r="F32" s="308"/>
      <c r="G32" s="308"/>
    </row>
    <row r="33" s="308" customFormat="1"/>
    <row r="34" s="308" customFormat="1"/>
    <row r="35" s="308" customFormat="1"/>
    <row r="36" s="308" customFormat="1"/>
    <row r="37" s="308" customFormat="1"/>
    <row r="38" s="308" customFormat="1"/>
    <row r="39" s="308" customFormat="1"/>
    <row r="40" s="308" customFormat="1"/>
    <row r="41" s="308" customFormat="1"/>
    <row r="42" s="308" customFormat="1"/>
    <row r="43" s="308" customFormat="1"/>
    <row r="44" s="308" customFormat="1"/>
    <row r="45" s="308" customFormat="1"/>
    <row r="46" s="308" customFormat="1"/>
    <row r="47" s="308" customFormat="1"/>
    <row r="48" s="308" customFormat="1"/>
    <row r="49" s="308" customFormat="1"/>
    <row r="50" s="308" customFormat="1"/>
    <row r="51" s="308" customFormat="1"/>
    <row r="52" s="308" customFormat="1"/>
    <row r="53" s="308" customFormat="1"/>
    <row r="54" s="308" customFormat="1"/>
    <row r="55" s="308" customFormat="1"/>
    <row r="56" s="308" customFormat="1"/>
    <row r="57" s="308" customFormat="1"/>
    <row r="58" s="308" customFormat="1"/>
    <row r="59" s="308" customFormat="1"/>
    <row r="60" s="308" customFormat="1"/>
    <row r="61" s="308" customFormat="1"/>
    <row r="62" s="308" customFormat="1"/>
    <row r="63" s="308" customFormat="1"/>
    <row r="64" s="308" customFormat="1"/>
    <row r="65" s="308" customFormat="1"/>
    <row r="66" s="308" customFormat="1"/>
    <row r="67" s="308" customFormat="1"/>
    <row r="68" s="308" customFormat="1"/>
    <row r="69" s="308" customFormat="1"/>
    <row r="70" s="308" customFormat="1"/>
    <row r="71" s="308" customFormat="1"/>
    <row r="72" s="308" customFormat="1"/>
    <row r="73" s="308" customFormat="1"/>
    <row r="74" s="308" customFormat="1"/>
    <row r="75" s="308" customFormat="1"/>
    <row r="76" s="308" customFormat="1"/>
    <row r="77" s="308" customFormat="1"/>
    <row r="78" s="308" customFormat="1"/>
    <row r="79" s="308" customFormat="1"/>
    <row r="80" s="308" customFormat="1"/>
    <row r="81" s="308" customFormat="1"/>
    <row r="82" s="308" customFormat="1"/>
    <row r="83" s="308" customFormat="1"/>
    <row r="84" s="308" customFormat="1"/>
    <row r="85" s="308" customFormat="1"/>
    <row r="86" s="308" customFormat="1"/>
    <row r="87" s="308" customFormat="1"/>
    <row r="88" s="308" customFormat="1"/>
    <row r="89" s="308" customFormat="1"/>
    <row r="90" s="308" customFormat="1"/>
    <row r="91" s="308" customFormat="1"/>
    <row r="92" s="308" customFormat="1"/>
    <row r="93" s="308" customFormat="1"/>
    <row r="94" s="308" customFormat="1"/>
    <row r="95" s="308" customFormat="1"/>
    <row r="96" s="308" customFormat="1"/>
    <row r="97" s="308" customFormat="1"/>
    <row r="98" s="308" customFormat="1"/>
    <row r="99" s="308" customFormat="1"/>
    <row r="100" s="308" customFormat="1"/>
    <row r="101" s="308" customFormat="1"/>
    <row r="102" s="308" customFormat="1"/>
    <row r="103" s="308" customFormat="1"/>
    <row r="104" s="308" customFormat="1"/>
    <row r="105" s="308" customFormat="1"/>
    <row r="106" s="308" customFormat="1"/>
    <row r="107" s="308" customFormat="1"/>
    <row r="108" s="308" customFormat="1"/>
    <row r="109" s="308" customFormat="1"/>
    <row r="110" s="308" customFormat="1"/>
    <row r="111" s="308" customFormat="1"/>
    <row r="112" s="308" customFormat="1"/>
    <row r="113" spans="1:7">
      <c r="A113" s="308"/>
      <c r="B113" s="308"/>
      <c r="C113" s="308"/>
      <c r="D113" s="308"/>
      <c r="E113" s="308"/>
      <c r="F113" s="308"/>
      <c r="G113" s="308"/>
    </row>
    <row r="114" spans="1:7">
      <c r="A114" s="308"/>
      <c r="B114" s="308"/>
      <c r="C114" s="308"/>
      <c r="D114" s="308"/>
      <c r="E114" s="308"/>
      <c r="F114" s="308"/>
      <c r="G114" s="308"/>
    </row>
    <row r="115" spans="1:7">
      <c r="A115" s="308"/>
      <c r="B115" s="308"/>
      <c r="C115" s="308"/>
      <c r="D115" s="308"/>
      <c r="E115" s="308"/>
      <c r="F115" s="308"/>
      <c r="G115" s="308"/>
    </row>
    <row r="116" spans="1:7">
      <c r="A116" s="308"/>
      <c r="B116" s="308"/>
      <c r="C116" s="308"/>
      <c r="D116" s="308"/>
      <c r="E116" s="308"/>
      <c r="F116" s="308"/>
      <c r="G116" s="308"/>
    </row>
    <row r="117" spans="1:7">
      <c r="A117" s="308"/>
      <c r="B117" s="308"/>
      <c r="C117" s="308"/>
      <c r="D117" s="308"/>
      <c r="E117" s="308"/>
      <c r="F117" s="308"/>
      <c r="G117" s="308"/>
    </row>
    <row r="118" spans="1:7">
      <c r="A118" s="308"/>
      <c r="B118" s="308"/>
      <c r="C118" s="308"/>
      <c r="D118" s="308"/>
      <c r="E118" s="308"/>
      <c r="F118" s="308"/>
      <c r="G118" s="308"/>
    </row>
    <row r="119" spans="1:7">
      <c r="A119" s="308"/>
      <c r="B119" s="308"/>
      <c r="C119" s="308"/>
      <c r="D119" s="308"/>
      <c r="E119" s="308"/>
      <c r="F119" s="308"/>
      <c r="G119" s="308"/>
    </row>
    <row r="120" spans="1:7">
      <c r="A120" s="308"/>
      <c r="B120" s="308"/>
      <c r="C120" s="308"/>
      <c r="D120" s="308"/>
      <c r="E120" s="308"/>
      <c r="F120" s="308"/>
      <c r="G120" s="308"/>
    </row>
    <row r="121" spans="1:7">
      <c r="A121" s="308"/>
      <c r="B121" s="308"/>
      <c r="C121" s="308"/>
      <c r="D121" s="308"/>
      <c r="E121" s="308"/>
      <c r="F121" s="308"/>
      <c r="G121" s="308"/>
    </row>
    <row r="122" spans="1:7">
      <c r="A122" s="308"/>
      <c r="B122" s="308"/>
      <c r="C122" s="308"/>
      <c r="D122" s="308"/>
      <c r="E122" s="308"/>
      <c r="F122" s="308"/>
      <c r="G122" s="308"/>
    </row>
    <row r="123" spans="1:7">
      <c r="A123" s="308"/>
      <c r="B123" s="308"/>
      <c r="C123" s="308"/>
      <c r="D123" s="308"/>
      <c r="E123" s="308"/>
      <c r="F123" s="308"/>
      <c r="G123" s="308"/>
    </row>
    <row r="124" spans="1:7">
      <c r="A124" s="308"/>
      <c r="B124" s="308"/>
      <c r="C124" s="308"/>
      <c r="D124" s="308"/>
      <c r="E124" s="308"/>
      <c r="F124" s="308"/>
      <c r="G124" s="308"/>
    </row>
    <row r="125" spans="1:7">
      <c r="A125" s="308"/>
      <c r="B125" s="308"/>
      <c r="C125" s="308"/>
      <c r="D125" s="308"/>
      <c r="E125" s="308"/>
      <c r="F125" s="308"/>
      <c r="G125" s="308"/>
    </row>
    <row r="126" spans="1:7">
      <c r="A126" s="308"/>
      <c r="B126" s="308"/>
      <c r="C126" s="308"/>
      <c r="D126" s="308"/>
      <c r="E126" s="308"/>
      <c r="F126" s="308"/>
      <c r="G126" s="308"/>
    </row>
    <row r="127" spans="1:7">
      <c r="A127" s="906"/>
      <c r="B127" s="906"/>
      <c r="C127" s="906"/>
      <c r="D127" s="906"/>
      <c r="E127" s="906"/>
      <c r="F127" s="906"/>
      <c r="G127" s="906"/>
    </row>
    <row r="128" spans="1:7">
      <c r="A128" s="906"/>
      <c r="B128" s="906"/>
      <c r="C128" s="906"/>
      <c r="D128" s="906"/>
      <c r="E128" s="906"/>
      <c r="F128" s="906"/>
      <c r="G128" s="906"/>
    </row>
    <row r="129" spans="1:7">
      <c r="A129" s="906"/>
      <c r="B129" s="906"/>
      <c r="C129" s="906"/>
      <c r="D129" s="906"/>
      <c r="E129" s="906"/>
      <c r="F129" s="906"/>
      <c r="G129" s="906"/>
    </row>
    <row r="130" spans="1:7">
      <c r="A130" s="906"/>
      <c r="B130" s="906"/>
      <c r="C130" s="906"/>
      <c r="D130" s="906"/>
      <c r="E130" s="906"/>
      <c r="F130" s="906"/>
      <c r="G130" s="906"/>
    </row>
    <row r="131" spans="1:7">
      <c r="A131" s="906"/>
      <c r="B131" s="906"/>
      <c r="C131" s="906"/>
      <c r="D131" s="906"/>
      <c r="E131" s="906"/>
      <c r="F131" s="906"/>
      <c r="G131" s="906"/>
    </row>
    <row r="132" spans="1:7">
      <c r="A132" s="906"/>
      <c r="B132" s="906"/>
      <c r="C132" s="906"/>
      <c r="D132" s="906"/>
      <c r="E132" s="906"/>
      <c r="F132" s="906"/>
      <c r="G132" s="906"/>
    </row>
    <row r="133" spans="1:7">
      <c r="A133" s="906"/>
      <c r="B133" s="906"/>
      <c r="C133" s="906"/>
      <c r="D133" s="906"/>
      <c r="E133" s="906"/>
      <c r="F133" s="906"/>
      <c r="G133" s="906"/>
    </row>
    <row r="134" spans="1:7">
      <c r="A134" s="906"/>
      <c r="B134" s="906"/>
      <c r="C134" s="906"/>
      <c r="D134" s="906"/>
      <c r="E134" s="906"/>
      <c r="F134" s="906"/>
      <c r="G134" s="906"/>
    </row>
    <row r="135" spans="1:7">
      <c r="A135" s="906"/>
      <c r="B135" s="906"/>
      <c r="C135" s="906"/>
      <c r="D135" s="906"/>
      <c r="E135" s="906"/>
      <c r="F135" s="906"/>
      <c r="G135" s="906"/>
    </row>
    <row r="136" spans="1:7">
      <c r="A136" s="906"/>
      <c r="B136" s="906"/>
      <c r="C136" s="906"/>
      <c r="D136" s="906"/>
      <c r="E136" s="906"/>
      <c r="F136" s="906"/>
      <c r="G136" s="906"/>
    </row>
    <row r="137" spans="1:7">
      <c r="A137" s="906"/>
      <c r="B137" s="906"/>
      <c r="C137" s="906"/>
      <c r="D137" s="906"/>
      <c r="E137" s="906"/>
      <c r="F137" s="906"/>
      <c r="G137" s="906"/>
    </row>
    <row r="138" spans="1:7">
      <c r="A138" s="906"/>
      <c r="B138" s="906"/>
      <c r="C138" s="906"/>
      <c r="D138" s="906"/>
      <c r="E138" s="906"/>
      <c r="F138" s="906"/>
      <c r="G138" s="906"/>
    </row>
    <row r="139" spans="1:7">
      <c r="A139" s="906"/>
      <c r="B139" s="906"/>
      <c r="C139" s="906"/>
      <c r="D139" s="906"/>
      <c r="E139" s="906"/>
      <c r="F139" s="906"/>
      <c r="G139" s="906"/>
    </row>
    <row r="140" spans="1:7">
      <c r="A140" s="906"/>
      <c r="B140" s="906"/>
      <c r="C140" s="906"/>
      <c r="D140" s="906"/>
      <c r="E140" s="906"/>
      <c r="F140" s="906"/>
      <c r="G140" s="906"/>
    </row>
    <row r="141" spans="1:7">
      <c r="A141" s="907"/>
      <c r="B141" s="906"/>
      <c r="C141" s="906"/>
      <c r="D141" s="906"/>
      <c r="E141" s="906"/>
      <c r="F141" s="916"/>
      <c r="G141" s="916"/>
    </row>
  </sheetData>
  <mergeCells count="7">
    <mergeCell ref="R2:R3"/>
    <mergeCell ref="M2:M3"/>
    <mergeCell ref="L2:L3"/>
    <mergeCell ref="N2:N3"/>
    <mergeCell ref="O2:O3"/>
    <mergeCell ref="Q2:Q3"/>
    <mergeCell ref="P2:P3"/>
  </mergeCells>
  <phoneticPr fontId="67" type="noConversion"/>
  <pageMargins left="0.25" right="0.25" top="0.75" bottom="0.75" header="0.3" footer="0.3"/>
  <pageSetup fitToHeight="0" orientation="landscape" r:id="rId1"/>
  <headerFooter>
    <oddHeader>&amp;C&amp;"-,Bold"&amp;15MMJ HOTEL HOUSEKEEPING AND JANITORIAL SERVICES PAY PERIOD January 10 - 23</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AB4C8-0DBF-4E2C-8164-67C7C8BB594B}">
  <sheetPr codeName="Sheet2">
    <tabColor theme="4"/>
  </sheetPr>
  <dimension ref="A1:XFD1058"/>
  <sheetViews>
    <sheetView topLeftCell="A529" zoomScale="70" zoomScaleNormal="70" workbookViewId="0">
      <selection activeCell="F662" sqref="F662"/>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3.85546875" style="889" customWidth="1"/>
    <col min="7" max="7" width="58.140625" style="313" customWidth="1"/>
    <col min="8" max="8" width="84.42578125" style="313" customWidth="1"/>
    <col min="9" max="9" width="68.7109375" style="313" customWidth="1"/>
    <col min="10" max="16384" width="9" style="313"/>
  </cols>
  <sheetData>
    <row r="1" spans="1:9" ht="18" customHeight="1">
      <c r="A1" s="131" t="str">
        <f>MMJ!B1</f>
        <v>PAY PERIOD January 10 - 23, 2025</v>
      </c>
      <c r="B1" s="131" t="s">
        <v>0</v>
      </c>
      <c r="C1" s="131" t="s">
        <v>1</v>
      </c>
      <c r="D1" s="131" t="s">
        <v>2</v>
      </c>
      <c r="E1" s="312" t="s">
        <v>19</v>
      </c>
      <c r="G1"/>
    </row>
    <row r="2" spans="1:9" ht="18" customHeight="1">
      <c r="A2" s="414" t="s">
        <v>20</v>
      </c>
      <c r="B2" s="415"/>
      <c r="C2" s="415"/>
      <c r="D2" s="415"/>
      <c r="E2" s="416"/>
      <c r="G2"/>
    </row>
    <row r="3" spans="1:9" ht="18" customHeight="1">
      <c r="A3" s="394" t="s">
        <v>21</v>
      </c>
      <c r="B3" s="135">
        <f>GTA!F201</f>
        <v>0</v>
      </c>
      <c r="C3" s="135" t="s">
        <v>22</v>
      </c>
      <c r="D3" s="135">
        <v>16.649999999999999</v>
      </c>
      <c r="E3" s="314">
        <f>B3*D3</f>
        <v>0</v>
      </c>
      <c r="G3"/>
    </row>
    <row r="4" spans="1:9" ht="18" customHeight="1">
      <c r="A4" s="423"/>
      <c r="B4" s="419"/>
      <c r="C4" s="419"/>
      <c r="D4" s="419"/>
      <c r="E4" s="420"/>
      <c r="G4"/>
      <c r="I4" s="647" t="s">
        <v>23</v>
      </c>
    </row>
    <row r="5" spans="1:9" ht="18" customHeight="1">
      <c r="A5" s="414" t="s">
        <v>24</v>
      </c>
      <c r="B5" s="415">
        <f>SUM(B2:B4)</f>
        <v>0</v>
      </c>
      <c r="C5" s="415"/>
      <c r="D5" s="415"/>
      <c r="E5" s="415"/>
      <c r="G5"/>
      <c r="I5" s="647" t="s">
        <v>25</v>
      </c>
    </row>
    <row r="6" spans="1:9" ht="18" customHeight="1">
      <c r="A6" s="394"/>
      <c r="B6" s="135"/>
      <c r="C6" s="135"/>
      <c r="D6" s="135"/>
      <c r="E6" s="314"/>
      <c r="G6"/>
      <c r="I6" s="647"/>
    </row>
    <row r="7" spans="1:9" ht="18" customHeight="1">
      <c r="A7" s="414" t="s">
        <v>26</v>
      </c>
      <c r="B7" s="415"/>
      <c r="C7" s="415"/>
      <c r="D7" s="415"/>
      <c r="E7" s="416"/>
      <c r="G7"/>
    </row>
    <row r="8" spans="1:9" ht="18" customHeight="1">
      <c r="A8" s="136" t="s">
        <v>27</v>
      </c>
      <c r="B8" s="135">
        <f>OTTAWA!C72</f>
        <v>0</v>
      </c>
      <c r="C8" s="135" t="s">
        <v>22</v>
      </c>
      <c r="D8" s="135">
        <v>18</v>
      </c>
      <c r="E8" s="314">
        <f>B8*D8</f>
        <v>0</v>
      </c>
      <c r="G8"/>
    </row>
    <row r="9" spans="1:9" ht="18" customHeight="1">
      <c r="A9" s="423"/>
      <c r="B9" s="419"/>
      <c r="C9" s="419"/>
      <c r="D9" s="419"/>
      <c r="E9" s="420"/>
      <c r="G9"/>
      <c r="I9" s="647" t="s">
        <v>23</v>
      </c>
    </row>
    <row r="10" spans="1:9" ht="18" customHeight="1">
      <c r="A10" s="414" t="s">
        <v>28</v>
      </c>
      <c r="B10" s="415">
        <f>SUM(B7:B9)</f>
        <v>0</v>
      </c>
      <c r="C10" s="415"/>
      <c r="D10" s="415"/>
      <c r="E10" s="415"/>
      <c r="G10"/>
      <c r="I10" s="647" t="s">
        <v>25</v>
      </c>
    </row>
    <row r="11" spans="1:9" ht="18" customHeight="1">
      <c r="A11" s="394"/>
      <c r="B11" s="135"/>
      <c r="C11" s="135"/>
      <c r="D11" s="135"/>
      <c r="E11" s="314"/>
      <c r="G11"/>
      <c r="I11" s="647"/>
    </row>
    <row r="12" spans="1:9" ht="18" customHeight="1">
      <c r="A12" s="414" t="s">
        <v>29</v>
      </c>
      <c r="B12" s="415"/>
      <c r="C12" s="415"/>
      <c r="D12" s="415"/>
      <c r="E12" s="416"/>
      <c r="G12"/>
      <c r="I12" s="647"/>
    </row>
    <row r="13" spans="1:9" ht="18" customHeight="1">
      <c r="A13" s="394" t="s">
        <v>13</v>
      </c>
      <c r="B13" s="135">
        <v>60</v>
      </c>
      <c r="C13" s="135" t="s">
        <v>14</v>
      </c>
      <c r="D13" s="135">
        <v>17.600000000000001</v>
      </c>
      <c r="E13" s="314">
        <v>1032.83</v>
      </c>
      <c r="F13" s="889" t="s">
        <v>11</v>
      </c>
      <c r="G13"/>
      <c r="I13" s="647"/>
    </row>
    <row r="14" spans="1:9" ht="18" customHeight="1">
      <c r="A14" s="394" t="s">
        <v>16</v>
      </c>
      <c r="B14" s="135">
        <v>28</v>
      </c>
      <c r="C14" s="135" t="s">
        <v>14</v>
      </c>
      <c r="D14" s="135">
        <v>18</v>
      </c>
      <c r="E14" s="314">
        <v>575.63</v>
      </c>
      <c r="F14" s="889" t="s">
        <v>15</v>
      </c>
      <c r="G14"/>
      <c r="I14" s="647"/>
    </row>
    <row r="15" spans="1:9" ht="18" customHeight="1">
      <c r="A15" s="395" t="s">
        <v>32</v>
      </c>
      <c r="B15" s="135">
        <f>'OUTSIDE GTA'!G197</f>
        <v>0</v>
      </c>
      <c r="C15" s="135" t="s">
        <v>22</v>
      </c>
      <c r="D15" s="135">
        <v>16.649999999999999</v>
      </c>
      <c r="E15" s="314">
        <f t="shared" ref="E15:E20" si="0">B15*D15</f>
        <v>0</v>
      </c>
      <c r="G15"/>
      <c r="I15" s="647"/>
    </row>
    <row r="16" spans="1:9" ht="18" customHeight="1">
      <c r="A16" s="395" t="s">
        <v>33</v>
      </c>
      <c r="B16" s="135">
        <f>'OUTSIDE GTA'!E197</f>
        <v>0</v>
      </c>
      <c r="C16" s="135" t="s">
        <v>22</v>
      </c>
      <c r="D16" s="135">
        <v>16.649999999999999</v>
      </c>
      <c r="E16" s="314">
        <f t="shared" si="0"/>
        <v>0</v>
      </c>
      <c r="G16"/>
      <c r="I16" s="647"/>
    </row>
    <row r="17" spans="1:9" ht="18" customHeight="1">
      <c r="A17" s="395" t="s">
        <v>34</v>
      </c>
      <c r="B17" s="135">
        <f>'OUTSIDE GTA'!D197</f>
        <v>0</v>
      </c>
      <c r="C17" s="135" t="s">
        <v>22</v>
      </c>
      <c r="D17" s="135">
        <v>16.649999999999999</v>
      </c>
      <c r="E17" s="314">
        <f t="shared" si="0"/>
        <v>0</v>
      </c>
      <c r="G17"/>
      <c r="I17" s="647"/>
    </row>
    <row r="18" spans="1:9" ht="18" customHeight="1">
      <c r="A18" s="395" t="s">
        <v>35</v>
      </c>
      <c r="B18" s="135">
        <f>'OUTSIDE GTA'!H197</f>
        <v>0</v>
      </c>
      <c r="C18" s="135" t="s">
        <v>22</v>
      </c>
      <c r="D18" s="135">
        <v>16.649999999999999</v>
      </c>
      <c r="E18" s="314">
        <f t="shared" si="0"/>
        <v>0</v>
      </c>
      <c r="G18"/>
      <c r="I18" s="647"/>
    </row>
    <row r="19" spans="1:9" ht="18" customHeight="1">
      <c r="A19" s="395" t="s">
        <v>36</v>
      </c>
      <c r="B19" s="135">
        <f>'OUTSIDE GTA'!F197</f>
        <v>0</v>
      </c>
      <c r="C19" s="135" t="s">
        <v>22</v>
      </c>
      <c r="D19" s="135">
        <v>16.649999999999999</v>
      </c>
      <c r="E19" s="314">
        <f t="shared" si="0"/>
        <v>0</v>
      </c>
      <c r="G19"/>
      <c r="I19" s="647"/>
    </row>
    <row r="20" spans="1:9" ht="18" customHeight="1">
      <c r="A20" s="395" t="s">
        <v>37</v>
      </c>
      <c r="B20" s="135">
        <f>'OUTSIDE GTA'!I197</f>
        <v>0</v>
      </c>
      <c r="C20" s="135" t="s">
        <v>22</v>
      </c>
      <c r="D20" s="135">
        <v>16.649999999999999</v>
      </c>
      <c r="E20" s="314">
        <f t="shared" si="0"/>
        <v>0</v>
      </c>
      <c r="G20"/>
      <c r="I20" s="647"/>
    </row>
    <row r="21" spans="1:9" ht="18" customHeight="1">
      <c r="A21" s="423"/>
      <c r="B21" s="419"/>
      <c r="C21" s="419"/>
      <c r="D21" s="419"/>
      <c r="E21" s="420"/>
      <c r="G21"/>
      <c r="I21" s="647"/>
    </row>
    <row r="22" spans="1:9" ht="18" customHeight="1">
      <c r="A22" s="414" t="s">
        <v>29</v>
      </c>
      <c r="B22" s="415">
        <f>SUM(B12:B21)</f>
        <v>88</v>
      </c>
      <c r="C22" s="415"/>
      <c r="D22" s="415"/>
      <c r="E22" s="415"/>
      <c r="G22"/>
      <c r="I22" s="647"/>
    </row>
    <row r="23" spans="1:9" ht="18" customHeight="1">
      <c r="A23" s="394"/>
      <c r="B23" s="135"/>
      <c r="C23" s="135"/>
      <c r="D23" s="135"/>
      <c r="E23" s="314"/>
      <c r="G23"/>
      <c r="I23" s="647"/>
    </row>
    <row r="24" spans="1:9" ht="18" customHeight="1">
      <c r="A24" s="414" t="s">
        <v>7173</v>
      </c>
      <c r="B24" s="415"/>
      <c r="C24" s="415"/>
      <c r="D24" s="415"/>
      <c r="E24" s="416"/>
      <c r="G24"/>
    </row>
    <row r="25" spans="1:9" ht="18" customHeight="1">
      <c r="A25" s="394" t="s">
        <v>7172</v>
      </c>
      <c r="B25" s="135">
        <f>'OUTSIDE GTA'!C17</f>
        <v>0</v>
      </c>
      <c r="C25" s="135" t="s">
        <v>22</v>
      </c>
      <c r="D25" s="135">
        <v>16.5</v>
      </c>
      <c r="E25" s="314">
        <f>B25*D25</f>
        <v>0</v>
      </c>
      <c r="G25"/>
    </row>
    <row r="26" spans="1:9" ht="18" customHeight="1">
      <c r="A26" s="394" t="s">
        <v>7176</v>
      </c>
      <c r="B26" s="135">
        <f>'OUTSIDE GTA'!D17</f>
        <v>0</v>
      </c>
      <c r="C26" s="135" t="s">
        <v>22</v>
      </c>
      <c r="D26" s="135">
        <v>16.5</v>
      </c>
      <c r="E26" s="314">
        <f>(B26*D26)-64.52</f>
        <v>-64.52</v>
      </c>
      <c r="F26" s="889" t="s">
        <v>7173</v>
      </c>
      <c r="G26" s="976">
        <f>(500/31)*4</f>
        <v>64.516129032258064</v>
      </c>
    </row>
    <row r="27" spans="1:9" ht="18" customHeight="1">
      <c r="A27" s="395"/>
      <c r="B27" s="135"/>
      <c r="C27" s="135" t="s">
        <v>22</v>
      </c>
      <c r="D27" s="135"/>
      <c r="E27" s="314">
        <f>B27*D27</f>
        <v>0</v>
      </c>
      <c r="G27"/>
      <c r="I27" s="647" t="s">
        <v>42</v>
      </c>
    </row>
    <row r="28" spans="1:9" ht="18" customHeight="1">
      <c r="A28" s="395"/>
      <c r="B28" s="135"/>
      <c r="C28" s="135" t="s">
        <v>22</v>
      </c>
      <c r="D28" s="135"/>
      <c r="E28" s="314">
        <f>B28*D28</f>
        <v>0</v>
      </c>
    </row>
    <row r="29" spans="1:9" ht="18" customHeight="1">
      <c r="A29" s="423"/>
      <c r="B29" s="419"/>
      <c r="C29" s="419"/>
      <c r="D29" s="419"/>
      <c r="E29" s="420"/>
      <c r="G29"/>
      <c r="I29" s="647" t="s">
        <v>23</v>
      </c>
    </row>
    <row r="30" spans="1:9" ht="18" customHeight="1">
      <c r="A30" s="414" t="s">
        <v>44</v>
      </c>
      <c r="B30" s="415">
        <f>SUM(B24:B29)</f>
        <v>0</v>
      </c>
      <c r="C30" s="415"/>
      <c r="D30" s="415"/>
      <c r="E30" s="415"/>
      <c r="G30"/>
      <c r="I30" s="647" t="s">
        <v>25</v>
      </c>
    </row>
    <row r="31" spans="1:9" ht="18" customHeight="1">
      <c r="A31" s="394"/>
      <c r="B31" s="135"/>
      <c r="C31" s="135"/>
      <c r="D31" s="135"/>
      <c r="E31" s="314"/>
      <c r="G31"/>
      <c r="I31" s="647"/>
    </row>
    <row r="32" spans="1:9" ht="18" customHeight="1">
      <c r="A32" s="414" t="s">
        <v>45</v>
      </c>
      <c r="B32" s="415"/>
      <c r="C32" s="415"/>
      <c r="D32" s="415"/>
      <c r="E32" s="415"/>
      <c r="G32"/>
    </row>
    <row r="33" spans="1:9" ht="18" customHeight="1">
      <c r="A33" s="394" t="s">
        <v>46</v>
      </c>
      <c r="B33" s="135">
        <f>'OUTSIDE GTA'!C270</f>
        <v>0</v>
      </c>
      <c r="C33" s="135" t="s">
        <v>22</v>
      </c>
      <c r="D33" s="135">
        <v>18</v>
      </c>
      <c r="E33" s="314">
        <f>B33*D33</f>
        <v>0</v>
      </c>
      <c r="G33"/>
    </row>
    <row r="34" spans="1:9" ht="18" customHeight="1">
      <c r="A34" s="395" t="s">
        <v>47</v>
      </c>
      <c r="B34" s="135">
        <f>'OUTSIDE GTA'!D270</f>
        <v>0</v>
      </c>
      <c r="C34" s="135" t="s">
        <v>22</v>
      </c>
      <c r="D34" s="135">
        <v>18</v>
      </c>
      <c r="E34" s="314">
        <f>B34*D34</f>
        <v>0</v>
      </c>
      <c r="G34"/>
      <c r="I34" s="647" t="s">
        <v>42</v>
      </c>
    </row>
    <row r="35" spans="1:9" ht="18" customHeight="1">
      <c r="A35" s="395" t="s">
        <v>48</v>
      </c>
      <c r="B35" s="135">
        <f>'OUTSIDE GTA'!E270</f>
        <v>0</v>
      </c>
      <c r="C35" s="135" t="s">
        <v>22</v>
      </c>
      <c r="D35" s="135">
        <v>18</v>
      </c>
      <c r="E35" s="314">
        <f>B35*D35</f>
        <v>0</v>
      </c>
    </row>
    <row r="36" spans="1:9" ht="18" customHeight="1">
      <c r="A36" s="395" t="s">
        <v>49</v>
      </c>
      <c r="B36" s="135">
        <f>'OUTSIDE GTA'!F270</f>
        <v>0</v>
      </c>
      <c r="C36" s="135" t="s">
        <v>22</v>
      </c>
      <c r="D36" s="135">
        <v>18</v>
      </c>
      <c r="E36" s="314">
        <f>B36*D36</f>
        <v>0</v>
      </c>
    </row>
    <row r="37" spans="1:9" ht="18" customHeight="1">
      <c r="A37" s="395" t="s">
        <v>50</v>
      </c>
      <c r="B37" s="135">
        <f>'OUTSIDE GTA'!G270</f>
        <v>0</v>
      </c>
      <c r="C37" s="135" t="s">
        <v>22</v>
      </c>
      <c r="D37" s="135">
        <v>18</v>
      </c>
      <c r="E37" s="314">
        <f>B37*D37</f>
        <v>0</v>
      </c>
    </row>
    <row r="38" spans="1:9" ht="18" customHeight="1">
      <c r="A38" s="423"/>
      <c r="B38" s="419"/>
      <c r="C38" s="419"/>
      <c r="D38" s="419"/>
      <c r="E38" s="420"/>
      <c r="G38"/>
      <c r="I38" s="647" t="s">
        <v>23</v>
      </c>
    </row>
    <row r="39" spans="1:9" ht="18" customHeight="1">
      <c r="A39" s="414" t="s">
        <v>51</v>
      </c>
      <c r="B39" s="415">
        <f>SUM(B32:B38)</f>
        <v>0</v>
      </c>
      <c r="C39" s="415"/>
      <c r="D39" s="415"/>
      <c r="E39" s="415"/>
      <c r="G39"/>
      <c r="I39" s="647" t="s">
        <v>25</v>
      </c>
    </row>
    <row r="40" spans="1:9" ht="18" customHeight="1">
      <c r="A40" s="394"/>
      <c r="B40" s="135"/>
      <c r="C40" s="135"/>
      <c r="D40" s="135"/>
      <c r="E40" s="314"/>
      <c r="G40"/>
      <c r="I40" s="647"/>
    </row>
    <row r="41" spans="1:9" ht="18" customHeight="1">
      <c r="A41" s="414" t="s">
        <v>52</v>
      </c>
      <c r="B41" s="415"/>
      <c r="C41" s="415"/>
      <c r="D41" s="415"/>
      <c r="E41" s="416"/>
      <c r="G41"/>
    </row>
    <row r="42" spans="1:9" ht="18" customHeight="1">
      <c r="A42" s="394" t="s">
        <v>53</v>
      </c>
      <c r="B42" s="135">
        <f>'OUTSIDE GTA'!C288</f>
        <v>0</v>
      </c>
      <c r="C42" s="135" t="s">
        <v>22</v>
      </c>
      <c r="D42" s="135">
        <v>16.649999999999999</v>
      </c>
      <c r="E42" s="314">
        <f>B42*D42</f>
        <v>0</v>
      </c>
      <c r="G42"/>
    </row>
    <row r="43" spans="1:9" ht="18" customHeight="1">
      <c r="A43" s="395" t="s">
        <v>54</v>
      </c>
      <c r="B43" s="135">
        <f>'OUTSIDE GTA'!D288</f>
        <v>0</v>
      </c>
      <c r="C43" s="135" t="s">
        <v>22</v>
      </c>
      <c r="D43" s="135">
        <v>16.649999999999999</v>
      </c>
      <c r="E43" s="314">
        <f>B43*D43</f>
        <v>0</v>
      </c>
      <c r="G43"/>
      <c r="I43" s="647" t="s">
        <v>42</v>
      </c>
    </row>
    <row r="44" spans="1:9" ht="18" customHeight="1">
      <c r="A44" s="423"/>
      <c r="B44" s="419"/>
      <c r="C44" s="419"/>
      <c r="D44" s="419"/>
      <c r="E44" s="420"/>
      <c r="G44"/>
      <c r="I44" s="647" t="s">
        <v>23</v>
      </c>
    </row>
    <row r="45" spans="1:9" ht="18" customHeight="1">
      <c r="A45" s="414" t="s">
        <v>52</v>
      </c>
      <c r="B45" s="415">
        <f>SUM(B41:B44)</f>
        <v>0</v>
      </c>
      <c r="C45" s="415"/>
      <c r="D45" s="415"/>
      <c r="E45" s="415"/>
      <c r="G45"/>
      <c r="I45" s="647" t="s">
        <v>25</v>
      </c>
    </row>
    <row r="46" spans="1:9" ht="18" customHeight="1">
      <c r="A46" s="394"/>
      <c r="B46" s="135"/>
      <c r="C46" s="135"/>
      <c r="D46" s="135"/>
      <c r="E46" s="314"/>
      <c r="G46"/>
      <c r="I46" s="647"/>
    </row>
    <row r="47" spans="1:9" ht="18" customHeight="1">
      <c r="A47" s="414" t="s">
        <v>55</v>
      </c>
      <c r="B47" s="415"/>
      <c r="C47" s="415"/>
      <c r="D47" s="415"/>
      <c r="E47" s="416"/>
      <c r="G47"/>
    </row>
    <row r="48" spans="1:9" ht="18" customHeight="1">
      <c r="A48" s="601" t="s">
        <v>41</v>
      </c>
      <c r="B48" s="135">
        <f>'OUTSIDE GTA'!C35</f>
        <v>0</v>
      </c>
      <c r="C48" s="135" t="s">
        <v>22</v>
      </c>
      <c r="D48" s="135">
        <v>16.649999999999999</v>
      </c>
      <c r="E48" s="482">
        <f t="shared" ref="E48:E56" si="1">B48*D48</f>
        <v>0</v>
      </c>
      <c r="G48"/>
    </row>
    <row r="49" spans="1:9" ht="18" customHeight="1">
      <c r="A49" s="602" t="s">
        <v>56</v>
      </c>
      <c r="B49" s="481">
        <f>'OUTSIDE GTA'!G35</f>
        <v>0</v>
      </c>
      <c r="C49" s="481" t="s">
        <v>22</v>
      </c>
      <c r="D49" s="481">
        <v>16.649999999999999</v>
      </c>
      <c r="E49" s="482">
        <f t="shared" si="1"/>
        <v>0</v>
      </c>
      <c r="G49"/>
    </row>
    <row r="50" spans="1:9" ht="18" customHeight="1">
      <c r="A50" s="601" t="s">
        <v>57</v>
      </c>
      <c r="B50" s="135">
        <f>'OUTSIDE GTA'!D35</f>
        <v>0</v>
      </c>
      <c r="C50" s="135" t="s">
        <v>22</v>
      </c>
      <c r="D50" s="135">
        <v>16.649999999999999</v>
      </c>
      <c r="E50" s="314">
        <f t="shared" si="1"/>
        <v>0</v>
      </c>
      <c r="G50"/>
    </row>
    <row r="51" spans="1:9" ht="18" customHeight="1">
      <c r="A51" s="667" t="s">
        <v>58</v>
      </c>
      <c r="B51" s="135">
        <f>'OUTSIDE GTA'!E35</f>
        <v>0</v>
      </c>
      <c r="C51" s="135" t="s">
        <v>22</v>
      </c>
      <c r="D51" s="135">
        <v>16.649999999999999</v>
      </c>
      <c r="E51" s="314">
        <f t="shared" si="1"/>
        <v>0</v>
      </c>
      <c r="G51"/>
      <c r="I51" s="647" t="s">
        <v>42</v>
      </c>
    </row>
    <row r="52" spans="1:9" ht="18" customHeight="1">
      <c r="A52" s="601" t="s">
        <v>59</v>
      </c>
      <c r="B52" s="135">
        <f>'OUTSIDE GTA'!F35</f>
        <v>0</v>
      </c>
      <c r="C52" s="135" t="s">
        <v>22</v>
      </c>
      <c r="D52" s="135">
        <v>16.649999999999999</v>
      </c>
      <c r="E52" s="314">
        <f t="shared" si="1"/>
        <v>0</v>
      </c>
    </row>
    <row r="53" spans="1:9" ht="18" customHeight="1">
      <c r="A53" s="601" t="s">
        <v>60</v>
      </c>
      <c r="B53" s="135">
        <f>'OUTSIDE GTA'!H35</f>
        <v>0</v>
      </c>
      <c r="C53" s="135" t="s">
        <v>22</v>
      </c>
      <c r="D53" s="135">
        <v>16.649999999999999</v>
      </c>
      <c r="E53" s="314">
        <f t="shared" si="1"/>
        <v>0</v>
      </c>
    </row>
    <row r="54" spans="1:9" ht="18" customHeight="1">
      <c r="A54" s="601" t="s">
        <v>61</v>
      </c>
      <c r="B54" s="135">
        <f>'OUTSIDE GTA'!I35</f>
        <v>0</v>
      </c>
      <c r="C54" s="135" t="s">
        <v>22</v>
      </c>
      <c r="D54" s="135">
        <v>16.649999999999999</v>
      </c>
      <c r="E54" s="314">
        <f t="shared" si="1"/>
        <v>0</v>
      </c>
    </row>
    <row r="55" spans="1:9" ht="18" customHeight="1">
      <c r="A55" s="601" t="s">
        <v>62</v>
      </c>
      <c r="B55" s="135">
        <f>'OUTSIDE GTA'!J35</f>
        <v>0</v>
      </c>
      <c r="C55" s="135" t="s">
        <v>22</v>
      </c>
      <c r="D55" s="135">
        <v>16.649999999999999</v>
      </c>
      <c r="E55" s="314">
        <f t="shared" si="1"/>
        <v>0</v>
      </c>
    </row>
    <row r="56" spans="1:9" ht="18" customHeight="1">
      <c r="A56" s="601" t="s">
        <v>63</v>
      </c>
      <c r="B56" s="135">
        <f>'OUTSIDE GTA'!K35</f>
        <v>0</v>
      </c>
      <c r="C56" s="135" t="s">
        <v>22</v>
      </c>
      <c r="D56" s="135">
        <v>16.649999999999999</v>
      </c>
      <c r="E56" s="314">
        <f t="shared" si="1"/>
        <v>0</v>
      </c>
    </row>
    <row r="57" spans="1:9" ht="18" customHeight="1">
      <c r="A57" s="423"/>
      <c r="B57" s="419"/>
      <c r="C57" s="419"/>
      <c r="D57" s="419"/>
      <c r="E57" s="420"/>
      <c r="G57"/>
      <c r="I57" s="647" t="s">
        <v>23</v>
      </c>
    </row>
    <row r="58" spans="1:9" ht="18" customHeight="1">
      <c r="A58" s="414" t="s">
        <v>64</v>
      </c>
      <c r="B58" s="415">
        <f>SUM(B47:B57)</f>
        <v>0</v>
      </c>
      <c r="C58" s="415"/>
      <c r="D58" s="415"/>
      <c r="E58" s="415"/>
      <c r="G58"/>
      <c r="I58" s="647" t="s">
        <v>25</v>
      </c>
    </row>
    <row r="59" spans="1:9" ht="18" customHeight="1">
      <c r="A59" s="394"/>
      <c r="B59" s="135"/>
      <c r="C59" s="135"/>
      <c r="D59" s="135"/>
      <c r="E59" s="314"/>
      <c r="G59"/>
      <c r="I59" s="647" t="s">
        <v>65</v>
      </c>
    </row>
    <row r="60" spans="1:9" ht="18" customHeight="1">
      <c r="A60" s="414" t="s">
        <v>66</v>
      </c>
      <c r="B60" s="415"/>
      <c r="C60" s="415"/>
      <c r="D60" s="415"/>
      <c r="E60" s="416"/>
      <c r="G60"/>
    </row>
    <row r="61" spans="1:9" ht="18" customHeight="1">
      <c r="A61" s="394" t="s">
        <v>67</v>
      </c>
      <c r="B61" s="135">
        <f>'OUTSIDE GTA'!D125</f>
        <v>0</v>
      </c>
      <c r="C61" s="135" t="s">
        <v>22</v>
      </c>
      <c r="D61" s="135">
        <v>17</v>
      </c>
      <c r="E61" s="314">
        <f>B61*D61</f>
        <v>0</v>
      </c>
      <c r="G61"/>
    </row>
    <row r="62" spans="1:9" ht="18" customHeight="1">
      <c r="A62" s="394" t="s">
        <v>68</v>
      </c>
      <c r="B62" s="135">
        <f>'OUTSIDE GTA'!C125</f>
        <v>0</v>
      </c>
      <c r="C62" s="135" t="s">
        <v>22</v>
      </c>
      <c r="D62" s="135">
        <v>15.5</v>
      </c>
      <c r="E62" s="314">
        <f>B62*D62</f>
        <v>0</v>
      </c>
      <c r="G62"/>
    </row>
    <row r="63" spans="1:9" ht="18" customHeight="1">
      <c r="A63" s="394" t="s">
        <v>69</v>
      </c>
      <c r="B63" s="135">
        <f>'OUTSIDE GTA'!E125</f>
        <v>0</v>
      </c>
      <c r="C63" s="135" t="s">
        <v>22</v>
      </c>
      <c r="D63" s="135">
        <v>15.5</v>
      </c>
      <c r="E63" s="314">
        <f>B63*D63</f>
        <v>0</v>
      </c>
      <c r="G63"/>
    </row>
    <row r="64" spans="1:9" ht="18" customHeight="1">
      <c r="A64" s="394" t="s">
        <v>70</v>
      </c>
      <c r="B64" s="135">
        <f>'OUTSIDE GTA'!F125</f>
        <v>0</v>
      </c>
      <c r="C64" s="135" t="s">
        <v>22</v>
      </c>
      <c r="D64" s="135">
        <v>15.5</v>
      </c>
      <c r="E64" s="314">
        <f>B64*D64</f>
        <v>0</v>
      </c>
      <c r="F64" s="889" t="s">
        <v>66</v>
      </c>
      <c r="G64"/>
    </row>
    <row r="65" spans="1:9" ht="18" customHeight="1">
      <c r="A65" s="394" t="s">
        <v>71</v>
      </c>
      <c r="B65" s="135">
        <f>'OUTSIDE GTA'!G125</f>
        <v>0</v>
      </c>
      <c r="C65" s="135" t="s">
        <v>22</v>
      </c>
      <c r="D65" s="135">
        <v>15.5</v>
      </c>
      <c r="E65" s="314">
        <f>B65*D65</f>
        <v>0</v>
      </c>
      <c r="G65"/>
    </row>
    <row r="66" spans="1:9" ht="18" customHeight="1">
      <c r="A66" s="423"/>
      <c r="B66" s="419"/>
      <c r="C66" s="419"/>
      <c r="D66" s="419"/>
      <c r="E66" s="420"/>
      <c r="G66"/>
      <c r="I66" s="647" t="s">
        <v>23</v>
      </c>
    </row>
    <row r="67" spans="1:9" ht="18" customHeight="1">
      <c r="A67" s="414" t="s">
        <v>66</v>
      </c>
      <c r="B67" s="415">
        <f>SUM(B61:B66)</f>
        <v>0</v>
      </c>
      <c r="C67" s="415"/>
      <c r="D67" s="415"/>
      <c r="E67" s="415"/>
      <c r="G67"/>
      <c r="I67" s="647"/>
    </row>
    <row r="68" spans="1:9" ht="18" customHeight="1">
      <c r="A68" s="394"/>
      <c r="B68" s="135"/>
      <c r="C68" s="135"/>
      <c r="D68" s="135"/>
      <c r="E68" s="314"/>
      <c r="G68"/>
      <c r="I68" s="647" t="s">
        <v>65</v>
      </c>
    </row>
    <row r="69" spans="1:9" ht="18" customHeight="1">
      <c r="A69" s="414" t="s">
        <v>72</v>
      </c>
      <c r="B69" s="415"/>
      <c r="C69" s="415"/>
      <c r="D69" s="415"/>
      <c r="E69" s="416"/>
      <c r="G69"/>
    </row>
    <row r="70" spans="1:9" ht="18" customHeight="1">
      <c r="A70" s="884" t="s">
        <v>73</v>
      </c>
      <c r="B70" s="885" cm="1">
        <f t="array" ref="B70">IF((INDEX('OUTSIDE GTA'!$C$71:$ZZ$71,ROW(A1)))=0, 0,(INDEX('OUTSIDE GTA'!$C$71:$ZZ$71,ROW(A1))))</f>
        <v>0</v>
      </c>
      <c r="C70" s="885" t="s">
        <v>22</v>
      </c>
      <c r="D70" s="885">
        <v>16.649999999999999</v>
      </c>
      <c r="E70" s="886">
        <f>IF(B70=0, 0, B70*D70)</f>
        <v>0</v>
      </c>
      <c r="G70"/>
    </row>
    <row r="71" spans="1:9" ht="18" customHeight="1">
      <c r="A71" s="884" t="s">
        <v>74</v>
      </c>
      <c r="B71" s="885" cm="1">
        <f t="array" ref="B71">IF((INDEX('OUTSIDE GTA'!$C$71:$ZZ$71,ROW(A2)))=0, 0,(INDEX('OUTSIDE GTA'!$C$71:$ZZ$71,ROW(A2))))</f>
        <v>0</v>
      </c>
      <c r="C71" s="885" t="s">
        <v>22</v>
      </c>
      <c r="D71" s="885">
        <v>16.649999999999999</v>
      </c>
      <c r="E71" s="886">
        <f t="shared" ref="E71:E88" si="2">IF(B71=0, 0, B71*D71)</f>
        <v>0</v>
      </c>
      <c r="G71"/>
    </row>
    <row r="72" spans="1:9" ht="18" customHeight="1">
      <c r="A72" s="884" t="s">
        <v>75</v>
      </c>
      <c r="B72" s="885" cm="1">
        <f t="array" ref="B72">IF((INDEX('OUTSIDE GTA'!$C$71:$ZZ$71,ROW(A3)))=0, 0,(INDEX('OUTSIDE GTA'!$C$71:$ZZ$71,ROW(A3))))</f>
        <v>0</v>
      </c>
      <c r="C72" s="885" t="s">
        <v>22</v>
      </c>
      <c r="D72" s="885">
        <v>16.649999999999999</v>
      </c>
      <c r="E72" s="886">
        <f t="shared" si="2"/>
        <v>0</v>
      </c>
      <c r="G72"/>
    </row>
    <row r="73" spans="1:9" ht="18" customHeight="1">
      <c r="A73" s="884" t="s">
        <v>76</v>
      </c>
      <c r="B73" s="885" cm="1">
        <f t="array" ref="B73">IF((INDEX('OUTSIDE GTA'!$C$71:$ZZ$71,ROW(A4)))=0, 0,(INDEX('OUTSIDE GTA'!$C$71:$ZZ$71,ROW(A4))))</f>
        <v>0</v>
      </c>
      <c r="C73" s="885" t="s">
        <v>22</v>
      </c>
      <c r="D73" s="885">
        <v>16.649999999999999</v>
      </c>
      <c r="E73" s="886">
        <f t="shared" si="2"/>
        <v>0</v>
      </c>
      <c r="G73"/>
    </row>
    <row r="74" spans="1:9" ht="18" customHeight="1">
      <c r="A74" s="884" t="s">
        <v>77</v>
      </c>
      <c r="B74" s="885" cm="1">
        <f t="array" ref="B74">IF((INDEX('OUTSIDE GTA'!$C$71:$ZZ$71,ROW(A5)))=0, 0,(INDEX('OUTSIDE GTA'!$C$71:$ZZ$71,ROW(A5))))</f>
        <v>0</v>
      </c>
      <c r="C74" s="885" t="s">
        <v>22</v>
      </c>
      <c r="D74" s="885">
        <v>16.649999999999999</v>
      </c>
      <c r="E74" s="886">
        <f t="shared" si="2"/>
        <v>0</v>
      </c>
      <c r="G74"/>
    </row>
    <row r="75" spans="1:9" ht="18" customHeight="1">
      <c r="A75" s="884" t="s">
        <v>78</v>
      </c>
      <c r="B75" s="885" cm="1">
        <f t="array" ref="B75">IF((INDEX('OUTSIDE GTA'!$C$71:$ZZ$71,ROW(A6)))=0, 0,(INDEX('OUTSIDE GTA'!$C$71:$ZZ$71,ROW(A6))))</f>
        <v>0</v>
      </c>
      <c r="C75" s="885" t="s">
        <v>22</v>
      </c>
      <c r="D75" s="885">
        <v>16.649999999999999</v>
      </c>
      <c r="E75" s="886">
        <f t="shared" si="2"/>
        <v>0</v>
      </c>
      <c r="G75"/>
    </row>
    <row r="76" spans="1:9" ht="18" customHeight="1">
      <c r="A76" s="884" t="s">
        <v>79</v>
      </c>
      <c r="B76" s="885" cm="1">
        <f t="array" ref="B76">IF((INDEX('OUTSIDE GTA'!$C$71:$ZZ$71,ROW(A7)))=0, 0,(INDEX('OUTSIDE GTA'!$C$71:$ZZ$71,ROW(A7))))</f>
        <v>0</v>
      </c>
      <c r="C76" s="885" t="s">
        <v>22</v>
      </c>
      <c r="D76" s="885">
        <v>16.649999999999999</v>
      </c>
      <c r="E76" s="886">
        <f t="shared" si="2"/>
        <v>0</v>
      </c>
      <c r="G76"/>
    </row>
    <row r="77" spans="1:9" ht="18" customHeight="1">
      <c r="A77" s="884" t="s">
        <v>80</v>
      </c>
      <c r="B77" s="885" cm="1">
        <f t="array" ref="B77">IF((INDEX('OUTSIDE GTA'!$C$71:$ZZ$71,ROW(A8)))=0, 0,(INDEX('OUTSIDE GTA'!$C$71:$ZZ$71,ROW(A8))))</f>
        <v>0</v>
      </c>
      <c r="C77" s="885" t="s">
        <v>22</v>
      </c>
      <c r="D77" s="885">
        <v>16.649999999999999</v>
      </c>
      <c r="E77" s="886">
        <f t="shared" si="2"/>
        <v>0</v>
      </c>
      <c r="G77"/>
    </row>
    <row r="78" spans="1:9" ht="18" customHeight="1">
      <c r="A78" s="884" t="s">
        <v>81</v>
      </c>
      <c r="B78" s="885" cm="1">
        <f t="array" ref="B78">IF((INDEX('OUTSIDE GTA'!$C$71:$ZZ$71,ROW(A9)))=0, 0,(INDEX('OUTSIDE GTA'!$C$71:$ZZ$71,ROW(A9))))</f>
        <v>0</v>
      </c>
      <c r="C78" s="885" t="s">
        <v>22</v>
      </c>
      <c r="D78" s="885">
        <v>16.649999999999999</v>
      </c>
      <c r="E78" s="886">
        <f t="shared" si="2"/>
        <v>0</v>
      </c>
      <c r="G78"/>
    </row>
    <row r="79" spans="1:9" ht="18" customHeight="1">
      <c r="A79" s="884" t="s">
        <v>82</v>
      </c>
      <c r="B79" s="885" cm="1">
        <f t="array" ref="B79">IF((INDEX('OUTSIDE GTA'!$C$71:$ZZ$71,ROW(A10)))=0, 0,(INDEX('OUTSIDE GTA'!$C$71:$ZZ$71,ROW(A10))))</f>
        <v>0</v>
      </c>
      <c r="C79" s="885" t="s">
        <v>22</v>
      </c>
      <c r="D79" s="885">
        <v>16.649999999999999</v>
      </c>
      <c r="E79" s="886">
        <f t="shared" si="2"/>
        <v>0</v>
      </c>
      <c r="G79"/>
    </row>
    <row r="80" spans="1:9" ht="18" customHeight="1">
      <c r="A80" s="884" t="s">
        <v>83</v>
      </c>
      <c r="B80" s="885" cm="1">
        <f t="array" ref="B80">IF((INDEX('OUTSIDE GTA'!$C$71:$ZZ$71,ROW(A11)))=0, 0,(INDEX('OUTSIDE GTA'!$C$71:$ZZ$71,ROW(A11))))</f>
        <v>0</v>
      </c>
      <c r="C80" s="885" t="s">
        <v>22</v>
      </c>
      <c r="D80" s="885">
        <v>16.649999999999999</v>
      </c>
      <c r="E80" s="886">
        <f t="shared" si="2"/>
        <v>0</v>
      </c>
      <c r="G80"/>
    </row>
    <row r="81" spans="1:9" ht="18" customHeight="1">
      <c r="A81" s="884" t="s">
        <v>84</v>
      </c>
      <c r="B81" s="885" cm="1">
        <f t="array" ref="B81">IF((INDEX('OUTSIDE GTA'!$C$71:$ZZ$71,ROW(A12)))=0, 0,(INDEX('OUTSIDE GTA'!$C$71:$ZZ$71,ROW(A12))))</f>
        <v>0</v>
      </c>
      <c r="C81" s="885" t="s">
        <v>22</v>
      </c>
      <c r="D81" s="885">
        <v>20</v>
      </c>
      <c r="E81" s="886">
        <f t="shared" si="2"/>
        <v>0</v>
      </c>
      <c r="G81"/>
    </row>
    <row r="82" spans="1:9" ht="18" customHeight="1">
      <c r="A82" s="884" t="s">
        <v>85</v>
      </c>
      <c r="B82" s="885" cm="1">
        <f t="array" ref="B82">IF((INDEX('OUTSIDE GTA'!$C$71:$ZZ$71,ROW(A13)))=0, 0,(INDEX('OUTSIDE GTA'!$C$71:$ZZ$71,ROW(A13))))</f>
        <v>0</v>
      </c>
      <c r="C82" s="885" t="s">
        <v>22</v>
      </c>
      <c r="D82" s="885">
        <v>20</v>
      </c>
      <c r="E82" s="886">
        <f t="shared" si="2"/>
        <v>0</v>
      </c>
      <c r="G82"/>
    </row>
    <row r="83" spans="1:9" ht="18" customHeight="1">
      <c r="A83" s="884" t="s">
        <v>86</v>
      </c>
      <c r="B83" s="885" cm="1">
        <f t="array" ref="B83">IF((INDEX('OUTSIDE GTA'!$C$71:$ZZ$71,ROW(A14)))=0, 0,(INDEX('OUTSIDE GTA'!$C$71:$ZZ$71,ROW(A14))))</f>
        <v>0</v>
      </c>
      <c r="C83" s="885" t="s">
        <v>22</v>
      </c>
      <c r="D83" s="885">
        <v>20</v>
      </c>
      <c r="E83" s="886">
        <f t="shared" si="2"/>
        <v>0</v>
      </c>
      <c r="G83"/>
    </row>
    <row r="84" spans="1:9" ht="18" customHeight="1">
      <c r="A84" s="884" t="s">
        <v>87</v>
      </c>
      <c r="B84" s="885" cm="1">
        <f t="array" ref="B84">IF((INDEX('OUTSIDE GTA'!$C$71:$ZZ$71,ROW(A15)))=0, 0,(INDEX('OUTSIDE GTA'!$C$71:$ZZ$71,ROW(A15))))</f>
        <v>0</v>
      </c>
      <c r="C84" s="885" t="s">
        <v>22</v>
      </c>
      <c r="D84" s="885">
        <v>20</v>
      </c>
      <c r="E84" s="886">
        <f t="shared" si="2"/>
        <v>0</v>
      </c>
      <c r="G84"/>
    </row>
    <row r="85" spans="1:9" ht="18" customHeight="1">
      <c r="A85" s="884" t="s">
        <v>88</v>
      </c>
      <c r="B85" s="885" cm="1">
        <f t="array" ref="B85">IF((INDEX('OUTSIDE GTA'!$C$71:$ZZ$71,ROW(A16)))=0, 0,(INDEX('OUTSIDE GTA'!$C$71:$ZZ$71,ROW(A16))))</f>
        <v>0</v>
      </c>
      <c r="C85" s="885" t="s">
        <v>22</v>
      </c>
      <c r="D85" s="885">
        <v>20</v>
      </c>
      <c r="E85" s="886">
        <f t="shared" si="2"/>
        <v>0</v>
      </c>
      <c r="G85"/>
    </row>
    <row r="86" spans="1:9" ht="18" customHeight="1">
      <c r="A86" s="884" t="s">
        <v>89</v>
      </c>
      <c r="B86" s="885" cm="1">
        <f t="array" ref="B86">IF((INDEX('OUTSIDE GTA'!$C$71:$ZZ$71,ROW(A17)))=0, 0,(INDEX('OUTSIDE GTA'!$C$71:$ZZ$71,ROW(A17))))</f>
        <v>0</v>
      </c>
      <c r="C86" s="885" t="s">
        <v>22</v>
      </c>
      <c r="D86" s="885">
        <v>20</v>
      </c>
      <c r="E86" s="886">
        <f t="shared" si="2"/>
        <v>0</v>
      </c>
      <c r="G86"/>
    </row>
    <row r="87" spans="1:9" ht="18" customHeight="1">
      <c r="A87" s="884" t="s">
        <v>90</v>
      </c>
      <c r="B87" s="885" cm="1">
        <f t="array" ref="B87">IF((INDEX('OUTSIDE GTA'!$C$71:$ZZ$71,ROW(A18)))=0, 0,(INDEX('OUTSIDE GTA'!$C$71:$ZZ$71,ROW(A18))))</f>
        <v>0</v>
      </c>
      <c r="C87" s="885" t="s">
        <v>22</v>
      </c>
      <c r="D87" s="885">
        <v>16.649999999999999</v>
      </c>
      <c r="E87" s="886">
        <f t="shared" si="2"/>
        <v>0</v>
      </c>
      <c r="G87"/>
    </row>
    <row r="88" spans="1:9" ht="18" customHeight="1">
      <c r="A88" s="884" t="s">
        <v>91</v>
      </c>
      <c r="B88" s="885" cm="1">
        <f t="array" ref="B88">IF((INDEX('OUTSIDE GTA'!$C$71:$ZZ$71,ROW(A19)))=0, 0,(INDEX('OUTSIDE GTA'!$C$71:$ZZ$71,ROW(A19))))</f>
        <v>0</v>
      </c>
      <c r="C88" s="885" t="s">
        <v>22</v>
      </c>
      <c r="D88" s="885">
        <v>16.649999999999999</v>
      </c>
      <c r="E88" s="886">
        <f t="shared" si="2"/>
        <v>0</v>
      </c>
      <c r="G88"/>
    </row>
    <row r="89" spans="1:9" ht="18" customHeight="1">
      <c r="A89" s="423"/>
      <c r="B89" s="419"/>
      <c r="C89" s="419"/>
      <c r="D89" s="419"/>
      <c r="E89" s="420"/>
      <c r="G89"/>
      <c r="I89" s="647" t="s">
        <v>23</v>
      </c>
    </row>
    <row r="90" spans="1:9" ht="18" customHeight="1">
      <c r="A90" s="414" t="s">
        <v>72</v>
      </c>
      <c r="B90" s="415">
        <f>SUM(B70:B89)</f>
        <v>0</v>
      </c>
      <c r="C90" s="415"/>
      <c r="D90" s="415"/>
      <c r="E90" s="415"/>
      <c r="G90"/>
      <c r="I90" s="647"/>
    </row>
    <row r="91" spans="1:9" ht="18" customHeight="1">
      <c r="A91" s="394"/>
      <c r="B91" s="135"/>
      <c r="C91" s="135"/>
      <c r="D91" s="135"/>
      <c r="E91" s="314"/>
      <c r="G91"/>
      <c r="I91" s="647"/>
    </row>
    <row r="92" spans="1:9" ht="18" customHeight="1">
      <c r="A92" s="414" t="s">
        <v>92</v>
      </c>
      <c r="B92" s="415"/>
      <c r="C92" s="415"/>
      <c r="D92" s="415"/>
      <c r="E92" s="416"/>
      <c r="G92"/>
    </row>
    <row r="93" spans="1:9" ht="18" customHeight="1">
      <c r="A93" s="602" t="s">
        <v>93</v>
      </c>
      <c r="B93" s="481">
        <f>'OUTSIDE GTA'!C143</f>
        <v>0</v>
      </c>
      <c r="C93" s="481" t="s">
        <v>22</v>
      </c>
      <c r="D93" s="481">
        <v>16.649999999999999</v>
      </c>
      <c r="E93" s="482">
        <f>B93*D93</f>
        <v>0</v>
      </c>
      <c r="G93"/>
    </row>
    <row r="94" spans="1:9" ht="18" customHeight="1">
      <c r="A94" s="602" t="s">
        <v>94</v>
      </c>
      <c r="B94" s="481">
        <f>'OUTSIDE GTA'!D143</f>
        <v>0</v>
      </c>
      <c r="C94" s="481" t="s">
        <v>22</v>
      </c>
      <c r="D94" s="481">
        <v>16.649999999999999</v>
      </c>
      <c r="E94" s="482">
        <f>B94*D94</f>
        <v>0</v>
      </c>
      <c r="G94"/>
    </row>
    <row r="95" spans="1:9" ht="18" customHeight="1">
      <c r="A95" s="423"/>
      <c r="B95" s="419"/>
      <c r="C95" s="419"/>
      <c r="D95" s="419"/>
      <c r="E95" s="420"/>
      <c r="G95"/>
      <c r="I95" s="647" t="s">
        <v>23</v>
      </c>
    </row>
    <row r="96" spans="1:9" ht="18" customHeight="1">
      <c r="A96" s="414" t="s">
        <v>92</v>
      </c>
      <c r="B96" s="415">
        <f>SUM(B93:B95)</f>
        <v>0</v>
      </c>
      <c r="C96" s="415"/>
      <c r="D96" s="415"/>
      <c r="E96" s="415"/>
      <c r="G96"/>
      <c r="I96" s="647"/>
    </row>
    <row r="97" spans="1:9" ht="18" customHeight="1">
      <c r="A97" s="394"/>
      <c r="B97" s="135"/>
      <c r="C97" s="135"/>
      <c r="D97" s="135"/>
      <c r="E97" s="314"/>
      <c r="G97"/>
      <c r="I97" s="647"/>
    </row>
    <row r="98" spans="1:9" ht="18" customHeight="1">
      <c r="A98" s="414" t="s">
        <v>95</v>
      </c>
      <c r="B98" s="415"/>
      <c r="C98" s="415"/>
      <c r="D98" s="415"/>
      <c r="E98" s="416"/>
      <c r="G98"/>
    </row>
    <row r="99" spans="1:9" ht="18" customHeight="1">
      <c r="A99" s="601" t="s">
        <v>96</v>
      </c>
      <c r="B99" s="135">
        <f>'OUTSIDE GTA'!C53</f>
        <v>0</v>
      </c>
      <c r="C99" s="135" t="s">
        <v>22</v>
      </c>
      <c r="D99" s="135">
        <v>16.649999999999999</v>
      </c>
      <c r="E99" s="314">
        <f>B99*D99</f>
        <v>0</v>
      </c>
      <c r="G99"/>
    </row>
    <row r="100" spans="1:9" ht="18" customHeight="1">
      <c r="A100" s="601" t="s">
        <v>97</v>
      </c>
      <c r="B100" s="135">
        <f>'OUTSIDE GTA'!D53</f>
        <v>0</v>
      </c>
      <c r="C100" s="135" t="s">
        <v>22</v>
      </c>
      <c r="D100" s="135">
        <v>16.649999999999999</v>
      </c>
      <c r="E100" s="314">
        <f>B100*D100</f>
        <v>0</v>
      </c>
      <c r="G100"/>
    </row>
    <row r="101" spans="1:9" ht="18" customHeight="1">
      <c r="A101" s="601" t="s">
        <v>62</v>
      </c>
      <c r="B101" s="135">
        <f>'OUTSIDE GTA'!I53</f>
        <v>0</v>
      </c>
      <c r="C101" s="135" t="s">
        <v>22</v>
      </c>
      <c r="D101" s="135">
        <v>16.649999999999999</v>
      </c>
      <c r="E101" s="314">
        <f>B101*D101</f>
        <v>0</v>
      </c>
      <c r="G101"/>
    </row>
    <row r="102" spans="1:9" ht="18" customHeight="1">
      <c r="A102" s="601" t="s">
        <v>98</v>
      </c>
      <c r="B102" s="135">
        <f>'OUTSIDE GTA'!E53</f>
        <v>0</v>
      </c>
      <c r="C102" s="135" t="s">
        <v>22</v>
      </c>
      <c r="D102" s="135">
        <v>16.649999999999999</v>
      </c>
      <c r="E102" s="314">
        <f t="shared" ref="E102:E114" si="3">B102*D102</f>
        <v>0</v>
      </c>
      <c r="G102"/>
    </row>
    <row r="103" spans="1:9" ht="18" customHeight="1">
      <c r="A103" s="667" t="s">
        <v>99</v>
      </c>
      <c r="B103" s="135">
        <f>'OUTSIDE GTA'!G53</f>
        <v>0</v>
      </c>
      <c r="C103" s="135" t="s">
        <v>22</v>
      </c>
      <c r="D103" s="135">
        <v>16.649999999999999</v>
      </c>
      <c r="E103" s="314">
        <f t="shared" si="3"/>
        <v>0</v>
      </c>
      <c r="G103"/>
    </row>
    <row r="104" spans="1:9" ht="18" customHeight="1">
      <c r="A104" s="601" t="s">
        <v>100</v>
      </c>
      <c r="B104" s="135">
        <f>'OUTSIDE GTA'!H53</f>
        <v>0</v>
      </c>
      <c r="C104" s="135" t="s">
        <v>22</v>
      </c>
      <c r="D104" s="135">
        <v>16.649999999999999</v>
      </c>
      <c r="E104" s="314">
        <f t="shared" si="3"/>
        <v>0</v>
      </c>
      <c r="G104"/>
    </row>
    <row r="105" spans="1:9" ht="18" customHeight="1">
      <c r="A105" s="649" t="s">
        <v>101</v>
      </c>
      <c r="B105" s="135">
        <f>'OUTSIDE GTA'!N53</f>
        <v>0</v>
      </c>
      <c r="C105" s="135" t="s">
        <v>22</v>
      </c>
      <c r="D105" s="135">
        <v>16.649999999999999</v>
      </c>
      <c r="E105" s="314">
        <f t="shared" si="3"/>
        <v>0</v>
      </c>
      <c r="G105"/>
    </row>
    <row r="106" spans="1:9" ht="18" customHeight="1">
      <c r="A106" s="649" t="s">
        <v>102</v>
      </c>
      <c r="B106" s="135">
        <f>'OUTSIDE GTA'!M53</f>
        <v>0</v>
      </c>
      <c r="C106" s="135" t="s">
        <v>22</v>
      </c>
      <c r="D106" s="135">
        <v>16.649999999999999</v>
      </c>
      <c r="E106" s="314">
        <f>B106*D106</f>
        <v>0</v>
      </c>
      <c r="G106"/>
    </row>
    <row r="107" spans="1:9" ht="18" customHeight="1">
      <c r="A107" s="649" t="s">
        <v>103</v>
      </c>
      <c r="B107" s="135">
        <f>'OUTSIDE GTA'!K53</f>
        <v>0</v>
      </c>
      <c r="C107" s="135" t="s">
        <v>22</v>
      </c>
      <c r="D107" s="135">
        <v>16.649999999999999</v>
      </c>
      <c r="E107" s="314">
        <f>B107*D107</f>
        <v>0</v>
      </c>
      <c r="G107"/>
    </row>
    <row r="108" spans="1:9" ht="18" customHeight="1">
      <c r="A108" s="649" t="s">
        <v>104</v>
      </c>
      <c r="B108" s="135">
        <f>'OUTSIDE GTA'!O53</f>
        <v>0</v>
      </c>
      <c r="C108" s="135" t="s">
        <v>22</v>
      </c>
      <c r="D108" s="135">
        <v>16.649999999999999</v>
      </c>
      <c r="E108" s="314">
        <f>B108*D108</f>
        <v>0</v>
      </c>
      <c r="G108"/>
    </row>
    <row r="109" spans="1:9" ht="18" customHeight="1">
      <c r="A109" s="649" t="s">
        <v>60</v>
      </c>
      <c r="B109" s="135">
        <f>'OUTSIDE GTA'!P53</f>
        <v>0</v>
      </c>
      <c r="C109" s="135" t="s">
        <v>22</v>
      </c>
      <c r="D109" s="135">
        <v>16.649999999999999</v>
      </c>
      <c r="E109" s="314">
        <f>B109*D109</f>
        <v>0</v>
      </c>
      <c r="G109"/>
    </row>
    <row r="110" spans="1:9" ht="18" customHeight="1">
      <c r="A110" s="601" t="s">
        <v>105</v>
      </c>
      <c r="B110" s="135">
        <f>'OUTSIDE GTA'!Q53</f>
        <v>0</v>
      </c>
      <c r="C110" s="135" t="s">
        <v>22</v>
      </c>
      <c r="D110" s="135">
        <v>16.649999999999999</v>
      </c>
      <c r="E110" s="314">
        <f t="shared" si="3"/>
        <v>0</v>
      </c>
      <c r="G110"/>
    </row>
    <row r="111" spans="1:9" ht="18" customHeight="1">
      <c r="A111" s="601" t="s">
        <v>106</v>
      </c>
      <c r="B111" s="135">
        <f>'OUTSIDE GTA'!R53</f>
        <v>0</v>
      </c>
      <c r="C111" s="135" t="s">
        <v>22</v>
      </c>
      <c r="D111" s="135">
        <v>16.649999999999999</v>
      </c>
      <c r="E111" s="314">
        <f t="shared" si="3"/>
        <v>0</v>
      </c>
      <c r="G111"/>
    </row>
    <row r="112" spans="1:9" ht="18" customHeight="1">
      <c r="A112" s="601" t="s">
        <v>107</v>
      </c>
      <c r="B112" s="135">
        <f>'OUTSIDE GTA'!S53</f>
        <v>0</v>
      </c>
      <c r="C112" s="135" t="s">
        <v>22</v>
      </c>
      <c r="D112" s="135">
        <v>16.649999999999999</v>
      </c>
      <c r="E112" s="314">
        <f t="shared" si="3"/>
        <v>0</v>
      </c>
      <c r="G112"/>
    </row>
    <row r="113" spans="1:9" ht="18" customHeight="1">
      <c r="A113" s="602" t="s">
        <v>108</v>
      </c>
      <c r="B113" s="481">
        <f>'OUTSIDE GTA'!L53</f>
        <v>0</v>
      </c>
      <c r="C113" s="481" t="s">
        <v>22</v>
      </c>
      <c r="D113" s="481">
        <v>16.649999999999999</v>
      </c>
      <c r="E113" s="482">
        <f>B113*D113</f>
        <v>0</v>
      </c>
      <c r="G113"/>
    </row>
    <row r="114" spans="1:9" ht="18" customHeight="1">
      <c r="A114" s="601" t="s">
        <v>109</v>
      </c>
      <c r="B114" s="135">
        <f>'OUTSIDE GTA'!T53</f>
        <v>0</v>
      </c>
      <c r="C114" s="135" t="s">
        <v>22</v>
      </c>
      <c r="D114" s="135">
        <v>16.649999999999999</v>
      </c>
      <c r="E114" s="314">
        <f t="shared" si="3"/>
        <v>0</v>
      </c>
      <c r="G114"/>
    </row>
    <row r="115" spans="1:9" ht="18" customHeight="1">
      <c r="A115" s="649" t="s">
        <v>110</v>
      </c>
      <c r="B115" s="135">
        <f>'OUTSIDE GTA'!V53</f>
        <v>0</v>
      </c>
      <c r="C115" s="135" t="s">
        <v>22</v>
      </c>
      <c r="D115" s="135">
        <v>16.649999999999999</v>
      </c>
      <c r="E115" s="314">
        <f t="shared" ref="E115:E125" si="4">B115*D115</f>
        <v>0</v>
      </c>
      <c r="G115"/>
    </row>
    <row r="116" spans="1:9" ht="18" customHeight="1">
      <c r="A116" s="649" t="s">
        <v>111</v>
      </c>
      <c r="B116" s="135">
        <f>'OUTSIDE GTA'!X53</f>
        <v>0</v>
      </c>
      <c r="C116" s="135" t="s">
        <v>22</v>
      </c>
      <c r="D116" s="135">
        <v>16.649999999999999</v>
      </c>
      <c r="E116" s="314">
        <f t="shared" si="4"/>
        <v>0</v>
      </c>
      <c r="G116"/>
      <c r="I116" s="647" t="s">
        <v>42</v>
      </c>
    </row>
    <row r="117" spans="1:9" ht="18" customHeight="1">
      <c r="A117" s="650" t="s">
        <v>112</v>
      </c>
      <c r="B117" s="481">
        <f>'OUTSIDE GTA'!Y53</f>
        <v>0</v>
      </c>
      <c r="C117" s="481" t="s">
        <v>22</v>
      </c>
      <c r="D117" s="481">
        <v>16.649999999999999</v>
      </c>
      <c r="E117" s="482">
        <f t="shared" si="4"/>
        <v>0</v>
      </c>
    </row>
    <row r="118" spans="1:9" ht="18" customHeight="1">
      <c r="A118" s="602" t="s">
        <v>113</v>
      </c>
      <c r="B118" s="481">
        <f>'OUTSIDE GTA'!J53</f>
        <v>0</v>
      </c>
      <c r="C118" s="481" t="s">
        <v>22</v>
      </c>
      <c r="D118" s="481">
        <v>16.649999999999999</v>
      </c>
      <c r="E118" s="482">
        <f>B118*D118</f>
        <v>0</v>
      </c>
      <c r="G118"/>
    </row>
    <row r="119" spans="1:9" ht="18" customHeight="1">
      <c r="A119" s="649" t="s">
        <v>114</v>
      </c>
      <c r="B119" s="135">
        <f>'OUTSIDE GTA'!Z53</f>
        <v>0</v>
      </c>
      <c r="C119" s="135" t="s">
        <v>22</v>
      </c>
      <c r="D119" s="135">
        <v>16.649999999999999</v>
      </c>
      <c r="E119" s="314">
        <f t="shared" si="4"/>
        <v>0</v>
      </c>
    </row>
    <row r="120" spans="1:9" ht="18" customHeight="1">
      <c r="A120" s="649" t="s">
        <v>115</v>
      </c>
      <c r="B120" s="135">
        <f>'OUTSIDE GTA'!U53</f>
        <v>0</v>
      </c>
      <c r="C120" s="135" t="s">
        <v>22</v>
      </c>
      <c r="D120" s="135">
        <v>16.649999999999999</v>
      </c>
      <c r="E120" s="314">
        <f t="shared" ref="E120" si="5">B120*D120</f>
        <v>0</v>
      </c>
    </row>
    <row r="121" spans="1:9" ht="18" customHeight="1">
      <c r="A121" s="649" t="s">
        <v>116</v>
      </c>
      <c r="B121" s="135">
        <f>'OUTSIDE GTA'!W53</f>
        <v>0</v>
      </c>
      <c r="C121" s="135" t="s">
        <v>22</v>
      </c>
      <c r="D121" s="135">
        <v>16.649999999999999</v>
      </c>
      <c r="E121" s="314">
        <f t="shared" ref="E121" si="6">B121*D121</f>
        <v>0</v>
      </c>
    </row>
    <row r="122" spans="1:9" ht="18" customHeight="1">
      <c r="A122" s="649" t="s">
        <v>117</v>
      </c>
      <c r="B122" s="135">
        <f>'OUTSIDE GTA'!F53</f>
        <v>0</v>
      </c>
      <c r="C122" s="135" t="s">
        <v>22</v>
      </c>
      <c r="D122" s="135">
        <v>16.649999999999999</v>
      </c>
      <c r="E122" s="314">
        <f t="shared" ref="E122" si="7">B122*D122</f>
        <v>0</v>
      </c>
    </row>
    <row r="123" spans="1:9" ht="18" customHeight="1">
      <c r="A123" s="649" t="s">
        <v>57</v>
      </c>
      <c r="B123" s="135">
        <f>'OUTSIDE GTA'!AA53</f>
        <v>0</v>
      </c>
      <c r="C123" s="135" t="s">
        <v>22</v>
      </c>
      <c r="D123" s="135">
        <v>16.649999999999999</v>
      </c>
      <c r="E123" s="314">
        <f t="shared" si="4"/>
        <v>0</v>
      </c>
    </row>
    <row r="124" spans="1:9" ht="18" customHeight="1">
      <c r="A124" s="649" t="s">
        <v>118</v>
      </c>
      <c r="B124" s="135">
        <f>'OUTSIDE GTA'!AC53</f>
        <v>0</v>
      </c>
      <c r="C124" s="135" t="s">
        <v>22</v>
      </c>
      <c r="D124" s="135">
        <v>16.649999999999999</v>
      </c>
      <c r="E124" s="314">
        <f t="shared" si="4"/>
        <v>0</v>
      </c>
    </row>
    <row r="125" spans="1:9" ht="18" customHeight="1">
      <c r="A125" s="601" t="s">
        <v>119</v>
      </c>
      <c r="B125" s="135">
        <f>'OUTSIDE GTA'!AB53</f>
        <v>0</v>
      </c>
      <c r="C125" s="135" t="s">
        <v>22</v>
      </c>
      <c r="D125" s="135">
        <v>16.649999999999999</v>
      </c>
      <c r="E125" s="314">
        <f t="shared" si="4"/>
        <v>0</v>
      </c>
    </row>
    <row r="126" spans="1:9" ht="18" customHeight="1">
      <c r="A126" s="423"/>
      <c r="B126" s="419"/>
      <c r="C126" s="419"/>
      <c r="D126" s="419"/>
      <c r="E126" s="420"/>
      <c r="G126"/>
      <c r="I126" s="647" t="s">
        <v>23</v>
      </c>
    </row>
    <row r="127" spans="1:9" ht="18" customHeight="1">
      <c r="A127" s="414" t="s">
        <v>120</v>
      </c>
      <c r="B127" s="415">
        <f>SUM(B98:B126)</f>
        <v>0</v>
      </c>
      <c r="C127" s="415"/>
      <c r="D127" s="415"/>
      <c r="E127" s="415"/>
      <c r="G127"/>
      <c r="I127" s="647" t="s">
        <v>25</v>
      </c>
    </row>
    <row r="128" spans="1:9" ht="18" customHeight="1">
      <c r="A128" s="394"/>
      <c r="B128" s="135"/>
      <c r="C128" s="135"/>
      <c r="D128" s="135"/>
      <c r="E128" s="314"/>
      <c r="G128"/>
      <c r="I128" s="647"/>
    </row>
    <row r="129" spans="1:9" ht="18" customHeight="1">
      <c r="A129" s="414" t="s">
        <v>121</v>
      </c>
      <c r="B129" s="415"/>
      <c r="C129" s="415"/>
      <c r="D129" s="415"/>
      <c r="E129" s="416"/>
      <c r="G129"/>
    </row>
    <row r="130" spans="1:9" ht="18" customHeight="1">
      <c r="A130" s="649" t="s">
        <v>122</v>
      </c>
      <c r="B130" s="135">
        <f>OTTAWA!C54</f>
        <v>0</v>
      </c>
      <c r="C130" s="135" t="s">
        <v>22</v>
      </c>
      <c r="D130" s="135">
        <v>16.649999999999999</v>
      </c>
      <c r="E130" s="314">
        <f>B130*D130</f>
        <v>0</v>
      </c>
      <c r="G130"/>
    </row>
    <row r="131" spans="1:9" ht="18" customHeight="1">
      <c r="A131" s="649" t="s">
        <v>123</v>
      </c>
      <c r="B131" s="135">
        <f>OTTAWA!D54</f>
        <v>0</v>
      </c>
      <c r="C131" s="135" t="s">
        <v>22</v>
      </c>
      <c r="D131" s="135">
        <v>16.649999999999999</v>
      </c>
      <c r="E131" s="314">
        <f>B131*D131</f>
        <v>0</v>
      </c>
      <c r="G131"/>
      <c r="I131" s="647" t="s">
        <v>42</v>
      </c>
    </row>
    <row r="132" spans="1:9" ht="18" customHeight="1">
      <c r="A132" s="649" t="s">
        <v>124</v>
      </c>
      <c r="B132" s="135">
        <f>OTTAWA!E54</f>
        <v>0</v>
      </c>
      <c r="C132" s="135" t="s">
        <v>22</v>
      </c>
      <c r="D132" s="135">
        <v>16.649999999999999</v>
      </c>
      <c r="E132" s="314">
        <f>B132*D132</f>
        <v>0</v>
      </c>
      <c r="G132"/>
      <c r="I132" s="647"/>
    </row>
    <row r="133" spans="1:9" ht="18" customHeight="1">
      <c r="A133" s="649" t="s">
        <v>125</v>
      </c>
      <c r="B133" s="135">
        <f>OTTAWA!F54</f>
        <v>0</v>
      </c>
      <c r="C133" s="135" t="s">
        <v>22</v>
      </c>
      <c r="D133" s="135">
        <v>20</v>
      </c>
      <c r="E133" s="314">
        <f>B133*D133</f>
        <v>0</v>
      </c>
      <c r="G133"/>
      <c r="I133" s="647"/>
    </row>
    <row r="134" spans="1:9" ht="18" customHeight="1">
      <c r="A134" s="423"/>
      <c r="B134" s="419"/>
      <c r="C134" s="419"/>
      <c r="D134" s="419"/>
      <c r="E134" s="420"/>
      <c r="G134"/>
      <c r="I134" s="647" t="s">
        <v>23</v>
      </c>
    </row>
    <row r="135" spans="1:9" ht="18" customHeight="1">
      <c r="A135" s="414" t="s">
        <v>121</v>
      </c>
      <c r="B135" s="415">
        <f>SUM(B129:B134)</f>
        <v>0</v>
      </c>
      <c r="C135" s="415"/>
      <c r="D135" s="415"/>
      <c r="E135" s="415"/>
      <c r="G135"/>
      <c r="I135" s="647" t="s">
        <v>25</v>
      </c>
    </row>
    <row r="136" spans="1:9" ht="18" customHeight="1">
      <c r="A136" s="394"/>
      <c r="B136" s="135"/>
      <c r="C136" s="135"/>
      <c r="D136" s="135"/>
      <c r="E136" s="314"/>
      <c r="G136"/>
      <c r="I136" s="647"/>
    </row>
    <row r="137" spans="1:9" ht="18" customHeight="1">
      <c r="A137" s="418" t="s">
        <v>126</v>
      </c>
      <c r="B137" s="419"/>
      <c r="C137" s="419"/>
      <c r="D137" s="419"/>
      <c r="E137" s="420"/>
      <c r="G137"/>
      <c r="I137" s="647" t="s">
        <v>127</v>
      </c>
    </row>
    <row r="138" spans="1:9" ht="18" customHeight="1">
      <c r="A138" s="395" t="s">
        <v>128</v>
      </c>
      <c r="B138" s="135">
        <f>OTTAWA!D18</f>
        <v>0</v>
      </c>
      <c r="C138" s="135" t="s">
        <v>22</v>
      </c>
      <c r="D138" s="135">
        <v>16.649999999999999</v>
      </c>
      <c r="E138" s="314">
        <f t="shared" ref="E138:E183" si="8">B138*D138</f>
        <v>0</v>
      </c>
      <c r="G138"/>
      <c r="I138" s="647" t="s">
        <v>42</v>
      </c>
    </row>
    <row r="139" spans="1:9" ht="18" customHeight="1">
      <c r="A139" s="395" t="s">
        <v>129</v>
      </c>
      <c r="B139" s="135">
        <f>OTTAWA!C18</f>
        <v>0</v>
      </c>
      <c r="C139" s="135" t="s">
        <v>22</v>
      </c>
      <c r="D139" s="135">
        <v>16.649999999999999</v>
      </c>
      <c r="E139" s="314">
        <f t="shared" si="8"/>
        <v>0</v>
      </c>
      <c r="G139"/>
      <c r="I139" s="647" t="s">
        <v>42</v>
      </c>
    </row>
    <row r="140" spans="1:9" ht="18" customHeight="1">
      <c r="A140" s="560" t="s">
        <v>130</v>
      </c>
      <c r="B140" s="481">
        <f>OTTAWA!E18</f>
        <v>0</v>
      </c>
      <c r="C140" s="481" t="s">
        <v>22</v>
      </c>
      <c r="D140" s="481">
        <v>16.649999999999999</v>
      </c>
      <c r="E140" s="482">
        <f>B140*D140</f>
        <v>0</v>
      </c>
      <c r="G140"/>
      <c r="I140" s="647" t="s">
        <v>42</v>
      </c>
    </row>
    <row r="141" spans="1:9" ht="18" customHeight="1">
      <c r="A141" s="560" t="s">
        <v>131</v>
      </c>
      <c r="B141" s="481">
        <f>OTTAWA!F18</f>
        <v>0</v>
      </c>
      <c r="C141" s="481" t="s">
        <v>22</v>
      </c>
      <c r="D141" s="481">
        <v>16.649999999999999</v>
      </c>
      <c r="E141" s="482">
        <f t="shared" si="8"/>
        <v>0</v>
      </c>
      <c r="G141"/>
      <c r="I141" s="647" t="s">
        <v>42</v>
      </c>
    </row>
    <row r="142" spans="1:9" ht="18" customHeight="1">
      <c r="A142" s="395" t="s">
        <v>132</v>
      </c>
      <c r="B142" s="135">
        <f>OTTAWA!G18</f>
        <v>0</v>
      </c>
      <c r="C142" s="135" t="s">
        <v>22</v>
      </c>
      <c r="D142" s="135">
        <v>16.649999999999999</v>
      </c>
      <c r="E142" s="314">
        <f t="shared" si="8"/>
        <v>0</v>
      </c>
      <c r="G142"/>
      <c r="I142" s="647" t="s">
        <v>42</v>
      </c>
    </row>
    <row r="143" spans="1:9" ht="18" customHeight="1">
      <c r="A143" s="136" t="s">
        <v>133</v>
      </c>
      <c r="B143" s="135">
        <f>OTTAWA!H18</f>
        <v>0</v>
      </c>
      <c r="C143" s="135" t="s">
        <v>22</v>
      </c>
      <c r="D143" s="135">
        <v>16.649999999999999</v>
      </c>
      <c r="E143" s="314">
        <f t="shared" si="8"/>
        <v>0</v>
      </c>
      <c r="G143"/>
    </row>
    <row r="144" spans="1:9" ht="18" customHeight="1">
      <c r="A144" s="480" t="s">
        <v>134</v>
      </c>
      <c r="B144" s="481">
        <f>OTTAWA!I18</f>
        <v>0</v>
      </c>
      <c r="C144" s="481" t="s">
        <v>22</v>
      </c>
      <c r="D144" s="481">
        <v>16.649999999999999</v>
      </c>
      <c r="E144" s="482">
        <f t="shared" si="8"/>
        <v>0</v>
      </c>
      <c r="G144"/>
    </row>
    <row r="145" spans="1:9" ht="18" customHeight="1">
      <c r="A145" s="649" t="s">
        <v>135</v>
      </c>
      <c r="B145" s="135">
        <f>OTTAWA!J18</f>
        <v>0</v>
      </c>
      <c r="C145" s="135" t="s">
        <v>22</v>
      </c>
      <c r="D145" s="135">
        <v>16.649999999999999</v>
      </c>
      <c r="E145" s="314">
        <f t="shared" si="8"/>
        <v>0</v>
      </c>
      <c r="G145"/>
      <c r="I145" s="647" t="s">
        <v>136</v>
      </c>
    </row>
    <row r="146" spans="1:9" ht="18" customHeight="1">
      <c r="A146" s="396" t="s">
        <v>137</v>
      </c>
      <c r="B146" s="135">
        <f>OTTAWA!K18</f>
        <v>0</v>
      </c>
      <c r="C146" s="135" t="s">
        <v>22</v>
      </c>
      <c r="D146" s="135">
        <v>16.649999999999999</v>
      </c>
      <c r="E146" s="314">
        <f t="shared" si="8"/>
        <v>0</v>
      </c>
      <c r="G146"/>
    </row>
    <row r="147" spans="1:9" ht="18" customHeight="1">
      <c r="A147" s="395" t="s">
        <v>138</v>
      </c>
      <c r="B147" s="135">
        <f>OTTAWA!L18</f>
        <v>0</v>
      </c>
      <c r="C147" s="135" t="s">
        <v>22</v>
      </c>
      <c r="D147" s="135">
        <v>16.649999999999999</v>
      </c>
      <c r="E147" s="314">
        <f t="shared" si="8"/>
        <v>0</v>
      </c>
      <c r="G147"/>
      <c r="I147" s="647" t="s">
        <v>42</v>
      </c>
    </row>
    <row r="148" spans="1:9" ht="18" customHeight="1">
      <c r="A148" s="395" t="s">
        <v>139</v>
      </c>
      <c r="B148" s="135">
        <f>OTTAWA!O18</f>
        <v>0</v>
      </c>
      <c r="C148" s="135" t="s">
        <v>22</v>
      </c>
      <c r="D148" s="135">
        <v>16.649999999999999</v>
      </c>
      <c r="E148" s="314">
        <f t="shared" si="8"/>
        <v>0</v>
      </c>
      <c r="G148"/>
      <c r="I148" s="647"/>
    </row>
    <row r="149" spans="1:9" ht="18" customHeight="1">
      <c r="A149" s="397" t="s">
        <v>140</v>
      </c>
      <c r="B149" s="135">
        <f>OTTAWA!M18</f>
        <v>0</v>
      </c>
      <c r="C149" s="135" t="s">
        <v>22</v>
      </c>
      <c r="D149" s="135">
        <v>16.649999999999999</v>
      </c>
      <c r="E149" s="314">
        <f t="shared" si="8"/>
        <v>0</v>
      </c>
      <c r="G149"/>
      <c r="I149" s="828" t="s">
        <v>141</v>
      </c>
    </row>
    <row r="150" spans="1:9" ht="18" customHeight="1">
      <c r="A150" s="136" t="s">
        <v>142</v>
      </c>
      <c r="B150" s="135">
        <f>OTTAWA!N18</f>
        <v>0</v>
      </c>
      <c r="C150" s="135" t="s">
        <v>22</v>
      </c>
      <c r="D150" s="135">
        <v>16.649999999999999</v>
      </c>
      <c r="E150" s="314">
        <f t="shared" si="8"/>
        <v>0</v>
      </c>
      <c r="G150"/>
    </row>
    <row r="151" spans="1:9" ht="18" customHeight="1">
      <c r="A151" s="136" t="s">
        <v>143</v>
      </c>
      <c r="B151" s="135">
        <f>OTTAWA!T18</f>
        <v>0</v>
      </c>
      <c r="C151" s="135" t="s">
        <v>22</v>
      </c>
      <c r="D151" s="135">
        <v>16.649999999999999</v>
      </c>
      <c r="E151" s="314">
        <f t="shared" si="8"/>
        <v>0</v>
      </c>
      <c r="G151"/>
      <c r="I151" s="647" t="s">
        <v>144</v>
      </c>
    </row>
    <row r="152" spans="1:9" ht="18" customHeight="1">
      <c r="A152" s="397" t="s">
        <v>145</v>
      </c>
      <c r="B152" s="135">
        <f>OTTAWA!Q18</f>
        <v>0</v>
      </c>
      <c r="C152" s="135" t="s">
        <v>22</v>
      </c>
      <c r="D152" s="135">
        <v>16.649999999999999</v>
      </c>
      <c r="E152" s="314">
        <f t="shared" si="8"/>
        <v>0</v>
      </c>
      <c r="G152"/>
      <c r="I152" s="647"/>
    </row>
    <row r="153" spans="1:9" ht="18" customHeight="1">
      <c r="A153" s="517" t="s">
        <v>146</v>
      </c>
      <c r="B153" s="481">
        <f>OTTAWA!AC18</f>
        <v>0</v>
      </c>
      <c r="C153" s="481" t="s">
        <v>22</v>
      </c>
      <c r="D153" s="481">
        <v>16.649999999999999</v>
      </c>
      <c r="E153" s="482">
        <f t="shared" si="8"/>
        <v>0</v>
      </c>
      <c r="G153"/>
    </row>
    <row r="154" spans="1:9" ht="18" customHeight="1">
      <c r="A154" s="136" t="s">
        <v>147</v>
      </c>
      <c r="B154" s="135">
        <f>OTTAWA!S18</f>
        <v>0</v>
      </c>
      <c r="C154" s="135" t="s">
        <v>22</v>
      </c>
      <c r="D154" s="135">
        <v>16.649999999999999</v>
      </c>
      <c r="E154" s="314">
        <f t="shared" si="8"/>
        <v>0</v>
      </c>
      <c r="G154"/>
    </row>
    <row r="155" spans="1:9" ht="18" customHeight="1">
      <c r="A155" s="136" t="s">
        <v>148</v>
      </c>
      <c r="B155" s="135">
        <f>OTTAWA!U18</f>
        <v>0</v>
      </c>
      <c r="C155" s="135" t="s">
        <v>22</v>
      </c>
      <c r="D155" s="135">
        <v>16.649999999999999</v>
      </c>
      <c r="E155" s="314">
        <f t="shared" si="8"/>
        <v>0</v>
      </c>
      <c r="G155"/>
      <c r="I155" s="647" t="s">
        <v>144</v>
      </c>
    </row>
    <row r="156" spans="1:9" ht="18" customHeight="1">
      <c r="A156" s="136" t="s">
        <v>149</v>
      </c>
      <c r="B156" s="135">
        <f>OTTAWA!V18</f>
        <v>0</v>
      </c>
      <c r="C156" s="135" t="s">
        <v>22</v>
      </c>
      <c r="D156" s="135">
        <v>16.649999999999999</v>
      </c>
      <c r="E156" s="314">
        <f t="shared" si="8"/>
        <v>0</v>
      </c>
      <c r="G156"/>
    </row>
    <row r="157" spans="1:9" ht="18" customHeight="1">
      <c r="A157" s="136" t="s">
        <v>150</v>
      </c>
      <c r="B157" s="135">
        <f>OTTAWA!W18</f>
        <v>0</v>
      </c>
      <c r="C157" s="135" t="s">
        <v>22</v>
      </c>
      <c r="D157" s="135">
        <v>20</v>
      </c>
      <c r="E157" s="314">
        <f t="shared" si="8"/>
        <v>0</v>
      </c>
      <c r="G157"/>
    </row>
    <row r="158" spans="1:9" ht="18" customHeight="1">
      <c r="A158" s="136" t="s">
        <v>151</v>
      </c>
      <c r="B158" s="135">
        <f>OTTAWA!R18</f>
        <v>0</v>
      </c>
      <c r="C158" s="135" t="s">
        <v>22</v>
      </c>
      <c r="D158" s="135">
        <v>20</v>
      </c>
      <c r="E158" s="314">
        <f t="shared" si="8"/>
        <v>0</v>
      </c>
      <c r="G158"/>
      <c r="I158" s="647"/>
    </row>
    <row r="159" spans="1:9" ht="18" customHeight="1">
      <c r="A159" s="317" t="s">
        <v>152</v>
      </c>
      <c r="B159" s="135">
        <f>OTTAWA!Y18</f>
        <v>0</v>
      </c>
      <c r="C159" s="135" t="s">
        <v>22</v>
      </c>
      <c r="D159" s="135">
        <v>16.649999999999999</v>
      </c>
      <c r="E159" s="314">
        <f t="shared" si="8"/>
        <v>0</v>
      </c>
      <c r="G159"/>
      <c r="I159" s="647" t="s">
        <v>144</v>
      </c>
    </row>
    <row r="160" spans="1:9" ht="18" customHeight="1">
      <c r="A160" s="136" t="s">
        <v>153</v>
      </c>
      <c r="B160" s="135">
        <f>OTTAWA!X18</f>
        <v>0</v>
      </c>
      <c r="C160" s="135" t="s">
        <v>22</v>
      </c>
      <c r="D160" s="135">
        <v>16.649999999999999</v>
      </c>
      <c r="E160" s="314">
        <f t="shared" si="8"/>
        <v>0</v>
      </c>
      <c r="G160"/>
      <c r="I160" s="647" t="s">
        <v>154</v>
      </c>
    </row>
    <row r="161" spans="1:9" ht="18" customHeight="1">
      <c r="A161" s="136" t="s">
        <v>155</v>
      </c>
      <c r="B161" s="135">
        <f>OTTAWA!Z18</f>
        <v>0</v>
      </c>
      <c r="C161" s="135" t="s">
        <v>22</v>
      </c>
      <c r="D161" s="135">
        <v>16.649999999999999</v>
      </c>
      <c r="E161" s="314">
        <f t="shared" si="8"/>
        <v>0</v>
      </c>
      <c r="G161"/>
      <c r="I161" s="647"/>
    </row>
    <row r="162" spans="1:9" ht="18" customHeight="1">
      <c r="A162" s="136" t="s">
        <v>156</v>
      </c>
      <c r="B162" s="135">
        <f>OTTAWA!AA18</f>
        <v>0</v>
      </c>
      <c r="C162" s="135" t="s">
        <v>22</v>
      </c>
      <c r="D162" s="135">
        <v>16.649999999999999</v>
      </c>
      <c r="E162" s="314">
        <f t="shared" si="8"/>
        <v>0</v>
      </c>
      <c r="G162"/>
      <c r="I162" s="647" t="s">
        <v>157</v>
      </c>
    </row>
    <row r="163" spans="1:9" ht="18" customHeight="1">
      <c r="A163" s="396" t="s">
        <v>158</v>
      </c>
      <c r="B163" s="135">
        <f>OTTAWA!AB18+OTTAWA!BP18</f>
        <v>0</v>
      </c>
      <c r="C163" s="135" t="s">
        <v>22</v>
      </c>
      <c r="D163" s="135">
        <v>17</v>
      </c>
      <c r="E163" s="314">
        <f t="shared" si="8"/>
        <v>0</v>
      </c>
      <c r="G163"/>
      <c r="I163" s="647" t="s">
        <v>159</v>
      </c>
    </row>
    <row r="164" spans="1:9" ht="18" customHeight="1">
      <c r="A164" s="350" t="s">
        <v>160</v>
      </c>
      <c r="B164" s="409">
        <f>OTTAWA!AH18</f>
        <v>0</v>
      </c>
      <c r="C164" s="409" t="s">
        <v>22</v>
      </c>
      <c r="D164" s="409">
        <v>16.649999999999999</v>
      </c>
      <c r="E164" s="410">
        <f t="shared" si="8"/>
        <v>0</v>
      </c>
      <c r="G164"/>
      <c r="I164" s="647" t="s">
        <v>161</v>
      </c>
    </row>
    <row r="165" spans="1:9" ht="18" customHeight="1">
      <c r="A165" s="664" t="s">
        <v>162</v>
      </c>
      <c r="B165" s="665">
        <f>OTTAWA!AM18</f>
        <v>0</v>
      </c>
      <c r="C165" s="665" t="s">
        <v>22</v>
      </c>
      <c r="D165" s="665">
        <v>16.649999999999999</v>
      </c>
      <c r="E165" s="666">
        <f>B165*D165</f>
        <v>0</v>
      </c>
      <c r="G165"/>
      <c r="I165" s="647" t="s">
        <v>161</v>
      </c>
    </row>
    <row r="166" spans="1:9" ht="18" customHeight="1">
      <c r="A166" s="397" t="s">
        <v>163</v>
      </c>
      <c r="B166" s="135">
        <f>OTTAWA!AJ18</f>
        <v>0</v>
      </c>
      <c r="C166" s="135" t="s">
        <v>22</v>
      </c>
      <c r="D166" s="135">
        <v>16.649999999999999</v>
      </c>
      <c r="E166" s="314">
        <f t="shared" si="8"/>
        <v>0</v>
      </c>
      <c r="G166"/>
      <c r="I166" s="647"/>
    </row>
    <row r="167" spans="1:9" ht="18" customHeight="1">
      <c r="A167" s="397" t="s">
        <v>164</v>
      </c>
      <c r="B167" s="135">
        <f>OTTAWA!AG18</f>
        <v>0</v>
      </c>
      <c r="C167" s="135" t="s">
        <v>22</v>
      </c>
      <c r="D167" s="135">
        <v>16.649999999999999</v>
      </c>
      <c r="E167" s="314">
        <f t="shared" si="8"/>
        <v>0</v>
      </c>
      <c r="G167"/>
      <c r="I167" s="647"/>
    </row>
    <row r="168" spans="1:9" ht="18" customHeight="1">
      <c r="A168" s="397" t="s">
        <v>165</v>
      </c>
      <c r="B168" s="135">
        <f>OTTAWA!AE18</f>
        <v>0</v>
      </c>
      <c r="C168" s="135" t="s">
        <v>22</v>
      </c>
      <c r="D168" s="135">
        <v>17</v>
      </c>
      <c r="E168" s="314">
        <f t="shared" si="8"/>
        <v>0</v>
      </c>
      <c r="G168"/>
      <c r="I168" s="647"/>
    </row>
    <row r="169" spans="1:9" ht="18" customHeight="1">
      <c r="A169" s="397" t="s">
        <v>166</v>
      </c>
      <c r="B169" s="135">
        <f>OTTAWA!AF18</f>
        <v>0</v>
      </c>
      <c r="C169" s="135" t="s">
        <v>22</v>
      </c>
      <c r="D169" s="135">
        <v>17</v>
      </c>
      <c r="E169" s="314">
        <f>B169*D169</f>
        <v>0</v>
      </c>
      <c r="G169"/>
      <c r="I169" s="647"/>
    </row>
    <row r="170" spans="1:9" ht="18" customHeight="1">
      <c r="A170" s="136" t="s">
        <v>167</v>
      </c>
      <c r="B170" s="135">
        <f>OTTAWA!AK18</f>
        <v>0</v>
      </c>
      <c r="C170" s="135" t="s">
        <v>22</v>
      </c>
      <c r="D170" s="135">
        <v>20</v>
      </c>
      <c r="E170" s="314">
        <f t="shared" si="8"/>
        <v>0</v>
      </c>
      <c r="G170"/>
    </row>
    <row r="171" spans="1:9" ht="18" customHeight="1">
      <c r="A171" s="136" t="s">
        <v>168</v>
      </c>
      <c r="B171" s="135">
        <f>OTTAWA!AI18</f>
        <v>0</v>
      </c>
      <c r="C171" s="135" t="s">
        <v>22</v>
      </c>
      <c r="D171" s="135">
        <v>16.649999999999999</v>
      </c>
      <c r="E171" s="314">
        <f t="shared" si="8"/>
        <v>0</v>
      </c>
      <c r="G171"/>
    </row>
    <row r="172" spans="1:9" ht="18" customHeight="1">
      <c r="A172" s="397" t="s">
        <v>169</v>
      </c>
      <c r="B172" s="135">
        <f>OTTAWA!AL18</f>
        <v>0</v>
      </c>
      <c r="C172" s="135" t="s">
        <v>22</v>
      </c>
      <c r="D172" s="135">
        <v>16.649999999999999</v>
      </c>
      <c r="E172" s="314">
        <f t="shared" si="8"/>
        <v>0</v>
      </c>
      <c r="G172"/>
      <c r="I172" s="829" t="s">
        <v>170</v>
      </c>
    </row>
    <row r="173" spans="1:9" ht="18" customHeight="1">
      <c r="A173" s="136" t="s">
        <v>171</v>
      </c>
      <c r="B173" s="135">
        <f>OTTAWA!AN18</f>
        <v>0</v>
      </c>
      <c r="C173" s="135" t="s">
        <v>22</v>
      </c>
      <c r="D173" s="135">
        <v>16.649999999999999</v>
      </c>
      <c r="E173" s="314">
        <f t="shared" si="8"/>
        <v>0</v>
      </c>
      <c r="G173"/>
      <c r="I173" s="647" t="s">
        <v>172</v>
      </c>
    </row>
    <row r="174" spans="1:9" ht="18" customHeight="1">
      <c r="A174" s="136" t="s">
        <v>173</v>
      </c>
      <c r="B174" s="135">
        <f>OTTAWA!AO18</f>
        <v>0</v>
      </c>
      <c r="C174" s="135" t="s">
        <v>22</v>
      </c>
      <c r="D174" s="135">
        <v>16.649999999999999</v>
      </c>
      <c r="E174" s="314">
        <f t="shared" si="8"/>
        <v>0</v>
      </c>
      <c r="G174"/>
      <c r="I174" s="647"/>
    </row>
    <row r="175" spans="1:9" ht="18" customHeight="1">
      <c r="A175" s="480" t="s">
        <v>174</v>
      </c>
      <c r="B175" s="481">
        <f>OTTAWA!AQ18</f>
        <v>0</v>
      </c>
      <c r="C175" s="481" t="s">
        <v>22</v>
      </c>
      <c r="D175" s="481">
        <v>16.649999999999999</v>
      </c>
      <c r="E175" s="482">
        <f>B175*D175</f>
        <v>0</v>
      </c>
      <c r="G175"/>
      <c r="I175" s="647"/>
    </row>
    <row r="176" spans="1:9" ht="18" customHeight="1">
      <c r="A176" s="136" t="s">
        <v>175</v>
      </c>
      <c r="B176" s="135">
        <f>OTTAWA!AP18</f>
        <v>0</v>
      </c>
      <c r="C176" s="135" t="s">
        <v>22</v>
      </c>
      <c r="D176" s="135">
        <v>16.649999999999999</v>
      </c>
      <c r="E176" s="314">
        <f t="shared" si="8"/>
        <v>0</v>
      </c>
      <c r="G176"/>
      <c r="I176" s="647" t="s">
        <v>176</v>
      </c>
    </row>
    <row r="177" spans="1:9" ht="18" customHeight="1">
      <c r="A177" s="136" t="s">
        <v>177</v>
      </c>
      <c r="B177" s="135">
        <f>OTTAWA!AR18</f>
        <v>0</v>
      </c>
      <c r="C177" s="135" t="s">
        <v>22</v>
      </c>
      <c r="D177" s="135">
        <v>16.649999999999999</v>
      </c>
      <c r="E177" s="314">
        <f t="shared" si="8"/>
        <v>0</v>
      </c>
      <c r="G177"/>
      <c r="I177" s="829" t="s">
        <v>178</v>
      </c>
    </row>
    <row r="178" spans="1:9" ht="18" customHeight="1">
      <c r="A178" s="136" t="s">
        <v>179</v>
      </c>
      <c r="B178" s="135">
        <f>OTTAWA!AS18</f>
        <v>0</v>
      </c>
      <c r="C178" s="135" t="s">
        <v>22</v>
      </c>
      <c r="D178" s="135">
        <v>16.649999999999999</v>
      </c>
      <c r="E178" s="314">
        <f t="shared" si="8"/>
        <v>0</v>
      </c>
      <c r="G178"/>
      <c r="I178" s="829" t="s">
        <v>178</v>
      </c>
    </row>
    <row r="179" spans="1:9" ht="18" customHeight="1">
      <c r="A179" s="136" t="s">
        <v>180</v>
      </c>
      <c r="B179" s="135">
        <f>OTTAWA!BH18</f>
        <v>0</v>
      </c>
      <c r="C179" s="135" t="s">
        <v>22</v>
      </c>
      <c r="D179" s="135">
        <v>16.649999999999999</v>
      </c>
      <c r="E179" s="314">
        <f t="shared" si="8"/>
        <v>0</v>
      </c>
      <c r="G179"/>
      <c r="I179" s="647" t="s">
        <v>181</v>
      </c>
    </row>
    <row r="180" spans="1:9" ht="18" customHeight="1">
      <c r="A180" s="136" t="s">
        <v>182</v>
      </c>
      <c r="B180" s="135">
        <f>OTTAWA!BK18</f>
        <v>0</v>
      </c>
      <c r="C180" s="135" t="s">
        <v>22</v>
      </c>
      <c r="D180" s="135">
        <v>16.649999999999999</v>
      </c>
      <c r="E180" s="314">
        <f t="shared" si="8"/>
        <v>0</v>
      </c>
      <c r="G180"/>
      <c r="I180" s="647"/>
    </row>
    <row r="181" spans="1:9" ht="18" customHeight="1">
      <c r="A181" s="136" t="s">
        <v>183</v>
      </c>
      <c r="B181" s="135">
        <f>OTTAWA!AT18</f>
        <v>0</v>
      </c>
      <c r="C181" s="135" t="s">
        <v>22</v>
      </c>
      <c r="D181" s="135">
        <v>16.649999999999999</v>
      </c>
      <c r="E181" s="314">
        <f t="shared" si="8"/>
        <v>0</v>
      </c>
      <c r="G181"/>
    </row>
    <row r="182" spans="1:9" ht="18" customHeight="1">
      <c r="A182" s="136" t="s">
        <v>184</v>
      </c>
      <c r="B182" s="135">
        <f>OTTAWA!AU18</f>
        <v>0</v>
      </c>
      <c r="C182" s="135" t="s">
        <v>22</v>
      </c>
      <c r="D182" s="135">
        <v>16.649999999999999</v>
      </c>
      <c r="E182" s="314">
        <f t="shared" si="8"/>
        <v>0</v>
      </c>
      <c r="G182"/>
    </row>
    <row r="183" spans="1:9" ht="18" customHeight="1">
      <c r="A183" s="136" t="s">
        <v>185</v>
      </c>
      <c r="B183" s="135">
        <f>OTTAWA!AV18</f>
        <v>0</v>
      </c>
      <c r="C183" s="135" t="s">
        <v>22</v>
      </c>
      <c r="D183" s="135">
        <v>16.649999999999999</v>
      </c>
      <c r="E183" s="314">
        <f t="shared" si="8"/>
        <v>0</v>
      </c>
      <c r="G183"/>
      <c r="I183" s="647"/>
    </row>
    <row r="184" spans="1:9" ht="18" customHeight="1">
      <c r="A184" s="136" t="s">
        <v>186</v>
      </c>
      <c r="B184" s="135">
        <f>OTTAWA!BF18</f>
        <v>0</v>
      </c>
      <c r="C184" s="135" t="s">
        <v>22</v>
      </c>
      <c r="D184" s="135">
        <v>16.649999999999999</v>
      </c>
      <c r="E184" s="314">
        <f t="shared" ref="E184:E191" si="9">B184*D184</f>
        <v>0</v>
      </c>
      <c r="G184"/>
      <c r="I184" s="647"/>
    </row>
    <row r="185" spans="1:9" ht="18" customHeight="1">
      <c r="A185" s="136" t="s">
        <v>187</v>
      </c>
      <c r="B185" s="135">
        <f>OTTAWA!AW18</f>
        <v>0</v>
      </c>
      <c r="C185" s="135" t="s">
        <v>22</v>
      </c>
      <c r="D185" s="135">
        <v>16.649999999999999</v>
      </c>
      <c r="E185" s="314">
        <f>B185*D185</f>
        <v>0</v>
      </c>
      <c r="G185"/>
      <c r="I185" s="647"/>
    </row>
    <row r="186" spans="1:9" ht="18" customHeight="1">
      <c r="A186" s="136" t="s">
        <v>188</v>
      </c>
      <c r="B186" s="135">
        <f>OTTAWA!AX18</f>
        <v>0</v>
      </c>
      <c r="C186" s="135" t="s">
        <v>22</v>
      </c>
      <c r="D186" s="135">
        <v>16.649999999999999</v>
      </c>
      <c r="E186" s="314">
        <f t="shared" si="9"/>
        <v>0</v>
      </c>
      <c r="G186"/>
    </row>
    <row r="187" spans="1:9" ht="18" customHeight="1">
      <c r="A187" s="480" t="s">
        <v>189</v>
      </c>
      <c r="B187" s="481">
        <f>OTTAWA!AD18</f>
        <v>0</v>
      </c>
      <c r="C187" s="481" t="s">
        <v>22</v>
      </c>
      <c r="D187" s="481">
        <v>16.649999999999999</v>
      </c>
      <c r="E187" s="482">
        <f>B187*D187</f>
        <v>0</v>
      </c>
      <c r="G187"/>
    </row>
    <row r="188" spans="1:9" ht="18" customHeight="1">
      <c r="A188" s="136" t="s">
        <v>190</v>
      </c>
      <c r="B188" s="135">
        <f>OTTAWA!AY18</f>
        <v>0</v>
      </c>
      <c r="C188" s="135" t="s">
        <v>22</v>
      </c>
      <c r="D188" s="135">
        <v>16.649999999999999</v>
      </c>
      <c r="E188" s="314">
        <f>B188*D188</f>
        <v>0</v>
      </c>
      <c r="G188"/>
    </row>
    <row r="189" spans="1:9" ht="18" customHeight="1">
      <c r="A189" s="480" t="s">
        <v>191</v>
      </c>
      <c r="B189" s="481">
        <f>OTTAWA!AZ18</f>
        <v>0</v>
      </c>
      <c r="C189" s="481" t="s">
        <v>22</v>
      </c>
      <c r="D189" s="481">
        <v>16.649999999999999</v>
      </c>
      <c r="E189" s="482">
        <f>B189*D189</f>
        <v>0</v>
      </c>
      <c r="G189"/>
    </row>
    <row r="190" spans="1:9" ht="18" customHeight="1">
      <c r="A190" s="136" t="s">
        <v>192</v>
      </c>
      <c r="B190" s="135">
        <f>OTTAWA!BB18</f>
        <v>0</v>
      </c>
      <c r="C190" s="135" t="s">
        <v>22</v>
      </c>
      <c r="D190" s="135">
        <v>16.649999999999999</v>
      </c>
      <c r="E190" s="314">
        <f t="shared" si="9"/>
        <v>0</v>
      </c>
      <c r="G190"/>
      <c r="I190" s="647"/>
    </row>
    <row r="191" spans="1:9" ht="18" customHeight="1">
      <c r="A191" s="136" t="s">
        <v>193</v>
      </c>
      <c r="B191" s="135">
        <f>OTTAWA!BE18</f>
        <v>0</v>
      </c>
      <c r="C191" s="135" t="s">
        <v>22</v>
      </c>
      <c r="D191" s="135">
        <v>16.649999999999999</v>
      </c>
      <c r="E191" s="314">
        <f t="shared" si="9"/>
        <v>0</v>
      </c>
      <c r="G191"/>
    </row>
    <row r="192" spans="1:9" ht="18" customHeight="1">
      <c r="A192" s="136" t="s">
        <v>194</v>
      </c>
      <c r="B192" s="135">
        <f>OTTAWA!BA18</f>
        <v>0</v>
      </c>
      <c r="C192" s="135" t="s">
        <v>22</v>
      </c>
      <c r="D192" s="135">
        <v>16.649999999999999</v>
      </c>
      <c r="E192" s="314">
        <f t="shared" ref="E192:E199" si="10">B192*D192</f>
        <v>0</v>
      </c>
      <c r="G192"/>
      <c r="I192" s="647"/>
    </row>
    <row r="193" spans="1:9" ht="18" customHeight="1">
      <c r="A193" s="136" t="s">
        <v>195</v>
      </c>
      <c r="B193" s="135">
        <f>OTTAWA!BC18</f>
        <v>0</v>
      </c>
      <c r="C193" s="135" t="s">
        <v>22</v>
      </c>
      <c r="D193" s="135">
        <v>16.649999999999999</v>
      </c>
      <c r="E193" s="314">
        <f t="shared" si="10"/>
        <v>0</v>
      </c>
      <c r="G193"/>
      <c r="I193" s="647"/>
    </row>
    <row r="194" spans="1:9" ht="18" customHeight="1">
      <c r="A194" s="136" t="s">
        <v>196</v>
      </c>
      <c r="B194" s="135">
        <f>OTTAWA!BG18</f>
        <v>0</v>
      </c>
      <c r="C194" s="135" t="s">
        <v>22</v>
      </c>
      <c r="D194" s="135">
        <v>16.649999999999999</v>
      </c>
      <c r="E194" s="314">
        <f t="shared" si="10"/>
        <v>0</v>
      </c>
      <c r="G194"/>
      <c r="I194" s="647"/>
    </row>
    <row r="195" spans="1:9" ht="18" customHeight="1">
      <c r="A195" s="136" t="s">
        <v>197</v>
      </c>
      <c r="B195" s="135">
        <f>OTTAWA!BD18</f>
        <v>0</v>
      </c>
      <c r="C195" s="135" t="s">
        <v>22</v>
      </c>
      <c r="D195" s="135">
        <v>16.649999999999999</v>
      </c>
      <c r="E195" s="314">
        <f t="shared" si="10"/>
        <v>0</v>
      </c>
      <c r="G195"/>
      <c r="I195" s="647"/>
    </row>
    <row r="196" spans="1:9" ht="18" customHeight="1">
      <c r="A196" s="396" t="s">
        <v>198</v>
      </c>
      <c r="B196" s="135">
        <f>OTTAWA!BI18</f>
        <v>0</v>
      </c>
      <c r="C196" s="135" t="s">
        <v>22</v>
      </c>
      <c r="D196" s="135">
        <v>16.649999999999999</v>
      </c>
      <c r="E196" s="314">
        <f t="shared" si="10"/>
        <v>0</v>
      </c>
      <c r="G196"/>
      <c r="I196" s="647" t="s">
        <v>199</v>
      </c>
    </row>
    <row r="197" spans="1:9" ht="18" customHeight="1">
      <c r="A197" s="517" t="s">
        <v>200</v>
      </c>
      <c r="B197" s="481">
        <f>OTTAWA!BJ18</f>
        <v>0</v>
      </c>
      <c r="C197" s="481" t="s">
        <v>22</v>
      </c>
      <c r="D197" s="481">
        <v>16.649999999999999</v>
      </c>
      <c r="E197" s="482">
        <f>B197*D197</f>
        <v>0</v>
      </c>
      <c r="G197"/>
      <c r="I197" s="647" t="s">
        <v>199</v>
      </c>
    </row>
    <row r="198" spans="1:9" ht="18" customHeight="1">
      <c r="A198" s="396" t="s">
        <v>148</v>
      </c>
      <c r="B198" s="135">
        <f>OTTAWA!BL18</f>
        <v>0</v>
      </c>
      <c r="C198" s="135" t="s">
        <v>22</v>
      </c>
      <c r="D198" s="135">
        <v>20</v>
      </c>
      <c r="E198" s="314">
        <f t="shared" si="10"/>
        <v>0</v>
      </c>
      <c r="G198"/>
      <c r="I198" s="647"/>
    </row>
    <row r="199" spans="1:9" ht="18" customHeight="1">
      <c r="A199" s="396" t="s">
        <v>201</v>
      </c>
      <c r="B199" s="135">
        <f>OTTAWA!P18</f>
        <v>0</v>
      </c>
      <c r="C199" s="135" t="s">
        <v>22</v>
      </c>
      <c r="D199" s="135">
        <v>16.649999999999999</v>
      </c>
      <c r="E199" s="314">
        <f t="shared" si="10"/>
        <v>0</v>
      </c>
      <c r="G199"/>
      <c r="I199" s="647"/>
    </row>
    <row r="200" spans="1:9" ht="18" customHeight="1">
      <c r="A200" s="437"/>
      <c r="B200" s="419"/>
      <c r="C200" s="419"/>
      <c r="D200" s="419"/>
      <c r="E200" s="420"/>
      <c r="G200"/>
      <c r="I200" s="647" t="s">
        <v>202</v>
      </c>
    </row>
    <row r="201" spans="1:9" ht="18" customHeight="1">
      <c r="A201" s="427" t="s">
        <v>203</v>
      </c>
      <c r="B201" s="415">
        <f>SUM(B137:B200)</f>
        <v>0</v>
      </c>
      <c r="C201" s="415"/>
      <c r="D201" s="415"/>
      <c r="E201" s="415"/>
      <c r="G201"/>
      <c r="I201" s="647" t="s">
        <v>204</v>
      </c>
    </row>
    <row r="202" spans="1:9" ht="18" customHeight="1">
      <c r="A202" s="136"/>
      <c r="B202" s="135"/>
      <c r="C202" s="135"/>
      <c r="D202" s="135"/>
      <c r="E202" s="314"/>
      <c r="G202"/>
      <c r="I202" s="647" t="s">
        <v>205</v>
      </c>
    </row>
    <row r="203" spans="1:9" ht="18" customHeight="1">
      <c r="A203" s="418" t="s">
        <v>206</v>
      </c>
      <c r="B203" s="419"/>
      <c r="C203" s="419"/>
      <c r="D203" s="419"/>
      <c r="E203" s="420"/>
      <c r="G203"/>
      <c r="I203" s="647" t="s">
        <v>17</v>
      </c>
    </row>
    <row r="204" spans="1:9" ht="18" customHeight="1">
      <c r="A204" s="136" t="s">
        <v>207</v>
      </c>
      <c r="B204" s="135" cm="1">
        <f t="array" ref="B204">INDEX(GTA!$C$129:$AAE$129, ROW(A1))</f>
        <v>0</v>
      </c>
      <c r="C204" s="135" t="s">
        <v>22</v>
      </c>
      <c r="D204" s="135">
        <v>16.649999999999999</v>
      </c>
      <c r="E204" s="314">
        <f t="shared" ref="E204:E235" si="11">B204*D204</f>
        <v>0</v>
      </c>
      <c r="G204"/>
      <c r="I204" s="647" t="s">
        <v>208</v>
      </c>
    </row>
    <row r="205" spans="1:9" ht="18" customHeight="1">
      <c r="A205" s="134" t="s">
        <v>209</v>
      </c>
      <c r="B205" s="135" cm="1">
        <f t="array" ref="B205">INDEX(GTA!$C$129:$AAE$129, ROW(A2))</f>
        <v>0</v>
      </c>
      <c r="C205" s="135" t="s">
        <v>22</v>
      </c>
      <c r="D205" s="135">
        <v>16.649999999999999</v>
      </c>
      <c r="E205" s="314">
        <f>B205*D205</f>
        <v>0</v>
      </c>
      <c r="G205"/>
      <c r="I205" s="647" t="s">
        <v>208</v>
      </c>
    </row>
    <row r="206" spans="1:9" ht="18" customHeight="1">
      <c r="A206" s="136" t="s">
        <v>210</v>
      </c>
      <c r="B206" s="135" cm="1">
        <f t="array" ref="B206">INDEX(GTA!$C$129:$AAE$129, ROW(A3))</f>
        <v>0</v>
      </c>
      <c r="C206" s="135" t="s">
        <v>22</v>
      </c>
      <c r="D206" s="135">
        <v>16.649999999999999</v>
      </c>
      <c r="E206" s="314">
        <f t="shared" si="11"/>
        <v>0</v>
      </c>
      <c r="G206"/>
      <c r="I206" s="647"/>
    </row>
    <row r="207" spans="1:9" ht="18" customHeight="1">
      <c r="A207" s="134" t="s">
        <v>211</v>
      </c>
      <c r="B207" s="135" cm="1">
        <f t="array" ref="B207">INDEX(GTA!$C$129:$AAE$129, ROW(A4))</f>
        <v>0</v>
      </c>
      <c r="C207" s="135" t="s">
        <v>22</v>
      </c>
      <c r="D207" s="135">
        <v>16.649999999999999</v>
      </c>
      <c r="E207" s="314">
        <f t="shared" si="11"/>
        <v>0</v>
      </c>
      <c r="G207"/>
      <c r="I207" s="647" t="s">
        <v>212</v>
      </c>
    </row>
    <row r="208" spans="1:9" ht="18" customHeight="1">
      <c r="A208" s="134" t="s">
        <v>213</v>
      </c>
      <c r="B208" s="135" cm="1">
        <f t="array" ref="B208">INDEX(GTA!$C$129:$AAE$129, ROW(A5))</f>
        <v>0</v>
      </c>
      <c r="C208" s="135" t="s">
        <v>22</v>
      </c>
      <c r="D208" s="135">
        <v>16.649999999999999</v>
      </c>
      <c r="E208" s="314">
        <f t="shared" si="11"/>
        <v>0</v>
      </c>
      <c r="G208"/>
      <c r="I208" s="647" t="s">
        <v>214</v>
      </c>
    </row>
    <row r="209" spans="1:9" ht="18" customHeight="1">
      <c r="A209" s="134" t="s">
        <v>215</v>
      </c>
      <c r="B209" s="135" cm="1">
        <f t="array" ref="B209">INDEX(GTA!$C$129:$AAE$129, ROW(A6))</f>
        <v>0</v>
      </c>
      <c r="C209" s="135" t="s">
        <v>22</v>
      </c>
      <c r="D209" s="135">
        <v>16.649999999999999</v>
      </c>
      <c r="E209" s="314">
        <f t="shared" si="11"/>
        <v>0</v>
      </c>
      <c r="G209"/>
      <c r="I209" s="830" t="s">
        <v>216</v>
      </c>
    </row>
    <row r="210" spans="1:9" ht="18" customHeight="1">
      <c r="A210" s="134" t="s">
        <v>217</v>
      </c>
      <c r="B210" s="135" cm="1">
        <f t="array" ref="B210">INDEX(GTA!$C$129:$AAE$129, ROW(A7))</f>
        <v>0</v>
      </c>
      <c r="C210" s="135" t="s">
        <v>22</v>
      </c>
      <c r="D210" s="135">
        <v>16.649999999999999</v>
      </c>
      <c r="E210" s="314">
        <f>B210*D210</f>
        <v>0</v>
      </c>
      <c r="G210"/>
      <c r="I210" s="830"/>
    </row>
    <row r="211" spans="1:9" ht="18" customHeight="1">
      <c r="A211" s="134" t="s">
        <v>218</v>
      </c>
      <c r="B211" s="135" cm="1">
        <f t="array" ref="B211">INDEX(GTA!$C$129:$AAE$129, ROW(A8))</f>
        <v>0</v>
      </c>
      <c r="C211" s="135" t="s">
        <v>22</v>
      </c>
      <c r="D211" s="135">
        <v>16.649999999999999</v>
      </c>
      <c r="E211" s="314">
        <f>B211*D211</f>
        <v>0</v>
      </c>
      <c r="G211"/>
      <c r="I211" s="830"/>
    </row>
    <row r="212" spans="1:9" ht="18" customHeight="1">
      <c r="A212" s="134" t="s">
        <v>219</v>
      </c>
      <c r="B212" s="135" cm="1">
        <f t="array" ref="B212">INDEX(GTA!$C$129:$AAE$129, ROW(A9))</f>
        <v>0</v>
      </c>
      <c r="C212" s="135" t="s">
        <v>22</v>
      </c>
      <c r="D212" s="135">
        <v>16.649999999999999</v>
      </c>
      <c r="E212" s="314">
        <f>B212*D212</f>
        <v>0</v>
      </c>
      <c r="G212"/>
      <c r="I212" s="830"/>
    </row>
    <row r="213" spans="1:9" ht="18" customHeight="1">
      <c r="A213" s="136" t="s">
        <v>220</v>
      </c>
      <c r="B213" s="135" cm="1">
        <f t="array" ref="B213">INDEX(GTA!$C$129:$AAE$129, ROW(A10))</f>
        <v>0</v>
      </c>
      <c r="C213" s="135" t="s">
        <v>22</v>
      </c>
      <c r="D213" s="135">
        <v>16.649999999999999</v>
      </c>
      <c r="E213" s="314">
        <f t="shared" si="11"/>
        <v>0</v>
      </c>
      <c r="G213"/>
      <c r="I213" s="831" t="s">
        <v>15</v>
      </c>
    </row>
    <row r="214" spans="1:9" ht="18" customHeight="1">
      <c r="A214" s="134" t="s">
        <v>221</v>
      </c>
      <c r="B214" s="135" cm="1">
        <f t="array" ref="B214">INDEX(GTA!$C$129:$AAE$129, ROW(A11))</f>
        <v>0</v>
      </c>
      <c r="C214" s="135" t="s">
        <v>22</v>
      </c>
      <c r="D214" s="135">
        <v>16.649999999999999</v>
      </c>
      <c r="E214" s="314">
        <f t="shared" si="11"/>
        <v>0</v>
      </c>
      <c r="G214"/>
      <c r="I214" s="831"/>
    </row>
    <row r="215" spans="1:9" ht="18" customHeight="1">
      <c r="A215" s="398" t="s">
        <v>222</v>
      </c>
      <c r="B215" s="135" cm="1">
        <f t="array" ref="B215">INDEX(GTA!$C$129:$AAE$129, ROW(A12))</f>
        <v>0</v>
      </c>
      <c r="C215" s="135" t="s">
        <v>22</v>
      </c>
      <c r="D215" s="135">
        <v>16.649999999999999</v>
      </c>
      <c r="E215" s="314">
        <f>B215*D215</f>
        <v>0</v>
      </c>
      <c r="G215"/>
      <c r="I215" s="831"/>
    </row>
    <row r="216" spans="1:9" ht="18" customHeight="1">
      <c r="A216" s="398" t="s">
        <v>223</v>
      </c>
      <c r="B216" s="135" cm="1">
        <f t="array" ref="B216">INDEX(GTA!$C$129:$AAE$129, ROW(A13))</f>
        <v>0</v>
      </c>
      <c r="C216" s="135" t="s">
        <v>22</v>
      </c>
      <c r="D216" s="135">
        <v>16.649999999999999</v>
      </c>
      <c r="E216" s="314">
        <f>B216*D216</f>
        <v>0</v>
      </c>
      <c r="G216"/>
      <c r="I216" s="831"/>
    </row>
    <row r="217" spans="1:9" ht="18" customHeight="1">
      <c r="A217" s="136" t="s">
        <v>224</v>
      </c>
      <c r="B217" s="135" cm="1">
        <f t="array" ref="B217">INDEX(GTA!$C$129:$AAE$129, ROW(A14))</f>
        <v>0</v>
      </c>
      <c r="C217" s="135" t="s">
        <v>22</v>
      </c>
      <c r="D217" s="135">
        <v>16.649999999999999</v>
      </c>
      <c r="E217" s="314">
        <f t="shared" si="11"/>
        <v>0</v>
      </c>
      <c r="G217"/>
    </row>
    <row r="218" spans="1:9" ht="18" customHeight="1">
      <c r="A218" s="134" t="s">
        <v>225</v>
      </c>
      <c r="B218" s="135" cm="1">
        <f t="array" ref="B218">INDEX(GTA!$C$129:$AAE$129, ROW(A15))</f>
        <v>0</v>
      </c>
      <c r="C218" s="135" t="s">
        <v>22</v>
      </c>
      <c r="D218" s="135">
        <v>16.649999999999999</v>
      </c>
      <c r="E218" s="314">
        <f>B218*D218</f>
        <v>0</v>
      </c>
      <c r="G218"/>
    </row>
    <row r="219" spans="1:9" ht="18" customHeight="1">
      <c r="A219" s="134" t="s">
        <v>226</v>
      </c>
      <c r="B219" s="135" cm="1">
        <f t="array" ref="B219">INDEX(GTA!$C$129:$AAE$129, ROW(A16))</f>
        <v>0</v>
      </c>
      <c r="C219" s="135" t="s">
        <v>22</v>
      </c>
      <c r="D219" s="135">
        <v>16.649999999999999</v>
      </c>
      <c r="E219" s="314">
        <f>B219*D219</f>
        <v>0</v>
      </c>
      <c r="G219"/>
    </row>
    <row r="220" spans="1:9" ht="18" customHeight="1">
      <c r="A220" s="134" t="s">
        <v>227</v>
      </c>
      <c r="B220" s="135" cm="1">
        <f t="array" ref="B220">INDEX(GTA!$C$129:$AAE$129, ROW(A17))</f>
        <v>0</v>
      </c>
      <c r="C220" s="135" t="s">
        <v>22</v>
      </c>
      <c r="D220" s="135">
        <v>16.649999999999999</v>
      </c>
      <c r="E220" s="314">
        <f>B220*D220</f>
        <v>0</v>
      </c>
      <c r="G220"/>
    </row>
    <row r="221" spans="1:9" ht="18" customHeight="1">
      <c r="A221" s="134" t="s">
        <v>721</v>
      </c>
      <c r="B221" s="135" cm="1">
        <f t="array" ref="B221">INDEX(GTA!$C$129:$AAE$129, ROW(A18))</f>
        <v>0</v>
      </c>
      <c r="C221" s="135" t="s">
        <v>22</v>
      </c>
      <c r="D221" s="135">
        <v>16.649999999999999</v>
      </c>
      <c r="E221" s="314">
        <f>B221*D221</f>
        <v>0</v>
      </c>
      <c r="F221" s="889" t="s">
        <v>206</v>
      </c>
      <c r="G221"/>
    </row>
    <row r="222" spans="1:9" ht="18" customHeight="1">
      <c r="A222" s="134" t="s">
        <v>229</v>
      </c>
      <c r="B222" s="135" cm="1">
        <f t="array" ref="B222">INDEX(GTA!$C$129:$AAE$129, ROW(A19))</f>
        <v>0</v>
      </c>
      <c r="C222" s="135" t="s">
        <v>22</v>
      </c>
      <c r="D222" s="135">
        <v>16.649999999999999</v>
      </c>
      <c r="E222" s="314">
        <f t="shared" si="11"/>
        <v>0</v>
      </c>
      <c r="G222"/>
    </row>
    <row r="223" spans="1:9" ht="18" customHeight="1">
      <c r="A223" s="134" t="s">
        <v>230</v>
      </c>
      <c r="B223" s="135" cm="1">
        <f t="array" ref="B223">INDEX(GTA!$C$129:$AAE$129, ROW(A20))</f>
        <v>0</v>
      </c>
      <c r="C223" s="135" t="s">
        <v>22</v>
      </c>
      <c r="D223" s="135">
        <v>16.649999999999999</v>
      </c>
      <c r="E223" s="314">
        <f t="shared" si="11"/>
        <v>0</v>
      </c>
      <c r="G223"/>
    </row>
    <row r="224" spans="1:9" ht="18" customHeight="1">
      <c r="A224" s="134" t="s">
        <v>231</v>
      </c>
      <c r="B224" s="135" cm="1">
        <f t="array" ref="B224">INDEX(GTA!$C$129:$AAE$129, ROW(A21))</f>
        <v>0</v>
      </c>
      <c r="C224" s="135" t="s">
        <v>22</v>
      </c>
      <c r="D224" s="135">
        <v>16.649999999999999</v>
      </c>
      <c r="E224" s="314">
        <f>B224*D224</f>
        <v>0</v>
      </c>
      <c r="G224"/>
    </row>
    <row r="225" spans="1:7" ht="18" customHeight="1">
      <c r="A225" s="134" t="s">
        <v>232</v>
      </c>
      <c r="B225" s="135" cm="1">
        <f t="array" ref="B225">INDEX(GTA!$C$129:$AAE$129, ROW(A22))</f>
        <v>0</v>
      </c>
      <c r="C225" s="135" t="s">
        <v>22</v>
      </c>
      <c r="D225" s="135">
        <v>16.649999999999999</v>
      </c>
      <c r="E225" s="314">
        <f t="shared" si="11"/>
        <v>0</v>
      </c>
      <c r="G225"/>
    </row>
    <row r="226" spans="1:7" ht="18" customHeight="1">
      <c r="A226" s="134" t="s">
        <v>233</v>
      </c>
      <c r="B226" s="135" cm="1">
        <f t="array" ref="B226">INDEX(GTA!$C$129:$AAE$129, ROW(A23))</f>
        <v>0</v>
      </c>
      <c r="C226" s="135" t="s">
        <v>22</v>
      </c>
      <c r="D226" s="135">
        <v>16.649999999999999</v>
      </c>
      <c r="E226" s="314">
        <f>B226*D226</f>
        <v>0</v>
      </c>
      <c r="G226"/>
    </row>
    <row r="227" spans="1:7" ht="18" customHeight="1">
      <c r="A227" s="134" t="s">
        <v>234</v>
      </c>
      <c r="B227" s="135" cm="1">
        <f t="array" ref="B227">INDEX(GTA!$C$129:$AAE$129, ROW(A24))</f>
        <v>0</v>
      </c>
      <c r="C227" s="135" t="s">
        <v>22</v>
      </c>
      <c r="D227" s="135">
        <v>16.649999999999999</v>
      </c>
      <c r="E227" s="314">
        <f t="shared" si="11"/>
        <v>0</v>
      </c>
      <c r="G227"/>
    </row>
    <row r="228" spans="1:7" ht="18" customHeight="1">
      <c r="A228" s="134" t="s">
        <v>235</v>
      </c>
      <c r="B228" s="135" cm="1">
        <f t="array" ref="B228">INDEX(GTA!$C$129:$AAE$129, ROW(A25))</f>
        <v>0</v>
      </c>
      <c r="C228" s="135" t="s">
        <v>22</v>
      </c>
      <c r="D228" s="135">
        <v>16.649999999999999</v>
      </c>
      <c r="E228" s="314">
        <f>B228*D228</f>
        <v>0</v>
      </c>
      <c r="G228"/>
    </row>
    <row r="229" spans="1:7" ht="18" customHeight="1">
      <c r="A229" s="270" t="s">
        <v>236</v>
      </c>
      <c r="B229" s="135" cm="1">
        <f t="array" ref="B229">INDEX(GTA!$C$129:$AAE$129, ROW(A26))</f>
        <v>0</v>
      </c>
      <c r="C229" s="135" t="s">
        <v>22</v>
      </c>
      <c r="D229" s="135">
        <v>16.649999999999999</v>
      </c>
      <c r="E229" s="314">
        <f>B229*D229</f>
        <v>0</v>
      </c>
      <c r="G229"/>
    </row>
    <row r="230" spans="1:7" ht="18" customHeight="1">
      <c r="A230" s="134" t="s">
        <v>237</v>
      </c>
      <c r="B230" s="135" cm="1">
        <f t="array" ref="B230">INDEX(GTA!$C$129:$AAE$129, ROW(A27))</f>
        <v>0</v>
      </c>
      <c r="C230" s="135" t="s">
        <v>22</v>
      </c>
      <c r="D230" s="135">
        <v>16.649999999999999</v>
      </c>
      <c r="E230" s="314">
        <f t="shared" si="11"/>
        <v>0</v>
      </c>
      <c r="G230"/>
    </row>
    <row r="231" spans="1:7" ht="18" customHeight="1">
      <c r="A231" s="134" t="s">
        <v>238</v>
      </c>
      <c r="B231" s="135" cm="1">
        <f t="array" ref="B231">INDEX(GTA!$C$129:$AAE$129, ROW(A28))</f>
        <v>0</v>
      </c>
      <c r="C231" s="135" t="s">
        <v>22</v>
      </c>
      <c r="D231" s="135">
        <v>16.649999999999999</v>
      </c>
      <c r="E231" s="314">
        <f t="shared" si="11"/>
        <v>0</v>
      </c>
      <c r="G231"/>
    </row>
    <row r="232" spans="1:7" ht="18" customHeight="1">
      <c r="A232" s="134" t="s">
        <v>239</v>
      </c>
      <c r="B232" s="135" cm="1">
        <f t="array" ref="B232">INDEX(GTA!$C$129:$AAE$129, ROW(A29))</f>
        <v>0</v>
      </c>
      <c r="C232" s="135" t="s">
        <v>22</v>
      </c>
      <c r="D232" s="135">
        <v>16.649999999999999</v>
      </c>
      <c r="E232" s="314">
        <f t="shared" si="11"/>
        <v>0</v>
      </c>
      <c r="G232"/>
    </row>
    <row r="233" spans="1:7" ht="18" customHeight="1">
      <c r="A233" s="134" t="s">
        <v>240</v>
      </c>
      <c r="B233" s="135" cm="1">
        <f t="array" ref="B233">INDEX(GTA!$C$129:$AAE$129, ROW(A30))</f>
        <v>0</v>
      </c>
      <c r="C233" s="135" t="s">
        <v>22</v>
      </c>
      <c r="D233" s="135">
        <v>16.649999999999999</v>
      </c>
      <c r="E233" s="314">
        <f t="shared" si="11"/>
        <v>0</v>
      </c>
      <c r="G233"/>
    </row>
    <row r="234" spans="1:7" ht="18" customHeight="1">
      <c r="A234" s="134" t="s">
        <v>241</v>
      </c>
      <c r="B234" s="135" cm="1">
        <f t="array" ref="B234">INDEX(GTA!$C$129:$AAE$129, ROW(A31))</f>
        <v>0</v>
      </c>
      <c r="C234" s="135" t="s">
        <v>22</v>
      </c>
      <c r="D234" s="135">
        <v>16.649999999999999</v>
      </c>
      <c r="E234" s="314">
        <f t="shared" si="11"/>
        <v>0</v>
      </c>
      <c r="G234"/>
    </row>
    <row r="235" spans="1:7" ht="18" customHeight="1">
      <c r="A235" s="134" t="s">
        <v>242</v>
      </c>
      <c r="B235" s="135" cm="1">
        <f t="array" ref="B235">INDEX(GTA!$C$129:$AAE$129, ROW(A32))</f>
        <v>0</v>
      </c>
      <c r="C235" s="135" t="s">
        <v>22</v>
      </c>
      <c r="D235" s="135">
        <v>16.649999999999999</v>
      </c>
      <c r="E235" s="314">
        <f t="shared" si="11"/>
        <v>0</v>
      </c>
      <c r="G235"/>
    </row>
    <row r="236" spans="1:7" ht="18" customHeight="1">
      <c r="A236" s="436"/>
      <c r="B236" s="419"/>
      <c r="C236" s="419"/>
      <c r="D236" s="419"/>
      <c r="E236" s="420"/>
      <c r="G236"/>
    </row>
    <row r="237" spans="1:7" ht="18" customHeight="1">
      <c r="A237" s="427" t="s">
        <v>243</v>
      </c>
      <c r="B237" s="415">
        <f>SUM(B203:B236)</f>
        <v>0</v>
      </c>
      <c r="C237" s="415"/>
      <c r="D237" s="415"/>
      <c r="E237" s="415"/>
      <c r="G237"/>
    </row>
    <row r="238" spans="1:7" ht="18" customHeight="1">
      <c r="A238" s="134"/>
      <c r="B238" s="135"/>
      <c r="C238" s="135"/>
      <c r="D238" s="135"/>
      <c r="E238" s="314"/>
      <c r="G238"/>
    </row>
    <row r="239" spans="1:7" ht="18" customHeight="1">
      <c r="A239" s="415" t="s">
        <v>773</v>
      </c>
      <c r="B239" s="419"/>
      <c r="C239" s="419"/>
      <c r="D239" s="419"/>
      <c r="E239" s="420"/>
      <c r="G239"/>
    </row>
    <row r="240" spans="1:7" ht="18" customHeight="1">
      <c r="A240" s="136" t="s">
        <v>1894</v>
      </c>
      <c r="B240" s="135">
        <f>GTA!C147</f>
        <v>0</v>
      </c>
      <c r="C240" s="135" t="s">
        <v>22</v>
      </c>
      <c r="D240" s="135">
        <v>16.649999999999999</v>
      </c>
      <c r="E240" s="314">
        <f t="shared" ref="E240:E249" si="12">B240*D240</f>
        <v>0</v>
      </c>
      <c r="F240" s="889" t="s">
        <v>773</v>
      </c>
      <c r="G240"/>
    </row>
    <row r="241" spans="1:7" ht="18" customHeight="1">
      <c r="A241" s="136" t="s">
        <v>7154</v>
      </c>
      <c r="B241" s="135">
        <f>GTA!F147</f>
        <v>0</v>
      </c>
      <c r="C241" s="135" t="s">
        <v>22</v>
      </c>
      <c r="D241" s="135">
        <v>16.649999999999999</v>
      </c>
      <c r="E241" s="314">
        <f t="shared" si="12"/>
        <v>0</v>
      </c>
      <c r="F241" s="889" t="s">
        <v>773</v>
      </c>
      <c r="G241"/>
    </row>
    <row r="242" spans="1:7" ht="18" customHeight="1">
      <c r="A242" s="136" t="s">
        <v>330</v>
      </c>
      <c r="B242" s="135">
        <f>GTA!E147</f>
        <v>0</v>
      </c>
      <c r="C242" s="135" t="s">
        <v>22</v>
      </c>
      <c r="D242" s="135">
        <v>16.649999999999999</v>
      </c>
      <c r="E242" s="314">
        <f>B242*D242</f>
        <v>0</v>
      </c>
      <c r="F242" s="889" t="s">
        <v>773</v>
      </c>
      <c r="G242"/>
    </row>
    <row r="243" spans="1:7" ht="18" customHeight="1">
      <c r="A243" s="480" t="s">
        <v>7156</v>
      </c>
      <c r="B243" s="135">
        <f>GTA!D147</f>
        <v>0</v>
      </c>
      <c r="C243" s="135" t="s">
        <v>22</v>
      </c>
      <c r="D243" s="135">
        <v>16.649999999999999</v>
      </c>
      <c r="E243" s="314">
        <f>B243*D243</f>
        <v>0</v>
      </c>
      <c r="F243" s="889" t="s">
        <v>773</v>
      </c>
      <c r="G243"/>
    </row>
    <row r="244" spans="1:7" ht="18" customHeight="1">
      <c r="A244" s="401"/>
      <c r="B244" s="135">
        <f>GTA!G147</f>
        <v>0</v>
      </c>
      <c r="C244" s="135" t="s">
        <v>22</v>
      </c>
      <c r="D244" s="135">
        <v>16.649999999999999</v>
      </c>
      <c r="E244" s="314">
        <f t="shared" si="12"/>
        <v>0</v>
      </c>
      <c r="G244"/>
    </row>
    <row r="245" spans="1:7" ht="18" customHeight="1">
      <c r="A245" s="398"/>
      <c r="B245" s="135">
        <f>GTA!H147</f>
        <v>0</v>
      </c>
      <c r="C245" s="135" t="s">
        <v>22</v>
      </c>
      <c r="D245" s="135">
        <v>16.649999999999999</v>
      </c>
      <c r="E245" s="314">
        <f t="shared" si="12"/>
        <v>0</v>
      </c>
      <c r="G245"/>
    </row>
    <row r="246" spans="1:7" ht="18" customHeight="1">
      <c r="A246" s="136"/>
      <c r="B246" s="135">
        <f>GTA!J147</f>
        <v>0</v>
      </c>
      <c r="C246" s="135" t="s">
        <v>22</v>
      </c>
      <c r="D246" s="135">
        <v>16.649999999999999</v>
      </c>
      <c r="E246" s="314">
        <f t="shared" si="12"/>
        <v>0</v>
      </c>
      <c r="G246"/>
    </row>
    <row r="247" spans="1:7" ht="18" customHeight="1">
      <c r="A247" s="136"/>
      <c r="B247" s="135">
        <f>GTA!K147</f>
        <v>0</v>
      </c>
      <c r="C247" s="135" t="s">
        <v>22</v>
      </c>
      <c r="D247" s="135">
        <v>16.649999999999999</v>
      </c>
      <c r="E247" s="314">
        <f t="shared" si="12"/>
        <v>0</v>
      </c>
      <c r="G247"/>
    </row>
    <row r="248" spans="1:7" ht="18" customHeight="1">
      <c r="A248" s="136"/>
      <c r="B248" s="135">
        <f>GTA!I147</f>
        <v>0</v>
      </c>
      <c r="C248" s="135" t="s">
        <v>22</v>
      </c>
      <c r="D248" s="135">
        <v>16.649999999999999</v>
      </c>
      <c r="E248" s="314">
        <f>B248*D248</f>
        <v>0</v>
      </c>
      <c r="G248"/>
    </row>
    <row r="249" spans="1:7" ht="18" customHeight="1">
      <c r="A249" s="136"/>
      <c r="B249" s="135">
        <f>GTA!L147</f>
        <v>0</v>
      </c>
      <c r="C249" s="135" t="s">
        <v>22</v>
      </c>
      <c r="D249" s="135">
        <v>16.649999999999999</v>
      </c>
      <c r="E249" s="314">
        <f t="shared" si="12"/>
        <v>0</v>
      </c>
      <c r="G249"/>
    </row>
    <row r="250" spans="1:7" ht="18" customHeight="1">
      <c r="A250" s="134"/>
      <c r="B250" s="135">
        <f>GTA!M147</f>
        <v>0</v>
      </c>
      <c r="C250" s="135" t="s">
        <v>22</v>
      </c>
      <c r="D250" s="135">
        <v>16.649999999999999</v>
      </c>
      <c r="E250" s="314">
        <f>B250*D250</f>
        <v>0</v>
      </c>
      <c r="G250"/>
    </row>
    <row r="251" spans="1:7" ht="18" customHeight="1">
      <c r="A251" s="398"/>
      <c r="B251" s="135">
        <f>GTA!N147</f>
        <v>0</v>
      </c>
      <c r="C251" s="135" t="s">
        <v>22</v>
      </c>
      <c r="D251" s="135">
        <v>16.649999999999999</v>
      </c>
      <c r="E251" s="314">
        <f>B251*D251</f>
        <v>0</v>
      </c>
      <c r="G251"/>
    </row>
    <row r="252" spans="1:7" ht="18" customHeight="1">
      <c r="A252" s="439"/>
      <c r="B252" s="419"/>
      <c r="C252" s="419"/>
      <c r="D252" s="419"/>
      <c r="E252" s="420"/>
      <c r="G252"/>
    </row>
    <row r="253" spans="1:7" ht="18" customHeight="1">
      <c r="A253" s="415" t="s">
        <v>257</v>
      </c>
      <c r="B253" s="415">
        <f>SUM(B239:B252)</f>
        <v>0</v>
      </c>
      <c r="C253" s="417"/>
      <c r="D253" s="417"/>
      <c r="E253" s="417"/>
      <c r="G253"/>
    </row>
    <row r="254" spans="1:7" ht="18" customHeight="1">
      <c r="A254" s="136"/>
      <c r="B254" s="135"/>
      <c r="C254" s="135"/>
      <c r="D254" s="135"/>
      <c r="E254" s="314"/>
      <c r="G254"/>
    </row>
    <row r="255" spans="1:7" ht="18" customHeight="1">
      <c r="A255" s="418" t="s">
        <v>258</v>
      </c>
      <c r="B255" s="419"/>
      <c r="C255" s="419"/>
      <c r="D255" s="419"/>
      <c r="E255" s="420"/>
      <c r="G255"/>
    </row>
    <row r="256" spans="1:7" ht="18" customHeight="1">
      <c r="A256" s="136" t="s">
        <v>259</v>
      </c>
      <c r="B256" s="135">
        <f>OTTAWA!C36</f>
        <v>0</v>
      </c>
      <c r="C256" s="135" t="s">
        <v>22</v>
      </c>
      <c r="D256" s="135">
        <v>16.649999999999999</v>
      </c>
      <c r="E256" s="314">
        <f>B256*D256</f>
        <v>0</v>
      </c>
      <c r="G256"/>
    </row>
    <row r="257" spans="1:9" ht="18" customHeight="1">
      <c r="A257" s="136" t="s">
        <v>260</v>
      </c>
      <c r="B257" s="135">
        <f>OTTAWA!E36</f>
        <v>0</v>
      </c>
      <c r="C257" s="135" t="s">
        <v>22</v>
      </c>
      <c r="D257" s="135">
        <v>16.649999999999999</v>
      </c>
      <c r="E257" s="314">
        <f>B257*D257</f>
        <v>0</v>
      </c>
      <c r="G257"/>
    </row>
    <row r="258" spans="1:9" ht="18" customHeight="1">
      <c r="A258" s="136" t="s">
        <v>261</v>
      </c>
      <c r="B258" s="135">
        <f>OTTAWA!F36</f>
        <v>0</v>
      </c>
      <c r="C258" s="135" t="s">
        <v>22</v>
      </c>
      <c r="D258" s="135">
        <v>16.649999999999999</v>
      </c>
      <c r="E258" s="314">
        <f>B258*D258</f>
        <v>0</v>
      </c>
      <c r="G258"/>
    </row>
    <row r="259" spans="1:9" ht="18" customHeight="1">
      <c r="A259" s="136" t="s">
        <v>262</v>
      </c>
      <c r="B259" s="135">
        <f>OTTAWA!I36</f>
        <v>0</v>
      </c>
      <c r="C259" s="135" t="s">
        <v>22</v>
      </c>
      <c r="D259" s="135">
        <v>16.649999999999999</v>
      </c>
      <c r="E259" s="314">
        <f t="shared" ref="E259:E268" si="13">B259*D259</f>
        <v>0</v>
      </c>
      <c r="G259"/>
    </row>
    <row r="260" spans="1:9" ht="18" customHeight="1">
      <c r="A260" s="480" t="s">
        <v>131</v>
      </c>
      <c r="B260" s="481">
        <f>OTTAWA!J36</f>
        <v>0</v>
      </c>
      <c r="C260" s="481" t="s">
        <v>22</v>
      </c>
      <c r="D260" s="481">
        <v>16.649999999999999</v>
      </c>
      <c r="E260" s="482">
        <f t="shared" si="13"/>
        <v>0</v>
      </c>
      <c r="G260"/>
    </row>
    <row r="261" spans="1:9" ht="18" customHeight="1">
      <c r="A261" s="395" t="s">
        <v>132</v>
      </c>
      <c r="B261" s="135">
        <f>OTTAWA!K36</f>
        <v>0</v>
      </c>
      <c r="C261" s="135" t="s">
        <v>22</v>
      </c>
      <c r="D261" s="135">
        <v>16.649999999999999</v>
      </c>
      <c r="E261" s="314">
        <f t="shared" si="13"/>
        <v>0</v>
      </c>
      <c r="G261"/>
      <c r="I261" s="647" t="s">
        <v>42</v>
      </c>
    </row>
    <row r="262" spans="1:9" ht="18" customHeight="1">
      <c r="A262" s="136" t="s">
        <v>133</v>
      </c>
      <c r="B262" s="135">
        <f>OTTAWA!L36</f>
        <v>0</v>
      </c>
      <c r="C262" s="135" t="s">
        <v>22</v>
      </c>
      <c r="D262" s="135">
        <v>16.649999999999999</v>
      </c>
      <c r="E262" s="314">
        <f t="shared" si="13"/>
        <v>0</v>
      </c>
      <c r="G262"/>
    </row>
    <row r="263" spans="1:9" ht="18" customHeight="1">
      <c r="A263" s="480" t="s">
        <v>134</v>
      </c>
      <c r="B263" s="481">
        <f>OTTAWA!M36</f>
        <v>0</v>
      </c>
      <c r="C263" s="481" t="s">
        <v>22</v>
      </c>
      <c r="D263" s="481">
        <v>16.649999999999999</v>
      </c>
      <c r="E263" s="482">
        <f>B263*D263</f>
        <v>0</v>
      </c>
      <c r="G263"/>
    </row>
    <row r="264" spans="1:9" ht="18" customHeight="1">
      <c r="A264" s="396" t="s">
        <v>137</v>
      </c>
      <c r="B264" s="135">
        <f>OTTAWA!O36</f>
        <v>0</v>
      </c>
      <c r="C264" s="135" t="s">
        <v>22</v>
      </c>
      <c r="D264" s="135">
        <v>16.649999999999999</v>
      </c>
      <c r="E264" s="314">
        <f t="shared" si="13"/>
        <v>0</v>
      </c>
      <c r="G264"/>
    </row>
    <row r="265" spans="1:9" ht="18" customHeight="1">
      <c r="A265" s="517" t="s">
        <v>263</v>
      </c>
      <c r="B265" s="481">
        <f>OTTAWA!P36</f>
        <v>0</v>
      </c>
      <c r="C265" s="481" t="s">
        <v>22</v>
      </c>
      <c r="D265" s="481">
        <v>16.649999999999999</v>
      </c>
      <c r="E265" s="482">
        <f>B265*D265</f>
        <v>0</v>
      </c>
      <c r="G265"/>
    </row>
    <row r="266" spans="1:9" ht="18" customHeight="1">
      <c r="A266" s="136" t="s">
        <v>264</v>
      </c>
      <c r="B266" s="135">
        <f>OTTAWA!N36</f>
        <v>0</v>
      </c>
      <c r="C266" s="135" t="s">
        <v>22</v>
      </c>
      <c r="D266" s="135">
        <v>16.649999999999999</v>
      </c>
      <c r="E266" s="314">
        <f t="shared" si="13"/>
        <v>0</v>
      </c>
      <c r="G266"/>
    </row>
    <row r="267" spans="1:9" ht="18" customHeight="1">
      <c r="A267" s="136" t="s">
        <v>142</v>
      </c>
      <c r="B267" s="135">
        <f>OTTAWA!Q36</f>
        <v>0</v>
      </c>
      <c r="C267" s="135" t="s">
        <v>22</v>
      </c>
      <c r="D267" s="135">
        <v>16.649999999999999</v>
      </c>
      <c r="E267" s="314">
        <f t="shared" si="13"/>
        <v>0</v>
      </c>
      <c r="G267"/>
    </row>
    <row r="268" spans="1:9" ht="18" customHeight="1">
      <c r="A268" s="136" t="s">
        <v>265</v>
      </c>
      <c r="B268" s="135">
        <f>OTTAWA!R36</f>
        <v>0</v>
      </c>
      <c r="C268" s="135" t="s">
        <v>22</v>
      </c>
      <c r="D268" s="135">
        <v>16.649999999999999</v>
      </c>
      <c r="E268" s="314">
        <f t="shared" si="13"/>
        <v>0</v>
      </c>
      <c r="G268"/>
    </row>
    <row r="269" spans="1:9" ht="18" customHeight="1">
      <c r="A269" s="396" t="s">
        <v>266</v>
      </c>
      <c r="B269" s="135">
        <f>OTTAWA!G36</f>
        <v>0</v>
      </c>
      <c r="C269" s="135" t="s">
        <v>22</v>
      </c>
      <c r="D269" s="135">
        <v>16.649999999999999</v>
      </c>
      <c r="E269" s="314">
        <f t="shared" ref="E269:E277" si="14">B269*D269</f>
        <v>0</v>
      </c>
      <c r="G269"/>
    </row>
    <row r="270" spans="1:9" ht="18" customHeight="1">
      <c r="A270" s="396" t="s">
        <v>267</v>
      </c>
      <c r="B270" s="135">
        <f>OTTAWA!S36</f>
        <v>0</v>
      </c>
      <c r="C270" s="135" t="s">
        <v>22</v>
      </c>
      <c r="D270" s="135">
        <v>16.649999999999999</v>
      </c>
      <c r="E270" s="314">
        <f t="shared" si="14"/>
        <v>0</v>
      </c>
      <c r="G270"/>
    </row>
    <row r="271" spans="1:9" ht="18" customHeight="1">
      <c r="A271" s="136" t="s">
        <v>268</v>
      </c>
      <c r="B271" s="135">
        <f>OTTAWA!H36</f>
        <v>0</v>
      </c>
      <c r="C271" s="135" t="s">
        <v>22</v>
      </c>
      <c r="D271" s="135">
        <v>20</v>
      </c>
      <c r="E271" s="314">
        <f t="shared" si="14"/>
        <v>0</v>
      </c>
      <c r="G271"/>
    </row>
    <row r="272" spans="1:9" ht="18" customHeight="1">
      <c r="A272" s="136" t="s">
        <v>167</v>
      </c>
      <c r="B272" s="135">
        <f>OTTAWA!BB36</f>
        <v>0</v>
      </c>
      <c r="C272" s="135" t="s">
        <v>22</v>
      </c>
      <c r="D272" s="135">
        <v>20</v>
      </c>
      <c r="E272" s="314">
        <f t="shared" si="14"/>
        <v>0</v>
      </c>
      <c r="G272"/>
    </row>
    <row r="273" spans="1:9" ht="18" customHeight="1">
      <c r="A273" s="136" t="s">
        <v>143</v>
      </c>
      <c r="B273" s="135">
        <f>OTTAWA!T36</f>
        <v>0</v>
      </c>
      <c r="C273" s="135" t="s">
        <v>22</v>
      </c>
      <c r="D273" s="135">
        <v>16.649999999999999</v>
      </c>
      <c r="E273" s="314">
        <f t="shared" si="14"/>
        <v>0</v>
      </c>
      <c r="G273"/>
    </row>
    <row r="274" spans="1:9" ht="18" customHeight="1">
      <c r="A274" s="136" t="s">
        <v>269</v>
      </c>
      <c r="B274" s="135">
        <f>OTTAWA!V36</f>
        <v>0</v>
      </c>
      <c r="C274" s="135" t="s">
        <v>22</v>
      </c>
      <c r="D274" s="135">
        <v>16.649999999999999</v>
      </c>
      <c r="E274" s="314">
        <f t="shared" si="14"/>
        <v>0</v>
      </c>
      <c r="G274"/>
    </row>
    <row r="275" spans="1:9" ht="18" customHeight="1">
      <c r="A275" s="480" t="s">
        <v>270</v>
      </c>
      <c r="B275" s="481">
        <f>OTTAWA!U36</f>
        <v>0</v>
      </c>
      <c r="C275" s="481" t="s">
        <v>22</v>
      </c>
      <c r="D275" s="481">
        <v>16.649999999999999</v>
      </c>
      <c r="E275" s="482">
        <f t="shared" si="14"/>
        <v>0</v>
      </c>
      <c r="G275"/>
    </row>
    <row r="276" spans="1:9" ht="18" customHeight="1">
      <c r="A276" s="136" t="s">
        <v>271</v>
      </c>
      <c r="B276" s="135">
        <f>OTTAWA!W36</f>
        <v>0</v>
      </c>
      <c r="C276" s="135" t="s">
        <v>22</v>
      </c>
      <c r="D276" s="135">
        <v>16.649999999999999</v>
      </c>
      <c r="E276" s="314">
        <f t="shared" si="14"/>
        <v>0</v>
      </c>
      <c r="G276"/>
    </row>
    <row r="277" spans="1:9" ht="18" customHeight="1">
      <c r="A277" s="136" t="s">
        <v>272</v>
      </c>
      <c r="B277" s="135">
        <f>OTTAWA!X36</f>
        <v>0</v>
      </c>
      <c r="C277" s="135" t="s">
        <v>22</v>
      </c>
      <c r="D277" s="135">
        <v>16.649999999999999</v>
      </c>
      <c r="E277" s="314">
        <f t="shared" si="14"/>
        <v>0</v>
      </c>
      <c r="G277"/>
    </row>
    <row r="278" spans="1:9" ht="18" customHeight="1">
      <c r="A278" s="136" t="s">
        <v>273</v>
      </c>
      <c r="B278" s="135">
        <f>OTTAWA!Y36</f>
        <v>0</v>
      </c>
      <c r="C278" s="135" t="s">
        <v>22</v>
      </c>
      <c r="D278" s="135">
        <v>16.649999999999999</v>
      </c>
      <c r="E278" s="314">
        <f t="shared" ref="E278:E283" si="15">B278*D278</f>
        <v>0</v>
      </c>
      <c r="G278"/>
    </row>
    <row r="279" spans="1:9" ht="18" customHeight="1">
      <c r="A279" s="136" t="s">
        <v>149</v>
      </c>
      <c r="B279" s="135">
        <f>OTTAWA!Z36</f>
        <v>0</v>
      </c>
      <c r="C279" s="135" t="s">
        <v>22</v>
      </c>
      <c r="D279" s="135">
        <v>16.649999999999999</v>
      </c>
      <c r="E279" s="314">
        <f t="shared" si="15"/>
        <v>0</v>
      </c>
      <c r="G279"/>
    </row>
    <row r="280" spans="1:9" ht="18" customHeight="1">
      <c r="A280" s="136" t="s">
        <v>153</v>
      </c>
      <c r="B280" s="135">
        <f>OTTAWA!AA36</f>
        <v>0</v>
      </c>
      <c r="C280" s="135" t="s">
        <v>22</v>
      </c>
      <c r="D280" s="135">
        <v>16.649999999999999</v>
      </c>
      <c r="E280" s="314">
        <f t="shared" si="15"/>
        <v>0</v>
      </c>
      <c r="G280"/>
    </row>
    <row r="281" spans="1:9" ht="18" customHeight="1">
      <c r="A281" s="317" t="s">
        <v>274</v>
      </c>
      <c r="B281" s="135">
        <f>OTTAWA!AB36</f>
        <v>0</v>
      </c>
      <c r="C281" s="135" t="s">
        <v>22</v>
      </c>
      <c r="D281" s="135">
        <v>16.649999999999999</v>
      </c>
      <c r="E281" s="314">
        <f t="shared" si="15"/>
        <v>0</v>
      </c>
      <c r="G281"/>
      <c r="I281" s="647"/>
    </row>
    <row r="282" spans="1:9" ht="18" customHeight="1">
      <c r="A282" s="513" t="s">
        <v>155</v>
      </c>
      <c r="B282" s="481">
        <f>OTTAWA!AC36</f>
        <v>0</v>
      </c>
      <c r="C282" s="481" t="s">
        <v>22</v>
      </c>
      <c r="D282" s="481">
        <v>16.649999999999999</v>
      </c>
      <c r="E282" s="482">
        <f t="shared" si="15"/>
        <v>0</v>
      </c>
      <c r="G282"/>
      <c r="I282" s="647"/>
    </row>
    <row r="283" spans="1:9" ht="18" customHeight="1">
      <c r="A283" s="317" t="s">
        <v>151</v>
      </c>
      <c r="B283" s="135">
        <f>OTTAWA!AE36</f>
        <v>0</v>
      </c>
      <c r="C283" s="135" t="s">
        <v>22</v>
      </c>
      <c r="D283" s="135">
        <v>16.649999999999999</v>
      </c>
      <c r="E283" s="314">
        <f t="shared" si="15"/>
        <v>0</v>
      </c>
      <c r="G283"/>
      <c r="I283" s="647"/>
    </row>
    <row r="284" spans="1:9" ht="18" customHeight="1">
      <c r="A284" s="136" t="s">
        <v>156</v>
      </c>
      <c r="B284" s="135">
        <f>OTTAWA!AF36</f>
        <v>0</v>
      </c>
      <c r="C284" s="135" t="s">
        <v>22</v>
      </c>
      <c r="D284" s="135">
        <v>16.649999999999999</v>
      </c>
      <c r="E284" s="314">
        <f t="shared" ref="E284:E292" si="16">B284*D284</f>
        <v>0</v>
      </c>
      <c r="G284"/>
    </row>
    <row r="285" spans="1:9" ht="18" customHeight="1">
      <c r="A285" s="136" t="s">
        <v>275</v>
      </c>
      <c r="B285" s="135">
        <f>OTTAWA!AG36</f>
        <v>0</v>
      </c>
      <c r="C285" s="135" t="s">
        <v>22</v>
      </c>
      <c r="D285" s="135">
        <v>16.649999999999999</v>
      </c>
      <c r="E285" s="314">
        <f t="shared" si="16"/>
        <v>0</v>
      </c>
      <c r="G285"/>
    </row>
    <row r="286" spans="1:9" ht="18" customHeight="1">
      <c r="A286" s="136" t="s">
        <v>160</v>
      </c>
      <c r="B286" s="135">
        <f>OTTAWA!AI36</f>
        <v>0</v>
      </c>
      <c r="C286" s="135" t="s">
        <v>22</v>
      </c>
      <c r="D286" s="135">
        <v>16.649999999999999</v>
      </c>
      <c r="E286" s="314">
        <f t="shared" si="16"/>
        <v>0</v>
      </c>
      <c r="G286"/>
    </row>
    <row r="287" spans="1:9" ht="18" customHeight="1">
      <c r="A287" s="136" t="s">
        <v>276</v>
      </c>
      <c r="B287" s="135">
        <f>OTTAWA!AJ36</f>
        <v>0</v>
      </c>
      <c r="C287" s="135" t="s">
        <v>22</v>
      </c>
      <c r="D287" s="135">
        <v>16.649999999999999</v>
      </c>
      <c r="E287" s="314">
        <f t="shared" si="16"/>
        <v>0</v>
      </c>
      <c r="G287"/>
    </row>
    <row r="288" spans="1:9" ht="18" customHeight="1">
      <c r="A288" s="136" t="s">
        <v>277</v>
      </c>
      <c r="B288" s="135">
        <f>OTTAWA!AK36</f>
        <v>0</v>
      </c>
      <c r="C288" s="135" t="s">
        <v>22</v>
      </c>
      <c r="D288" s="135">
        <v>16.649999999999999</v>
      </c>
      <c r="E288" s="314">
        <f t="shared" si="16"/>
        <v>0</v>
      </c>
      <c r="G288"/>
    </row>
    <row r="289" spans="1:7" ht="18" customHeight="1">
      <c r="A289" s="480" t="s">
        <v>278</v>
      </c>
      <c r="B289" s="481">
        <f>OTTAWA!AL36</f>
        <v>0</v>
      </c>
      <c r="C289" s="481" t="s">
        <v>22</v>
      </c>
      <c r="D289" s="481">
        <v>16.649999999999999</v>
      </c>
      <c r="E289" s="482">
        <f t="shared" si="16"/>
        <v>0</v>
      </c>
      <c r="G289"/>
    </row>
    <row r="290" spans="1:7" ht="18" customHeight="1">
      <c r="A290" s="136" t="s">
        <v>279</v>
      </c>
      <c r="B290" s="135">
        <f>OTTAWA!AM36</f>
        <v>0</v>
      </c>
      <c r="C290" s="135" t="s">
        <v>22</v>
      </c>
      <c r="D290" s="135"/>
      <c r="E290" s="314">
        <f t="shared" si="16"/>
        <v>0</v>
      </c>
      <c r="G290"/>
    </row>
    <row r="291" spans="1:7" ht="18" customHeight="1">
      <c r="A291" s="480" t="s">
        <v>280</v>
      </c>
      <c r="B291" s="481">
        <f>OTTAWA!AN36</f>
        <v>0</v>
      </c>
      <c r="C291" s="481" t="s">
        <v>22</v>
      </c>
      <c r="D291" s="481">
        <v>16.649999999999999</v>
      </c>
      <c r="E291" s="482">
        <f t="shared" si="16"/>
        <v>0</v>
      </c>
      <c r="G291"/>
    </row>
    <row r="292" spans="1:7" ht="18" customHeight="1">
      <c r="A292" s="480" t="s">
        <v>281</v>
      </c>
      <c r="B292" s="481">
        <f>OTTAWA!AO36</f>
        <v>0</v>
      </c>
      <c r="C292" s="481" t="s">
        <v>22</v>
      </c>
      <c r="D292" s="481">
        <v>16.649999999999999</v>
      </c>
      <c r="E292" s="482">
        <f t="shared" si="16"/>
        <v>0</v>
      </c>
      <c r="G292"/>
    </row>
    <row r="293" spans="1:7" ht="18" customHeight="1">
      <c r="A293" s="480" t="s">
        <v>282</v>
      </c>
      <c r="B293" s="481">
        <f>OTTAWA!AU36</f>
        <v>0</v>
      </c>
      <c r="C293" s="481" t="s">
        <v>22</v>
      </c>
      <c r="D293" s="481">
        <v>18</v>
      </c>
      <c r="E293" s="482">
        <f>B293*D293</f>
        <v>0</v>
      </c>
      <c r="G293"/>
    </row>
    <row r="294" spans="1:7" ht="18" customHeight="1">
      <c r="A294" s="270" t="s">
        <v>283</v>
      </c>
      <c r="B294" s="272">
        <f>OTTAWA!AP36</f>
        <v>0</v>
      </c>
      <c r="C294" s="272" t="s">
        <v>22</v>
      </c>
      <c r="D294" s="272">
        <v>16.649999999999999</v>
      </c>
      <c r="E294" s="300">
        <f>D294*B294</f>
        <v>0</v>
      </c>
      <c r="G294"/>
    </row>
    <row r="295" spans="1:7" ht="18" customHeight="1">
      <c r="A295" s="136" t="s">
        <v>284</v>
      </c>
      <c r="B295" s="135">
        <f>OTTAWA!AQ36</f>
        <v>0</v>
      </c>
      <c r="C295" s="135" t="s">
        <v>22</v>
      </c>
      <c r="D295" s="135">
        <v>16.649999999999999</v>
      </c>
      <c r="E295" s="314">
        <f t="shared" ref="E295:E328" si="17">B295*D295</f>
        <v>0</v>
      </c>
      <c r="G295"/>
    </row>
    <row r="296" spans="1:7" ht="18" customHeight="1">
      <c r="A296" s="480" t="s">
        <v>285</v>
      </c>
      <c r="B296" s="481">
        <f>OTTAWA!AT36</f>
        <v>0</v>
      </c>
      <c r="C296" s="481" t="s">
        <v>22</v>
      </c>
      <c r="D296" s="481">
        <v>16.649999999999999</v>
      </c>
      <c r="E296" s="482">
        <f t="shared" si="17"/>
        <v>0</v>
      </c>
      <c r="G296"/>
    </row>
    <row r="297" spans="1:7" ht="18" customHeight="1">
      <c r="A297" s="136" t="s">
        <v>286</v>
      </c>
      <c r="B297" s="135">
        <f>OTTAWA!AR36</f>
        <v>0</v>
      </c>
      <c r="C297" s="135" t="s">
        <v>22</v>
      </c>
      <c r="D297" s="135">
        <v>16.649999999999999</v>
      </c>
      <c r="E297" s="314">
        <f t="shared" si="17"/>
        <v>0</v>
      </c>
      <c r="G297"/>
    </row>
    <row r="298" spans="1:7" ht="18" customHeight="1">
      <c r="A298" s="136" t="s">
        <v>147</v>
      </c>
      <c r="B298" s="135">
        <f>OTTAWA!AS36</f>
        <v>0</v>
      </c>
      <c r="C298" s="135" t="s">
        <v>22</v>
      </c>
      <c r="D298" s="135">
        <v>16.649999999999999</v>
      </c>
      <c r="E298" s="314">
        <f t="shared" si="17"/>
        <v>0</v>
      </c>
      <c r="G298"/>
    </row>
    <row r="299" spans="1:7" ht="18" customHeight="1">
      <c r="A299" s="136" t="s">
        <v>171</v>
      </c>
      <c r="B299" s="135">
        <f>OTTAWA!AW36</f>
        <v>0</v>
      </c>
      <c r="C299" s="135" t="s">
        <v>22</v>
      </c>
      <c r="D299" s="135">
        <v>16.649999999999999</v>
      </c>
      <c r="E299" s="314">
        <f t="shared" si="17"/>
        <v>0</v>
      </c>
      <c r="G299"/>
    </row>
    <row r="300" spans="1:7" ht="18" customHeight="1">
      <c r="A300" s="136" t="s">
        <v>287</v>
      </c>
      <c r="B300" s="135">
        <f>OTTAWA!AV36</f>
        <v>0</v>
      </c>
      <c r="C300" s="135" t="s">
        <v>22</v>
      </c>
      <c r="D300" s="135">
        <v>16.649999999999999</v>
      </c>
      <c r="E300" s="314">
        <f t="shared" si="17"/>
        <v>0</v>
      </c>
      <c r="G300"/>
    </row>
    <row r="301" spans="1:7" ht="18" customHeight="1">
      <c r="A301" s="136" t="s">
        <v>288</v>
      </c>
      <c r="B301" s="135">
        <f>OTTAWA!AX36</f>
        <v>0</v>
      </c>
      <c r="C301" s="135" t="s">
        <v>22</v>
      </c>
      <c r="D301" s="135">
        <v>16.649999999999999</v>
      </c>
      <c r="E301" s="314">
        <f t="shared" si="17"/>
        <v>0</v>
      </c>
      <c r="G301"/>
    </row>
    <row r="302" spans="1:7" ht="18" customHeight="1">
      <c r="A302" s="396" t="s">
        <v>289</v>
      </c>
      <c r="B302" s="135">
        <f>OTTAWA!AY36</f>
        <v>0</v>
      </c>
      <c r="C302" s="135" t="s">
        <v>22</v>
      </c>
      <c r="D302" s="135">
        <v>16.649999999999999</v>
      </c>
      <c r="E302" s="314">
        <f t="shared" si="17"/>
        <v>0</v>
      </c>
      <c r="G302"/>
    </row>
    <row r="303" spans="1:7" ht="18" customHeight="1">
      <c r="A303" s="136" t="s">
        <v>290</v>
      </c>
      <c r="B303" s="135">
        <f>OTTAWA!AZ36</f>
        <v>0</v>
      </c>
      <c r="C303" s="135" t="s">
        <v>22</v>
      </c>
      <c r="D303" s="135">
        <v>16.649999999999999</v>
      </c>
      <c r="E303" s="314">
        <f t="shared" si="17"/>
        <v>0</v>
      </c>
      <c r="G303"/>
    </row>
    <row r="304" spans="1:7" ht="18" customHeight="1">
      <c r="A304" s="136" t="s">
        <v>291</v>
      </c>
      <c r="B304" s="135">
        <f>OTTAWA!BA36</f>
        <v>0</v>
      </c>
      <c r="C304" s="135" t="s">
        <v>22</v>
      </c>
      <c r="D304" s="135">
        <v>16.649999999999999</v>
      </c>
      <c r="E304" s="314">
        <f t="shared" si="17"/>
        <v>0</v>
      </c>
      <c r="G304"/>
    </row>
    <row r="305" spans="1:7" ht="18" customHeight="1">
      <c r="A305" s="136" t="s">
        <v>292</v>
      </c>
      <c r="B305" s="135">
        <f>OTTAWA!BC36</f>
        <v>0</v>
      </c>
      <c r="C305" s="135" t="s">
        <v>22</v>
      </c>
      <c r="D305" s="135">
        <v>16.649999999999999</v>
      </c>
      <c r="E305" s="314">
        <f t="shared" si="17"/>
        <v>0</v>
      </c>
      <c r="G305"/>
    </row>
    <row r="306" spans="1:7" ht="18" customHeight="1">
      <c r="A306" s="136" t="s">
        <v>293</v>
      </c>
      <c r="B306" s="135">
        <f>OTTAWA!BD36</f>
        <v>0</v>
      </c>
      <c r="C306" s="135" t="s">
        <v>22</v>
      </c>
      <c r="D306" s="135">
        <v>16.649999999999999</v>
      </c>
      <c r="E306" s="314">
        <f t="shared" si="17"/>
        <v>0</v>
      </c>
      <c r="G306"/>
    </row>
    <row r="307" spans="1:7" ht="18" customHeight="1">
      <c r="A307" s="136" t="s">
        <v>175</v>
      </c>
      <c r="B307" s="135">
        <f>OTTAWA!BE36</f>
        <v>0</v>
      </c>
      <c r="C307" s="135" t="s">
        <v>22</v>
      </c>
      <c r="D307" s="135">
        <v>16.649999999999999</v>
      </c>
      <c r="E307" s="314">
        <f t="shared" si="17"/>
        <v>0</v>
      </c>
      <c r="G307"/>
    </row>
    <row r="308" spans="1:7" ht="18" customHeight="1">
      <c r="A308" s="136" t="s">
        <v>177</v>
      </c>
      <c r="B308" s="135">
        <f>OTTAWA!BF36</f>
        <v>0</v>
      </c>
      <c r="C308" s="135" t="s">
        <v>22</v>
      </c>
      <c r="D308" s="135">
        <v>16.649999999999999</v>
      </c>
      <c r="E308" s="314">
        <f t="shared" si="17"/>
        <v>0</v>
      </c>
      <c r="G308"/>
    </row>
    <row r="309" spans="1:7" ht="18" customHeight="1">
      <c r="A309" s="136" t="s">
        <v>294</v>
      </c>
      <c r="B309" s="135">
        <f>OTTAWA!BG36</f>
        <v>0</v>
      </c>
      <c r="C309" s="135" t="s">
        <v>22</v>
      </c>
      <c r="D309" s="135">
        <v>16.649999999999999</v>
      </c>
      <c r="E309" s="314">
        <f t="shared" si="17"/>
        <v>0</v>
      </c>
      <c r="G309"/>
    </row>
    <row r="310" spans="1:7" ht="18" customHeight="1">
      <c r="A310" s="480" t="s">
        <v>295</v>
      </c>
      <c r="B310" s="481">
        <f>OTTAWA!BH36</f>
        <v>0</v>
      </c>
      <c r="C310" s="481" t="s">
        <v>22</v>
      </c>
      <c r="D310" s="481">
        <v>16.649999999999999</v>
      </c>
      <c r="E310" s="482">
        <f t="shared" si="17"/>
        <v>0</v>
      </c>
      <c r="G310"/>
    </row>
    <row r="311" spans="1:7" ht="18" customHeight="1">
      <c r="A311" s="136" t="s">
        <v>296</v>
      </c>
      <c r="B311" s="135">
        <f>OTTAWA!BI36</f>
        <v>0</v>
      </c>
      <c r="C311" s="135" t="s">
        <v>22</v>
      </c>
      <c r="D311" s="135">
        <v>16.649999999999999</v>
      </c>
      <c r="E311" s="314">
        <f t="shared" si="17"/>
        <v>0</v>
      </c>
      <c r="G311"/>
    </row>
    <row r="312" spans="1:7" ht="18" customHeight="1">
      <c r="A312" s="136" t="s">
        <v>179</v>
      </c>
      <c r="B312" s="135">
        <f>OTTAWA!BJ36</f>
        <v>0</v>
      </c>
      <c r="C312" s="135" t="s">
        <v>22</v>
      </c>
      <c r="D312" s="135">
        <v>16.649999999999999</v>
      </c>
      <c r="E312" s="314">
        <f t="shared" si="17"/>
        <v>0</v>
      </c>
      <c r="G312"/>
    </row>
    <row r="313" spans="1:7" ht="18" customHeight="1">
      <c r="A313" s="136" t="s">
        <v>297</v>
      </c>
      <c r="B313" s="135">
        <f>OTTAWA!BK36</f>
        <v>0</v>
      </c>
      <c r="C313" s="135" t="s">
        <v>22</v>
      </c>
      <c r="D313" s="135">
        <v>16.649999999999999</v>
      </c>
      <c r="E313" s="314">
        <f t="shared" si="17"/>
        <v>0</v>
      </c>
      <c r="G313"/>
    </row>
    <row r="314" spans="1:7" ht="18" customHeight="1">
      <c r="A314" s="480" t="s">
        <v>298</v>
      </c>
      <c r="B314" s="481">
        <f>OTTAWA!BL36</f>
        <v>0</v>
      </c>
      <c r="C314" s="481" t="s">
        <v>22</v>
      </c>
      <c r="D314" s="481">
        <v>16.649999999999999</v>
      </c>
      <c r="E314" s="482">
        <f t="shared" si="17"/>
        <v>0</v>
      </c>
      <c r="G314"/>
    </row>
    <row r="315" spans="1:7" ht="18" customHeight="1">
      <c r="A315" s="136" t="s">
        <v>168</v>
      </c>
      <c r="B315" s="135">
        <f>OTTAWA!AH36</f>
        <v>0</v>
      </c>
      <c r="C315" s="135" t="s">
        <v>22</v>
      </c>
      <c r="D315" s="135">
        <v>16.649999999999999</v>
      </c>
      <c r="E315" s="314">
        <f t="shared" si="17"/>
        <v>0</v>
      </c>
      <c r="G315"/>
    </row>
    <row r="316" spans="1:7" ht="18" customHeight="1">
      <c r="A316" s="136" t="s">
        <v>299</v>
      </c>
      <c r="B316" s="135">
        <f>OTTAWA!BM36</f>
        <v>0</v>
      </c>
      <c r="C316" s="135" t="s">
        <v>22</v>
      </c>
      <c r="D316" s="135">
        <v>16.649999999999999</v>
      </c>
      <c r="E316" s="314">
        <f t="shared" si="17"/>
        <v>0</v>
      </c>
      <c r="G316"/>
    </row>
    <row r="317" spans="1:7" ht="18" customHeight="1">
      <c r="A317" s="136" t="s">
        <v>183</v>
      </c>
      <c r="B317" s="135">
        <f>OTTAWA!BO36</f>
        <v>0</v>
      </c>
      <c r="C317" s="135" t="s">
        <v>22</v>
      </c>
      <c r="D317" s="135">
        <v>16.649999999999999</v>
      </c>
      <c r="E317" s="314">
        <f t="shared" si="17"/>
        <v>0</v>
      </c>
      <c r="G317"/>
    </row>
    <row r="318" spans="1:7" ht="18" customHeight="1">
      <c r="A318" s="136" t="s">
        <v>300</v>
      </c>
      <c r="B318" s="135">
        <f>OTTAWA!BP36</f>
        <v>0</v>
      </c>
      <c r="C318" s="135" t="s">
        <v>22</v>
      </c>
      <c r="D318" s="135"/>
      <c r="E318" s="314">
        <f t="shared" si="17"/>
        <v>0</v>
      </c>
      <c r="G318"/>
    </row>
    <row r="319" spans="1:7" ht="18" customHeight="1">
      <c r="A319" s="136" t="s">
        <v>188</v>
      </c>
      <c r="B319" s="135">
        <f>OTTAWA!BQ36</f>
        <v>0</v>
      </c>
      <c r="C319" s="135" t="s">
        <v>22</v>
      </c>
      <c r="D319" s="135">
        <v>16.649999999999999</v>
      </c>
      <c r="E319" s="314">
        <f t="shared" si="17"/>
        <v>0</v>
      </c>
      <c r="G319"/>
    </row>
    <row r="320" spans="1:7" ht="18" customHeight="1">
      <c r="A320" s="136" t="s">
        <v>186</v>
      </c>
      <c r="B320" s="135">
        <f>OTTAWA!BV36</f>
        <v>0</v>
      </c>
      <c r="C320" s="135" t="s">
        <v>22</v>
      </c>
      <c r="D320" s="135">
        <v>16.649999999999999</v>
      </c>
      <c r="E320" s="314">
        <f t="shared" si="17"/>
        <v>0</v>
      </c>
      <c r="G320"/>
    </row>
    <row r="321" spans="1:7" ht="18" customHeight="1">
      <c r="A321" s="480" t="s">
        <v>301</v>
      </c>
      <c r="B321" s="481">
        <f>OTTAWA!BR36</f>
        <v>0</v>
      </c>
      <c r="C321" s="481" t="s">
        <v>22</v>
      </c>
      <c r="D321" s="481">
        <v>16.649999999999999</v>
      </c>
      <c r="E321" s="482">
        <f t="shared" si="17"/>
        <v>0</v>
      </c>
      <c r="G321"/>
    </row>
    <row r="322" spans="1:7" ht="18" customHeight="1">
      <c r="A322" s="480" t="s">
        <v>302</v>
      </c>
      <c r="B322" s="481">
        <f>OTTAWA!BS36</f>
        <v>0</v>
      </c>
      <c r="C322" s="481" t="s">
        <v>22</v>
      </c>
      <c r="D322" s="481">
        <v>16.649999999999999</v>
      </c>
      <c r="E322" s="482">
        <f t="shared" si="17"/>
        <v>0</v>
      </c>
      <c r="G322"/>
    </row>
    <row r="323" spans="1:7" ht="18" customHeight="1">
      <c r="A323" s="136" t="s">
        <v>192</v>
      </c>
      <c r="B323" s="135">
        <f>OTTAWA!BT36</f>
        <v>0</v>
      </c>
      <c r="C323" s="135" t="s">
        <v>22</v>
      </c>
      <c r="D323" s="135">
        <v>16.649999999999999</v>
      </c>
      <c r="E323" s="314">
        <f t="shared" si="17"/>
        <v>0</v>
      </c>
      <c r="G323"/>
    </row>
    <row r="324" spans="1:7" ht="18" customHeight="1">
      <c r="A324" s="136" t="s">
        <v>303</v>
      </c>
      <c r="B324" s="135">
        <f>OTTAWA!AD36</f>
        <v>0</v>
      </c>
      <c r="C324" s="135" t="s">
        <v>22</v>
      </c>
      <c r="D324" s="135">
        <v>16.649999999999999</v>
      </c>
      <c r="E324" s="314">
        <f t="shared" si="17"/>
        <v>0</v>
      </c>
      <c r="G324"/>
    </row>
    <row r="325" spans="1:7" ht="18" customHeight="1">
      <c r="A325" s="396" t="s">
        <v>197</v>
      </c>
      <c r="B325" s="135">
        <f>OTTAWA!BU36</f>
        <v>0</v>
      </c>
      <c r="C325" s="135" t="s">
        <v>22</v>
      </c>
      <c r="D325" s="135">
        <v>16.649999999999999</v>
      </c>
      <c r="E325" s="314">
        <f t="shared" si="17"/>
        <v>0</v>
      </c>
      <c r="G325"/>
    </row>
    <row r="326" spans="1:7" ht="18" customHeight="1">
      <c r="A326" s="396" t="s">
        <v>304</v>
      </c>
      <c r="B326" s="135">
        <f>OTTAWA!BX36</f>
        <v>0</v>
      </c>
      <c r="C326" s="135" t="s">
        <v>22</v>
      </c>
      <c r="D326" s="135">
        <v>16.649999999999999</v>
      </c>
      <c r="E326" s="314">
        <f t="shared" si="17"/>
        <v>0</v>
      </c>
      <c r="G326"/>
    </row>
    <row r="327" spans="1:7" ht="18" customHeight="1">
      <c r="A327" s="136" t="s">
        <v>305</v>
      </c>
      <c r="B327" s="135">
        <f>OTTAWA!BW36</f>
        <v>0</v>
      </c>
      <c r="C327" s="135" t="s">
        <v>22</v>
      </c>
      <c r="D327" s="135">
        <v>17</v>
      </c>
      <c r="E327" s="314">
        <f t="shared" si="17"/>
        <v>0</v>
      </c>
      <c r="G327"/>
    </row>
    <row r="328" spans="1:7" ht="18" customHeight="1">
      <c r="A328" s="136" t="s">
        <v>306</v>
      </c>
      <c r="B328" s="135">
        <f>OTTAWA!BY36</f>
        <v>0</v>
      </c>
      <c r="C328" s="135" t="s">
        <v>22</v>
      </c>
      <c r="D328" s="135">
        <v>16.649999999999999</v>
      </c>
      <c r="E328" s="314">
        <f t="shared" si="17"/>
        <v>0</v>
      </c>
      <c r="G328"/>
    </row>
    <row r="329" spans="1:7" ht="18" customHeight="1">
      <c r="A329" s="136" t="s">
        <v>307</v>
      </c>
      <c r="B329" s="135">
        <f>OTTAWA!BZ36</f>
        <v>0</v>
      </c>
      <c r="C329" s="135" t="s">
        <v>22</v>
      </c>
      <c r="D329" s="135">
        <v>17</v>
      </c>
      <c r="E329" s="314">
        <f>(B329*D329)</f>
        <v>0</v>
      </c>
      <c r="G329"/>
    </row>
    <row r="330" spans="1:7" ht="18" customHeight="1">
      <c r="A330" s="396" t="s">
        <v>308</v>
      </c>
      <c r="B330" s="135">
        <f>OTTAWA!CA36</f>
        <v>0</v>
      </c>
      <c r="C330" s="135" t="s">
        <v>22</v>
      </c>
      <c r="D330" s="135">
        <v>16.649999999999999</v>
      </c>
      <c r="E330" s="314">
        <f t="shared" ref="E330:E338" si="18">B330*D330</f>
        <v>0</v>
      </c>
      <c r="G330"/>
    </row>
    <row r="331" spans="1:7" ht="18" customHeight="1">
      <c r="A331" s="517" t="s">
        <v>124</v>
      </c>
      <c r="B331" s="481">
        <f>OTTAWA!CB36</f>
        <v>0</v>
      </c>
      <c r="C331" s="481" t="s">
        <v>22</v>
      </c>
      <c r="D331" s="481">
        <v>16.649999999999999</v>
      </c>
      <c r="E331" s="482">
        <f t="shared" si="18"/>
        <v>0</v>
      </c>
      <c r="G331"/>
    </row>
    <row r="332" spans="1:7" ht="18" customHeight="1">
      <c r="A332" s="517" t="s">
        <v>309</v>
      </c>
      <c r="B332" s="481">
        <f>OTTAWA!BN36</f>
        <v>0</v>
      </c>
      <c r="C332" s="481" t="s">
        <v>22</v>
      </c>
      <c r="D332" s="481">
        <v>16.649999999999999</v>
      </c>
      <c r="E332" s="482">
        <f>B332*D332</f>
        <v>0</v>
      </c>
      <c r="G332"/>
    </row>
    <row r="333" spans="1:7" ht="18" customHeight="1">
      <c r="A333" s="517" t="s">
        <v>310</v>
      </c>
      <c r="B333" s="481">
        <f>OTTAWA!D36</f>
        <v>0</v>
      </c>
      <c r="C333" s="481" t="s">
        <v>22</v>
      </c>
      <c r="D333" s="481">
        <v>16.649999999999999</v>
      </c>
      <c r="E333" s="482">
        <f>B333*D333</f>
        <v>0</v>
      </c>
      <c r="G333"/>
    </row>
    <row r="334" spans="1:7" ht="18" customHeight="1">
      <c r="A334" s="396" t="s">
        <v>182</v>
      </c>
      <c r="B334" s="135">
        <f>OTTAWA!CC36</f>
        <v>0</v>
      </c>
      <c r="C334" s="135" t="s">
        <v>22</v>
      </c>
      <c r="D334" s="135">
        <v>16.649999999999999</v>
      </c>
      <c r="E334" s="314">
        <f t="shared" si="18"/>
        <v>0</v>
      </c>
      <c r="G334"/>
    </row>
    <row r="335" spans="1:7" ht="18" customHeight="1">
      <c r="A335" s="396" t="s">
        <v>311</v>
      </c>
      <c r="B335" s="135">
        <f>OTTAWA!CD36</f>
        <v>0</v>
      </c>
      <c r="C335" s="135" t="s">
        <v>22</v>
      </c>
      <c r="D335" s="135">
        <v>16.649999999999999</v>
      </c>
      <c r="E335" s="314">
        <f t="shared" si="18"/>
        <v>0</v>
      </c>
      <c r="G335"/>
    </row>
    <row r="336" spans="1:7" ht="18" customHeight="1">
      <c r="A336" s="396" t="s">
        <v>312</v>
      </c>
      <c r="B336" s="135">
        <f>OTTAWA!CE36</f>
        <v>0</v>
      </c>
      <c r="C336" s="135" t="s">
        <v>22</v>
      </c>
      <c r="D336" s="135">
        <v>16.649999999999999</v>
      </c>
      <c r="E336" s="314">
        <f t="shared" si="18"/>
        <v>0</v>
      </c>
      <c r="G336"/>
    </row>
    <row r="337" spans="1:7" ht="18" customHeight="1">
      <c r="A337" s="396" t="s">
        <v>313</v>
      </c>
      <c r="B337" s="135">
        <f>OTTAWA!CF36</f>
        <v>0</v>
      </c>
      <c r="C337" s="135" t="s">
        <v>22</v>
      </c>
      <c r="D337" s="135">
        <v>16.649999999999999</v>
      </c>
      <c r="E337" s="314">
        <f t="shared" si="18"/>
        <v>0</v>
      </c>
      <c r="G337"/>
    </row>
    <row r="338" spans="1:7" ht="18" customHeight="1">
      <c r="A338" s="396" t="s">
        <v>314</v>
      </c>
      <c r="B338" s="135">
        <f>OTTAWA!CG36</f>
        <v>0</v>
      </c>
      <c r="C338" s="135" t="s">
        <v>22</v>
      </c>
      <c r="D338" s="135">
        <v>16.649999999999999</v>
      </c>
      <c r="E338" s="314">
        <f t="shared" si="18"/>
        <v>0</v>
      </c>
      <c r="G338"/>
    </row>
    <row r="339" spans="1:7" ht="18" customHeight="1">
      <c r="A339" s="704" t="s">
        <v>315</v>
      </c>
      <c r="B339" s="481">
        <f>OTTAWA!CH36</f>
        <v>0</v>
      </c>
      <c r="C339" s="481" t="s">
        <v>22</v>
      </c>
      <c r="D339" s="481">
        <v>18</v>
      </c>
      <c r="E339" s="482">
        <f t="shared" ref="E339:E346" si="19">B339*D339</f>
        <v>0</v>
      </c>
      <c r="G339"/>
    </row>
    <row r="340" spans="1:7" ht="18" customHeight="1">
      <c r="A340" s="517" t="s">
        <v>316</v>
      </c>
      <c r="B340" s="481">
        <f>OTTAWA!CI36</f>
        <v>0</v>
      </c>
      <c r="C340" s="481" t="s">
        <v>22</v>
      </c>
      <c r="D340" s="481">
        <v>16.649999999999999</v>
      </c>
      <c r="E340" s="482">
        <f t="shared" si="19"/>
        <v>0</v>
      </c>
      <c r="G340"/>
    </row>
    <row r="341" spans="1:7" ht="18" customHeight="1">
      <c r="A341" s="517" t="s">
        <v>146</v>
      </c>
      <c r="B341" s="481">
        <f>OTTAWA!CJ36</f>
        <v>0</v>
      </c>
      <c r="C341" s="481" t="s">
        <v>22</v>
      </c>
      <c r="D341" s="481">
        <v>16.649999999999999</v>
      </c>
      <c r="E341" s="482">
        <f t="shared" si="19"/>
        <v>0</v>
      </c>
      <c r="G341"/>
    </row>
    <row r="342" spans="1:7" ht="18" customHeight="1">
      <c r="A342" s="517" t="s">
        <v>317</v>
      </c>
      <c r="B342" s="481">
        <f>OTTAWA!CK36</f>
        <v>0</v>
      </c>
      <c r="C342" s="481" t="s">
        <v>22</v>
      </c>
      <c r="D342" s="481">
        <v>16.649999999999999</v>
      </c>
      <c r="E342" s="482">
        <f t="shared" si="19"/>
        <v>0</v>
      </c>
      <c r="G342"/>
    </row>
    <row r="343" spans="1:7" ht="18" customHeight="1">
      <c r="A343" s="517" t="s">
        <v>113</v>
      </c>
      <c r="B343" s="481">
        <f>OTTAWA!CL36</f>
        <v>0</v>
      </c>
      <c r="C343" s="481" t="s">
        <v>22</v>
      </c>
      <c r="D343" s="481">
        <v>16.649999999999999</v>
      </c>
      <c r="E343" s="482">
        <f t="shared" si="19"/>
        <v>0</v>
      </c>
      <c r="G343"/>
    </row>
    <row r="344" spans="1:7" ht="18" customHeight="1">
      <c r="A344" s="517" t="s">
        <v>318</v>
      </c>
      <c r="B344" s="481">
        <f>OTTAWA!CM36</f>
        <v>0</v>
      </c>
      <c r="C344" s="481" t="s">
        <v>22</v>
      </c>
      <c r="D344" s="481">
        <v>16.649999999999999</v>
      </c>
      <c r="E344" s="482">
        <f t="shared" si="19"/>
        <v>0</v>
      </c>
      <c r="G344"/>
    </row>
    <row r="345" spans="1:7" ht="18" customHeight="1">
      <c r="A345" s="517" t="s">
        <v>319</v>
      </c>
      <c r="B345" s="481">
        <f>OTTAWA!CN36</f>
        <v>0</v>
      </c>
      <c r="C345" s="481" t="s">
        <v>22</v>
      </c>
      <c r="D345" s="481">
        <v>16.649999999999999</v>
      </c>
      <c r="E345" s="482">
        <f t="shared" si="19"/>
        <v>0</v>
      </c>
      <c r="G345"/>
    </row>
    <row r="346" spans="1:7" ht="18" customHeight="1">
      <c r="A346" s="517" t="s">
        <v>320</v>
      </c>
      <c r="B346" s="481">
        <f>OTTAWA!CO36</f>
        <v>0</v>
      </c>
      <c r="C346" s="481" t="s">
        <v>22</v>
      </c>
      <c r="D346" s="481">
        <v>16.649999999999999</v>
      </c>
      <c r="E346" s="482">
        <f t="shared" si="19"/>
        <v>0</v>
      </c>
      <c r="G346"/>
    </row>
    <row r="347" spans="1:7" ht="18" customHeight="1">
      <c r="A347" s="437"/>
      <c r="B347" s="419"/>
      <c r="C347" s="419"/>
      <c r="D347" s="419"/>
      <c r="E347" s="420"/>
      <c r="G347"/>
    </row>
    <row r="348" spans="1:7" ht="18" customHeight="1">
      <c r="A348" s="427" t="s">
        <v>321</v>
      </c>
      <c r="B348" s="415">
        <f>SUM(B255:B347)</f>
        <v>0</v>
      </c>
      <c r="C348" s="419"/>
      <c r="D348" s="419"/>
      <c r="E348" s="420"/>
      <c r="G348"/>
    </row>
    <row r="349" spans="1:7" ht="18" customHeight="1">
      <c r="A349" s="136"/>
      <c r="B349" s="135"/>
      <c r="C349" s="135"/>
      <c r="D349" s="135"/>
      <c r="E349" s="314"/>
      <c r="G349"/>
    </row>
    <row r="350" spans="1:7" ht="18" customHeight="1">
      <c r="A350" s="418" t="s">
        <v>322</v>
      </c>
      <c r="B350" s="419"/>
      <c r="C350" s="419"/>
      <c r="D350" s="419"/>
      <c r="E350" s="420"/>
      <c r="G350"/>
    </row>
    <row r="351" spans="1:7" ht="18" customHeight="1">
      <c r="A351" s="134" t="s">
        <v>323</v>
      </c>
      <c r="B351" s="135">
        <f>GTA!F363</f>
        <v>0</v>
      </c>
      <c r="C351" s="135" t="s">
        <v>22</v>
      </c>
      <c r="D351" s="135">
        <v>18</v>
      </c>
      <c r="E351" s="314">
        <f>B351*D351</f>
        <v>0</v>
      </c>
      <c r="G351"/>
    </row>
    <row r="352" spans="1:7" ht="18" customHeight="1">
      <c r="A352" s="134" t="s">
        <v>324</v>
      </c>
      <c r="B352" s="135">
        <f>GTA!C363</f>
        <v>0</v>
      </c>
      <c r="C352" s="135" t="s">
        <v>22</v>
      </c>
      <c r="D352" s="135">
        <v>18</v>
      </c>
      <c r="E352" s="314">
        <f t="shared" ref="E352:E361" si="20">B352*D352</f>
        <v>0</v>
      </c>
      <c r="G352"/>
    </row>
    <row r="353" spans="1:7" ht="18" customHeight="1">
      <c r="A353" s="134" t="s">
        <v>325</v>
      </c>
      <c r="B353" s="135">
        <f>GTA!D363</f>
        <v>0</v>
      </c>
      <c r="C353" s="135" t="s">
        <v>22</v>
      </c>
      <c r="D353" s="135">
        <v>18</v>
      </c>
      <c r="E353" s="314">
        <f t="shared" si="20"/>
        <v>0</v>
      </c>
      <c r="G353"/>
    </row>
    <row r="354" spans="1:7" ht="18" customHeight="1">
      <c r="A354" s="134" t="s">
        <v>245</v>
      </c>
      <c r="B354" s="135">
        <f>GTA!J363</f>
        <v>0</v>
      </c>
      <c r="C354" s="135" t="s">
        <v>22</v>
      </c>
      <c r="D354" s="135">
        <v>18</v>
      </c>
      <c r="E354" s="314">
        <f>B354*D354</f>
        <v>0</v>
      </c>
      <c r="G354"/>
    </row>
    <row r="355" spans="1:7" ht="18" customHeight="1">
      <c r="A355" s="284" t="s">
        <v>221</v>
      </c>
      <c r="B355" s="135">
        <f>GTA!E363</f>
        <v>0</v>
      </c>
      <c r="C355" s="135" t="s">
        <v>22</v>
      </c>
      <c r="D355" s="135">
        <v>18</v>
      </c>
      <c r="E355" s="314">
        <f t="shared" si="20"/>
        <v>0</v>
      </c>
      <c r="G355"/>
    </row>
    <row r="356" spans="1:7" ht="18" customHeight="1">
      <c r="A356" s="134" t="s">
        <v>326</v>
      </c>
      <c r="B356" s="135">
        <f>GTA!G363</f>
        <v>0</v>
      </c>
      <c r="C356" s="135" t="s">
        <v>22</v>
      </c>
      <c r="D356" s="135">
        <v>18</v>
      </c>
      <c r="E356" s="314">
        <f t="shared" si="20"/>
        <v>0</v>
      </c>
      <c r="G356"/>
    </row>
    <row r="357" spans="1:7" ht="18" customHeight="1">
      <c r="A357" s="134" t="s">
        <v>327</v>
      </c>
      <c r="B357" s="135">
        <f>GTA!H363</f>
        <v>0</v>
      </c>
      <c r="C357" s="135" t="s">
        <v>22</v>
      </c>
      <c r="D357" s="135">
        <v>18</v>
      </c>
      <c r="E357" s="314">
        <f t="shared" si="20"/>
        <v>0</v>
      </c>
      <c r="G357"/>
    </row>
    <row r="358" spans="1:7" ht="18" customHeight="1">
      <c r="A358" s="134" t="s">
        <v>328</v>
      </c>
      <c r="B358" s="135">
        <f>GTA!I352</f>
        <v>0</v>
      </c>
      <c r="C358" s="135" t="s">
        <v>22</v>
      </c>
      <c r="D358" s="135">
        <v>18</v>
      </c>
      <c r="E358" s="314">
        <f>B358*D358</f>
        <v>0</v>
      </c>
      <c r="G358"/>
    </row>
    <row r="359" spans="1:7" ht="18" customHeight="1">
      <c r="A359" s="284" t="s">
        <v>329</v>
      </c>
      <c r="B359" s="135">
        <f>GTA!K363</f>
        <v>0</v>
      </c>
      <c r="C359" s="135" t="s">
        <v>22</v>
      </c>
      <c r="D359" s="135">
        <v>18</v>
      </c>
      <c r="E359" s="314">
        <f t="shared" si="20"/>
        <v>0</v>
      </c>
      <c r="G359"/>
    </row>
    <row r="360" spans="1:7" ht="18" customHeight="1">
      <c r="A360" s="134" t="s">
        <v>330</v>
      </c>
      <c r="B360" s="135">
        <f>GTA!L363</f>
        <v>0</v>
      </c>
      <c r="C360" s="135" t="s">
        <v>22</v>
      </c>
      <c r="D360" s="135">
        <v>18</v>
      </c>
      <c r="E360" s="314">
        <f t="shared" si="20"/>
        <v>0</v>
      </c>
      <c r="G360"/>
    </row>
    <row r="361" spans="1:7" ht="18" customHeight="1">
      <c r="A361" s="134" t="s">
        <v>237</v>
      </c>
      <c r="B361" s="135">
        <f>GTA!M363</f>
        <v>0</v>
      </c>
      <c r="C361" s="135" t="s">
        <v>22</v>
      </c>
      <c r="D361" s="135">
        <v>18</v>
      </c>
      <c r="E361" s="314">
        <f t="shared" si="20"/>
        <v>0</v>
      </c>
      <c r="G361"/>
    </row>
    <row r="362" spans="1:7" ht="18" customHeight="1">
      <c r="A362" s="441"/>
      <c r="B362" s="432"/>
      <c r="C362" s="432"/>
      <c r="D362" s="432"/>
      <c r="E362" s="433"/>
      <c r="G362"/>
    </row>
    <row r="363" spans="1:7" ht="18" customHeight="1">
      <c r="A363" s="431" t="s">
        <v>331</v>
      </c>
      <c r="B363" s="431">
        <f>SUM(B350:B362)</f>
        <v>0</v>
      </c>
      <c r="C363" s="432"/>
      <c r="D363" s="432"/>
      <c r="E363" s="433"/>
      <c r="G363"/>
    </row>
    <row r="364" spans="1:7" ht="18" customHeight="1">
      <c r="A364" s="408"/>
      <c r="B364" s="409"/>
      <c r="C364" s="409"/>
      <c r="D364" s="409"/>
      <c r="E364" s="410"/>
      <c r="G364"/>
    </row>
    <row r="365" spans="1:7" ht="18" customHeight="1">
      <c r="A365" s="418" t="s">
        <v>332</v>
      </c>
      <c r="B365" s="419"/>
      <c r="C365" s="419"/>
      <c r="D365" s="419"/>
      <c r="E365" s="420"/>
      <c r="G365"/>
    </row>
    <row r="366" spans="1:7" ht="18" customHeight="1">
      <c r="A366" s="134" t="s">
        <v>323</v>
      </c>
      <c r="B366" s="135">
        <f>GTA!C93</f>
        <v>0</v>
      </c>
      <c r="C366" s="135" t="s">
        <v>22</v>
      </c>
      <c r="D366" s="135">
        <v>16.649999999999999</v>
      </c>
      <c r="E366" s="314">
        <f>B366*D366</f>
        <v>0</v>
      </c>
      <c r="G366"/>
    </row>
    <row r="367" spans="1:7" ht="18" customHeight="1">
      <c r="A367" s="134" t="s">
        <v>333</v>
      </c>
      <c r="B367" s="347">
        <f>GTA!D93</f>
        <v>0</v>
      </c>
      <c r="C367" s="347" t="s">
        <v>22</v>
      </c>
      <c r="D367" s="347">
        <v>16.649999999999999</v>
      </c>
      <c r="E367" s="298">
        <f>D367*B367</f>
        <v>0</v>
      </c>
      <c r="G367"/>
    </row>
    <row r="368" spans="1:7" ht="18" customHeight="1">
      <c r="A368" s="284" t="s">
        <v>334</v>
      </c>
      <c r="B368" s="347">
        <f>GTA!E93</f>
        <v>0</v>
      </c>
      <c r="C368" s="347" t="s">
        <v>22</v>
      </c>
      <c r="D368" s="347">
        <v>16.649999999999999</v>
      </c>
      <c r="E368" s="298">
        <f>D368*B368</f>
        <v>0</v>
      </c>
      <c r="G368"/>
    </row>
    <row r="369" spans="1:7" ht="18" customHeight="1">
      <c r="A369" s="284" t="s">
        <v>335</v>
      </c>
      <c r="B369" s="347">
        <f>GTA!F93</f>
        <v>0</v>
      </c>
      <c r="C369" s="347" t="s">
        <v>22</v>
      </c>
      <c r="D369" s="347">
        <v>16.649999999999999</v>
      </c>
      <c r="E369" s="298">
        <f>D369*B369</f>
        <v>0</v>
      </c>
      <c r="G369"/>
    </row>
    <row r="370" spans="1:7" ht="18" customHeight="1">
      <c r="A370" s="284" t="s">
        <v>336</v>
      </c>
      <c r="B370" s="347">
        <f>GTA!G93</f>
        <v>0</v>
      </c>
      <c r="C370" s="347" t="s">
        <v>22</v>
      </c>
      <c r="D370" s="347">
        <v>16.649999999999999</v>
      </c>
      <c r="E370" s="298">
        <f>D370*B370</f>
        <v>0</v>
      </c>
      <c r="G370"/>
    </row>
    <row r="371" spans="1:7" ht="18" customHeight="1">
      <c r="A371" s="627"/>
      <c r="B371" s="347"/>
      <c r="C371" s="347"/>
      <c r="D371" s="347"/>
      <c r="E371" s="298"/>
      <c r="G371"/>
    </row>
    <row r="372" spans="1:7" ht="18" customHeight="1">
      <c r="A372" s="441"/>
      <c r="B372" s="432"/>
      <c r="C372" s="432"/>
      <c r="D372" s="432"/>
      <c r="E372" s="433"/>
      <c r="G372"/>
    </row>
    <row r="373" spans="1:7" ht="18" customHeight="1">
      <c r="A373" s="431" t="s">
        <v>332</v>
      </c>
      <c r="B373" s="431">
        <f>SUM(B365:B372)</f>
        <v>0</v>
      </c>
      <c r="C373" s="432"/>
      <c r="D373" s="432"/>
      <c r="E373" s="433"/>
      <c r="G373"/>
    </row>
    <row r="374" spans="1:7" ht="18" customHeight="1">
      <c r="A374" s="408"/>
      <c r="B374" s="409"/>
      <c r="C374" s="409"/>
      <c r="D374" s="409"/>
      <c r="E374" s="410"/>
      <c r="G374"/>
    </row>
    <row r="375" spans="1:7" ht="18" customHeight="1">
      <c r="A375" s="136"/>
      <c r="B375" s="135"/>
      <c r="C375" s="135"/>
      <c r="D375" s="135"/>
      <c r="E375" s="314"/>
      <c r="G375"/>
    </row>
    <row r="376" spans="1:7" ht="18" customHeight="1">
      <c r="A376" s="418" t="s">
        <v>337</v>
      </c>
      <c r="B376" s="419"/>
      <c r="C376" s="419"/>
      <c r="D376" s="419"/>
      <c r="E376" s="420"/>
      <c r="G376"/>
    </row>
    <row r="377" spans="1:7" ht="18" customHeight="1">
      <c r="A377" s="134" t="s">
        <v>324</v>
      </c>
      <c r="B377" s="135">
        <f>GTA!C418</f>
        <v>0</v>
      </c>
      <c r="C377" s="135" t="s">
        <v>22</v>
      </c>
      <c r="D377" s="135">
        <v>20</v>
      </c>
      <c r="E377" s="314">
        <f>B377*D377</f>
        <v>0</v>
      </c>
      <c r="G377"/>
    </row>
    <row r="378" spans="1:7" ht="18" customHeight="1">
      <c r="A378" s="284" t="s">
        <v>338</v>
      </c>
      <c r="B378" s="347">
        <f>GTA!F418</f>
        <v>0</v>
      </c>
      <c r="C378" s="347" t="s">
        <v>22</v>
      </c>
      <c r="D378" s="347">
        <v>20</v>
      </c>
      <c r="E378" s="298">
        <f>D378*B378</f>
        <v>0</v>
      </c>
      <c r="G378"/>
    </row>
    <row r="379" spans="1:7" ht="18" customHeight="1">
      <c r="A379" s="627" t="s">
        <v>339</v>
      </c>
      <c r="B379" s="347">
        <f>GTA!E418</f>
        <v>0</v>
      </c>
      <c r="C379" s="347" t="s">
        <v>22</v>
      </c>
      <c r="D379" s="347">
        <v>20</v>
      </c>
      <c r="E379" s="298">
        <f>D379*B379</f>
        <v>0</v>
      </c>
      <c r="G379"/>
    </row>
    <row r="380" spans="1:7" ht="18" customHeight="1">
      <c r="A380" s="644" t="s">
        <v>340</v>
      </c>
      <c r="B380" s="645">
        <f>GTA!G418</f>
        <v>0</v>
      </c>
      <c r="C380" s="645" t="s">
        <v>22</v>
      </c>
      <c r="D380" s="645">
        <v>20</v>
      </c>
      <c r="E380" s="646">
        <f>D380*B380</f>
        <v>0</v>
      </c>
      <c r="G380"/>
    </row>
    <row r="381" spans="1:7" ht="18" customHeight="1">
      <c r="A381" s="441"/>
      <c r="B381" s="432"/>
      <c r="C381" s="432"/>
      <c r="D381" s="432"/>
      <c r="E381" s="433"/>
      <c r="G381"/>
    </row>
    <row r="382" spans="1:7" ht="18" customHeight="1">
      <c r="A382" s="431" t="s">
        <v>341</v>
      </c>
      <c r="B382" s="431">
        <f>SUM(B376:B381)</f>
        <v>0</v>
      </c>
      <c r="C382" s="432"/>
      <c r="D382" s="432"/>
      <c r="E382" s="433"/>
      <c r="G382"/>
    </row>
    <row r="383" spans="1:7" ht="18" customHeight="1">
      <c r="A383" s="408"/>
      <c r="B383" s="409"/>
      <c r="C383" s="409"/>
      <c r="D383" s="409"/>
      <c r="E383" s="410"/>
      <c r="G383"/>
    </row>
    <row r="384" spans="1:7" ht="18" customHeight="1">
      <c r="A384" s="557" t="s">
        <v>342</v>
      </c>
      <c r="B384" s="419"/>
      <c r="C384" s="419"/>
      <c r="D384" s="419"/>
      <c r="E384" s="420"/>
      <c r="G384"/>
    </row>
    <row r="385" spans="1:7" ht="18" customHeight="1">
      <c r="A385" s="134" t="s">
        <v>343</v>
      </c>
      <c r="B385" s="135">
        <f>GTA!C345</f>
        <v>0</v>
      </c>
      <c r="C385" s="135" t="s">
        <v>22</v>
      </c>
      <c r="D385" s="135">
        <v>17</v>
      </c>
      <c r="E385" s="314">
        <f>B385*D385</f>
        <v>0</v>
      </c>
      <c r="G385"/>
    </row>
    <row r="386" spans="1:7" ht="18" customHeight="1">
      <c r="A386" s="284"/>
      <c r="B386" s="135"/>
      <c r="C386" s="135" t="s">
        <v>22</v>
      </c>
      <c r="D386" s="135">
        <v>18</v>
      </c>
      <c r="E386" s="314">
        <f>B386*D386</f>
        <v>0</v>
      </c>
      <c r="G386"/>
    </row>
    <row r="387" spans="1:7" ht="18" customHeight="1">
      <c r="A387" s="134"/>
      <c r="B387" s="135"/>
      <c r="C387" s="135" t="s">
        <v>22</v>
      </c>
      <c r="D387" s="135">
        <v>18</v>
      </c>
      <c r="E387" s="314">
        <f>B387*D387</f>
        <v>0</v>
      </c>
      <c r="G387"/>
    </row>
    <row r="388" spans="1:7" ht="18" customHeight="1">
      <c r="A388" s="134"/>
      <c r="B388" s="135"/>
      <c r="C388" s="135" t="s">
        <v>22</v>
      </c>
      <c r="D388" s="135">
        <v>18</v>
      </c>
      <c r="E388" s="314">
        <f>B388*D388</f>
        <v>0</v>
      </c>
      <c r="G388"/>
    </row>
    <row r="389" spans="1:7" ht="18" customHeight="1">
      <c r="A389" s="441"/>
      <c r="B389" s="432"/>
      <c r="C389" s="432"/>
      <c r="D389" s="432"/>
      <c r="E389" s="433"/>
      <c r="G389"/>
    </row>
    <row r="390" spans="1:7" ht="18" customHeight="1">
      <c r="A390" s="431" t="s">
        <v>344</v>
      </c>
      <c r="B390" s="431">
        <f>SUM(B384:B389)</f>
        <v>0</v>
      </c>
      <c r="C390" s="432"/>
      <c r="D390" s="432"/>
      <c r="E390" s="433"/>
      <c r="G390"/>
    </row>
    <row r="391" spans="1:7" ht="18" customHeight="1">
      <c r="A391" s="408"/>
      <c r="B391" s="409"/>
      <c r="C391" s="409"/>
      <c r="D391" s="409"/>
      <c r="E391" s="410"/>
      <c r="G391"/>
    </row>
    <row r="392" spans="1:7" ht="18" customHeight="1">
      <c r="A392" s="421" t="s">
        <v>345</v>
      </c>
      <c r="B392" s="422"/>
      <c r="C392" s="422"/>
      <c r="D392" s="422"/>
      <c r="E392" s="422"/>
      <c r="G392"/>
    </row>
    <row r="393" spans="1:7" ht="18" customHeight="1">
      <c r="A393" s="134" t="s">
        <v>346</v>
      </c>
      <c r="B393" s="135">
        <f>GTA!C111</f>
        <v>0</v>
      </c>
      <c r="C393" s="135" t="s">
        <v>22</v>
      </c>
      <c r="D393" s="135">
        <v>18</v>
      </c>
      <c r="E393" s="314">
        <f>B393*D393</f>
        <v>0</v>
      </c>
      <c r="G393"/>
    </row>
    <row r="394" spans="1:7" ht="18" customHeight="1">
      <c r="A394" s="134" t="s">
        <v>347</v>
      </c>
      <c r="B394" s="135">
        <f>GTA!D111</f>
        <v>0</v>
      </c>
      <c r="C394" s="135" t="s">
        <v>22</v>
      </c>
      <c r="D394" s="135">
        <v>18</v>
      </c>
      <c r="E394" s="314">
        <f>B394*D394</f>
        <v>0</v>
      </c>
      <c r="G394"/>
    </row>
    <row r="395" spans="1:7" ht="18" customHeight="1">
      <c r="A395" s="134" t="s">
        <v>348</v>
      </c>
      <c r="B395" s="135">
        <f>GTA!E111</f>
        <v>0</v>
      </c>
      <c r="C395" s="135" t="s">
        <v>22</v>
      </c>
      <c r="D395" s="135">
        <v>18</v>
      </c>
      <c r="E395" s="314">
        <f>B395*D395</f>
        <v>0</v>
      </c>
      <c r="G395"/>
    </row>
    <row r="396" spans="1:7" ht="18" customHeight="1">
      <c r="A396" s="134" t="s">
        <v>349</v>
      </c>
      <c r="B396" s="135">
        <f>GTA!F111</f>
        <v>0</v>
      </c>
      <c r="C396" s="135" t="s">
        <v>22</v>
      </c>
      <c r="D396" s="135">
        <v>18</v>
      </c>
      <c r="E396" s="314">
        <f>B396*D396</f>
        <v>0</v>
      </c>
      <c r="G396"/>
    </row>
    <row r="397" spans="1:7" ht="18" customHeight="1">
      <c r="A397" s="423"/>
      <c r="B397" s="424"/>
      <c r="C397" s="424"/>
      <c r="D397" s="424"/>
      <c r="E397" s="425"/>
      <c r="G397"/>
    </row>
    <row r="398" spans="1:7" ht="18" customHeight="1">
      <c r="A398" s="414" t="s">
        <v>350</v>
      </c>
      <c r="B398" s="414">
        <f>SUM(B392:B397)</f>
        <v>0</v>
      </c>
      <c r="C398" s="414"/>
      <c r="D398" s="414"/>
      <c r="E398" s="426"/>
      <c r="G398"/>
    </row>
    <row r="399" spans="1:7" ht="18" customHeight="1">
      <c r="A399" s="394"/>
      <c r="B399" s="411"/>
      <c r="C399" s="411"/>
      <c r="D399" s="411"/>
      <c r="E399" s="412"/>
      <c r="G399"/>
    </row>
    <row r="400" spans="1:7" ht="18" customHeight="1">
      <c r="A400" s="418" t="s">
        <v>351</v>
      </c>
      <c r="B400" s="419"/>
      <c r="C400" s="419"/>
      <c r="D400" s="419"/>
      <c r="E400" s="420"/>
      <c r="G400"/>
    </row>
    <row r="401" spans="1:7" ht="18" customHeight="1">
      <c r="A401" s="396" t="s">
        <v>61</v>
      </c>
      <c r="B401" s="135">
        <f>GTA!C381</f>
        <v>0</v>
      </c>
      <c r="C401" s="135" t="s">
        <v>22</v>
      </c>
      <c r="D401" s="135">
        <v>20</v>
      </c>
      <c r="E401" s="314">
        <f>B401*D401</f>
        <v>0</v>
      </c>
      <c r="G401"/>
    </row>
    <row r="402" spans="1:7" ht="18" customHeight="1">
      <c r="A402" s="437"/>
      <c r="B402" s="419"/>
      <c r="C402" s="419"/>
      <c r="D402" s="419"/>
      <c r="E402" s="420"/>
      <c r="G402"/>
    </row>
    <row r="403" spans="1:7" ht="18" customHeight="1">
      <c r="A403" s="427" t="s">
        <v>352</v>
      </c>
      <c r="B403" s="415">
        <f>SUM(B400:B402)</f>
        <v>0</v>
      </c>
      <c r="C403" s="415"/>
      <c r="D403" s="415"/>
      <c r="E403" s="416"/>
      <c r="G403"/>
    </row>
    <row r="404" spans="1:7" ht="18" customHeight="1">
      <c r="A404" s="396"/>
      <c r="B404" s="135"/>
      <c r="C404" s="135"/>
      <c r="D404" s="135"/>
      <c r="E404" s="314"/>
      <c r="G404"/>
    </row>
    <row r="405" spans="1:7" ht="18" customHeight="1">
      <c r="A405" s="418" t="s">
        <v>353</v>
      </c>
      <c r="B405" s="419"/>
      <c r="C405" s="419"/>
      <c r="D405" s="419"/>
      <c r="E405" s="420"/>
      <c r="G405"/>
    </row>
    <row r="406" spans="1:7" ht="18" customHeight="1">
      <c r="A406" s="399" t="s">
        <v>354</v>
      </c>
      <c r="B406" s="135">
        <f>GTA!C237</f>
        <v>0</v>
      </c>
      <c r="C406" s="135" t="s">
        <v>22</v>
      </c>
      <c r="D406" s="135">
        <v>20</v>
      </c>
      <c r="E406" s="314">
        <f>B406*D406</f>
        <v>0</v>
      </c>
      <c r="F406" s="889" t="s">
        <v>353</v>
      </c>
      <c r="G406"/>
    </row>
    <row r="407" spans="1:7" ht="18" customHeight="1">
      <c r="A407" s="435"/>
      <c r="B407" s="419"/>
      <c r="C407" s="419"/>
      <c r="D407" s="419"/>
      <c r="E407" s="420"/>
      <c r="G407"/>
    </row>
    <row r="408" spans="1:7" ht="18" customHeight="1">
      <c r="A408" s="418" t="s">
        <v>355</v>
      </c>
      <c r="B408" s="415">
        <f>SUM(B405:B407)</f>
        <v>0</v>
      </c>
      <c r="C408" s="415"/>
      <c r="D408" s="415"/>
      <c r="E408" s="416"/>
      <c r="G408"/>
    </row>
    <row r="409" spans="1:7" ht="18" customHeight="1">
      <c r="A409" s="399"/>
      <c r="B409" s="135"/>
      <c r="C409" s="135"/>
      <c r="D409" s="135"/>
      <c r="E409" s="314"/>
      <c r="G409"/>
    </row>
    <row r="410" spans="1:7" ht="18" customHeight="1">
      <c r="A410" s="418" t="s">
        <v>356</v>
      </c>
      <c r="B410" s="419"/>
      <c r="C410" s="419"/>
      <c r="D410" s="419"/>
      <c r="E410" s="420"/>
      <c r="G410"/>
    </row>
    <row r="411" spans="1:7" ht="18" customHeight="1">
      <c r="A411" s="397" t="s">
        <v>357</v>
      </c>
      <c r="B411" s="135">
        <f>'OUTSIDE GTA'!C233+'OUTSIDE GTA'!AD233</f>
        <v>0</v>
      </c>
      <c r="C411" s="135" t="s">
        <v>22</v>
      </c>
      <c r="D411" s="135">
        <v>16.649999999999999</v>
      </c>
      <c r="E411" s="314">
        <f t="shared" ref="E411:E427" si="21">B411*D411</f>
        <v>0</v>
      </c>
      <c r="G411"/>
    </row>
    <row r="412" spans="1:7" ht="18" customHeight="1">
      <c r="A412" s="397" t="s">
        <v>358</v>
      </c>
      <c r="B412" s="135">
        <f>'OUTSIDE GTA'!D233</f>
        <v>0</v>
      </c>
      <c r="C412" s="135" t="s">
        <v>22</v>
      </c>
      <c r="D412" s="135">
        <v>16.649999999999999</v>
      </c>
      <c r="E412" s="314">
        <f t="shared" si="21"/>
        <v>0</v>
      </c>
      <c r="G412"/>
    </row>
    <row r="413" spans="1:7" ht="18" customHeight="1">
      <c r="A413" s="397" t="s">
        <v>359</v>
      </c>
      <c r="B413" s="135">
        <f>'OUTSIDE GTA'!V233</f>
        <v>0</v>
      </c>
      <c r="C413" s="135" t="s">
        <v>22</v>
      </c>
      <c r="D413" s="135">
        <v>16.649999999999999</v>
      </c>
      <c r="E413" s="314">
        <f>B413*D413</f>
        <v>0</v>
      </c>
      <c r="G413"/>
    </row>
    <row r="414" spans="1:7" ht="18" customHeight="1">
      <c r="A414" s="134" t="s">
        <v>360</v>
      </c>
      <c r="B414" s="135">
        <f>'OUTSIDE GTA'!E233</f>
        <v>0</v>
      </c>
      <c r="C414" s="135" t="s">
        <v>22</v>
      </c>
      <c r="D414" s="135">
        <v>16.649999999999999</v>
      </c>
      <c r="E414" s="314">
        <f t="shared" si="21"/>
        <v>0</v>
      </c>
      <c r="G414"/>
    </row>
    <row r="415" spans="1:7" ht="18" customHeight="1">
      <c r="A415" s="400" t="s">
        <v>361</v>
      </c>
      <c r="B415" s="135">
        <f>'OUTSIDE GTA'!F233</f>
        <v>0</v>
      </c>
      <c r="C415" s="135" t="s">
        <v>22</v>
      </c>
      <c r="D415" s="135">
        <v>16.649999999999999</v>
      </c>
      <c r="E415" s="314">
        <f t="shared" si="21"/>
        <v>0</v>
      </c>
      <c r="G415"/>
    </row>
    <row r="416" spans="1:7" ht="18" customHeight="1">
      <c r="A416" s="400" t="s">
        <v>362</v>
      </c>
      <c r="B416" s="135">
        <f>'OUTSIDE GTA'!H233</f>
        <v>0</v>
      </c>
      <c r="C416" s="135" t="s">
        <v>22</v>
      </c>
      <c r="D416" s="135">
        <v>16.649999999999999</v>
      </c>
      <c r="E416" s="314">
        <f>B416*D416</f>
        <v>0</v>
      </c>
      <c r="G416"/>
    </row>
    <row r="417" spans="1:7" ht="18" customHeight="1">
      <c r="A417" s="400" t="s">
        <v>363</v>
      </c>
      <c r="B417" s="135">
        <f>'OUTSIDE GTA'!G233</f>
        <v>0</v>
      </c>
      <c r="C417" s="135" t="s">
        <v>22</v>
      </c>
      <c r="D417" s="135">
        <v>16.649999999999999</v>
      </c>
      <c r="E417" s="314">
        <f>B417*D417</f>
        <v>0</v>
      </c>
      <c r="G417"/>
    </row>
    <row r="418" spans="1:7" ht="18" customHeight="1">
      <c r="A418" s="400" t="s">
        <v>364</v>
      </c>
      <c r="B418" s="135">
        <f>'OUTSIDE GTA'!I233</f>
        <v>0</v>
      </c>
      <c r="C418" s="135" t="s">
        <v>22</v>
      </c>
      <c r="D418" s="135">
        <v>16.649999999999999</v>
      </c>
      <c r="E418" s="314">
        <f t="shared" si="21"/>
        <v>0</v>
      </c>
      <c r="G418"/>
    </row>
    <row r="419" spans="1:7" ht="18" customHeight="1">
      <c r="A419" s="397" t="s">
        <v>365</v>
      </c>
      <c r="B419" s="135">
        <f>'OUTSIDE GTA'!J233</f>
        <v>0</v>
      </c>
      <c r="C419" s="135" t="s">
        <v>22</v>
      </c>
      <c r="D419" s="135">
        <v>16.649999999999999</v>
      </c>
      <c r="E419" s="314">
        <f t="shared" si="21"/>
        <v>0</v>
      </c>
      <c r="G419"/>
    </row>
    <row r="420" spans="1:7" ht="18" customHeight="1">
      <c r="A420" s="397" t="s">
        <v>366</v>
      </c>
      <c r="B420" s="135">
        <f>'OUTSIDE GTA'!K233</f>
        <v>0</v>
      </c>
      <c r="C420" s="135" t="s">
        <v>22</v>
      </c>
      <c r="D420" s="135">
        <v>16.649999999999999</v>
      </c>
      <c r="E420" s="314">
        <f t="shared" si="21"/>
        <v>0</v>
      </c>
      <c r="G420"/>
    </row>
    <row r="421" spans="1:7" ht="18" customHeight="1">
      <c r="A421" s="284" t="s">
        <v>367</v>
      </c>
      <c r="B421" s="135">
        <f>'OUTSIDE GTA'!L233+'OUTSIDE GTA'!AE233</f>
        <v>0</v>
      </c>
      <c r="C421" s="135" t="s">
        <v>22</v>
      </c>
      <c r="D421" s="135">
        <v>16.649999999999999</v>
      </c>
      <c r="E421" s="314">
        <f t="shared" si="21"/>
        <v>0</v>
      </c>
      <c r="G421"/>
    </row>
    <row r="422" spans="1:7" ht="18" customHeight="1">
      <c r="A422" s="397" t="s">
        <v>368</v>
      </c>
      <c r="B422" s="135">
        <f>'OUTSIDE GTA'!M233</f>
        <v>0</v>
      </c>
      <c r="C422" s="135" t="s">
        <v>22</v>
      </c>
      <c r="D422" s="135">
        <v>16.649999999999999</v>
      </c>
      <c r="E422" s="314">
        <f t="shared" si="21"/>
        <v>0</v>
      </c>
      <c r="G422"/>
    </row>
    <row r="423" spans="1:7" ht="18" customHeight="1">
      <c r="A423" s="397" t="s">
        <v>236</v>
      </c>
      <c r="B423" s="135">
        <f>'OUTSIDE GTA'!Q233</f>
        <v>0</v>
      </c>
      <c r="C423" s="135" t="s">
        <v>22</v>
      </c>
      <c r="D423" s="135">
        <v>16.649999999999999</v>
      </c>
      <c r="E423" s="314">
        <f>B423*D423</f>
        <v>0</v>
      </c>
      <c r="G423"/>
    </row>
    <row r="424" spans="1:7" ht="18" customHeight="1">
      <c r="A424" s="134" t="s">
        <v>369</v>
      </c>
      <c r="B424" s="135">
        <f>'OUTSIDE GTA'!O233</f>
        <v>0</v>
      </c>
      <c r="C424" s="135" t="s">
        <v>22</v>
      </c>
      <c r="D424" s="135">
        <v>16.649999999999999</v>
      </c>
      <c r="E424" s="314">
        <f t="shared" si="21"/>
        <v>0</v>
      </c>
      <c r="G424"/>
    </row>
    <row r="425" spans="1:7" ht="18" customHeight="1">
      <c r="A425" s="134" t="s">
        <v>370</v>
      </c>
      <c r="B425" s="135">
        <f>'OUTSIDE GTA'!P233</f>
        <v>0</v>
      </c>
      <c r="C425" s="135" t="s">
        <v>22</v>
      </c>
      <c r="D425" s="135">
        <v>16.649999999999999</v>
      </c>
      <c r="E425" s="314">
        <f t="shared" si="21"/>
        <v>0</v>
      </c>
      <c r="G425"/>
    </row>
    <row r="426" spans="1:7" ht="18" customHeight="1">
      <c r="A426" s="134" t="s">
        <v>371</v>
      </c>
      <c r="B426" s="135">
        <f>'OUTSIDE GTA'!R233</f>
        <v>0</v>
      </c>
      <c r="C426" s="135" t="s">
        <v>22</v>
      </c>
      <c r="D426" s="135">
        <v>16.649999999999999</v>
      </c>
      <c r="E426" s="314">
        <f>B426*D426</f>
        <v>0</v>
      </c>
      <c r="G426"/>
    </row>
    <row r="427" spans="1:7" ht="18" customHeight="1">
      <c r="A427" s="136" t="s">
        <v>372</v>
      </c>
      <c r="B427" s="135">
        <f>'OUTSIDE GTA'!S233</f>
        <v>0</v>
      </c>
      <c r="C427" s="135" t="s">
        <v>22</v>
      </c>
      <c r="D427" s="135">
        <v>16.649999999999999</v>
      </c>
      <c r="E427" s="314">
        <f t="shared" si="21"/>
        <v>0</v>
      </c>
      <c r="G427"/>
    </row>
    <row r="428" spans="1:7" ht="18" customHeight="1">
      <c r="A428" s="136" t="s">
        <v>373</v>
      </c>
      <c r="B428" s="135">
        <f>'OUTSIDE GTA'!T233</f>
        <v>0</v>
      </c>
      <c r="C428" s="135" t="s">
        <v>22</v>
      </c>
      <c r="D428" s="135">
        <v>16.649999999999999</v>
      </c>
      <c r="E428" s="314">
        <f>B428*D428</f>
        <v>0</v>
      </c>
      <c r="G428"/>
    </row>
    <row r="429" spans="1:7" ht="18" customHeight="1">
      <c r="A429" s="136" t="s">
        <v>374</v>
      </c>
      <c r="B429" s="135">
        <f>'OUTSIDE GTA'!U233</f>
        <v>0</v>
      </c>
      <c r="C429" s="135" t="s">
        <v>22</v>
      </c>
      <c r="D429" s="135">
        <v>16.649999999999999</v>
      </c>
      <c r="E429" s="314">
        <f>B429*D429</f>
        <v>0</v>
      </c>
      <c r="G429"/>
    </row>
    <row r="430" spans="1:7" ht="18" customHeight="1">
      <c r="A430" s="136" t="s">
        <v>375</v>
      </c>
      <c r="B430" s="135">
        <f>'OUTSIDE GTA'!N233+'OUTSIDE GTA'!AI233</f>
        <v>0</v>
      </c>
      <c r="C430" s="135" t="s">
        <v>22</v>
      </c>
      <c r="D430" s="135">
        <v>16.649999999999999</v>
      </c>
      <c r="E430" s="314">
        <f>B430*D430</f>
        <v>0</v>
      </c>
      <c r="G430"/>
    </row>
    <row r="431" spans="1:7" ht="18" customHeight="1">
      <c r="A431" s="439"/>
      <c r="B431" s="419"/>
      <c r="C431" s="419"/>
      <c r="D431" s="419"/>
      <c r="E431" s="420"/>
      <c r="G431"/>
    </row>
    <row r="432" spans="1:7" ht="18" customHeight="1">
      <c r="A432" s="418" t="s">
        <v>376</v>
      </c>
      <c r="B432" s="415">
        <f>SUM(B410:B431)</f>
        <v>0</v>
      </c>
      <c r="C432" s="415"/>
      <c r="D432" s="415"/>
      <c r="E432" s="416"/>
      <c r="G432"/>
    </row>
    <row r="433" spans="1:7" ht="18" customHeight="1">
      <c r="A433" s="397"/>
      <c r="B433" s="135"/>
      <c r="C433" s="135"/>
      <c r="D433" s="135"/>
      <c r="E433" s="314"/>
      <c r="G433"/>
    </row>
    <row r="434" spans="1:7" ht="18" customHeight="1">
      <c r="A434" s="429" t="s">
        <v>377</v>
      </c>
      <c r="B434" s="419"/>
      <c r="C434" s="419"/>
      <c r="D434" s="419"/>
      <c r="E434" s="420"/>
      <c r="G434"/>
    </row>
    <row r="435" spans="1:7" ht="18" customHeight="1">
      <c r="A435" s="396" t="s">
        <v>324</v>
      </c>
      <c r="B435" s="135" cm="1">
        <f t="array" ref="B435">INDEX(GTA!$C$255:$ZZ$255, ROW(A1))</f>
        <v>0</v>
      </c>
      <c r="C435" s="135" t="s">
        <v>22</v>
      </c>
      <c r="D435" s="135">
        <v>16.649999999999999</v>
      </c>
      <c r="E435" s="314">
        <f t="shared" ref="E435:E467" si="22">B435*D435</f>
        <v>0</v>
      </c>
      <c r="G435"/>
    </row>
    <row r="436" spans="1:7" ht="18" customHeight="1">
      <c r="A436" s="396" t="s">
        <v>378</v>
      </c>
      <c r="B436" s="135" cm="1">
        <f t="array" ref="B436">INDEX(GTA!$C$255:$ZZ$255, ROW(A2))</f>
        <v>0</v>
      </c>
      <c r="C436" s="135" t="s">
        <v>22</v>
      </c>
      <c r="D436" s="135">
        <v>16.649999999999999</v>
      </c>
      <c r="E436" s="314">
        <f t="shared" si="22"/>
        <v>0</v>
      </c>
      <c r="G436"/>
    </row>
    <row r="437" spans="1:7" ht="18" customHeight="1">
      <c r="A437" s="134" t="s">
        <v>379</v>
      </c>
      <c r="B437" s="135" cm="1">
        <f t="array" ref="B437">INDEX(GTA!$C$255:$ZZ$255, ROW(A3))</f>
        <v>0</v>
      </c>
      <c r="C437" s="135" t="s">
        <v>22</v>
      </c>
      <c r="D437" s="135">
        <v>16.649999999999999</v>
      </c>
      <c r="E437" s="314">
        <f t="shared" si="22"/>
        <v>0</v>
      </c>
      <c r="G437"/>
    </row>
    <row r="438" spans="1:7" ht="18" customHeight="1">
      <c r="A438" s="270" t="s">
        <v>210</v>
      </c>
      <c r="B438" s="135" cm="1">
        <f t="array" ref="B438">INDEX(GTA!$C$255:$ZZ$255, ROW(A4))</f>
        <v>0</v>
      </c>
      <c r="C438" s="135" t="s">
        <v>22</v>
      </c>
      <c r="D438" s="135">
        <v>16.649999999999999</v>
      </c>
      <c r="E438" s="314">
        <f t="shared" si="22"/>
        <v>0</v>
      </c>
      <c r="G438"/>
    </row>
    <row r="439" spans="1:7" ht="18" customHeight="1">
      <c r="A439" s="270" t="s">
        <v>380</v>
      </c>
      <c r="B439" s="135" cm="1">
        <f t="array" ref="B439">INDEX(GTA!$C$255:$ZZ$255, ROW(A5))</f>
        <v>0</v>
      </c>
      <c r="C439" s="135" t="s">
        <v>22</v>
      </c>
      <c r="D439" s="135">
        <v>16.649999999999999</v>
      </c>
      <c r="E439" s="314">
        <f t="shared" si="22"/>
        <v>0</v>
      </c>
      <c r="G439"/>
    </row>
    <row r="440" spans="1:7" ht="18" customHeight="1">
      <c r="A440" s="396" t="s">
        <v>339</v>
      </c>
      <c r="B440" s="135" cm="1">
        <f t="array" ref="B440">INDEX(GTA!$C$255:$ZZ$255, ROW(A6))</f>
        <v>0</v>
      </c>
      <c r="C440" s="135" t="s">
        <v>22</v>
      </c>
      <c r="D440" s="135">
        <v>16.649999999999999</v>
      </c>
      <c r="E440" s="314">
        <f t="shared" si="22"/>
        <v>0</v>
      </c>
      <c r="G440"/>
    </row>
    <row r="441" spans="1:7" ht="18" customHeight="1">
      <c r="A441" s="134" t="s">
        <v>323</v>
      </c>
      <c r="B441" s="135" cm="1">
        <f t="array" ref="B441">INDEX(GTA!$C$255:$ZZ$255, ROW(A7))</f>
        <v>0</v>
      </c>
      <c r="C441" s="135" t="s">
        <v>22</v>
      </c>
      <c r="D441" s="135">
        <v>16.649999999999999</v>
      </c>
      <c r="E441" s="314">
        <f t="shared" si="22"/>
        <v>0</v>
      </c>
      <c r="G441"/>
    </row>
    <row r="442" spans="1:7" ht="18" customHeight="1">
      <c r="A442" s="134" t="s">
        <v>245</v>
      </c>
      <c r="B442" s="135" cm="1">
        <f t="array" ref="B442">INDEX(GTA!$C$255:$ZZ$255, ROW(A8))</f>
        <v>0</v>
      </c>
      <c r="C442" s="135" t="s">
        <v>22</v>
      </c>
      <c r="D442" s="135">
        <v>16.649999999999999</v>
      </c>
      <c r="E442" s="314">
        <f t="shared" si="22"/>
        <v>0</v>
      </c>
      <c r="G442"/>
    </row>
    <row r="443" spans="1:7" ht="18" customHeight="1">
      <c r="A443" s="134" t="s">
        <v>221</v>
      </c>
      <c r="B443" s="135" cm="1">
        <f t="array" ref="B443">INDEX(GTA!$C$255:$ZZ$255, ROW(A9))</f>
        <v>0</v>
      </c>
      <c r="C443" s="135" t="s">
        <v>22</v>
      </c>
      <c r="D443" s="135">
        <v>16.649999999999999</v>
      </c>
      <c r="E443" s="314">
        <f t="shared" si="22"/>
        <v>0</v>
      </c>
      <c r="G443"/>
    </row>
    <row r="444" spans="1:7" ht="18" customHeight="1">
      <c r="A444" s="134" t="s">
        <v>381</v>
      </c>
      <c r="B444" s="135" cm="1">
        <f t="array" ref="B444">INDEX(GTA!$C$255:$ZZ$255, ROW(A10))</f>
        <v>0</v>
      </c>
      <c r="C444" s="135" t="s">
        <v>22</v>
      </c>
      <c r="D444" s="135">
        <v>16.649999999999999</v>
      </c>
      <c r="E444" s="314">
        <f t="shared" si="22"/>
        <v>0</v>
      </c>
      <c r="G444"/>
    </row>
    <row r="445" spans="1:7" ht="18" customHeight="1">
      <c r="A445" s="134" t="s">
        <v>382</v>
      </c>
      <c r="B445" s="135" cm="1">
        <f t="array" ref="B445">INDEX(GTA!$C$255:$ZZ$255, ROW(A11))</f>
        <v>0</v>
      </c>
      <c r="C445" s="135" t="s">
        <v>22</v>
      </c>
      <c r="D445" s="135">
        <v>16.649999999999999</v>
      </c>
      <c r="E445" s="314">
        <f t="shared" si="22"/>
        <v>0</v>
      </c>
      <c r="G445"/>
    </row>
    <row r="446" spans="1:7" ht="18" customHeight="1">
      <c r="A446" s="270" t="s">
        <v>383</v>
      </c>
      <c r="B446" s="135" cm="1">
        <f t="array" ref="B446">INDEX(GTA!$C$255:$ZZ$255, ROW(A12))</f>
        <v>0</v>
      </c>
      <c r="C446" s="135" t="s">
        <v>22</v>
      </c>
      <c r="D446" s="135">
        <v>16.649999999999999</v>
      </c>
      <c r="E446" s="314">
        <f t="shared" si="22"/>
        <v>0</v>
      </c>
      <c r="G446"/>
    </row>
    <row r="447" spans="1:7" ht="18" customHeight="1">
      <c r="A447" s="270" t="s">
        <v>384</v>
      </c>
      <c r="B447" s="135" cm="1">
        <f t="array" ref="B447">INDEX(GTA!$C$255:$ZZ$255, ROW(A13))</f>
        <v>0</v>
      </c>
      <c r="C447" s="135" t="s">
        <v>22</v>
      </c>
      <c r="D447" s="135">
        <v>16.649999999999999</v>
      </c>
      <c r="E447" s="314">
        <f t="shared" si="22"/>
        <v>0</v>
      </c>
      <c r="G447"/>
    </row>
    <row r="448" spans="1:7" ht="18" customHeight="1">
      <c r="A448" s="270" t="s">
        <v>385</v>
      </c>
      <c r="B448" s="135" cm="1">
        <f t="array" ref="B448">INDEX(GTA!$C$255:$ZZ$255, ROW(A14))</f>
        <v>0</v>
      </c>
      <c r="C448" s="135" t="s">
        <v>22</v>
      </c>
      <c r="D448" s="135">
        <v>16.649999999999999</v>
      </c>
      <c r="E448" s="314">
        <f t="shared" si="22"/>
        <v>0</v>
      </c>
      <c r="G448"/>
    </row>
    <row r="449" spans="1:7" ht="18" customHeight="1">
      <c r="A449" s="134" t="s">
        <v>333</v>
      </c>
      <c r="B449" s="135" cm="1">
        <f t="array" ref="B449">INDEX(GTA!$C$255:$ZZ$255, ROW(A15))</f>
        <v>0</v>
      </c>
      <c r="C449" s="135" t="s">
        <v>22</v>
      </c>
      <c r="D449" s="135">
        <v>16.649999999999999</v>
      </c>
      <c r="E449" s="314">
        <f t="shared" si="22"/>
        <v>0</v>
      </c>
      <c r="G449"/>
    </row>
    <row r="450" spans="1:7" ht="18" customHeight="1">
      <c r="A450" s="270" t="s">
        <v>386</v>
      </c>
      <c r="B450" s="135" cm="1">
        <f t="array" ref="B450">INDEX(GTA!$C$255:$ZZ$255, ROW(A16))</f>
        <v>0</v>
      </c>
      <c r="C450" s="135" t="s">
        <v>22</v>
      </c>
      <c r="D450" s="135">
        <v>16.649999999999999</v>
      </c>
      <c r="E450" s="314">
        <f t="shared" si="22"/>
        <v>0</v>
      </c>
      <c r="G450"/>
    </row>
    <row r="451" spans="1:7" ht="18" customHeight="1">
      <c r="A451" s="270" t="s">
        <v>387</v>
      </c>
      <c r="B451" s="135" cm="1">
        <f t="array" ref="B451">INDEX(GTA!$C$255:$ZZ$255, ROW(A17))</f>
        <v>0</v>
      </c>
      <c r="C451" s="135" t="s">
        <v>22</v>
      </c>
      <c r="D451" s="135">
        <v>16.649999999999999</v>
      </c>
      <c r="E451" s="314">
        <f t="shared" si="22"/>
        <v>0</v>
      </c>
      <c r="G451"/>
    </row>
    <row r="452" spans="1:7" ht="18" customHeight="1">
      <c r="A452" s="396" t="s">
        <v>388</v>
      </c>
      <c r="B452" s="135" cm="1">
        <f t="array" ref="B452">INDEX(GTA!$C$255:$ZZ$255, ROW(A18))</f>
        <v>0</v>
      </c>
      <c r="C452" s="135" t="s">
        <v>22</v>
      </c>
      <c r="D452" s="135">
        <v>16.649999999999999</v>
      </c>
      <c r="E452" s="314">
        <f t="shared" si="22"/>
        <v>0</v>
      </c>
      <c r="G452"/>
    </row>
    <row r="453" spans="1:7" ht="18" customHeight="1">
      <c r="A453" s="134" t="s">
        <v>329</v>
      </c>
      <c r="B453" s="135" cm="1">
        <f t="array" ref="B453">INDEX(GTA!$C$255:$ZZ$255, ROW(A19))</f>
        <v>0</v>
      </c>
      <c r="C453" s="135" t="s">
        <v>22</v>
      </c>
      <c r="D453" s="135">
        <v>16.649999999999999</v>
      </c>
      <c r="E453" s="314">
        <f t="shared" si="22"/>
        <v>0</v>
      </c>
      <c r="G453"/>
    </row>
    <row r="454" spans="1:7" ht="18" customHeight="1">
      <c r="A454" s="134" t="s">
        <v>246</v>
      </c>
      <c r="B454" s="135" cm="1">
        <f t="array" ref="B454">INDEX(GTA!$C$255:$ZZ$255, ROW(A20))</f>
        <v>0</v>
      </c>
      <c r="C454" s="135" t="s">
        <v>22</v>
      </c>
      <c r="D454" s="135">
        <v>16.649999999999999</v>
      </c>
      <c r="E454" s="314">
        <f t="shared" si="22"/>
        <v>0</v>
      </c>
      <c r="G454"/>
    </row>
    <row r="455" spans="1:7" ht="18" customHeight="1">
      <c r="A455" s="396" t="s">
        <v>389</v>
      </c>
      <c r="B455" s="135" cm="1">
        <f t="array" ref="B455">INDEX(GTA!$C$255:$ZZ$255, ROW(A21))</f>
        <v>0</v>
      </c>
      <c r="C455" s="135" t="s">
        <v>22</v>
      </c>
      <c r="D455" s="135">
        <v>16.649999999999999</v>
      </c>
      <c r="E455" s="314">
        <f t="shared" si="22"/>
        <v>0</v>
      </c>
      <c r="G455"/>
    </row>
    <row r="456" spans="1:7" ht="18" customHeight="1">
      <c r="A456" s="134" t="s">
        <v>390</v>
      </c>
      <c r="B456" s="135" cm="1">
        <f t="array" ref="B456">INDEX(GTA!$C$255:$ZZ$255, ROW(A22))</f>
        <v>0</v>
      </c>
      <c r="C456" s="135" t="s">
        <v>22</v>
      </c>
      <c r="D456" s="135">
        <v>16.649999999999999</v>
      </c>
      <c r="E456" s="314">
        <f t="shared" si="22"/>
        <v>0</v>
      </c>
      <c r="G456"/>
    </row>
    <row r="457" spans="1:7" ht="18" customHeight="1">
      <c r="A457" s="134" t="s">
        <v>391</v>
      </c>
      <c r="B457" s="135" cm="1">
        <f t="array" ref="B457">INDEX(GTA!$C$255:$ZZ$255, ROW(A23))</f>
        <v>0</v>
      </c>
      <c r="C457" s="135" t="s">
        <v>22</v>
      </c>
      <c r="D457" s="135">
        <v>16.649999999999999</v>
      </c>
      <c r="E457" s="314">
        <f t="shared" si="22"/>
        <v>0</v>
      </c>
      <c r="G457"/>
    </row>
    <row r="458" spans="1:7" ht="18" customHeight="1">
      <c r="A458" s="134" t="s">
        <v>392</v>
      </c>
      <c r="B458" s="135" cm="1">
        <f t="array" ref="B458">INDEX(GTA!$C$255:$ZZ$255, ROW(A24))</f>
        <v>0</v>
      </c>
      <c r="C458" s="135" t="s">
        <v>22</v>
      </c>
      <c r="D458" s="135">
        <v>16.649999999999999</v>
      </c>
      <c r="E458" s="314">
        <f t="shared" si="22"/>
        <v>0</v>
      </c>
      <c r="G458"/>
    </row>
    <row r="459" spans="1:7" ht="18" customHeight="1">
      <c r="A459" s="134" t="s">
        <v>393</v>
      </c>
      <c r="B459" s="135" cm="1">
        <f t="array" ref="B459">INDEX(GTA!$C$255:$ZZ$255, ROW(A25))</f>
        <v>0</v>
      </c>
      <c r="C459" s="135" t="s">
        <v>22</v>
      </c>
      <c r="D459" s="135">
        <v>16.649999999999999</v>
      </c>
      <c r="E459" s="314">
        <f t="shared" si="22"/>
        <v>0</v>
      </c>
      <c r="G459"/>
    </row>
    <row r="460" spans="1:7" ht="18" customHeight="1">
      <c r="A460" s="138" t="s">
        <v>394</v>
      </c>
      <c r="B460" s="135" cm="1">
        <f t="array" ref="B460">INDEX(GTA!$C$255:$ZZ$255, ROW(A26))</f>
        <v>0</v>
      </c>
      <c r="C460" s="135" t="s">
        <v>22</v>
      </c>
      <c r="D460" s="135">
        <v>16.649999999999999</v>
      </c>
      <c r="E460" s="314">
        <f t="shared" si="22"/>
        <v>0</v>
      </c>
      <c r="G460"/>
    </row>
    <row r="461" spans="1:7" ht="18" customHeight="1">
      <c r="A461" s="401" t="s">
        <v>249</v>
      </c>
      <c r="B461" s="135" cm="1">
        <f t="array" ref="B461">INDEX(GTA!$C$255:$ZZ$255, ROW(A27))</f>
        <v>0</v>
      </c>
      <c r="C461" s="135" t="s">
        <v>22</v>
      </c>
      <c r="D461" s="135">
        <v>16.649999999999999</v>
      </c>
      <c r="E461" s="314">
        <f t="shared" si="22"/>
        <v>0</v>
      </c>
      <c r="G461"/>
    </row>
    <row r="462" spans="1:7" ht="18" customHeight="1">
      <c r="A462" s="138" t="s">
        <v>338</v>
      </c>
      <c r="B462" s="135" cm="1">
        <f t="array" ref="B462">INDEX(GTA!$C$255:$ZZ$255, ROW(A28))</f>
        <v>0</v>
      </c>
      <c r="C462" s="135" t="s">
        <v>22</v>
      </c>
      <c r="D462" s="135">
        <v>16.649999999999999</v>
      </c>
      <c r="E462" s="314">
        <f t="shared" si="22"/>
        <v>0</v>
      </c>
      <c r="G462"/>
    </row>
    <row r="463" spans="1:7" ht="18" customHeight="1">
      <c r="A463" s="134" t="s">
        <v>21</v>
      </c>
      <c r="B463" s="135" cm="1">
        <f t="array" ref="B463">INDEX(GTA!$C$255:$ZZ$255, ROW(A29))</f>
        <v>0</v>
      </c>
      <c r="C463" s="135" t="s">
        <v>22</v>
      </c>
      <c r="D463" s="135">
        <v>16.649999999999999</v>
      </c>
      <c r="E463" s="314">
        <f t="shared" si="22"/>
        <v>0</v>
      </c>
      <c r="G463"/>
    </row>
    <row r="464" spans="1:7" ht="18" customHeight="1">
      <c r="A464" s="134" t="s">
        <v>395</v>
      </c>
      <c r="B464" s="135" cm="1">
        <f t="array" ref="B464">INDEX(GTA!$C$255:$ZZ$255, ROW(A30))</f>
        <v>0</v>
      </c>
      <c r="C464" s="135" t="s">
        <v>22</v>
      </c>
      <c r="D464" s="135">
        <v>16.649999999999999</v>
      </c>
      <c r="E464" s="314">
        <f t="shared" si="22"/>
        <v>0</v>
      </c>
      <c r="G464"/>
    </row>
    <row r="465" spans="1:7" ht="18" customHeight="1">
      <c r="A465" s="134" t="s">
        <v>396</v>
      </c>
      <c r="B465" s="135" cm="1">
        <f t="array" ref="B465">INDEX(GTA!$C$255:$ZZ$255, ROW(A31))</f>
        <v>0</v>
      </c>
      <c r="C465" s="135" t="s">
        <v>22</v>
      </c>
      <c r="D465" s="135">
        <v>16.649999999999999</v>
      </c>
      <c r="E465" s="314">
        <f t="shared" si="22"/>
        <v>0</v>
      </c>
      <c r="G465"/>
    </row>
    <row r="466" spans="1:7" ht="18" customHeight="1">
      <c r="A466" s="134" t="s">
        <v>237</v>
      </c>
      <c r="B466" s="135" cm="1">
        <f t="array" ref="B466">INDEX(GTA!$C$255:$ZZ$255, ROW(A32))</f>
        <v>0</v>
      </c>
      <c r="C466" s="135" t="s">
        <v>22</v>
      </c>
      <c r="D466" s="135">
        <v>16.649999999999999</v>
      </c>
      <c r="E466" s="314">
        <f t="shared" si="22"/>
        <v>0</v>
      </c>
      <c r="G466"/>
    </row>
    <row r="467" spans="1:7" ht="18" customHeight="1">
      <c r="A467" s="270" t="s">
        <v>397</v>
      </c>
      <c r="B467" s="135" cm="1">
        <f t="array" ref="B467">INDEX(GTA!$C$255:$ZZ$255, ROW(A33))</f>
        <v>0</v>
      </c>
      <c r="C467" s="135" t="s">
        <v>22</v>
      </c>
      <c r="D467" s="135">
        <v>16.649999999999999</v>
      </c>
      <c r="E467" s="314">
        <f t="shared" si="22"/>
        <v>0</v>
      </c>
      <c r="G467"/>
    </row>
    <row r="468" spans="1:7" ht="18" customHeight="1">
      <c r="A468" s="401" t="s">
        <v>254</v>
      </c>
      <c r="B468" s="135" cm="1">
        <f t="array" ref="B468">INDEX(GTA!$C$255:$ZZ$255, ROW(A34))</f>
        <v>0</v>
      </c>
      <c r="C468" s="135" t="s">
        <v>22</v>
      </c>
      <c r="D468" s="135">
        <v>16.649999999999999</v>
      </c>
      <c r="E468" s="314">
        <f>(B468*D468)</f>
        <v>0</v>
      </c>
      <c r="G468"/>
    </row>
    <row r="469" spans="1:7" ht="18" customHeight="1">
      <c r="A469" s="134" t="s">
        <v>398</v>
      </c>
      <c r="B469" s="135" cm="1">
        <f t="array" ref="B469">INDEX(GTA!$C$255:$ZZ$255, ROW(A35))</f>
        <v>0</v>
      </c>
      <c r="C469" s="135" t="s">
        <v>22</v>
      </c>
      <c r="D469" s="135">
        <v>16.649999999999999</v>
      </c>
      <c r="E469" s="314">
        <f t="shared" ref="E469:E474" si="23">B469*D469</f>
        <v>0</v>
      </c>
      <c r="G469"/>
    </row>
    <row r="470" spans="1:7" ht="18" customHeight="1">
      <c r="A470" s="134" t="s">
        <v>399</v>
      </c>
      <c r="B470" s="135" cm="1">
        <f t="array" ref="B470">INDEX(GTA!$C$255:$ZZ$255, ROW(A36))</f>
        <v>0</v>
      </c>
      <c r="C470" s="135" t="s">
        <v>22</v>
      </c>
      <c r="D470" s="135">
        <v>16.649999999999999</v>
      </c>
      <c r="E470" s="314">
        <f t="shared" si="23"/>
        <v>0</v>
      </c>
      <c r="G470"/>
    </row>
    <row r="471" spans="1:7" ht="18" customHeight="1">
      <c r="A471" s="270" t="s">
        <v>400</v>
      </c>
      <c r="B471" s="135" cm="1">
        <f t="array" ref="B471">INDEX(GTA!$C$255:$ZZ$255, ROW(A37))</f>
        <v>0</v>
      </c>
      <c r="C471" s="135" t="s">
        <v>22</v>
      </c>
      <c r="D471" s="135">
        <v>16.649999999999999</v>
      </c>
      <c r="E471" s="314">
        <f t="shared" si="23"/>
        <v>0</v>
      </c>
      <c r="G471"/>
    </row>
    <row r="472" spans="1:7" ht="18" customHeight="1">
      <c r="A472" s="134" t="s">
        <v>401</v>
      </c>
      <c r="B472" s="135" cm="1">
        <f t="array" ref="B472">INDEX(GTA!$C$255:$ZZ$255, ROW(A38))</f>
        <v>0</v>
      </c>
      <c r="C472" s="135" t="s">
        <v>22</v>
      </c>
      <c r="D472" s="135">
        <v>16.649999999999999</v>
      </c>
      <c r="E472" s="314">
        <f t="shared" si="23"/>
        <v>0</v>
      </c>
      <c r="G472"/>
    </row>
    <row r="473" spans="1:7" ht="18" customHeight="1">
      <c r="A473" s="401" t="s">
        <v>402</v>
      </c>
      <c r="B473" s="135" cm="1">
        <f t="array" ref="B473">INDEX(GTA!$C$255:$ZZ$255, ROW(A39))</f>
        <v>0</v>
      </c>
      <c r="C473" s="135" t="s">
        <v>22</v>
      </c>
      <c r="D473" s="135">
        <v>16.649999999999999</v>
      </c>
      <c r="E473" s="314">
        <f t="shared" si="23"/>
        <v>0</v>
      </c>
      <c r="G473"/>
    </row>
    <row r="474" spans="1:7" ht="18" customHeight="1">
      <c r="A474" s="401" t="s">
        <v>403</v>
      </c>
      <c r="B474" s="135" cm="1">
        <f t="array" ref="B474">INDEX(GTA!$C$255:$ZZ$255, ROW(A40))</f>
        <v>0</v>
      </c>
      <c r="C474" s="135" t="s">
        <v>22</v>
      </c>
      <c r="D474" s="135">
        <v>16.649999999999999</v>
      </c>
      <c r="E474" s="314">
        <f t="shared" si="23"/>
        <v>0</v>
      </c>
      <c r="G474"/>
    </row>
    <row r="475" spans="1:7" ht="18" customHeight="1">
      <c r="A475" s="440"/>
      <c r="B475" s="419"/>
      <c r="C475" s="419"/>
      <c r="D475" s="419"/>
      <c r="E475" s="420"/>
      <c r="G475"/>
    </row>
    <row r="476" spans="1:7" ht="18" customHeight="1">
      <c r="A476" s="429" t="s">
        <v>404</v>
      </c>
      <c r="B476" s="415">
        <f>SUM(B434:B475)</f>
        <v>0</v>
      </c>
      <c r="C476" s="419"/>
      <c r="D476" s="419"/>
      <c r="E476" s="420"/>
      <c r="G476"/>
    </row>
    <row r="477" spans="1:7" ht="18" customHeight="1">
      <c r="A477" s="134"/>
      <c r="B477" s="135"/>
      <c r="C477" s="135"/>
      <c r="D477" s="135"/>
      <c r="E477" s="314"/>
      <c r="G477"/>
    </row>
    <row r="478" spans="1:7" ht="18" customHeight="1">
      <c r="A478" s="428" t="s">
        <v>405</v>
      </c>
      <c r="B478" s="419"/>
      <c r="C478" s="419"/>
      <c r="D478" s="419"/>
      <c r="E478" s="420"/>
      <c r="G478"/>
    </row>
    <row r="479" spans="1:7" ht="18" customHeight="1">
      <c r="A479" s="284" t="s">
        <v>7183</v>
      </c>
      <c r="B479" s="135" cm="1">
        <f t="array" ref="B479">INDEX(GTA!$C$273:$BZ$273, ROW(A1))</f>
        <v>14</v>
      </c>
      <c r="C479" s="135" t="s">
        <v>22</v>
      </c>
      <c r="D479" s="135">
        <v>16.649999999999999</v>
      </c>
      <c r="E479" s="314">
        <f t="shared" ref="E479:E541" si="24">B479*D479</f>
        <v>233.09999999999997</v>
      </c>
      <c r="F479" s="889" t="s">
        <v>405</v>
      </c>
      <c r="G479"/>
    </row>
    <row r="480" spans="1:7" ht="18" customHeight="1">
      <c r="A480" s="284" t="s">
        <v>7184</v>
      </c>
      <c r="B480" s="135" cm="1">
        <f t="array" ref="B480">INDEX(GTA!$C$273:$BZ$273, ROW(A2))</f>
        <v>6.5</v>
      </c>
      <c r="C480" s="135" t="s">
        <v>22</v>
      </c>
      <c r="D480" s="135">
        <v>16.649999999999999</v>
      </c>
      <c r="E480" s="314">
        <f t="shared" si="24"/>
        <v>108.22499999999999</v>
      </c>
      <c r="F480" s="889" t="s">
        <v>405</v>
      </c>
      <c r="G480"/>
    </row>
    <row r="481" spans="1:7" ht="18" customHeight="1">
      <c r="A481" s="284"/>
      <c r="B481" s="135" cm="1">
        <f t="array" ref="B481">INDEX(GTA!$C$273:$BZ$273, ROW(A3))</f>
        <v>0</v>
      </c>
      <c r="C481" s="135" t="s">
        <v>22</v>
      </c>
      <c r="D481" s="135">
        <v>16.649999999999999</v>
      </c>
      <c r="E481" s="314">
        <f t="shared" si="24"/>
        <v>0</v>
      </c>
      <c r="G481"/>
    </row>
    <row r="482" spans="1:7" ht="18" customHeight="1">
      <c r="A482" s="284"/>
      <c r="B482" s="135" cm="1">
        <f t="array" ref="B482">INDEX(GTA!$C$273:$BZ$273, ROW(A4))</f>
        <v>0</v>
      </c>
      <c r="C482" s="135" t="s">
        <v>22</v>
      </c>
      <c r="D482" s="135">
        <v>16.649999999999999</v>
      </c>
      <c r="E482" s="314">
        <f t="shared" si="24"/>
        <v>0</v>
      </c>
      <c r="G482"/>
    </row>
    <row r="483" spans="1:7" ht="18" customHeight="1">
      <c r="A483" s="284"/>
      <c r="B483" s="135" cm="1">
        <f t="array" ref="B483">INDEX(GTA!$C$273:$BZ$273, ROW(A5))</f>
        <v>0</v>
      </c>
      <c r="C483" s="135" t="s">
        <v>22</v>
      </c>
      <c r="D483" s="135">
        <v>16.649999999999999</v>
      </c>
      <c r="E483" s="314">
        <f t="shared" ref="E483:E488" si="25">B483*D483</f>
        <v>0</v>
      </c>
      <c r="G483"/>
    </row>
    <row r="484" spans="1:7" ht="18" customHeight="1">
      <c r="A484" s="284"/>
      <c r="B484" s="135" cm="1">
        <f t="array" ref="B484">INDEX(GTA!$C$273:$BZ$273, ROW(A6))</f>
        <v>0</v>
      </c>
      <c r="C484" s="135" t="s">
        <v>22</v>
      </c>
      <c r="D484" s="135">
        <v>16.649999999999999</v>
      </c>
      <c r="E484" s="314">
        <f t="shared" si="25"/>
        <v>0</v>
      </c>
      <c r="G484"/>
    </row>
    <row r="485" spans="1:7" ht="18" customHeight="1">
      <c r="A485" s="284"/>
      <c r="B485" s="135" cm="1">
        <f t="array" ref="B485">INDEX(GTA!$C$273:$BZ$273, ROW(A7))</f>
        <v>0</v>
      </c>
      <c r="C485" s="135" t="s">
        <v>22</v>
      </c>
      <c r="D485" s="135">
        <v>16.649999999999999</v>
      </c>
      <c r="E485" s="314">
        <f t="shared" si="25"/>
        <v>0</v>
      </c>
      <c r="G485"/>
    </row>
    <row r="486" spans="1:7" ht="18" customHeight="1">
      <c r="A486" s="284"/>
      <c r="B486" s="135" cm="1">
        <f t="array" ref="B486">INDEX(GTA!$C$273:$BZ$273, ROW(A8))</f>
        <v>0</v>
      </c>
      <c r="C486" s="135" t="s">
        <v>22</v>
      </c>
      <c r="D486" s="135">
        <v>16.649999999999999</v>
      </c>
      <c r="E486" s="314">
        <f t="shared" si="25"/>
        <v>0</v>
      </c>
      <c r="G486"/>
    </row>
    <row r="487" spans="1:7" ht="18" customHeight="1">
      <c r="A487" s="284"/>
      <c r="B487" s="135" cm="1">
        <f t="array" ref="B487">INDEX(GTA!$C$273:$BZ$273, ROW(A9))</f>
        <v>0</v>
      </c>
      <c r="C487" s="135" t="s">
        <v>22</v>
      </c>
      <c r="D487" s="135">
        <v>20</v>
      </c>
      <c r="E487" s="314">
        <f t="shared" si="25"/>
        <v>0</v>
      </c>
      <c r="G487"/>
    </row>
    <row r="488" spans="1:7" ht="18" customHeight="1">
      <c r="A488" s="284"/>
      <c r="B488" s="135" cm="1">
        <f t="array" ref="B488">INDEX(GTA!$C$273:$BZ$273, ROW(A10))</f>
        <v>0</v>
      </c>
      <c r="C488" s="135" t="s">
        <v>22</v>
      </c>
      <c r="D488" s="135">
        <v>16.649999999999999</v>
      </c>
      <c r="E488" s="314">
        <f t="shared" si="25"/>
        <v>0</v>
      </c>
      <c r="G488"/>
    </row>
    <row r="489" spans="1:7" ht="18" customHeight="1">
      <c r="A489" s="284"/>
      <c r="B489" s="135" cm="1">
        <f t="array" ref="B489">INDEX(GTA!$C$273:$BZ$273, ROW(A11))</f>
        <v>0</v>
      </c>
      <c r="C489" s="135" t="s">
        <v>22</v>
      </c>
      <c r="D489" s="135">
        <v>16.649999999999999</v>
      </c>
      <c r="E489" s="314">
        <f t="shared" si="24"/>
        <v>0</v>
      </c>
      <c r="G489" s="329"/>
    </row>
    <row r="490" spans="1:7" ht="18" customHeight="1">
      <c r="A490" s="284"/>
      <c r="B490" s="135" cm="1">
        <f t="array" ref="B490">INDEX(GTA!$C$273:$BZ$273, ROW(A12))</f>
        <v>0</v>
      </c>
      <c r="C490" s="135" t="s">
        <v>22</v>
      </c>
      <c r="D490" s="135">
        <v>16.649999999999999</v>
      </c>
      <c r="E490" s="314">
        <f t="shared" si="24"/>
        <v>0</v>
      </c>
      <c r="G490" s="329"/>
    </row>
    <row r="491" spans="1:7" ht="18" customHeight="1">
      <c r="A491" s="284"/>
      <c r="B491" s="135" cm="1">
        <f t="array" ref="B491">INDEX(GTA!$C$273:$BZ$273, ROW(A13))</f>
        <v>0</v>
      </c>
      <c r="C491" s="135" t="s">
        <v>22</v>
      </c>
      <c r="D491" s="135">
        <v>16.649999999999999</v>
      </c>
      <c r="E491" s="314">
        <f>B491*D491</f>
        <v>0</v>
      </c>
      <c r="G491" s="329"/>
    </row>
    <row r="492" spans="1:7" ht="18" customHeight="1">
      <c r="A492" s="284"/>
      <c r="B492" s="135" cm="1">
        <f t="array" ref="B492">INDEX(GTA!$C$273:$BZ$273, ROW(A14))</f>
        <v>0</v>
      </c>
      <c r="C492" s="135" t="s">
        <v>22</v>
      </c>
      <c r="D492" s="135">
        <v>16.649999999999999</v>
      </c>
      <c r="E492" s="314">
        <f>B492*D492</f>
        <v>0</v>
      </c>
      <c r="G492"/>
    </row>
    <row r="493" spans="1:7" ht="18" customHeight="1">
      <c r="A493" s="284"/>
      <c r="B493" s="135" cm="1">
        <f t="array" ref="B493">INDEX(GTA!$C$273:$BZ$273, ROW(A15))</f>
        <v>0</v>
      </c>
      <c r="C493" s="135" t="s">
        <v>22</v>
      </c>
      <c r="D493" s="135">
        <v>16.649999999999999</v>
      </c>
      <c r="E493" s="314">
        <f>B493*D493</f>
        <v>0</v>
      </c>
      <c r="G493"/>
    </row>
    <row r="494" spans="1:7" ht="18" customHeight="1">
      <c r="A494" s="398"/>
      <c r="B494" s="135" cm="1">
        <f t="array" ref="B494">INDEX(GTA!$C$273:$BZ$273, ROW(A16))</f>
        <v>0</v>
      </c>
      <c r="C494" s="135" t="s">
        <v>22</v>
      </c>
      <c r="D494" s="135">
        <v>16.649999999999999</v>
      </c>
      <c r="E494" s="314">
        <f t="shared" si="24"/>
        <v>0</v>
      </c>
      <c r="G494"/>
    </row>
    <row r="495" spans="1:7" ht="18" customHeight="1">
      <c r="A495" s="398"/>
      <c r="B495" s="135" cm="1">
        <f t="array" ref="B495">INDEX(GTA!$C$273:$BZ$273, ROW(A17))</f>
        <v>0</v>
      </c>
      <c r="C495" s="135" t="s">
        <v>22</v>
      </c>
      <c r="D495" s="135">
        <v>16.649999999999999</v>
      </c>
      <c r="E495" s="314">
        <f t="shared" si="24"/>
        <v>0</v>
      </c>
      <c r="G495"/>
    </row>
    <row r="496" spans="1:7" ht="18" customHeight="1">
      <c r="A496" s="398"/>
      <c r="B496" s="135" cm="1">
        <f t="array" ref="B496">INDEX(GTA!$C$273:$BZ$273, ROW(A18))</f>
        <v>0</v>
      </c>
      <c r="C496" s="135" t="s">
        <v>22</v>
      </c>
      <c r="D496" s="135">
        <v>16.649999999999999</v>
      </c>
      <c r="E496" s="314">
        <f>B496*D496</f>
        <v>0</v>
      </c>
      <c r="G496"/>
    </row>
    <row r="497" spans="1:7" ht="18" customHeight="1">
      <c r="A497" s="136"/>
      <c r="B497" s="135" cm="1">
        <f t="array" ref="B497">INDEX(GTA!$C$273:$BZ$273, ROW(A19))</f>
        <v>0</v>
      </c>
      <c r="C497" s="135" t="s">
        <v>22</v>
      </c>
      <c r="D497" s="135">
        <v>16.649999999999999</v>
      </c>
      <c r="E497" s="314">
        <f t="shared" si="24"/>
        <v>0</v>
      </c>
      <c r="G497"/>
    </row>
    <row r="498" spans="1:7" ht="18" customHeight="1">
      <c r="A498" s="134"/>
      <c r="B498" s="135" cm="1">
        <f t="array" ref="B498">INDEX(GTA!$C$273:$BZ$273, ROW(A20))</f>
        <v>0</v>
      </c>
      <c r="C498" s="135" t="s">
        <v>22</v>
      </c>
      <c r="D498" s="135">
        <v>16.649999999999999</v>
      </c>
      <c r="E498" s="314">
        <f t="shared" si="24"/>
        <v>0</v>
      </c>
      <c r="G498"/>
    </row>
    <row r="499" spans="1:7" ht="18" customHeight="1">
      <c r="A499" s="284"/>
      <c r="B499" s="135" cm="1">
        <f t="array" ref="B499">INDEX(GTA!$C$273:$BZ$273, ROW(A21))</f>
        <v>0</v>
      </c>
      <c r="C499" s="135" t="s">
        <v>22</v>
      </c>
      <c r="D499" s="135">
        <v>16.649999999999999</v>
      </c>
      <c r="E499" s="314">
        <f t="shared" si="24"/>
        <v>0</v>
      </c>
      <c r="G499"/>
    </row>
    <row r="500" spans="1:7" ht="18" customHeight="1">
      <c r="A500" s="284"/>
      <c r="B500" s="135" cm="1">
        <f t="array" ref="B500">INDEX(GTA!$C$273:$BZ$273, ROW(A22))</f>
        <v>0</v>
      </c>
      <c r="C500" s="135" t="s">
        <v>22</v>
      </c>
      <c r="D500" s="135">
        <v>16.649999999999999</v>
      </c>
      <c r="E500" s="314">
        <f t="shared" ref="E500:E505" si="26">B500*D500</f>
        <v>0</v>
      </c>
      <c r="G500"/>
    </row>
    <row r="501" spans="1:7" ht="18" customHeight="1">
      <c r="A501" s="284"/>
      <c r="B501" s="135" cm="1">
        <f t="array" ref="B501">INDEX(GTA!$C$273:$BZ$273, ROW(A23))</f>
        <v>0</v>
      </c>
      <c r="C501" s="135" t="s">
        <v>22</v>
      </c>
      <c r="D501" s="135">
        <v>16.649999999999999</v>
      </c>
      <c r="E501" s="314">
        <f t="shared" si="26"/>
        <v>0</v>
      </c>
      <c r="G501"/>
    </row>
    <row r="502" spans="1:7" ht="18" customHeight="1">
      <c r="A502" s="284"/>
      <c r="B502" s="135" cm="1">
        <f t="array" ref="B502">INDEX(GTA!$C$273:$BZ$273, ROW(A24))</f>
        <v>0</v>
      </c>
      <c r="C502" s="135" t="s">
        <v>22</v>
      </c>
      <c r="D502" s="135">
        <v>16.649999999999999</v>
      </c>
      <c r="E502" s="314">
        <f t="shared" si="26"/>
        <v>0</v>
      </c>
      <c r="G502"/>
    </row>
    <row r="503" spans="1:7" ht="18" customHeight="1">
      <c r="A503" s="284"/>
      <c r="B503" s="135" cm="1">
        <f t="array" ref="B503">INDEX(GTA!$C$273:$BZ$273, ROW(A25))</f>
        <v>0</v>
      </c>
      <c r="C503" s="135" t="s">
        <v>22</v>
      </c>
      <c r="D503" s="135">
        <v>16.649999999999999</v>
      </c>
      <c r="E503" s="314">
        <f t="shared" si="26"/>
        <v>0</v>
      </c>
      <c r="G503"/>
    </row>
    <row r="504" spans="1:7" ht="18" customHeight="1">
      <c r="A504" s="284"/>
      <c r="B504" s="135" cm="1">
        <f t="array" ref="B504">INDEX(GTA!$C$273:$BZ$273, ROW(A26))</f>
        <v>0</v>
      </c>
      <c r="C504" s="135" t="s">
        <v>22</v>
      </c>
      <c r="D504" s="135">
        <v>16.649999999999999</v>
      </c>
      <c r="E504" s="314">
        <f t="shared" si="26"/>
        <v>0</v>
      </c>
      <c r="G504"/>
    </row>
    <row r="505" spans="1:7" ht="18" customHeight="1">
      <c r="A505" s="284"/>
      <c r="B505" s="135" cm="1">
        <f t="array" ref="B505">INDEX(GTA!$C$273:$BZ$273, ROW(A27))</f>
        <v>0</v>
      </c>
      <c r="C505" s="135" t="s">
        <v>22</v>
      </c>
      <c r="D505" s="135">
        <v>16.649999999999999</v>
      </c>
      <c r="E505" s="314">
        <f t="shared" si="26"/>
        <v>0</v>
      </c>
      <c r="G505"/>
    </row>
    <row r="506" spans="1:7" ht="18" customHeight="1">
      <c r="A506" s="284"/>
      <c r="B506" s="135" cm="1">
        <f t="array" ref="B506">INDEX(GTA!$C$273:$BZ$273, ROW(A28))</f>
        <v>0</v>
      </c>
      <c r="C506" s="135" t="s">
        <v>22</v>
      </c>
      <c r="D506" s="135">
        <v>16.649999999999999</v>
      </c>
      <c r="E506" s="314">
        <f t="shared" si="24"/>
        <v>0</v>
      </c>
      <c r="G506"/>
    </row>
    <row r="507" spans="1:7" ht="18" customHeight="1">
      <c r="A507" s="284"/>
      <c r="B507" s="135" cm="1">
        <f t="array" ref="B507">INDEX(GTA!$C$273:$BZ$273, ROW(A29))</f>
        <v>0</v>
      </c>
      <c r="C507" s="135" t="s">
        <v>22</v>
      </c>
      <c r="D507" s="135">
        <v>16.649999999999999</v>
      </c>
      <c r="E507" s="314">
        <f>B507*D507</f>
        <v>0</v>
      </c>
      <c r="G507"/>
    </row>
    <row r="508" spans="1:7" ht="18" customHeight="1">
      <c r="A508" s="136"/>
      <c r="B508" s="135" cm="1">
        <f t="array" ref="B508">INDEX(GTA!$C$273:$BZ$273, ROW(A30))</f>
        <v>0</v>
      </c>
      <c r="C508" s="135" t="s">
        <v>22</v>
      </c>
      <c r="D508" s="135">
        <v>16.649999999999999</v>
      </c>
      <c r="E508" s="314">
        <f t="shared" ref="E508" si="27">B508*D508</f>
        <v>0</v>
      </c>
      <c r="G508"/>
    </row>
    <row r="509" spans="1:7" ht="18" customHeight="1">
      <c r="A509" s="136"/>
      <c r="B509" s="135" cm="1">
        <f t="array" ref="B509">INDEX(GTA!$C$273:$BZ$273, ROW(A31))</f>
        <v>0</v>
      </c>
      <c r="C509" s="135" t="s">
        <v>22</v>
      </c>
      <c r="D509" s="135">
        <v>16.649999999999999</v>
      </c>
      <c r="E509" s="314">
        <f>B509*D509</f>
        <v>0</v>
      </c>
      <c r="G509"/>
    </row>
    <row r="510" spans="1:7" ht="18" customHeight="1">
      <c r="A510" s="284"/>
      <c r="B510" s="135" cm="1">
        <f t="array" ref="B510">INDEX(GTA!$C$273:$BZ$273, ROW(A32))</f>
        <v>0</v>
      </c>
      <c r="C510" s="135" t="s">
        <v>22</v>
      </c>
      <c r="D510" s="135">
        <v>16.649999999999999</v>
      </c>
      <c r="E510" s="314">
        <f>B510*D510</f>
        <v>0</v>
      </c>
      <c r="G510"/>
    </row>
    <row r="511" spans="1:7" ht="18" customHeight="1">
      <c r="A511" s="136"/>
      <c r="B511" s="135" cm="1">
        <f t="array" ref="B511">INDEX(GTA!$C$273:$BZ$273, ROW(A33))</f>
        <v>0</v>
      </c>
      <c r="C511" s="135" t="s">
        <v>22</v>
      </c>
      <c r="D511" s="135">
        <v>16.649999999999999</v>
      </c>
      <c r="E511" s="314">
        <f t="shared" si="24"/>
        <v>0</v>
      </c>
      <c r="G511"/>
    </row>
    <row r="512" spans="1:7" ht="18" customHeight="1">
      <c r="A512" s="136"/>
      <c r="B512" s="135" cm="1">
        <f t="array" ref="B512">INDEX(GTA!$C$273:$BZ$273, ROW(A34))</f>
        <v>0</v>
      </c>
      <c r="C512" s="135" t="s">
        <v>22</v>
      </c>
      <c r="D512" s="135">
        <v>16.649999999999999</v>
      </c>
      <c r="E512" s="314">
        <f>B512*D512</f>
        <v>0</v>
      </c>
      <c r="G512"/>
    </row>
    <row r="513" spans="1:7" ht="18" customHeight="1">
      <c r="A513" s="136"/>
      <c r="B513" s="135" cm="1">
        <f t="array" ref="B513">INDEX(GTA!$C$273:$BZ$273, ROW(A35))</f>
        <v>0</v>
      </c>
      <c r="C513" s="135" t="s">
        <v>22</v>
      </c>
      <c r="D513" s="135">
        <v>16.649999999999999</v>
      </c>
      <c r="E513" s="314">
        <f t="shared" si="24"/>
        <v>0</v>
      </c>
      <c r="G513"/>
    </row>
    <row r="514" spans="1:7" ht="18" customHeight="1">
      <c r="A514" s="284"/>
      <c r="B514" s="135" cm="1">
        <f t="array" ref="B514">INDEX(GTA!$C$273:$BZ$273, ROW(A36))</f>
        <v>0</v>
      </c>
      <c r="C514" s="135" t="s">
        <v>22</v>
      </c>
      <c r="D514" s="135">
        <v>16.649999999999999</v>
      </c>
      <c r="E514" s="314">
        <f t="shared" si="24"/>
        <v>0</v>
      </c>
      <c r="G514"/>
    </row>
    <row r="515" spans="1:7" ht="18" customHeight="1">
      <c r="A515" s="284"/>
      <c r="B515" s="135" cm="1">
        <f t="array" ref="B515">INDEX(GTA!$C$273:$BZ$273, ROW(A37))</f>
        <v>0</v>
      </c>
      <c r="C515" s="135" t="s">
        <v>22</v>
      </c>
      <c r="D515" s="135">
        <v>16.649999999999999</v>
      </c>
      <c r="E515" s="314">
        <f t="shared" si="24"/>
        <v>0</v>
      </c>
      <c r="G515"/>
    </row>
    <row r="516" spans="1:7" ht="18" customHeight="1">
      <c r="A516" s="284"/>
      <c r="B516" s="135" cm="1">
        <f t="array" ref="B516">INDEX(GTA!$C$273:$BZ$273, ROW(A38))</f>
        <v>0</v>
      </c>
      <c r="C516" s="135" t="s">
        <v>22</v>
      </c>
      <c r="D516" s="135">
        <v>16.649999999999999</v>
      </c>
      <c r="E516" s="314">
        <f t="shared" si="24"/>
        <v>0</v>
      </c>
      <c r="G516"/>
    </row>
    <row r="517" spans="1:7" ht="18" customHeight="1">
      <c r="A517" s="284"/>
      <c r="B517" s="135" cm="1">
        <f t="array" ref="B517">INDEX(GTA!$C$273:$BZ$273, ROW(A39))</f>
        <v>0</v>
      </c>
      <c r="C517" s="135" t="s">
        <v>22</v>
      </c>
      <c r="D517" s="135">
        <v>16.649999999999999</v>
      </c>
      <c r="E517" s="314">
        <f t="shared" si="24"/>
        <v>0</v>
      </c>
      <c r="G517"/>
    </row>
    <row r="518" spans="1:7" ht="18" customHeight="1">
      <c r="A518" s="284"/>
      <c r="B518" s="135" cm="1">
        <f t="array" ref="B518">INDEX(GTA!$C$273:$BZ$273, ROW(A40))</f>
        <v>0</v>
      </c>
      <c r="C518" s="135" t="s">
        <v>22</v>
      </c>
      <c r="D518" s="135">
        <v>16.649999999999999</v>
      </c>
      <c r="E518" s="314">
        <f>B518*D518</f>
        <v>0</v>
      </c>
      <c r="G518"/>
    </row>
    <row r="519" spans="1:7" ht="18" customHeight="1">
      <c r="A519" s="136"/>
      <c r="B519" s="135" cm="1">
        <f t="array" ref="B519">INDEX(GTA!$C$273:$BZ$273, ROW(A41))</f>
        <v>0</v>
      </c>
      <c r="C519" s="135" t="s">
        <v>22</v>
      </c>
      <c r="D519" s="135">
        <v>16.649999999999999</v>
      </c>
      <c r="E519" s="314">
        <f t="shared" si="24"/>
        <v>0</v>
      </c>
      <c r="G519"/>
    </row>
    <row r="520" spans="1:7" ht="18" customHeight="1">
      <c r="A520" s="284"/>
      <c r="B520" s="135" cm="1">
        <f t="array" ref="B520">INDEX(GTA!$C$273:$BZ$273, ROW(A42))</f>
        <v>0</v>
      </c>
      <c r="C520" s="135" t="s">
        <v>22</v>
      </c>
      <c r="D520" s="135">
        <v>16.649999999999999</v>
      </c>
      <c r="E520" s="314">
        <f t="shared" si="24"/>
        <v>0</v>
      </c>
      <c r="G520"/>
    </row>
    <row r="521" spans="1:7" ht="18" customHeight="1">
      <c r="A521" s="398"/>
      <c r="B521" s="135" cm="1">
        <f t="array" ref="B521">INDEX(GTA!$C$273:$BZ$273, ROW(A43))</f>
        <v>0</v>
      </c>
      <c r="C521" s="135" t="s">
        <v>22</v>
      </c>
      <c r="D521" s="135">
        <v>16.649999999999999</v>
      </c>
      <c r="E521" s="314">
        <f t="shared" si="24"/>
        <v>0</v>
      </c>
      <c r="G521"/>
    </row>
    <row r="522" spans="1:7" ht="18" customHeight="1">
      <c r="A522" s="284"/>
      <c r="B522" s="135" cm="1">
        <f t="array" ref="B522">INDEX(GTA!$C$273:$BZ$273, ROW(A44))</f>
        <v>0</v>
      </c>
      <c r="C522" s="135" t="s">
        <v>22</v>
      </c>
      <c r="D522" s="135">
        <v>16.649999999999999</v>
      </c>
      <c r="E522" s="314">
        <f t="shared" si="24"/>
        <v>0</v>
      </c>
      <c r="G522"/>
    </row>
    <row r="523" spans="1:7" ht="18" customHeight="1">
      <c r="A523" s="284"/>
      <c r="B523" s="135" cm="1">
        <f t="array" ref="B523">INDEX(GTA!$C$273:$BZ$273, ROW(A45))</f>
        <v>0</v>
      </c>
      <c r="C523" s="135" t="s">
        <v>22</v>
      </c>
      <c r="D523" s="135">
        <v>16.649999999999999</v>
      </c>
      <c r="E523" s="314">
        <f t="shared" si="24"/>
        <v>0</v>
      </c>
      <c r="G523"/>
    </row>
    <row r="524" spans="1:7" ht="18" customHeight="1">
      <c r="A524" s="134"/>
      <c r="B524" s="135" cm="1">
        <f t="array" ref="B524">INDEX(GTA!$C$273:$BZ$273, ROW(A46))</f>
        <v>0</v>
      </c>
      <c r="C524" s="135" t="s">
        <v>22</v>
      </c>
      <c r="D524" s="135">
        <v>16.649999999999999</v>
      </c>
      <c r="E524" s="314">
        <f t="shared" si="24"/>
        <v>0</v>
      </c>
      <c r="G524"/>
    </row>
    <row r="525" spans="1:7" ht="18" customHeight="1">
      <c r="A525" s="398"/>
      <c r="B525" s="135" cm="1">
        <f t="array" ref="B525">INDEX(GTA!$C$273:$BZ$273, ROW(A47))</f>
        <v>0</v>
      </c>
      <c r="C525" s="135" t="s">
        <v>22</v>
      </c>
      <c r="D525" s="135">
        <v>16.649999999999999</v>
      </c>
      <c r="E525" s="314">
        <f t="shared" si="24"/>
        <v>0</v>
      </c>
      <c r="G525"/>
    </row>
    <row r="526" spans="1:7" ht="18" customHeight="1">
      <c r="A526" s="398"/>
      <c r="B526" s="135" cm="1">
        <f t="array" ref="B526">INDEX(GTA!$C$273:$BZ$273, ROW(A48))</f>
        <v>0</v>
      </c>
      <c r="C526" s="135" t="s">
        <v>22</v>
      </c>
      <c r="D526" s="135">
        <v>16.649999999999999</v>
      </c>
      <c r="E526" s="314">
        <f>B526*D526</f>
        <v>0</v>
      </c>
      <c r="G526"/>
    </row>
    <row r="527" spans="1:7" ht="18" customHeight="1">
      <c r="A527" s="136"/>
      <c r="B527" s="135" cm="1">
        <f t="array" ref="B527">INDEX(GTA!$C$273:$BZ$273, ROW(A49))</f>
        <v>0</v>
      </c>
      <c r="C527" s="135" t="s">
        <v>22</v>
      </c>
      <c r="D527" s="135">
        <v>16.649999999999999</v>
      </c>
      <c r="E527" s="314">
        <f t="shared" si="24"/>
        <v>0</v>
      </c>
      <c r="G527"/>
    </row>
    <row r="528" spans="1:7" ht="18" customHeight="1">
      <c r="A528" s="136"/>
      <c r="B528" s="135" cm="1">
        <f t="array" ref="B528">INDEX(GTA!$C$273:$BZ$273, ROW(A50))</f>
        <v>0</v>
      </c>
      <c r="C528" s="135" t="s">
        <v>22</v>
      </c>
      <c r="D528" s="135">
        <v>16.649999999999999</v>
      </c>
      <c r="E528" s="314">
        <f t="shared" si="24"/>
        <v>0</v>
      </c>
      <c r="G528"/>
    </row>
    <row r="529" spans="1:7" ht="18" customHeight="1">
      <c r="A529" s="136"/>
      <c r="B529" s="135" cm="1">
        <f t="array" ref="B529">INDEX(GTA!$C$273:$BZ$273, ROW(A51))</f>
        <v>0</v>
      </c>
      <c r="C529" s="135" t="s">
        <v>22</v>
      </c>
      <c r="D529" s="135">
        <v>16.649999999999999</v>
      </c>
      <c r="E529" s="314">
        <f>B529*D529</f>
        <v>0</v>
      </c>
      <c r="G529"/>
    </row>
    <row r="530" spans="1:7" ht="18" customHeight="1">
      <c r="A530" s="136"/>
      <c r="B530" s="135" cm="1">
        <f t="array" ref="B530">INDEX(GTA!$C$273:$BZ$273, ROW(A52))</f>
        <v>0</v>
      </c>
      <c r="C530" s="135" t="s">
        <v>22</v>
      </c>
      <c r="D530" s="135">
        <v>16.649999999999999</v>
      </c>
      <c r="E530" s="314">
        <f>B530*D530</f>
        <v>0</v>
      </c>
      <c r="G530"/>
    </row>
    <row r="531" spans="1:7" ht="18" customHeight="1">
      <c r="A531" s="136"/>
      <c r="B531" s="135" cm="1">
        <f t="array" ref="B531">INDEX(GTA!$C$273:$BZ$273, ROW(A53))</f>
        <v>0</v>
      </c>
      <c r="C531" s="135" t="s">
        <v>22</v>
      </c>
      <c r="D531" s="135">
        <v>16.649999999999999</v>
      </c>
      <c r="E531" s="314">
        <f>B531*D531</f>
        <v>0</v>
      </c>
      <c r="G531"/>
    </row>
    <row r="532" spans="1:7" ht="18" customHeight="1">
      <c r="A532" s="284"/>
      <c r="B532" s="135" cm="1">
        <f t="array" ref="B532">INDEX(GTA!$C$273:$BZ$273, ROW(A54))</f>
        <v>0</v>
      </c>
      <c r="C532" s="135" t="s">
        <v>22</v>
      </c>
      <c r="D532" s="135">
        <v>16.649999999999999</v>
      </c>
      <c r="E532" s="314">
        <f t="shared" si="24"/>
        <v>0</v>
      </c>
      <c r="G532"/>
    </row>
    <row r="533" spans="1:7" ht="18" customHeight="1">
      <c r="A533" s="284"/>
      <c r="B533" s="135" cm="1">
        <f t="array" ref="B533">INDEX(GTA!$C$273:$BZ$273, ROW(A55))</f>
        <v>0</v>
      </c>
      <c r="C533" s="135" t="s">
        <v>22</v>
      </c>
      <c r="D533" s="135">
        <v>16.649999999999999</v>
      </c>
      <c r="E533" s="314">
        <f>B533*D533</f>
        <v>0</v>
      </c>
      <c r="G533"/>
    </row>
    <row r="534" spans="1:7" ht="18" customHeight="1">
      <c r="A534" s="284"/>
      <c r="B534" s="135" cm="1">
        <f t="array" ref="B534">INDEX(GTA!$C$273:$BZ$273, ROW(A56))</f>
        <v>0</v>
      </c>
      <c r="C534" s="135" t="s">
        <v>22</v>
      </c>
      <c r="D534" s="135">
        <v>16.649999999999999</v>
      </c>
      <c r="E534" s="314">
        <f>B534*D534</f>
        <v>0</v>
      </c>
      <c r="G534"/>
    </row>
    <row r="535" spans="1:7" ht="18" customHeight="1">
      <c r="A535" s="284"/>
      <c r="B535" s="135" cm="1">
        <f t="array" ref="B535">INDEX(GTA!$C$273:$BZ$273, ROW(A57))</f>
        <v>0</v>
      </c>
      <c r="C535" s="135" t="s">
        <v>22</v>
      </c>
      <c r="D535" s="135">
        <v>16.649999999999999</v>
      </c>
      <c r="E535" s="314">
        <f t="shared" si="24"/>
        <v>0</v>
      </c>
      <c r="G535"/>
    </row>
    <row r="536" spans="1:7" ht="18" customHeight="1">
      <c r="A536" s="134"/>
      <c r="B536" s="135" cm="1">
        <f t="array" ref="B536">INDEX(GTA!$C$273:$BZ$273, ROW(A58))</f>
        <v>0</v>
      </c>
      <c r="C536" s="135" t="s">
        <v>22</v>
      </c>
      <c r="D536" s="135">
        <v>16.649999999999999</v>
      </c>
      <c r="E536" s="314">
        <f t="shared" si="24"/>
        <v>0</v>
      </c>
      <c r="G536"/>
    </row>
    <row r="537" spans="1:7" ht="18" customHeight="1">
      <c r="A537" s="284"/>
      <c r="B537" s="135" cm="1">
        <f t="array" ref="B537">INDEX(GTA!$C$273:$BZ$273, ROW(A59))</f>
        <v>0</v>
      </c>
      <c r="C537" s="135" t="s">
        <v>22</v>
      </c>
      <c r="D537" s="135">
        <v>16.649999999999999</v>
      </c>
      <c r="E537" s="314">
        <f t="shared" si="24"/>
        <v>0</v>
      </c>
      <c r="G537"/>
    </row>
    <row r="538" spans="1:7" ht="18" customHeight="1">
      <c r="A538" s="284"/>
      <c r="B538" s="135" cm="1">
        <f t="array" ref="B538">INDEX(GTA!$C$273:$BZ$273, ROW(A60))</f>
        <v>0</v>
      </c>
      <c r="C538" s="135" t="s">
        <v>22</v>
      </c>
      <c r="D538" s="135">
        <v>16.649999999999999</v>
      </c>
      <c r="E538" s="314">
        <f>B538*D538</f>
        <v>0</v>
      </c>
      <c r="G538"/>
    </row>
    <row r="539" spans="1:7" ht="18" customHeight="1">
      <c r="A539" s="284"/>
      <c r="B539" s="135" cm="1">
        <f t="array" ref="B539">INDEX(GTA!$C$273:$BZ$273, ROW(A61))</f>
        <v>0</v>
      </c>
      <c r="C539" s="135" t="s">
        <v>22</v>
      </c>
      <c r="D539" s="135">
        <v>16.649999999999999</v>
      </c>
      <c r="E539" s="314">
        <f>B539*D539</f>
        <v>0</v>
      </c>
      <c r="G539"/>
    </row>
    <row r="540" spans="1:7" ht="18" customHeight="1">
      <c r="A540" s="284"/>
      <c r="B540" s="135" cm="1">
        <f t="array" ref="B540">INDEX(GTA!$C$273:$BZ$273, ROW(A62))</f>
        <v>0</v>
      </c>
      <c r="C540" s="135" t="s">
        <v>22</v>
      </c>
      <c r="D540" s="135">
        <v>16.649999999999999</v>
      </c>
      <c r="E540" s="314">
        <v>0</v>
      </c>
      <c r="G540"/>
    </row>
    <row r="541" spans="1:7" ht="18" customHeight="1">
      <c r="A541" s="284"/>
      <c r="B541" s="135" cm="1">
        <f t="array" ref="B541">INDEX(GTA!$C$273:$BZ$273, ROW(A63))</f>
        <v>0</v>
      </c>
      <c r="C541" s="135" t="s">
        <v>22</v>
      </c>
      <c r="D541" s="135">
        <v>16.649999999999999</v>
      </c>
      <c r="E541" s="314">
        <f t="shared" si="24"/>
        <v>0</v>
      </c>
      <c r="G541"/>
    </row>
    <row r="542" spans="1:7" ht="18" customHeight="1">
      <c r="A542" s="438"/>
      <c r="B542" s="419"/>
      <c r="C542" s="419"/>
      <c r="D542" s="419"/>
      <c r="E542" s="420"/>
      <c r="G542"/>
    </row>
    <row r="543" spans="1:7" ht="18" customHeight="1">
      <c r="A543" s="428" t="s">
        <v>434</v>
      </c>
      <c r="B543" s="415">
        <f>SUM(B478:B542)</f>
        <v>20.5</v>
      </c>
      <c r="C543" s="419"/>
      <c r="D543" s="419"/>
      <c r="E543" s="420"/>
      <c r="G543"/>
    </row>
    <row r="544" spans="1:7" ht="18" customHeight="1">
      <c r="A544" s="284"/>
      <c r="B544" s="135"/>
      <c r="C544" s="135"/>
      <c r="D544" s="135"/>
      <c r="E544" s="314"/>
      <c r="G544"/>
    </row>
    <row r="545" spans="1:7" ht="18" customHeight="1">
      <c r="A545" s="428" t="s">
        <v>435</v>
      </c>
      <c r="B545" s="419"/>
      <c r="C545" s="419"/>
      <c r="D545" s="419"/>
      <c r="E545" s="420"/>
      <c r="G545"/>
    </row>
    <row r="546" spans="1:7" ht="18" customHeight="1">
      <c r="A546" s="284" t="s">
        <v>386</v>
      </c>
      <c r="B546" s="135">
        <f>GTA!C291</f>
        <v>0</v>
      </c>
      <c r="C546" s="135" t="s">
        <v>22</v>
      </c>
      <c r="D546" s="135">
        <v>16.649999999999999</v>
      </c>
      <c r="E546" s="314">
        <f>B546*D546</f>
        <v>0</v>
      </c>
      <c r="G546"/>
    </row>
    <row r="547" spans="1:7" ht="18" customHeight="1">
      <c r="A547" s="284" t="s">
        <v>2312</v>
      </c>
      <c r="B547" s="135">
        <f>GTA!D291</f>
        <v>0</v>
      </c>
      <c r="C547" s="135" t="s">
        <v>22</v>
      </c>
      <c r="D547" s="135">
        <v>16.649999999999999</v>
      </c>
      <c r="E547" s="314">
        <f>B547*D547</f>
        <v>0</v>
      </c>
      <c r="G547"/>
    </row>
    <row r="548" spans="1:7" ht="18" customHeight="1">
      <c r="A548" s="284" t="s">
        <v>393</v>
      </c>
      <c r="B548" s="135">
        <f>GTA!E291</f>
        <v>0</v>
      </c>
      <c r="C548" s="135" t="s">
        <v>22</v>
      </c>
      <c r="D548" s="135">
        <v>16.649999999999999</v>
      </c>
      <c r="E548" s="314">
        <f>B548*D548</f>
        <v>0</v>
      </c>
      <c r="G548"/>
    </row>
    <row r="549" spans="1:7" ht="18" customHeight="1">
      <c r="A549" s="284" t="s">
        <v>437</v>
      </c>
      <c r="B549" s="135">
        <f>GTA!F291</f>
        <v>0</v>
      </c>
      <c r="C549" s="135" t="s">
        <v>22</v>
      </c>
      <c r="D549" s="135">
        <v>16.649999999999999</v>
      </c>
      <c r="E549" s="314">
        <f>B549*D549</f>
        <v>0</v>
      </c>
      <c r="G549"/>
    </row>
    <row r="550" spans="1:7" ht="18" customHeight="1">
      <c r="A550" s="284" t="s">
        <v>431</v>
      </c>
      <c r="B550" s="135">
        <f>GTA!G291</f>
        <v>0</v>
      </c>
      <c r="C550" s="135" t="s">
        <v>22</v>
      </c>
      <c r="D550" s="135">
        <v>16.649999999999999</v>
      </c>
      <c r="E550" s="314">
        <f>B550*D550</f>
        <v>0</v>
      </c>
      <c r="G550"/>
    </row>
    <row r="551" spans="1:7" ht="18" customHeight="1">
      <c r="A551" s="438"/>
      <c r="B551" s="419"/>
      <c r="C551" s="419"/>
      <c r="D551" s="419"/>
      <c r="E551" s="420"/>
      <c r="G551"/>
    </row>
    <row r="552" spans="1:7" ht="18" customHeight="1">
      <c r="A552" s="428" t="s">
        <v>435</v>
      </c>
      <c r="B552" s="415">
        <f>SUM(B545:B551)</f>
        <v>0</v>
      </c>
      <c r="C552" s="419"/>
      <c r="D552" s="419"/>
      <c r="E552" s="420"/>
      <c r="G552"/>
    </row>
    <row r="553" spans="1:7" ht="18" customHeight="1">
      <c r="A553" s="284"/>
      <c r="B553" s="135"/>
      <c r="C553" s="135"/>
      <c r="D553" s="135"/>
      <c r="E553" s="314"/>
      <c r="G553"/>
    </row>
    <row r="554" spans="1:7" ht="18" customHeight="1">
      <c r="A554" s="428" t="s">
        <v>438</v>
      </c>
      <c r="B554" s="419"/>
      <c r="C554" s="419"/>
      <c r="D554" s="419"/>
      <c r="E554" s="420"/>
      <c r="G554"/>
    </row>
    <row r="555" spans="1:7" ht="18" customHeight="1">
      <c r="A555" s="284" t="s">
        <v>439</v>
      </c>
      <c r="B555" s="135">
        <f>'OUTSIDE GTA'!C215</f>
        <v>0</v>
      </c>
      <c r="C555" s="135" t="s">
        <v>22</v>
      </c>
      <c r="D555" s="135">
        <v>18</v>
      </c>
      <c r="E555" s="314">
        <f>B555*D555</f>
        <v>0</v>
      </c>
      <c r="G555"/>
    </row>
    <row r="556" spans="1:7" ht="18" customHeight="1">
      <c r="A556" s="438"/>
      <c r="B556" s="419"/>
      <c r="C556" s="419"/>
      <c r="D556" s="419"/>
      <c r="E556" s="420"/>
      <c r="G556"/>
    </row>
    <row r="557" spans="1:7" ht="18" customHeight="1">
      <c r="A557" s="428" t="s">
        <v>438</v>
      </c>
      <c r="B557" s="415">
        <f>SUM(B554:B556)</f>
        <v>0</v>
      </c>
      <c r="C557" s="419"/>
      <c r="D557" s="419"/>
      <c r="E557" s="420"/>
      <c r="G557"/>
    </row>
    <row r="558" spans="1:7" ht="18" customHeight="1">
      <c r="A558" s="284"/>
      <c r="B558" s="135"/>
      <c r="C558" s="135"/>
      <c r="D558" s="135"/>
      <c r="E558" s="314"/>
      <c r="G558"/>
    </row>
    <row r="559" spans="1:7" ht="18" customHeight="1">
      <c r="A559" s="418" t="s">
        <v>440</v>
      </c>
      <c r="B559" s="419"/>
      <c r="C559" s="419"/>
      <c r="D559" s="419"/>
      <c r="E559" s="420"/>
      <c r="G559"/>
    </row>
    <row r="560" spans="1:7" ht="18" customHeight="1">
      <c r="A560" s="284" t="str">
        <f>GTA!C24</f>
        <v>Andrew Verches</v>
      </c>
      <c r="B560" s="135">
        <f>GTA!C39</f>
        <v>82</v>
      </c>
      <c r="C560" s="135" t="s">
        <v>22</v>
      </c>
      <c r="D560" s="135">
        <v>16.649999999999999</v>
      </c>
      <c r="E560" s="314">
        <f t="shared" ref="E560:E575" si="28">B560*D560</f>
        <v>1365.3</v>
      </c>
      <c r="F560" s="889" t="s">
        <v>440</v>
      </c>
      <c r="G560"/>
    </row>
    <row r="561" spans="1:7" ht="18" customHeight="1">
      <c r="A561" s="284" t="str">
        <f>GTA!D24</f>
        <v>Paxson Intal Figueroa</v>
      </c>
      <c r="B561" s="135">
        <f>GTA!D39</f>
        <v>78.5</v>
      </c>
      <c r="C561" s="135" t="s">
        <v>22</v>
      </c>
      <c r="D561" s="135">
        <v>16.649999999999999</v>
      </c>
      <c r="E561" s="314">
        <f t="shared" si="28"/>
        <v>1307.0249999999999</v>
      </c>
      <c r="F561" s="889" t="s">
        <v>440</v>
      </c>
      <c r="G561"/>
    </row>
    <row r="562" spans="1:7" ht="18" customHeight="1">
      <c r="A562" s="967"/>
      <c r="B562" s="135">
        <f>GTA!E39</f>
        <v>0</v>
      </c>
      <c r="C562" s="135" t="s">
        <v>22</v>
      </c>
      <c r="D562" s="135">
        <v>16.649999999999999</v>
      </c>
      <c r="E562" s="314">
        <f t="shared" si="28"/>
        <v>0</v>
      </c>
      <c r="G562"/>
    </row>
    <row r="563" spans="1:7" ht="18" customHeight="1">
      <c r="A563" s="134"/>
      <c r="B563" s="135">
        <f>GTA!H39</f>
        <v>0</v>
      </c>
      <c r="C563" s="135" t="s">
        <v>22</v>
      </c>
      <c r="D563" s="135">
        <v>16.649999999999999</v>
      </c>
      <c r="E563" s="314">
        <f>B563*D563</f>
        <v>0</v>
      </c>
      <c r="G563"/>
    </row>
    <row r="564" spans="1:7" ht="18" customHeight="1">
      <c r="A564" s="134"/>
      <c r="B564" s="135"/>
      <c r="C564" s="135" t="s">
        <v>22</v>
      </c>
      <c r="D564" s="135">
        <v>16.649999999999999</v>
      </c>
      <c r="E564" s="314">
        <f t="shared" si="28"/>
        <v>0</v>
      </c>
      <c r="G564"/>
    </row>
    <row r="565" spans="1:7" ht="18" customHeight="1">
      <c r="A565" s="134"/>
      <c r="B565" s="135">
        <f>GTA!K39</f>
        <v>0</v>
      </c>
      <c r="C565" s="135" t="s">
        <v>22</v>
      </c>
      <c r="D565" s="135">
        <v>16.649999999999999</v>
      </c>
      <c r="E565" s="314">
        <f>B565*D565</f>
        <v>0</v>
      </c>
      <c r="G565"/>
    </row>
    <row r="566" spans="1:7" ht="18" customHeight="1">
      <c r="A566" s="134"/>
      <c r="B566" s="135">
        <f>GTA!L39</f>
        <v>0</v>
      </c>
      <c r="C566" s="135" t="s">
        <v>22</v>
      </c>
      <c r="D566" s="135">
        <v>16.649999999999999</v>
      </c>
      <c r="E566" s="314">
        <f>B566*D566</f>
        <v>0</v>
      </c>
      <c r="G566"/>
    </row>
    <row r="567" spans="1:7" ht="18" customHeight="1">
      <c r="A567" s="134"/>
      <c r="B567" s="347">
        <f>GTA!J39</f>
        <v>0</v>
      </c>
      <c r="C567" s="347" t="s">
        <v>22</v>
      </c>
      <c r="D567" s="347">
        <v>16.649999999999999</v>
      </c>
      <c r="E567" s="298">
        <f>D567*B567</f>
        <v>0</v>
      </c>
      <c r="G567"/>
    </row>
    <row r="568" spans="1:7" ht="18" customHeight="1">
      <c r="A568" s="134"/>
      <c r="B568" s="135">
        <f>GTA!N39</f>
        <v>0</v>
      </c>
      <c r="C568" s="135" t="s">
        <v>22</v>
      </c>
      <c r="D568" s="135">
        <v>16.649999999999999</v>
      </c>
      <c r="E568" s="314">
        <f t="shared" si="28"/>
        <v>0</v>
      </c>
      <c r="G568"/>
    </row>
    <row r="569" spans="1:7" ht="18" customHeight="1">
      <c r="A569" s="134"/>
      <c r="B569" s="135"/>
      <c r="C569" s="135" t="s">
        <v>22</v>
      </c>
      <c r="D569" s="135">
        <v>16.649999999999999</v>
      </c>
      <c r="E569" s="314">
        <f t="shared" si="28"/>
        <v>0</v>
      </c>
      <c r="G569"/>
    </row>
    <row r="570" spans="1:7" ht="18" customHeight="1">
      <c r="A570" s="134"/>
      <c r="B570" s="135">
        <f>GTA!Q39</f>
        <v>0</v>
      </c>
      <c r="C570" s="135" t="s">
        <v>22</v>
      </c>
      <c r="D570" s="135">
        <v>16.649999999999999</v>
      </c>
      <c r="E570" s="314">
        <f t="shared" si="28"/>
        <v>0</v>
      </c>
      <c r="G570"/>
    </row>
    <row r="571" spans="1:7" ht="18" customHeight="1">
      <c r="A571" s="134"/>
      <c r="B571" s="135">
        <f>GTA!R39</f>
        <v>0</v>
      </c>
      <c r="C571" s="135" t="s">
        <v>22</v>
      </c>
      <c r="D571" s="135">
        <v>16.649999999999999</v>
      </c>
      <c r="E571" s="314">
        <f t="shared" si="28"/>
        <v>0</v>
      </c>
      <c r="G571"/>
    </row>
    <row r="572" spans="1:7" ht="18" customHeight="1">
      <c r="A572" s="134"/>
      <c r="B572" s="135">
        <f>GTA!G39</f>
        <v>0</v>
      </c>
      <c r="C572" s="135" t="s">
        <v>22</v>
      </c>
      <c r="D572" s="135">
        <v>16.649999999999999</v>
      </c>
      <c r="E572" s="314">
        <f>B572*D572</f>
        <v>0</v>
      </c>
      <c r="G572"/>
    </row>
    <row r="573" spans="1:7" ht="18" customHeight="1">
      <c r="A573" s="134"/>
      <c r="B573" s="135">
        <f>GTA!I39</f>
        <v>0</v>
      </c>
      <c r="C573" s="135" t="s">
        <v>22</v>
      </c>
      <c r="D573" s="135">
        <v>16.649999999999999</v>
      </c>
      <c r="E573" s="314">
        <f>B573*D573</f>
        <v>0</v>
      </c>
      <c r="G573"/>
    </row>
    <row r="574" spans="1:7" ht="18" customHeight="1">
      <c r="A574" s="134"/>
      <c r="B574" s="135">
        <f>GTA!F39</f>
        <v>0</v>
      </c>
      <c r="C574" s="135" t="s">
        <v>22</v>
      </c>
      <c r="D574" s="135">
        <v>16.649999999999999</v>
      </c>
      <c r="E574" s="314">
        <f t="shared" si="28"/>
        <v>0</v>
      </c>
      <c r="G574"/>
    </row>
    <row r="575" spans="1:7" ht="18" customHeight="1">
      <c r="A575" s="134"/>
      <c r="B575" s="135">
        <f>GTA!M39</f>
        <v>0</v>
      </c>
      <c r="C575" s="135" t="s">
        <v>22</v>
      </c>
      <c r="D575" s="135">
        <v>16.649999999999999</v>
      </c>
      <c r="E575" s="314">
        <f t="shared" si="28"/>
        <v>0</v>
      </c>
      <c r="G575"/>
    </row>
    <row r="576" spans="1:7" ht="18" customHeight="1">
      <c r="A576" s="436"/>
      <c r="B576" s="419"/>
      <c r="C576" s="419"/>
      <c r="D576" s="419"/>
      <c r="E576" s="420"/>
      <c r="G576"/>
    </row>
    <row r="577" spans="1:7" ht="18" customHeight="1">
      <c r="A577" s="418" t="s">
        <v>450</v>
      </c>
      <c r="B577" s="415">
        <f>SUM(B559:B576)</f>
        <v>160.5</v>
      </c>
      <c r="C577" s="419"/>
      <c r="D577" s="419"/>
      <c r="E577" s="420"/>
      <c r="G577"/>
    </row>
    <row r="578" spans="1:7" ht="18" customHeight="1">
      <c r="A578" s="134"/>
      <c r="B578" s="135"/>
      <c r="C578" s="135"/>
      <c r="D578" s="135"/>
      <c r="E578" s="314"/>
      <c r="G578"/>
    </row>
    <row r="579" spans="1:7" ht="18" customHeight="1">
      <c r="A579" s="418" t="s">
        <v>451</v>
      </c>
      <c r="B579" s="419"/>
      <c r="C579" s="419"/>
      <c r="D579" s="419"/>
      <c r="E579" s="420"/>
      <c r="G579"/>
    </row>
    <row r="580" spans="1:7" ht="18" customHeight="1">
      <c r="A580" s="134" t="s">
        <v>452</v>
      </c>
      <c r="B580" s="135">
        <f>'OUTSIDE GTA'!C306</f>
        <v>0</v>
      </c>
      <c r="C580" s="135" t="s">
        <v>22</v>
      </c>
      <c r="D580" s="135">
        <v>16.649999999999999</v>
      </c>
      <c r="E580" s="314">
        <f>B580*D580</f>
        <v>0</v>
      </c>
      <c r="G580"/>
    </row>
    <row r="581" spans="1:7" ht="18" customHeight="1">
      <c r="A581" s="436"/>
      <c r="B581" s="419"/>
      <c r="C581" s="419"/>
      <c r="D581" s="419"/>
      <c r="E581" s="420"/>
      <c r="G581"/>
    </row>
    <row r="582" spans="1:7" ht="18" customHeight="1">
      <c r="A582" s="418" t="s">
        <v>451</v>
      </c>
      <c r="B582" s="415">
        <f>SUM(B579:B581)</f>
        <v>0</v>
      </c>
      <c r="C582" s="419"/>
      <c r="D582" s="419"/>
      <c r="E582" s="420"/>
      <c r="G582"/>
    </row>
    <row r="583" spans="1:7" ht="18" customHeight="1">
      <c r="A583" s="134"/>
      <c r="B583" s="135"/>
      <c r="C583" s="135"/>
      <c r="D583" s="135"/>
      <c r="E583" s="314"/>
      <c r="G583"/>
    </row>
    <row r="584" spans="1:7" ht="18" customHeight="1">
      <c r="A584" s="284"/>
      <c r="B584" s="135"/>
      <c r="C584" s="135"/>
      <c r="D584" s="135"/>
      <c r="E584" s="314"/>
      <c r="G584"/>
    </row>
    <row r="585" spans="1:7" ht="18" customHeight="1">
      <c r="A585" s="418" t="s">
        <v>453</v>
      </c>
      <c r="B585" s="419"/>
      <c r="C585" s="419"/>
      <c r="D585" s="419"/>
      <c r="E585" s="420"/>
      <c r="G585"/>
    </row>
    <row r="586" spans="1:7" ht="18" customHeight="1">
      <c r="A586" s="134" t="s">
        <v>454</v>
      </c>
      <c r="B586" s="135">
        <f>GTA!D165</f>
        <v>0</v>
      </c>
      <c r="C586" s="135" t="s">
        <v>22</v>
      </c>
      <c r="D586" s="135">
        <v>16.649999999999999</v>
      </c>
      <c r="E586" s="314">
        <f>B586*D586</f>
        <v>0</v>
      </c>
      <c r="F586" s="889" t="s">
        <v>453</v>
      </c>
      <c r="G586"/>
    </row>
    <row r="587" spans="1:7" ht="18" customHeight="1">
      <c r="A587" s="512" t="s">
        <v>393</v>
      </c>
      <c r="B587" s="481">
        <f>GTA!G165</f>
        <v>0</v>
      </c>
      <c r="C587" s="481" t="s">
        <v>22</v>
      </c>
      <c r="D587" s="481">
        <v>16.649999999999999</v>
      </c>
      <c r="E587" s="482">
        <f>B587*D587</f>
        <v>0</v>
      </c>
      <c r="G587"/>
    </row>
    <row r="588" spans="1:7" ht="18" customHeight="1">
      <c r="A588" s="134" t="s">
        <v>455</v>
      </c>
      <c r="B588" s="135">
        <f>GTA!E165</f>
        <v>0</v>
      </c>
      <c r="C588" s="135" t="s">
        <v>22</v>
      </c>
      <c r="D588" s="135">
        <v>16.649999999999999</v>
      </c>
      <c r="E588" s="314">
        <f>B588*D588</f>
        <v>0</v>
      </c>
      <c r="G588"/>
    </row>
    <row r="589" spans="1:7" ht="18" customHeight="1">
      <c r="A589" s="134" t="s">
        <v>456</v>
      </c>
      <c r="B589" s="135">
        <f>GTA!F165</f>
        <v>0</v>
      </c>
      <c r="C589" s="135" t="s">
        <v>22</v>
      </c>
      <c r="D589" s="135">
        <v>16.649999999999999</v>
      </c>
      <c r="E589" s="314">
        <f>B589*D589</f>
        <v>0</v>
      </c>
      <c r="G589"/>
    </row>
    <row r="590" spans="1:7" ht="18" customHeight="1">
      <c r="A590" s="436"/>
      <c r="B590" s="419"/>
      <c r="C590" s="419"/>
      <c r="D590" s="419"/>
      <c r="E590" s="420"/>
      <c r="G590"/>
    </row>
    <row r="591" spans="1:7" ht="18" customHeight="1">
      <c r="A591" s="418" t="s">
        <v>453</v>
      </c>
      <c r="B591" s="415">
        <f>SUM(B585:B590)</f>
        <v>0</v>
      </c>
      <c r="C591" s="419"/>
      <c r="D591" s="419"/>
      <c r="E591" s="420"/>
      <c r="G591"/>
    </row>
    <row r="592" spans="1:7" ht="18" customHeight="1">
      <c r="A592" s="134"/>
      <c r="B592" s="135"/>
      <c r="C592" s="135"/>
      <c r="D592" s="135"/>
      <c r="E592" s="314"/>
      <c r="G592"/>
    </row>
    <row r="593" spans="1:7" ht="18" customHeight="1">
      <c r="A593" s="418" t="s">
        <v>457</v>
      </c>
      <c r="B593" s="419"/>
      <c r="C593" s="419"/>
      <c r="D593" s="419"/>
      <c r="E593" s="420"/>
      <c r="G593"/>
    </row>
    <row r="594" spans="1:7" ht="18" customHeight="1">
      <c r="A594" s="134" t="s">
        <v>379</v>
      </c>
      <c r="B594" s="135">
        <f>GTA!C57</f>
        <v>0</v>
      </c>
      <c r="C594" s="135" t="s">
        <v>22</v>
      </c>
      <c r="D594" s="135">
        <v>16.649999999999999</v>
      </c>
      <c r="E594" s="314">
        <f t="shared" ref="E594:E636" si="29">B594*D594</f>
        <v>0</v>
      </c>
      <c r="G594"/>
    </row>
    <row r="595" spans="1:7" ht="18" customHeight="1">
      <c r="A595" s="134" t="s">
        <v>458</v>
      </c>
      <c r="B595" s="135">
        <f>GTA!U57</f>
        <v>0</v>
      </c>
      <c r="C595" s="135" t="s">
        <v>22</v>
      </c>
      <c r="D595" s="135">
        <v>16.649999999999999</v>
      </c>
      <c r="E595" s="314">
        <f>B595*D595</f>
        <v>0</v>
      </c>
      <c r="G595"/>
    </row>
    <row r="596" spans="1:7" ht="18" customHeight="1">
      <c r="A596" s="134" t="s">
        <v>459</v>
      </c>
      <c r="B596" s="135">
        <f>GTA!F57</f>
        <v>0</v>
      </c>
      <c r="C596" s="135" t="s">
        <v>22</v>
      </c>
      <c r="D596" s="135">
        <v>16.649999999999999</v>
      </c>
      <c r="E596" s="314">
        <f>B596*D596</f>
        <v>0</v>
      </c>
      <c r="G596"/>
    </row>
    <row r="597" spans="1:7" ht="18" customHeight="1">
      <c r="A597" s="134" t="s">
        <v>460</v>
      </c>
      <c r="B597" s="135">
        <f>GTA!E57</f>
        <v>0</v>
      </c>
      <c r="C597" s="135" t="s">
        <v>22</v>
      </c>
      <c r="D597" s="135">
        <v>16.649999999999999</v>
      </c>
      <c r="E597" s="314">
        <f t="shared" si="29"/>
        <v>0</v>
      </c>
      <c r="G597"/>
    </row>
    <row r="598" spans="1:7" ht="18" customHeight="1">
      <c r="A598" s="134" t="s">
        <v>324</v>
      </c>
      <c r="B598" s="135">
        <f>GTA!G57</f>
        <v>0</v>
      </c>
      <c r="C598" s="135" t="s">
        <v>22</v>
      </c>
      <c r="D598" s="135">
        <v>16.649999999999999</v>
      </c>
      <c r="E598" s="314">
        <f t="shared" si="29"/>
        <v>0</v>
      </c>
      <c r="G598"/>
    </row>
    <row r="599" spans="1:7" ht="18" customHeight="1">
      <c r="A599" s="134" t="s">
        <v>461</v>
      </c>
      <c r="B599" s="135">
        <f>GTA!V57</f>
        <v>0</v>
      </c>
      <c r="C599" s="135" t="s">
        <v>22</v>
      </c>
      <c r="D599" s="135">
        <v>16.649999999999999</v>
      </c>
      <c r="E599" s="314">
        <f t="shared" si="29"/>
        <v>0</v>
      </c>
      <c r="G599"/>
    </row>
    <row r="600" spans="1:7" ht="18" customHeight="1">
      <c r="A600" s="134" t="s">
        <v>442</v>
      </c>
      <c r="B600" s="135">
        <f>GTA!I57</f>
        <v>0</v>
      </c>
      <c r="C600" s="135" t="s">
        <v>22</v>
      </c>
      <c r="D600" s="135">
        <v>16.649999999999999</v>
      </c>
      <c r="E600" s="314">
        <f>B600*D600</f>
        <v>0</v>
      </c>
      <c r="G600"/>
    </row>
    <row r="601" spans="1:7" ht="18" customHeight="1">
      <c r="A601" s="134" t="s">
        <v>462</v>
      </c>
      <c r="B601" s="135">
        <f>GTA!H57</f>
        <v>0</v>
      </c>
      <c r="C601" s="135" t="s">
        <v>22</v>
      </c>
      <c r="D601" s="135">
        <v>16.649999999999999</v>
      </c>
      <c r="E601" s="314">
        <f t="shared" si="29"/>
        <v>0</v>
      </c>
      <c r="G601"/>
    </row>
    <row r="602" spans="1:7" ht="18" customHeight="1">
      <c r="A602" s="134" t="s">
        <v>211</v>
      </c>
      <c r="B602" s="135">
        <f>GTA!Y57</f>
        <v>0</v>
      </c>
      <c r="C602" s="135" t="s">
        <v>22</v>
      </c>
      <c r="D602" s="135">
        <v>16.649999999999999</v>
      </c>
      <c r="E602" s="314">
        <f>B602*D602</f>
        <v>0</v>
      </c>
      <c r="G602"/>
    </row>
    <row r="603" spans="1:7" ht="18" customHeight="1">
      <c r="A603" s="134" t="s">
        <v>213</v>
      </c>
      <c r="B603" s="135">
        <f>GTA!AS57</f>
        <v>0</v>
      </c>
      <c r="C603" s="135" t="s">
        <v>22</v>
      </c>
      <c r="D603" s="135">
        <v>16.649999999999999</v>
      </c>
      <c r="E603" s="314">
        <f t="shared" si="29"/>
        <v>0</v>
      </c>
      <c r="G603"/>
    </row>
    <row r="604" spans="1:7" ht="18" customHeight="1">
      <c r="A604" s="134" t="s">
        <v>463</v>
      </c>
      <c r="B604" s="135">
        <f>GTA!K57</f>
        <v>0</v>
      </c>
      <c r="C604" s="135" t="s">
        <v>22</v>
      </c>
      <c r="D604" s="135">
        <v>16.649999999999999</v>
      </c>
      <c r="E604" s="314">
        <f t="shared" si="29"/>
        <v>0</v>
      </c>
      <c r="G604"/>
    </row>
    <row r="605" spans="1:7" ht="18" customHeight="1">
      <c r="A605" s="134" t="s">
        <v>464</v>
      </c>
      <c r="B605" s="135">
        <f>GTA!L57</f>
        <v>0</v>
      </c>
      <c r="C605" s="135" t="s">
        <v>22</v>
      </c>
      <c r="D605" s="135">
        <v>16.649999999999999</v>
      </c>
      <c r="E605" s="314">
        <f>B605*D605</f>
        <v>0</v>
      </c>
      <c r="G605"/>
    </row>
    <row r="606" spans="1:7" ht="18" customHeight="1">
      <c r="A606" s="512" t="s">
        <v>465</v>
      </c>
      <c r="B606" s="481">
        <f>GTA!Q57</f>
        <v>0</v>
      </c>
      <c r="C606" s="481" t="s">
        <v>22</v>
      </c>
      <c r="D606" s="481">
        <v>16.649999999999999</v>
      </c>
      <c r="E606" s="482">
        <f>B606*D606</f>
        <v>0</v>
      </c>
      <c r="G606"/>
    </row>
    <row r="607" spans="1:7" ht="18" customHeight="1">
      <c r="A607" s="134" t="s">
        <v>222</v>
      </c>
      <c r="B607" s="135">
        <f>GTA!AD57</f>
        <v>0</v>
      </c>
      <c r="C607" s="135" t="s">
        <v>22</v>
      </c>
      <c r="D607" s="135">
        <v>16.649999999999999</v>
      </c>
      <c r="E607" s="314">
        <f t="shared" si="29"/>
        <v>0</v>
      </c>
      <c r="G607"/>
    </row>
    <row r="608" spans="1:7" ht="18" customHeight="1">
      <c r="A608" s="134" t="s">
        <v>466</v>
      </c>
      <c r="B608" s="135">
        <f>GTA!AE57</f>
        <v>0</v>
      </c>
      <c r="C608" s="135" t="s">
        <v>22</v>
      </c>
      <c r="D608" s="135">
        <v>16.649999999999999</v>
      </c>
      <c r="E608" s="314">
        <f>B608*D608</f>
        <v>0</v>
      </c>
      <c r="G608"/>
    </row>
    <row r="609" spans="1:7" ht="18" customHeight="1">
      <c r="A609" s="134" t="s">
        <v>221</v>
      </c>
      <c r="B609" s="135">
        <f>GTA!AB57</f>
        <v>0</v>
      </c>
      <c r="C609" s="135" t="s">
        <v>22</v>
      </c>
      <c r="D609" s="135">
        <v>16.649999999999999</v>
      </c>
      <c r="E609" s="314">
        <f t="shared" si="29"/>
        <v>0</v>
      </c>
      <c r="G609"/>
    </row>
    <row r="610" spans="1:7" ht="18" customHeight="1">
      <c r="A610" s="134" t="s">
        <v>467</v>
      </c>
      <c r="B610" s="135">
        <f>GTA!AC57</f>
        <v>0</v>
      </c>
      <c r="C610" s="135" t="s">
        <v>22</v>
      </c>
      <c r="D610" s="135">
        <v>16.649999999999999</v>
      </c>
      <c r="E610" s="314">
        <f t="shared" si="29"/>
        <v>0</v>
      </c>
      <c r="G610"/>
    </row>
    <row r="611" spans="1:7" ht="18" customHeight="1">
      <c r="A611" s="134" t="s">
        <v>336</v>
      </c>
      <c r="B611" s="135">
        <f>GTA!AG57</f>
        <v>0</v>
      </c>
      <c r="C611" s="135" t="s">
        <v>22</v>
      </c>
      <c r="D611" s="135">
        <v>16.649999999999999</v>
      </c>
      <c r="E611" s="314">
        <f>B611*D611</f>
        <v>0</v>
      </c>
      <c r="G611"/>
    </row>
    <row r="612" spans="1:7" ht="18" customHeight="1">
      <c r="A612" s="134" t="s">
        <v>468</v>
      </c>
      <c r="B612" s="135">
        <f>GTA!AF57</f>
        <v>0</v>
      </c>
      <c r="C612" s="135" t="s">
        <v>22</v>
      </c>
      <c r="D612" s="135">
        <v>16.649999999999999</v>
      </c>
      <c r="E612" s="314">
        <f t="shared" si="29"/>
        <v>0</v>
      </c>
      <c r="G612"/>
    </row>
    <row r="613" spans="1:7" ht="18" customHeight="1">
      <c r="A613" s="134" t="s">
        <v>210</v>
      </c>
      <c r="B613" s="135">
        <f>GTA!W57</f>
        <v>0</v>
      </c>
      <c r="C613" s="135" t="s">
        <v>22</v>
      </c>
      <c r="D613" s="135">
        <v>16.649999999999999</v>
      </c>
      <c r="E613" s="314">
        <f t="shared" si="29"/>
        <v>0</v>
      </c>
      <c r="G613"/>
    </row>
    <row r="614" spans="1:7" ht="18" customHeight="1">
      <c r="A614" s="134" t="s">
        <v>239</v>
      </c>
      <c r="B614" s="135">
        <f>GTA!AL57</f>
        <v>0</v>
      </c>
      <c r="C614" s="135" t="s">
        <v>22</v>
      </c>
      <c r="D614" s="135">
        <v>16.649999999999999</v>
      </c>
      <c r="E614" s="314">
        <f t="shared" si="29"/>
        <v>0</v>
      </c>
      <c r="G614"/>
    </row>
    <row r="615" spans="1:7" ht="18" customHeight="1">
      <c r="A615" s="134" t="s">
        <v>237</v>
      </c>
      <c r="B615" s="135">
        <f>GTA!S57</f>
        <v>0</v>
      </c>
      <c r="C615" s="135" t="s">
        <v>22</v>
      </c>
      <c r="D615" s="135">
        <v>16.649999999999999</v>
      </c>
      <c r="E615" s="314">
        <f t="shared" si="29"/>
        <v>0</v>
      </c>
      <c r="G615"/>
    </row>
    <row r="616" spans="1:7" ht="18" customHeight="1">
      <c r="A616" s="134" t="s">
        <v>385</v>
      </c>
      <c r="B616" s="135">
        <f>GTA!D57</f>
        <v>0</v>
      </c>
      <c r="C616" s="135" t="s">
        <v>22</v>
      </c>
      <c r="D616" s="135">
        <v>16.649999999999999</v>
      </c>
      <c r="E616" s="314">
        <f t="shared" si="29"/>
        <v>0</v>
      </c>
      <c r="G616"/>
    </row>
    <row r="617" spans="1:7" ht="18" customHeight="1">
      <c r="A617" s="134" t="s">
        <v>469</v>
      </c>
      <c r="B617" s="135">
        <f>GTA!AN57</f>
        <v>0</v>
      </c>
      <c r="C617" s="135" t="s">
        <v>22</v>
      </c>
      <c r="D617" s="135">
        <v>16.649999999999999</v>
      </c>
      <c r="E617" s="314">
        <f t="shared" si="29"/>
        <v>0</v>
      </c>
      <c r="G617"/>
    </row>
    <row r="618" spans="1:7" ht="18" customHeight="1">
      <c r="A618" s="134" t="s">
        <v>470</v>
      </c>
      <c r="B618" s="135">
        <f>GTA!AH57</f>
        <v>0</v>
      </c>
      <c r="C618" s="135" t="s">
        <v>22</v>
      </c>
      <c r="D618" s="135">
        <v>16.649999999999999</v>
      </c>
      <c r="E618" s="314">
        <f t="shared" si="29"/>
        <v>0</v>
      </c>
      <c r="G618"/>
    </row>
    <row r="619" spans="1:7" ht="18" customHeight="1">
      <c r="A619" s="134" t="s">
        <v>231</v>
      </c>
      <c r="B619" s="135">
        <f>GTA!M57</f>
        <v>0</v>
      </c>
      <c r="C619" s="135" t="s">
        <v>22</v>
      </c>
      <c r="D619" s="135">
        <v>16.649999999999999</v>
      </c>
      <c r="E619" s="314">
        <f t="shared" ref="E619:E625" si="30">B619*D619</f>
        <v>0</v>
      </c>
      <c r="G619"/>
    </row>
    <row r="620" spans="1:7" ht="18" customHeight="1">
      <c r="A620" s="134" t="s">
        <v>471</v>
      </c>
      <c r="B620" s="135">
        <f>GTA!R57</f>
        <v>0</v>
      </c>
      <c r="C620" s="135" t="s">
        <v>22</v>
      </c>
      <c r="D620" s="135">
        <v>16.649999999999999</v>
      </c>
      <c r="E620" s="314">
        <f>B620*D620</f>
        <v>0</v>
      </c>
      <c r="G620"/>
    </row>
    <row r="621" spans="1:7" ht="18" customHeight="1">
      <c r="A621" s="134" t="s">
        <v>472</v>
      </c>
      <c r="B621" s="135">
        <f>GTA!AI57</f>
        <v>0</v>
      </c>
      <c r="C621" s="135" t="s">
        <v>22</v>
      </c>
      <c r="D621" s="135">
        <v>16.649999999999999</v>
      </c>
      <c r="E621" s="314">
        <f t="shared" si="30"/>
        <v>0</v>
      </c>
      <c r="G621"/>
    </row>
    <row r="622" spans="1:7" ht="18" customHeight="1">
      <c r="A622" s="512" t="s">
        <v>473</v>
      </c>
      <c r="B622" s="481">
        <f>GTA!AO57</f>
        <v>0</v>
      </c>
      <c r="C622" s="481" t="s">
        <v>22</v>
      </c>
      <c r="D622" s="481">
        <v>16.649999999999999</v>
      </c>
      <c r="E622" s="482">
        <f t="shared" si="30"/>
        <v>0</v>
      </c>
      <c r="G622"/>
    </row>
    <row r="623" spans="1:7" ht="18" customHeight="1">
      <c r="A623" s="134" t="s">
        <v>474</v>
      </c>
      <c r="B623" s="135">
        <f>GTA!N57</f>
        <v>0</v>
      </c>
      <c r="C623" s="135" t="s">
        <v>22</v>
      </c>
      <c r="D623" s="135">
        <v>17</v>
      </c>
      <c r="E623" s="314">
        <f t="shared" si="30"/>
        <v>0</v>
      </c>
      <c r="G623"/>
    </row>
    <row r="624" spans="1:7" ht="18" customHeight="1">
      <c r="A624" s="134" t="s">
        <v>475</v>
      </c>
      <c r="B624" s="135">
        <f>GTA!AJ57</f>
        <v>0</v>
      </c>
      <c r="C624" s="135" t="s">
        <v>22</v>
      </c>
      <c r="D624" s="135">
        <v>17</v>
      </c>
      <c r="E624" s="314">
        <f t="shared" si="30"/>
        <v>0</v>
      </c>
    </row>
    <row r="625" spans="1:7" ht="18" customHeight="1">
      <c r="A625" s="134" t="s">
        <v>476</v>
      </c>
      <c r="B625" s="135">
        <f>GTA!AK57</f>
        <v>0</v>
      </c>
      <c r="C625" s="135" t="s">
        <v>22</v>
      </c>
      <c r="D625" s="135">
        <v>17</v>
      </c>
      <c r="E625" s="314">
        <f t="shared" si="30"/>
        <v>0</v>
      </c>
    </row>
    <row r="626" spans="1:7" ht="18" customHeight="1">
      <c r="A626" s="134" t="s">
        <v>477</v>
      </c>
      <c r="B626" s="135">
        <f>GTA!AQ57</f>
        <v>0</v>
      </c>
      <c r="C626" s="135" t="s">
        <v>22</v>
      </c>
      <c r="D626" s="135">
        <v>16.649999999999999</v>
      </c>
      <c r="E626" s="314">
        <f t="shared" si="29"/>
        <v>0</v>
      </c>
    </row>
    <row r="627" spans="1:7" ht="18" customHeight="1">
      <c r="A627" s="512" t="s">
        <v>393</v>
      </c>
      <c r="B627" s="481">
        <f>GTA!O57</f>
        <v>0</v>
      </c>
      <c r="C627" s="481" t="s">
        <v>22</v>
      </c>
      <c r="D627" s="481">
        <v>16.649999999999999</v>
      </c>
      <c r="E627" s="482">
        <f>B627*D627</f>
        <v>0</v>
      </c>
      <c r="G627"/>
    </row>
    <row r="628" spans="1:7" ht="18" customHeight="1">
      <c r="A628" s="512" t="s">
        <v>478</v>
      </c>
      <c r="B628" s="481">
        <f>GTA!T57</f>
        <v>0</v>
      </c>
      <c r="C628" s="481" t="s">
        <v>22</v>
      </c>
      <c r="D628" s="481">
        <v>16.649999999999999</v>
      </c>
      <c r="E628" s="482">
        <f>B628*D628</f>
        <v>0</v>
      </c>
      <c r="G628"/>
    </row>
    <row r="629" spans="1:7" ht="18" customHeight="1">
      <c r="A629" s="134" t="s">
        <v>479</v>
      </c>
      <c r="B629" s="135">
        <f>GTA!P57</f>
        <v>0</v>
      </c>
      <c r="C629" s="135" t="s">
        <v>22</v>
      </c>
      <c r="D629" s="135">
        <v>16.649999999999999</v>
      </c>
      <c r="E629" s="314">
        <f t="shared" si="29"/>
        <v>0</v>
      </c>
      <c r="G629"/>
    </row>
    <row r="630" spans="1:7" ht="18" customHeight="1">
      <c r="A630" s="512" t="s">
        <v>395</v>
      </c>
      <c r="B630" s="481">
        <f>GTA!J57</f>
        <v>0</v>
      </c>
      <c r="C630" s="481" t="s">
        <v>22</v>
      </c>
      <c r="D630" s="481">
        <v>16.649999999999999</v>
      </c>
      <c r="E630" s="482">
        <f>B630*D630</f>
        <v>0</v>
      </c>
      <c r="G630"/>
    </row>
    <row r="631" spans="1:7" ht="18" customHeight="1">
      <c r="A631" s="134" t="s">
        <v>480</v>
      </c>
      <c r="B631" s="135">
        <f>GTA!AM57</f>
        <v>0</v>
      </c>
      <c r="C631" s="135" t="s">
        <v>22</v>
      </c>
      <c r="D631" s="135">
        <v>16.649999999999999</v>
      </c>
      <c r="E631" s="314">
        <f>B631*D631</f>
        <v>0</v>
      </c>
      <c r="G631"/>
    </row>
    <row r="632" spans="1:7" ht="18" customHeight="1">
      <c r="A632" s="134" t="s">
        <v>399</v>
      </c>
      <c r="B632" s="135">
        <f>GTA!Z57</f>
        <v>0</v>
      </c>
      <c r="C632" s="135" t="s">
        <v>22</v>
      </c>
      <c r="D632" s="135">
        <v>16.649999999999999</v>
      </c>
      <c r="E632" s="314">
        <f>B632*D632</f>
        <v>0</v>
      </c>
      <c r="G632"/>
    </row>
    <row r="633" spans="1:7" ht="18" customHeight="1">
      <c r="A633" s="134" t="s">
        <v>481</v>
      </c>
      <c r="B633" s="135">
        <f>GTA!AA57</f>
        <v>0</v>
      </c>
      <c r="C633" s="135" t="s">
        <v>22</v>
      </c>
      <c r="D633" s="135">
        <v>16.649999999999999</v>
      </c>
      <c r="E633" s="314">
        <f t="shared" si="29"/>
        <v>0</v>
      </c>
      <c r="G633"/>
    </row>
    <row r="634" spans="1:7" ht="18" customHeight="1">
      <c r="A634" s="134" t="s">
        <v>210</v>
      </c>
      <c r="B634" s="135">
        <f>GTA!X57</f>
        <v>0</v>
      </c>
      <c r="C634" s="135" t="s">
        <v>22</v>
      </c>
      <c r="D634" s="135">
        <v>16.649999999999999</v>
      </c>
      <c r="E634" s="314">
        <f t="shared" si="29"/>
        <v>0</v>
      </c>
      <c r="G634"/>
    </row>
    <row r="635" spans="1:7" ht="18" customHeight="1">
      <c r="A635" s="134" t="s">
        <v>447</v>
      </c>
      <c r="B635" s="135">
        <f>GTA!AP57</f>
        <v>0</v>
      </c>
      <c r="C635" s="135" t="s">
        <v>22</v>
      </c>
      <c r="D635" s="135">
        <v>16.649999999999999</v>
      </c>
      <c r="E635" s="314">
        <f t="shared" si="29"/>
        <v>0</v>
      </c>
      <c r="G635"/>
    </row>
    <row r="636" spans="1:7" ht="18" customHeight="1">
      <c r="A636" s="134" t="s">
        <v>430</v>
      </c>
      <c r="B636" s="135">
        <f>GTA!AR57</f>
        <v>0</v>
      </c>
      <c r="C636" s="135" t="s">
        <v>22</v>
      </c>
      <c r="D636" s="135">
        <v>16.649999999999999</v>
      </c>
      <c r="E636" s="314">
        <f t="shared" si="29"/>
        <v>0</v>
      </c>
      <c r="G636"/>
    </row>
    <row r="637" spans="1:7" ht="18" customHeight="1">
      <c r="A637" s="134" t="s">
        <v>403</v>
      </c>
      <c r="B637" s="135">
        <f>GTA!AT57</f>
        <v>0</v>
      </c>
      <c r="C637" s="135" t="s">
        <v>22</v>
      </c>
      <c r="D637" s="135">
        <v>16.649999999999999</v>
      </c>
      <c r="E637" s="314">
        <f>B637*D637</f>
        <v>0</v>
      </c>
      <c r="G637"/>
    </row>
    <row r="638" spans="1:7" ht="18" customHeight="1">
      <c r="A638" s="436"/>
      <c r="B638" s="419"/>
      <c r="C638" s="419"/>
      <c r="D638" s="419"/>
      <c r="E638" s="420"/>
      <c r="G638"/>
    </row>
    <row r="639" spans="1:7" ht="18" customHeight="1">
      <c r="A639" s="418" t="s">
        <v>482</v>
      </c>
      <c r="B639" s="415">
        <f>SUM(B593:B638)</f>
        <v>0</v>
      </c>
      <c r="C639" s="419"/>
      <c r="D639" s="419"/>
      <c r="E639" s="420"/>
      <c r="G639"/>
    </row>
    <row r="640" spans="1:7" ht="18" customHeight="1">
      <c r="A640" s="136"/>
      <c r="B640" s="135"/>
      <c r="C640" s="135"/>
      <c r="D640" s="135"/>
      <c r="E640" s="314"/>
      <c r="G640"/>
    </row>
    <row r="641" spans="1:7" ht="18" customHeight="1">
      <c r="A641" s="434" t="s">
        <v>483</v>
      </c>
      <c r="B641" s="415"/>
      <c r="C641" s="419"/>
      <c r="D641" s="419"/>
      <c r="E641" s="420"/>
      <c r="G641"/>
    </row>
    <row r="642" spans="1:7" ht="18" customHeight="1">
      <c r="A642" s="136" t="s">
        <v>323</v>
      </c>
      <c r="B642" s="135">
        <f>GTA!F399</f>
        <v>0</v>
      </c>
      <c r="C642" s="135" t="s">
        <v>22</v>
      </c>
      <c r="D642" s="135">
        <v>18</v>
      </c>
      <c r="E642" s="314">
        <f>B642*D642</f>
        <v>0</v>
      </c>
      <c r="G642"/>
    </row>
    <row r="643" spans="1:7" ht="18" customHeight="1">
      <c r="A643" s="136" t="s">
        <v>484</v>
      </c>
      <c r="B643" s="135">
        <f>GTA!C399</f>
        <v>0</v>
      </c>
      <c r="C643" s="135" t="s">
        <v>22</v>
      </c>
      <c r="D643" s="135">
        <v>18</v>
      </c>
      <c r="E643" s="314">
        <f>B643*D643</f>
        <v>0</v>
      </c>
      <c r="G643"/>
    </row>
    <row r="644" spans="1:7" ht="18" customHeight="1">
      <c r="A644" s="136" t="s">
        <v>485</v>
      </c>
      <c r="B644" s="135">
        <f>GTA!D399</f>
        <v>0</v>
      </c>
      <c r="C644" s="135" t="s">
        <v>22</v>
      </c>
      <c r="D644" s="135">
        <v>18</v>
      </c>
      <c r="E644" s="314">
        <f>B644*D644</f>
        <v>0</v>
      </c>
      <c r="G644"/>
    </row>
    <row r="645" spans="1:7" ht="18" customHeight="1">
      <c r="A645" s="136" t="s">
        <v>486</v>
      </c>
      <c r="B645" s="135">
        <f>GTA!E399</f>
        <v>0</v>
      </c>
      <c r="C645" s="135" t="s">
        <v>22</v>
      </c>
      <c r="D645" s="135">
        <v>18</v>
      </c>
      <c r="E645" s="314">
        <f>B645*D645</f>
        <v>0</v>
      </c>
      <c r="G645"/>
    </row>
    <row r="646" spans="1:7" ht="18" customHeight="1">
      <c r="A646" s="439"/>
      <c r="B646" s="419"/>
      <c r="C646" s="419"/>
      <c r="D646" s="419"/>
      <c r="E646" s="420"/>
      <c r="G646"/>
    </row>
    <row r="647" spans="1:7" ht="18" customHeight="1">
      <c r="A647" s="434" t="s">
        <v>487</v>
      </c>
      <c r="B647" s="415">
        <f>SUM(B641:B646)</f>
        <v>0</v>
      </c>
      <c r="C647" s="419"/>
      <c r="D647" s="419"/>
      <c r="E647" s="420"/>
      <c r="G647"/>
    </row>
    <row r="648" spans="1:7" ht="18" customHeight="1">
      <c r="A648" s="136"/>
      <c r="B648" s="135"/>
      <c r="C648" s="135"/>
      <c r="D648" s="135"/>
      <c r="E648" s="314"/>
      <c r="G648"/>
    </row>
    <row r="649" spans="1:7" ht="18" customHeight="1">
      <c r="A649" s="434" t="s">
        <v>488</v>
      </c>
      <c r="B649" s="415"/>
      <c r="C649" s="419"/>
      <c r="D649" s="419"/>
      <c r="E649" s="420"/>
      <c r="G649"/>
    </row>
    <row r="650" spans="1:7" ht="18" customHeight="1">
      <c r="A650" s="394" t="s">
        <v>489</v>
      </c>
      <c r="B650" s="135">
        <f>'OUTSIDE GTA'!C252</f>
        <v>0</v>
      </c>
      <c r="C650" s="135" t="s">
        <v>22</v>
      </c>
      <c r="D650" s="135">
        <v>16.649999999999999</v>
      </c>
      <c r="E650" s="314">
        <f>B650*D650</f>
        <v>0</v>
      </c>
      <c r="G650"/>
    </row>
    <row r="651" spans="1:7" ht="18" customHeight="1">
      <c r="A651" s="395" t="s">
        <v>490</v>
      </c>
      <c r="B651" s="135">
        <f>'OUTSIDE GTA'!E252</f>
        <v>0</v>
      </c>
      <c r="C651" s="135" t="s">
        <v>22</v>
      </c>
      <c r="D651" s="135">
        <v>16.649999999999999</v>
      </c>
      <c r="E651" s="314">
        <f>B651*D651</f>
        <v>0</v>
      </c>
      <c r="G651"/>
    </row>
    <row r="652" spans="1:7" ht="18" customHeight="1">
      <c r="A652" s="751" t="s">
        <v>491</v>
      </c>
      <c r="B652" s="135">
        <f>'OUTSIDE GTA'!F252</f>
        <v>0</v>
      </c>
      <c r="C652" s="135" t="s">
        <v>22</v>
      </c>
      <c r="D652" s="135">
        <v>16.649999999999999</v>
      </c>
      <c r="E652" s="314">
        <f>B652*D652</f>
        <v>0</v>
      </c>
      <c r="G652"/>
    </row>
    <row r="653" spans="1:7" ht="18" customHeight="1">
      <c r="A653" s="395" t="s">
        <v>492</v>
      </c>
      <c r="B653" s="135">
        <f>'OUTSIDE GTA'!G252</f>
        <v>0</v>
      </c>
      <c r="C653" s="135" t="s">
        <v>22</v>
      </c>
      <c r="D653" s="135">
        <v>16.649999999999999</v>
      </c>
      <c r="E653" s="314">
        <f>B653*D653</f>
        <v>0</v>
      </c>
      <c r="G653"/>
    </row>
    <row r="654" spans="1:7" ht="18" customHeight="1">
      <c r="A654" s="752" t="s">
        <v>493</v>
      </c>
      <c r="B654" s="135">
        <f>'OUTSIDE GTA'!H252</f>
        <v>0</v>
      </c>
      <c r="C654" s="135" t="s">
        <v>22</v>
      </c>
      <c r="D654" s="135">
        <v>16.649999999999999</v>
      </c>
      <c r="E654" s="314">
        <f>B654*D654</f>
        <v>0</v>
      </c>
      <c r="G654"/>
    </row>
    <row r="655" spans="1:7" ht="18" customHeight="1">
      <c r="A655" s="439"/>
      <c r="B655" s="419"/>
      <c r="C655" s="419"/>
      <c r="D655" s="419"/>
      <c r="E655" s="420"/>
      <c r="G655"/>
    </row>
    <row r="656" spans="1:7" ht="18" customHeight="1">
      <c r="A656" s="434" t="s">
        <v>488</v>
      </c>
      <c r="B656" s="415">
        <f>SUM(B649:B655)</f>
        <v>0</v>
      </c>
      <c r="C656" s="419"/>
      <c r="D656" s="419"/>
      <c r="E656" s="420"/>
      <c r="G656"/>
    </row>
    <row r="657" spans="1:7" ht="18" customHeight="1">
      <c r="A657" s="136"/>
      <c r="B657" s="135"/>
      <c r="C657" s="135"/>
      <c r="D657" s="135"/>
      <c r="E657" s="314"/>
      <c r="G657"/>
    </row>
    <row r="658" spans="1:7" ht="18" customHeight="1">
      <c r="A658" s="418" t="s">
        <v>494</v>
      </c>
      <c r="B658" s="415"/>
      <c r="C658" s="419"/>
      <c r="D658" s="419"/>
      <c r="E658" s="420"/>
      <c r="G658"/>
    </row>
    <row r="659" spans="1:7" ht="18" customHeight="1">
      <c r="A659" s="1076" t="s">
        <v>7185</v>
      </c>
      <c r="B659" s="135" cm="1">
        <f t="array" ref="B659">IF((INDEX(GTA!$C$21:$AAH$21,ROW(A1)))=0, 0,(INDEX(GTA!$C$21:$AAH$21,ROW(A1))))</f>
        <v>7</v>
      </c>
      <c r="C659" s="135" t="s">
        <v>22</v>
      </c>
      <c r="D659" s="135">
        <v>20</v>
      </c>
      <c r="E659" s="314">
        <f>IF(B659="", 0, B659*D659)</f>
        <v>140</v>
      </c>
      <c r="F659" s="889" t="s">
        <v>494</v>
      </c>
      <c r="G659"/>
    </row>
    <row r="660" spans="1:7" ht="18" customHeight="1">
      <c r="A660" s="1076"/>
      <c r="B660" s="135" cm="1">
        <f t="array" ref="B660">IF((INDEX(GTA!$C$21:$AAH$21,ROW(A2)))=0, 0,(INDEX(GTA!$C$21:$AAH$21,ROW(A2))))</f>
        <v>0</v>
      </c>
      <c r="C660" s="135" t="s">
        <v>22</v>
      </c>
      <c r="D660" s="135">
        <v>16.649999999999999</v>
      </c>
      <c r="E660" s="314">
        <f t="shared" ref="E660:E723" si="31">IF(B660="", 0, B660*D660)</f>
        <v>0</v>
      </c>
      <c r="G660"/>
    </row>
    <row r="661" spans="1:7" ht="18" customHeight="1">
      <c r="A661" s="1076"/>
      <c r="B661" s="135" cm="1">
        <f t="array" ref="B661">IF((INDEX(GTA!$C$21:$AAH$21,ROW(A3)))=0, 0,(INDEX(GTA!$C$21:$AAH$21,ROW(A3))))</f>
        <v>0</v>
      </c>
      <c r="C661" s="135" t="s">
        <v>22</v>
      </c>
      <c r="D661" s="135">
        <v>16.649999999999999</v>
      </c>
      <c r="E661" s="314">
        <f t="shared" si="31"/>
        <v>0</v>
      </c>
      <c r="G661"/>
    </row>
    <row r="662" spans="1:7" ht="18" customHeight="1">
      <c r="A662" s="1076"/>
      <c r="B662" s="135" cm="1">
        <f t="array" ref="B662">IF((INDEX(GTA!$C$21:$AAH$21,ROW(A4)))=0, 0,(INDEX(GTA!$C$21:$AAH$21,ROW(A4))))</f>
        <v>0</v>
      </c>
      <c r="C662" s="135" t="s">
        <v>22</v>
      </c>
      <c r="D662" s="135">
        <v>16.649999999999999</v>
      </c>
      <c r="E662" s="314">
        <f t="shared" si="31"/>
        <v>0</v>
      </c>
      <c r="G662"/>
    </row>
    <row r="663" spans="1:7" ht="18" customHeight="1">
      <c r="A663" s="1076"/>
      <c r="B663" s="135" cm="1">
        <f t="array" ref="B663">IF((INDEX(GTA!$C$21:$AAH$21,ROW(A5)))=0, 0,(INDEX(GTA!$C$21:$AAH$21,ROW(A5))))</f>
        <v>0</v>
      </c>
      <c r="C663" s="135" t="s">
        <v>22</v>
      </c>
      <c r="D663" s="135">
        <v>16.649999999999999</v>
      </c>
      <c r="E663" s="314">
        <f t="shared" si="31"/>
        <v>0</v>
      </c>
      <c r="G663"/>
    </row>
    <row r="664" spans="1:7" ht="18" customHeight="1">
      <c r="A664" s="1076"/>
      <c r="B664" s="135" cm="1">
        <f t="array" ref="B664">IF((INDEX(GTA!$C$21:$AAH$21,ROW(A6)))=0, 0,(INDEX(GTA!$C$21:$AAH$21,ROW(A6))))</f>
        <v>0</v>
      </c>
      <c r="C664" s="135" t="s">
        <v>22</v>
      </c>
      <c r="D664" s="135">
        <v>16.649999999999999</v>
      </c>
      <c r="E664" s="314">
        <f t="shared" si="31"/>
        <v>0</v>
      </c>
      <c r="G664"/>
    </row>
    <row r="665" spans="1:7" ht="18" customHeight="1">
      <c r="A665" s="1076"/>
      <c r="B665" s="135" cm="1">
        <f t="array" ref="B665">IF((INDEX(GTA!$C$21:$AAH$21,ROW(A7)))=0, 0,(INDEX(GTA!$C$21:$AAH$21,ROW(A7))))</f>
        <v>0</v>
      </c>
      <c r="C665" s="135" t="s">
        <v>22</v>
      </c>
      <c r="D665" s="135">
        <v>16.649999999999999</v>
      </c>
      <c r="E665" s="314">
        <f t="shared" si="31"/>
        <v>0</v>
      </c>
      <c r="G665"/>
    </row>
    <row r="666" spans="1:7" ht="18" customHeight="1">
      <c r="A666" s="1076"/>
      <c r="B666" s="135" cm="1">
        <f t="array" ref="B666">IF((INDEX(GTA!$C$21:$AAH$21,ROW(A8)))=0, 0,(INDEX(GTA!$C$21:$AAH$21,ROW(A8))))</f>
        <v>0</v>
      </c>
      <c r="C666" s="135" t="s">
        <v>22</v>
      </c>
      <c r="D666" s="135">
        <v>16.649999999999999</v>
      </c>
      <c r="E666" s="314">
        <f t="shared" si="31"/>
        <v>0</v>
      </c>
      <c r="G666"/>
    </row>
    <row r="667" spans="1:7" ht="18" customHeight="1">
      <c r="A667" s="1076"/>
      <c r="B667" s="135" cm="1">
        <f t="array" ref="B667">IF((INDEX(GTA!$C$21:$AAH$21,ROW(A9)))=0, 0,(INDEX(GTA!$C$21:$AAH$21,ROW(A9))))</f>
        <v>0</v>
      </c>
      <c r="C667" s="135" t="s">
        <v>22</v>
      </c>
      <c r="D667" s="135">
        <v>16.649999999999999</v>
      </c>
      <c r="E667" s="314">
        <f t="shared" si="31"/>
        <v>0</v>
      </c>
      <c r="G667"/>
    </row>
    <row r="668" spans="1:7" ht="18" customHeight="1">
      <c r="A668" s="1076"/>
      <c r="B668" s="135" cm="1">
        <f t="array" ref="B668">IF((INDEX(GTA!$C$21:$AAH$21,ROW(A10)))=0, 0,(INDEX(GTA!$C$21:$AAH$21,ROW(A10))))</f>
        <v>0</v>
      </c>
      <c r="C668" s="135" t="s">
        <v>22</v>
      </c>
      <c r="D668" s="135">
        <v>16.649999999999999</v>
      </c>
      <c r="E668" s="314">
        <f t="shared" si="31"/>
        <v>0</v>
      </c>
      <c r="G668"/>
    </row>
    <row r="669" spans="1:7" ht="18" customHeight="1">
      <c r="A669" s="1076"/>
      <c r="B669" s="135" cm="1">
        <f t="array" ref="B669">IF((INDEX(GTA!$C$21:$AAH$21,ROW(A11)))=0, 0,(INDEX(GTA!$C$21:$AAH$21,ROW(A11))))</f>
        <v>0</v>
      </c>
      <c r="C669" s="135" t="s">
        <v>22</v>
      </c>
      <c r="D669" s="135">
        <v>16.649999999999999</v>
      </c>
      <c r="E669" s="314">
        <f t="shared" si="31"/>
        <v>0</v>
      </c>
      <c r="G669"/>
    </row>
    <row r="670" spans="1:7" ht="18" customHeight="1">
      <c r="A670" s="1076"/>
      <c r="B670" s="135" cm="1">
        <f t="array" ref="B670">IF((INDEX(GTA!$C$21:$AAH$21,ROW(A12)))=0, 0,(INDEX(GTA!$C$21:$AAH$21,ROW(A12))))</f>
        <v>0</v>
      </c>
      <c r="C670" s="135" t="s">
        <v>22</v>
      </c>
      <c r="D670" s="135">
        <v>16.649999999999999</v>
      </c>
      <c r="E670" s="314">
        <f t="shared" si="31"/>
        <v>0</v>
      </c>
      <c r="G670"/>
    </row>
    <row r="671" spans="1:7" ht="18" customHeight="1">
      <c r="A671" s="1076"/>
      <c r="B671" s="135" cm="1">
        <f t="array" ref="B671">IF((INDEX(GTA!$C$21:$AAH$21,ROW(A13)))=0, 0,(INDEX(GTA!$C$21:$AAH$21,ROW(A13))))</f>
        <v>0</v>
      </c>
      <c r="C671" s="135" t="s">
        <v>22</v>
      </c>
      <c r="D671" s="135">
        <v>16.649999999999999</v>
      </c>
      <c r="E671" s="314">
        <f t="shared" si="31"/>
        <v>0</v>
      </c>
      <c r="G671"/>
    </row>
    <row r="672" spans="1:7" ht="18" customHeight="1">
      <c r="A672" s="1076"/>
      <c r="B672" s="135" cm="1">
        <f t="array" ref="B672">IF((INDEX(GTA!$C$21:$AAH$21,ROW(A14)))=0, 0,(INDEX(GTA!$C$21:$AAH$21,ROW(A14))))</f>
        <v>0</v>
      </c>
      <c r="C672" s="135" t="s">
        <v>22</v>
      </c>
      <c r="D672" s="135">
        <v>16.649999999999999</v>
      </c>
      <c r="E672" s="314">
        <f t="shared" si="31"/>
        <v>0</v>
      </c>
      <c r="G672"/>
    </row>
    <row r="673" spans="1:7" ht="18" customHeight="1">
      <c r="A673" s="1076"/>
      <c r="B673" s="135" cm="1">
        <f t="array" ref="B673">IF((INDEX(GTA!$C$21:$AAH$21,ROW(A15)))=0, 0,(INDEX(GTA!$C$21:$AAH$21,ROW(A15))))</f>
        <v>0</v>
      </c>
      <c r="C673" s="135" t="s">
        <v>22</v>
      </c>
      <c r="D673" s="135">
        <v>16.649999999999999</v>
      </c>
      <c r="E673" s="314">
        <f t="shared" si="31"/>
        <v>0</v>
      </c>
      <c r="G673"/>
    </row>
    <row r="674" spans="1:7" ht="18" customHeight="1">
      <c r="A674" s="1076"/>
      <c r="B674" s="135" cm="1">
        <f t="array" ref="B674">IF((INDEX(GTA!$C$21:$AAH$21,ROW(A16)))=0, 0,(INDEX(GTA!$C$21:$AAH$21,ROW(A16))))</f>
        <v>0</v>
      </c>
      <c r="C674" s="135" t="s">
        <v>22</v>
      </c>
      <c r="D674" s="135">
        <v>16.649999999999999</v>
      </c>
      <c r="E674" s="314">
        <f t="shared" si="31"/>
        <v>0</v>
      </c>
      <c r="G674"/>
    </row>
    <row r="675" spans="1:7" ht="18" customHeight="1">
      <c r="A675" s="1076"/>
      <c r="B675" s="135" cm="1">
        <f t="array" ref="B675">IF((INDEX(GTA!$C$21:$AAH$21,ROW(A17)))=0, 0,(INDEX(GTA!$C$21:$AAH$21,ROW(A17))))</f>
        <v>0</v>
      </c>
      <c r="C675" s="135" t="s">
        <v>22</v>
      </c>
      <c r="D675" s="135">
        <v>16.649999999999999</v>
      </c>
      <c r="E675" s="314">
        <f t="shared" si="31"/>
        <v>0</v>
      </c>
      <c r="G675"/>
    </row>
    <row r="676" spans="1:7" ht="18" customHeight="1">
      <c r="A676" s="1076"/>
      <c r="B676" s="135" cm="1">
        <f t="array" ref="B676">IF((INDEX(GTA!$C$21:$AAH$21,ROW(A18)))=0, 0,(INDEX(GTA!$C$21:$AAH$21,ROW(A18))))</f>
        <v>0</v>
      </c>
      <c r="C676" s="135" t="s">
        <v>22</v>
      </c>
      <c r="D676" s="135">
        <v>16.649999999999999</v>
      </c>
      <c r="E676" s="314">
        <f t="shared" si="31"/>
        <v>0</v>
      </c>
      <c r="G676"/>
    </row>
    <row r="677" spans="1:7" ht="18" customHeight="1">
      <c r="A677" s="1076"/>
      <c r="B677" s="135" cm="1">
        <f t="array" ref="B677">IF((INDEX(GTA!$C$21:$AAH$21,ROW(A19)))=0, 0,(INDEX(GTA!$C$21:$AAH$21,ROW(A19))))</f>
        <v>0</v>
      </c>
      <c r="C677" s="135" t="s">
        <v>22</v>
      </c>
      <c r="D677" s="135">
        <v>16.649999999999999</v>
      </c>
      <c r="E677" s="314">
        <f t="shared" si="31"/>
        <v>0</v>
      </c>
      <c r="G677"/>
    </row>
    <row r="678" spans="1:7" ht="18" customHeight="1">
      <c r="A678" s="1076"/>
      <c r="B678" s="135" cm="1">
        <f t="array" ref="B678">IF((INDEX(GTA!$C$21:$AAH$21,ROW(A20)))=0, 0,(INDEX(GTA!$C$21:$AAH$21,ROW(A20))))</f>
        <v>0</v>
      </c>
      <c r="C678" s="135" t="s">
        <v>22</v>
      </c>
      <c r="D678" s="135">
        <v>16.649999999999999</v>
      </c>
      <c r="E678" s="314">
        <f t="shared" si="31"/>
        <v>0</v>
      </c>
      <c r="G678"/>
    </row>
    <row r="679" spans="1:7" ht="18" customHeight="1">
      <c r="A679" s="1076"/>
      <c r="B679" s="135" cm="1">
        <f t="array" ref="B679">IF((INDEX(GTA!$C$21:$AAH$21,ROW(A21)))=0, 0,(INDEX(GTA!$C$21:$AAH$21,ROW(A21))))</f>
        <v>0</v>
      </c>
      <c r="C679" s="135" t="s">
        <v>22</v>
      </c>
      <c r="D679" s="135">
        <v>16.649999999999999</v>
      </c>
      <c r="E679" s="314">
        <f t="shared" si="31"/>
        <v>0</v>
      </c>
      <c r="G679"/>
    </row>
    <row r="680" spans="1:7" ht="18" customHeight="1">
      <c r="A680" s="1077"/>
      <c r="B680" s="135" cm="1">
        <f t="array" ref="B680">IF((INDEX(GTA!$C$21:$AAH$21,ROW(A22)))=0, 0,(INDEX(GTA!$C$21:$AAH$21,ROW(A22))))</f>
        <v>0</v>
      </c>
      <c r="C680" s="135" t="s">
        <v>22</v>
      </c>
      <c r="D680" s="135">
        <v>16.649999999999999</v>
      </c>
      <c r="E680" s="314">
        <f t="shared" si="31"/>
        <v>0</v>
      </c>
      <c r="G680"/>
    </row>
    <row r="681" spans="1:7" ht="18" customHeight="1">
      <c r="A681" s="1076"/>
      <c r="B681" s="135" cm="1">
        <f t="array" ref="B681">IF((INDEX(GTA!$C$21:$AAH$21,ROW(A23)))=0, 0,(INDEX(GTA!$C$21:$AAH$21,ROW(A23))))</f>
        <v>0</v>
      </c>
      <c r="C681" s="135" t="s">
        <v>22</v>
      </c>
      <c r="D681" s="135">
        <v>16.649999999999999</v>
      </c>
      <c r="E681" s="314">
        <f t="shared" si="31"/>
        <v>0</v>
      </c>
      <c r="G681"/>
    </row>
    <row r="682" spans="1:7" ht="18" customHeight="1">
      <c r="A682" s="1076"/>
      <c r="B682" s="135" cm="1">
        <f t="array" ref="B682">IF((INDEX(GTA!$C$21:$AAH$21,ROW(A24)))=0, 0,(INDEX(GTA!$C$21:$AAH$21,ROW(A24))))</f>
        <v>0</v>
      </c>
      <c r="C682" s="135" t="s">
        <v>22</v>
      </c>
      <c r="D682" s="135">
        <v>16.649999999999999</v>
      </c>
      <c r="E682" s="314">
        <f t="shared" si="31"/>
        <v>0</v>
      </c>
      <c r="G682"/>
    </row>
    <row r="683" spans="1:7" ht="18" customHeight="1">
      <c r="A683" s="134"/>
      <c r="B683" s="135" cm="1">
        <f t="array" ref="B683">IF((INDEX(GTA!$C$21:$AAH$21,ROW(A25)))=0, 0,(INDEX(GTA!$C$21:$AAH$21,ROW(A25))))</f>
        <v>0</v>
      </c>
      <c r="C683" s="135" t="s">
        <v>22</v>
      </c>
      <c r="D683" s="135">
        <v>16.649999999999999</v>
      </c>
      <c r="E683" s="314">
        <f t="shared" si="31"/>
        <v>0</v>
      </c>
      <c r="G683"/>
    </row>
    <row r="684" spans="1:7" ht="18" customHeight="1">
      <c r="A684" s="402"/>
      <c r="B684" s="135" cm="1">
        <f t="array" ref="B684">IF((INDEX(GTA!$C$21:$AAH$21,ROW(A26)))=0, 0,(INDEX(GTA!$C$21:$AAH$21,ROW(A26))))</f>
        <v>0</v>
      </c>
      <c r="C684" s="135" t="s">
        <v>22</v>
      </c>
      <c r="D684" s="135">
        <v>16.649999999999999</v>
      </c>
      <c r="E684" s="314">
        <f t="shared" si="31"/>
        <v>0</v>
      </c>
      <c r="G684"/>
    </row>
    <row r="685" spans="1:7" ht="18" customHeight="1">
      <c r="A685" s="402"/>
      <c r="B685" s="135" cm="1">
        <f t="array" ref="B685">IF((INDEX(GTA!$C$21:$AAH$21,ROW(A27)))=0, 0,(INDEX(GTA!$C$21:$AAH$21,ROW(A27))))</f>
        <v>0</v>
      </c>
      <c r="C685" s="135" t="s">
        <v>22</v>
      </c>
      <c r="D685" s="135">
        <v>16.649999999999999</v>
      </c>
      <c r="E685" s="314">
        <f t="shared" si="31"/>
        <v>0</v>
      </c>
      <c r="G685"/>
    </row>
    <row r="686" spans="1:7" ht="18" customHeight="1">
      <c r="A686" s="402"/>
      <c r="B686" s="135" cm="1">
        <f t="array" ref="B686">IF((INDEX(GTA!$C$21:$AAH$21,ROW(A28)))=0, 0,(INDEX(GTA!$C$21:$AAH$21,ROW(A28))))</f>
        <v>0</v>
      </c>
      <c r="C686" s="135" t="s">
        <v>22</v>
      </c>
      <c r="D686" s="135">
        <v>16.649999999999999</v>
      </c>
      <c r="E686" s="314">
        <f t="shared" si="31"/>
        <v>0</v>
      </c>
      <c r="G686"/>
    </row>
    <row r="687" spans="1:7" ht="18" customHeight="1">
      <c r="A687" s="402"/>
      <c r="B687" s="135" cm="1">
        <f t="array" ref="B687">IF((INDEX(GTA!$C$21:$AAH$21,ROW(A29)))=0, 0,(INDEX(GTA!$C$21:$AAH$21,ROW(A29))))</f>
        <v>0</v>
      </c>
      <c r="C687" s="135" t="s">
        <v>22</v>
      </c>
      <c r="D687" s="135">
        <v>16.649999999999999</v>
      </c>
      <c r="E687" s="314">
        <f t="shared" si="31"/>
        <v>0</v>
      </c>
      <c r="G687"/>
    </row>
    <row r="688" spans="1:7" ht="18" customHeight="1">
      <c r="A688" s="402"/>
      <c r="B688" s="135" cm="1">
        <f t="array" ref="B688">IF((INDEX(GTA!$C$21:$AAH$21,ROW(A30)))=0, 0,(INDEX(GTA!$C$21:$AAH$21,ROW(A30))))</f>
        <v>0</v>
      </c>
      <c r="C688" s="135" t="s">
        <v>22</v>
      </c>
      <c r="D688" s="135">
        <v>16.649999999999999</v>
      </c>
      <c r="E688" s="314">
        <f t="shared" si="31"/>
        <v>0</v>
      </c>
      <c r="G688"/>
    </row>
    <row r="689" spans="1:11" ht="18" customHeight="1">
      <c r="A689" s="402"/>
      <c r="B689" s="135" cm="1">
        <f t="array" ref="B689">IF((INDEX(GTA!$C$21:$AAH$21,ROW(A31)))=0, 0,(INDEX(GTA!$C$21:$AAH$21,ROW(A31))))</f>
        <v>0</v>
      </c>
      <c r="C689" s="135" t="s">
        <v>22</v>
      </c>
      <c r="D689" s="135">
        <v>16.649999999999999</v>
      </c>
      <c r="E689" s="314">
        <f t="shared" si="31"/>
        <v>0</v>
      </c>
      <c r="G689"/>
    </row>
    <row r="690" spans="1:11" ht="18" customHeight="1">
      <c r="A690" s="707"/>
      <c r="B690" s="135" cm="1">
        <f t="array" ref="B690">IF((INDEX(GTA!$C$21:$AAH$21,ROW(A32)))=0, 0,(INDEX(GTA!$C$21:$AAH$21,ROW(A32))))</f>
        <v>0</v>
      </c>
      <c r="C690" s="135" t="s">
        <v>22</v>
      </c>
      <c r="D690" s="135">
        <v>16.649999999999999</v>
      </c>
      <c r="E690" s="314">
        <f t="shared" si="31"/>
        <v>0</v>
      </c>
      <c r="G690"/>
    </row>
    <row r="691" spans="1:11" ht="18" customHeight="1">
      <c r="A691" s="402"/>
      <c r="B691" s="135" cm="1">
        <f t="array" ref="B691">IF((INDEX(GTA!$C$21:$AAH$21,ROW(A33)))=0, 0,(INDEX(GTA!$C$21:$AAH$21,ROW(A33))))</f>
        <v>0</v>
      </c>
      <c r="C691" s="135" t="s">
        <v>22</v>
      </c>
      <c r="D691" s="135">
        <v>16.649999999999999</v>
      </c>
      <c r="E691" s="314">
        <f t="shared" si="31"/>
        <v>0</v>
      </c>
      <c r="G691"/>
    </row>
    <row r="692" spans="1:11" ht="18" customHeight="1">
      <c r="A692" s="398"/>
      <c r="B692" s="135" cm="1">
        <f t="array" ref="B692">IF((INDEX(GTA!$C$21:$AAH$21,ROW(A34)))=0, 0,(INDEX(GTA!$C$21:$AAH$21,ROW(A34))))</f>
        <v>0</v>
      </c>
      <c r="C692" s="135" t="s">
        <v>22</v>
      </c>
      <c r="D692" s="135">
        <v>16.649999999999999</v>
      </c>
      <c r="E692" s="314">
        <f t="shared" si="31"/>
        <v>0</v>
      </c>
      <c r="G692"/>
    </row>
    <row r="693" spans="1:11" ht="18" customHeight="1">
      <c r="A693" s="398"/>
      <c r="B693" s="135" cm="1">
        <f t="array" ref="B693">IF((INDEX(GTA!$C$21:$AAH$21,ROW(A35)))=0, 0,(INDEX(GTA!$C$21:$AAH$21,ROW(A35))))</f>
        <v>0</v>
      </c>
      <c r="C693" s="135" t="s">
        <v>22</v>
      </c>
      <c r="D693" s="135">
        <v>16.649999999999999</v>
      </c>
      <c r="E693" s="314">
        <f t="shared" si="31"/>
        <v>0</v>
      </c>
      <c r="G693"/>
    </row>
    <row r="694" spans="1:11" ht="18" customHeight="1">
      <c r="A694" s="398"/>
      <c r="B694" s="135" cm="1">
        <f t="array" ref="B694">IF((INDEX(GTA!$C$21:$AAH$21,ROW(A36)))=0, 0,(INDEX(GTA!$C$21:$AAH$21,ROW(A36))))</f>
        <v>0</v>
      </c>
      <c r="C694" s="135" t="s">
        <v>22</v>
      </c>
      <c r="D694" s="135">
        <v>16.649999999999999</v>
      </c>
      <c r="E694" s="314">
        <f t="shared" si="31"/>
        <v>0</v>
      </c>
      <c r="G694"/>
      <c r="H694"/>
      <c r="I694"/>
      <c r="J694"/>
      <c r="K694"/>
    </row>
    <row r="695" spans="1:11" ht="18" customHeight="1">
      <c r="A695" s="136"/>
      <c r="B695" s="135" cm="1">
        <f t="array" ref="B695">IF((INDEX(GTA!$C$21:$AAH$21,ROW(A37)))=0, 0,(INDEX(GTA!$C$21:$AAH$21,ROW(A37))))</f>
        <v>0</v>
      </c>
      <c r="C695" s="135" t="s">
        <v>22</v>
      </c>
      <c r="D695" s="135">
        <v>16.649999999999999</v>
      </c>
      <c r="E695" s="314">
        <f t="shared" si="31"/>
        <v>0</v>
      </c>
      <c r="G695"/>
      <c r="H695"/>
      <c r="I695"/>
      <c r="J695"/>
      <c r="K695"/>
    </row>
    <row r="696" spans="1:11" ht="18" customHeight="1">
      <c r="A696" s="398"/>
      <c r="B696" s="135" cm="1">
        <f t="array" ref="B696">IF((INDEX(GTA!$C$21:$AAH$21,ROW(A38)))=0, 0,(INDEX(GTA!$C$21:$AAH$21,ROW(A38))))</f>
        <v>0</v>
      </c>
      <c r="C696" s="135" t="s">
        <v>22</v>
      </c>
      <c r="D696" s="135">
        <v>16.649999999999999</v>
      </c>
      <c r="E696" s="314">
        <f t="shared" si="31"/>
        <v>0</v>
      </c>
      <c r="G696"/>
      <c r="H696"/>
      <c r="I696"/>
      <c r="J696"/>
      <c r="K696"/>
    </row>
    <row r="697" spans="1:11" ht="18" customHeight="1">
      <c r="A697" s="398"/>
      <c r="B697" s="135" cm="1">
        <f t="array" ref="B697">IF((INDEX(GTA!$C$21:$AAH$21,ROW(A39)))=0, 0,(INDEX(GTA!$C$21:$AAH$21,ROW(A39))))</f>
        <v>0</v>
      </c>
      <c r="C697" s="135" t="s">
        <v>22</v>
      </c>
      <c r="D697" s="135">
        <v>16.649999999999999</v>
      </c>
      <c r="E697" s="314">
        <f t="shared" si="31"/>
        <v>0</v>
      </c>
      <c r="G697"/>
      <c r="H697"/>
      <c r="I697"/>
      <c r="J697"/>
      <c r="K697"/>
    </row>
    <row r="698" spans="1:11" ht="18" customHeight="1">
      <c r="A698" s="398"/>
      <c r="B698" s="135" cm="1">
        <f t="array" ref="B698">IF((INDEX(GTA!$C$21:$AAH$21,ROW(A40)))=0, 0,(INDEX(GTA!$C$21:$AAH$21,ROW(A40))))</f>
        <v>0</v>
      </c>
      <c r="C698" s="135" t="s">
        <v>22</v>
      </c>
      <c r="D698" s="135">
        <v>16.649999999999999</v>
      </c>
      <c r="E698" s="314">
        <f t="shared" si="31"/>
        <v>0</v>
      </c>
      <c r="G698"/>
    </row>
    <row r="699" spans="1:11" ht="18" customHeight="1">
      <c r="A699" s="398"/>
      <c r="B699" s="135" cm="1">
        <f t="array" ref="B699">IF((INDEX(GTA!$C$21:$AAH$21,ROW(A41)))=0, 0,(INDEX(GTA!$C$21:$AAH$21,ROW(A41))))</f>
        <v>0</v>
      </c>
      <c r="C699" s="135" t="s">
        <v>22</v>
      </c>
      <c r="D699" s="135">
        <v>16.649999999999999</v>
      </c>
      <c r="E699" s="314">
        <f t="shared" si="31"/>
        <v>0</v>
      </c>
      <c r="G699"/>
    </row>
    <row r="700" spans="1:11" ht="18" customHeight="1">
      <c r="A700" s="398"/>
      <c r="B700" s="135" cm="1">
        <f t="array" ref="B700">IF((INDEX(GTA!$C$21:$AAH$21,ROW(A42)))=0, 0,(INDEX(GTA!$C$21:$AAH$21,ROW(A42))))</f>
        <v>0</v>
      </c>
      <c r="C700" s="135" t="s">
        <v>22</v>
      </c>
      <c r="D700" s="135">
        <v>16.649999999999999</v>
      </c>
      <c r="E700" s="314">
        <f t="shared" si="31"/>
        <v>0</v>
      </c>
      <c r="G700"/>
    </row>
    <row r="701" spans="1:11" ht="18" customHeight="1">
      <c r="A701" s="398"/>
      <c r="B701" s="135" cm="1">
        <f t="array" ref="B701">IF((INDEX(GTA!$C$21:$AAH$21,ROW(A43)))=0, 0,(INDEX(GTA!$C$21:$AAH$21,ROW(A43))))</f>
        <v>0</v>
      </c>
      <c r="C701" s="135" t="s">
        <v>22</v>
      </c>
      <c r="D701" s="135">
        <v>16.649999999999999</v>
      </c>
      <c r="E701" s="314">
        <f t="shared" si="31"/>
        <v>0</v>
      </c>
      <c r="G701"/>
    </row>
    <row r="702" spans="1:11" ht="18" customHeight="1">
      <c r="A702" s="398"/>
      <c r="B702" s="135" cm="1">
        <f t="array" ref="B702">IF((INDEX(GTA!$C$21:$AAH$21,ROW(A44)))=0, 0,(INDEX(GTA!$C$21:$AAH$21,ROW(A44))))</f>
        <v>0</v>
      </c>
      <c r="C702" s="135" t="s">
        <v>22</v>
      </c>
      <c r="D702" s="135">
        <v>16.649999999999999</v>
      </c>
      <c r="E702" s="314">
        <f t="shared" si="31"/>
        <v>0</v>
      </c>
      <c r="G702"/>
    </row>
    <row r="703" spans="1:11" ht="18" customHeight="1">
      <c r="A703" s="398"/>
      <c r="B703" s="135" cm="1">
        <f t="array" ref="B703">IF((INDEX(GTA!$C$21:$AAH$21,ROW(A45)))=0, 0,(INDEX(GTA!$C$21:$AAH$21,ROW(A45))))</f>
        <v>0</v>
      </c>
      <c r="C703" s="135" t="s">
        <v>22</v>
      </c>
      <c r="D703" s="135">
        <v>16.649999999999999</v>
      </c>
      <c r="E703" s="314">
        <f t="shared" si="31"/>
        <v>0</v>
      </c>
      <c r="G703"/>
    </row>
    <row r="704" spans="1:11" ht="18" customHeight="1">
      <c r="A704" s="134"/>
      <c r="B704" s="135" cm="1">
        <f t="array" ref="B704">IF((INDEX(GTA!$C$21:$AAH$21,ROW(A46)))=0, 0,(INDEX(GTA!$C$21:$AAH$21,ROW(A46))))</f>
        <v>0</v>
      </c>
      <c r="C704" s="135" t="s">
        <v>22</v>
      </c>
      <c r="D704" s="135">
        <v>16.649999999999999</v>
      </c>
      <c r="E704" s="314">
        <f t="shared" si="31"/>
        <v>0</v>
      </c>
      <c r="G704"/>
    </row>
    <row r="705" spans="1:7" ht="18" customHeight="1">
      <c r="A705" s="134"/>
      <c r="B705" s="135" cm="1">
        <f t="array" ref="B705">IF((INDEX(GTA!$C$21:$AAH$21,ROW(A47)))=0, 0,(INDEX(GTA!$C$21:$AAH$21,ROW(A47))))</f>
        <v>0</v>
      </c>
      <c r="C705" s="135" t="s">
        <v>22</v>
      </c>
      <c r="D705" s="135">
        <v>16.649999999999999</v>
      </c>
      <c r="E705" s="314">
        <f t="shared" si="31"/>
        <v>0</v>
      </c>
      <c r="G705"/>
    </row>
    <row r="706" spans="1:7" ht="18" customHeight="1">
      <c r="A706" s="134"/>
      <c r="B706" s="135" cm="1">
        <f t="array" ref="B706">IF((INDEX(GTA!$C$21:$AAH$21,ROW(A48)))=0, 0,(INDEX(GTA!$C$21:$AAH$21,ROW(A48))))</f>
        <v>0</v>
      </c>
      <c r="C706" s="135" t="s">
        <v>22</v>
      </c>
      <c r="D706" s="135">
        <v>16.649999999999999</v>
      </c>
      <c r="E706" s="314">
        <f t="shared" si="31"/>
        <v>0</v>
      </c>
      <c r="G706"/>
    </row>
    <row r="707" spans="1:7" ht="18" customHeight="1">
      <c r="A707" s="134"/>
      <c r="B707" s="135" cm="1">
        <f t="array" ref="B707">IF((INDEX(GTA!$C$21:$AAH$21,ROW(A49)))=0, 0,(INDEX(GTA!$C$21:$AAH$21,ROW(A49))))</f>
        <v>0</v>
      </c>
      <c r="C707" s="135" t="s">
        <v>22</v>
      </c>
      <c r="D707" s="135">
        <v>16.649999999999999</v>
      </c>
      <c r="E707" s="314">
        <f t="shared" si="31"/>
        <v>0</v>
      </c>
      <c r="G707"/>
    </row>
    <row r="708" spans="1:7" ht="18" customHeight="1">
      <c r="A708" s="134"/>
      <c r="B708" s="135" cm="1">
        <f t="array" ref="B708">IF((INDEX(GTA!$C$21:$AAH$21,ROW(A50)))=0, 0,(INDEX(GTA!$C$21:$AAH$21,ROW(A50))))</f>
        <v>0</v>
      </c>
      <c r="C708" s="135" t="s">
        <v>22</v>
      </c>
      <c r="D708" s="135">
        <v>16.649999999999999</v>
      </c>
      <c r="E708" s="314">
        <f t="shared" si="31"/>
        <v>0</v>
      </c>
      <c r="G708"/>
    </row>
    <row r="709" spans="1:7" ht="18" customHeight="1">
      <c r="A709" s="134"/>
      <c r="B709" s="135" cm="1">
        <f t="array" ref="B709">IF((INDEX(GTA!$C$21:$AAH$21,ROW(A51)))=0, 0,(INDEX(GTA!$C$21:$AAH$21,ROW(A51))))</f>
        <v>0</v>
      </c>
      <c r="C709" s="135" t="s">
        <v>22</v>
      </c>
      <c r="D709" s="135">
        <v>16.649999999999999</v>
      </c>
      <c r="E709" s="314">
        <f t="shared" si="31"/>
        <v>0</v>
      </c>
      <c r="G709"/>
    </row>
    <row r="710" spans="1:7" ht="18" customHeight="1">
      <c r="A710" s="603"/>
      <c r="B710" s="135" cm="1">
        <f t="array" ref="B710">IF((INDEX(GTA!$C$21:$AAH$21,ROW(A52)))=0, 0,(INDEX(GTA!$C$21:$AAH$21,ROW(A52))))</f>
        <v>0</v>
      </c>
      <c r="C710" s="135" t="s">
        <v>22</v>
      </c>
      <c r="D710" s="135">
        <v>16.649999999999999</v>
      </c>
      <c r="E710" s="314">
        <f t="shared" si="31"/>
        <v>0</v>
      </c>
      <c r="G710"/>
    </row>
    <row r="711" spans="1:7" ht="18" customHeight="1">
      <c r="A711" s="603"/>
      <c r="B711" s="135" cm="1">
        <f t="array" ref="B711">IF((INDEX(GTA!$C$21:$AAH$21,ROW(A53)))=0, 0,(INDEX(GTA!$C$21:$AAH$21,ROW(A53))))</f>
        <v>0</v>
      </c>
      <c r="C711" s="135" t="s">
        <v>22</v>
      </c>
      <c r="D711" s="135">
        <v>16.649999999999999</v>
      </c>
      <c r="E711" s="314">
        <f t="shared" si="31"/>
        <v>0</v>
      </c>
      <c r="G711"/>
    </row>
    <row r="712" spans="1:7" ht="18" customHeight="1">
      <c r="A712" s="603"/>
      <c r="B712" s="135" cm="1">
        <f t="array" ref="B712">IF((INDEX(GTA!$C$21:$AAH$21,ROW(A54)))=0, 0,(INDEX(GTA!$C$21:$AAH$21,ROW(A54))))</f>
        <v>0</v>
      </c>
      <c r="C712" s="135" t="s">
        <v>22</v>
      </c>
      <c r="D712" s="135">
        <v>16.649999999999999</v>
      </c>
      <c r="E712" s="314">
        <f t="shared" si="31"/>
        <v>0</v>
      </c>
      <c r="G712"/>
    </row>
    <row r="713" spans="1:7" ht="18" customHeight="1">
      <c r="A713" s="603"/>
      <c r="B713" s="135" cm="1">
        <f t="array" ref="B713">IF((INDEX(GTA!$C$21:$AAH$21,ROW(A55)))=0, 0,(INDEX(GTA!$C$21:$AAH$21,ROW(A55))))</f>
        <v>0</v>
      </c>
      <c r="C713" s="135" t="s">
        <v>22</v>
      </c>
      <c r="D713" s="135">
        <v>16.649999999999999</v>
      </c>
      <c r="E713" s="314">
        <f t="shared" si="31"/>
        <v>0</v>
      </c>
      <c r="G713"/>
    </row>
    <row r="714" spans="1:7" ht="18" customHeight="1">
      <c r="A714" s="603"/>
      <c r="B714" s="135" cm="1">
        <f t="array" ref="B714">IF((INDEX(GTA!$C$21:$AAH$21,ROW(A56)))=0, 0,(INDEX(GTA!$C$21:$AAH$21,ROW(A56))))</f>
        <v>0</v>
      </c>
      <c r="C714" s="135" t="s">
        <v>22</v>
      </c>
      <c r="D714" s="135">
        <v>16.649999999999999</v>
      </c>
      <c r="E714" s="314">
        <f t="shared" si="31"/>
        <v>0</v>
      </c>
      <c r="G714"/>
    </row>
    <row r="715" spans="1:7" ht="18" customHeight="1">
      <c r="A715" s="603"/>
      <c r="B715" s="135" cm="1">
        <f t="array" ref="B715">IF((INDEX(GTA!$C$21:$AAH$21,ROW(A57)))=0, 0,(INDEX(GTA!$C$21:$AAH$21,ROW(A57))))</f>
        <v>0</v>
      </c>
      <c r="C715" s="135" t="s">
        <v>22</v>
      </c>
      <c r="D715" s="135">
        <v>16.649999999999999</v>
      </c>
      <c r="E715" s="314">
        <f t="shared" si="31"/>
        <v>0</v>
      </c>
      <c r="G715"/>
    </row>
    <row r="716" spans="1:7" ht="18" customHeight="1">
      <c r="A716" s="603"/>
      <c r="B716" s="135" cm="1">
        <f t="array" ref="B716">IF((INDEX(GTA!$C$21:$AAH$21,ROW(A58)))=0, 0,(INDEX(GTA!$C$21:$AAH$21,ROW(A58))))</f>
        <v>0</v>
      </c>
      <c r="C716" s="135" t="s">
        <v>22</v>
      </c>
      <c r="D716" s="135">
        <v>16.649999999999999</v>
      </c>
      <c r="E716" s="314">
        <f t="shared" si="31"/>
        <v>0</v>
      </c>
      <c r="G716"/>
    </row>
    <row r="717" spans="1:7" ht="18" customHeight="1">
      <c r="A717" s="603"/>
      <c r="B717" s="135" cm="1">
        <f t="array" ref="B717">IF((INDEX(GTA!$C$21:$AAH$21,ROW(A59)))=0, 0,(INDEX(GTA!$C$21:$AAH$21,ROW(A59))))</f>
        <v>0</v>
      </c>
      <c r="C717" s="135" t="s">
        <v>22</v>
      </c>
      <c r="D717" s="135">
        <v>16.649999999999999</v>
      </c>
      <c r="E717" s="314">
        <f t="shared" si="31"/>
        <v>0</v>
      </c>
      <c r="G717"/>
    </row>
    <row r="718" spans="1:7" ht="18" customHeight="1">
      <c r="A718" s="603"/>
      <c r="B718" s="135" cm="1">
        <f t="array" ref="B718">IF((INDEX(GTA!$C$21:$AAH$21,ROW(A60)))=0, 0,(INDEX(GTA!$C$21:$AAH$21,ROW(A60))))</f>
        <v>0</v>
      </c>
      <c r="C718" s="135" t="s">
        <v>22</v>
      </c>
      <c r="D718" s="135">
        <v>16.649999999999999</v>
      </c>
      <c r="E718" s="314">
        <f t="shared" si="31"/>
        <v>0</v>
      </c>
      <c r="G718"/>
    </row>
    <row r="719" spans="1:7" ht="18" customHeight="1">
      <c r="A719" s="603"/>
      <c r="B719" s="135" cm="1">
        <f t="array" ref="B719">IF((INDEX(GTA!$C$21:$AAH$21,ROW(A61)))=0, 0,(INDEX(GTA!$C$21:$AAH$21,ROW(A61))))</f>
        <v>0</v>
      </c>
      <c r="C719" s="135" t="s">
        <v>22</v>
      </c>
      <c r="D719" s="135">
        <v>16.649999999999999</v>
      </c>
      <c r="E719" s="314">
        <f t="shared" si="31"/>
        <v>0</v>
      </c>
      <c r="G719"/>
    </row>
    <row r="720" spans="1:7" ht="18" customHeight="1">
      <c r="A720" s="603"/>
      <c r="B720" s="135" cm="1">
        <f t="array" ref="B720">IF((INDEX(GTA!$C$21:$AAH$21,ROW(A62)))=0, 0,(INDEX(GTA!$C$21:$AAH$21,ROW(A62))))</f>
        <v>0</v>
      </c>
      <c r="C720" s="135" t="s">
        <v>22</v>
      </c>
      <c r="D720" s="135">
        <v>16.649999999999999</v>
      </c>
      <c r="E720" s="314">
        <f t="shared" si="31"/>
        <v>0</v>
      </c>
      <c r="G720"/>
    </row>
    <row r="721" spans="1:7" ht="18" customHeight="1">
      <c r="A721" s="603"/>
      <c r="B721" s="135" cm="1">
        <f t="array" ref="B721">IF((INDEX(GTA!$C$21:$AAH$21,ROW(A63)))=0, 0,(INDEX(GTA!$C$21:$AAH$21,ROW(A63))))</f>
        <v>0</v>
      </c>
      <c r="C721" s="135" t="s">
        <v>22</v>
      </c>
      <c r="D721" s="135">
        <v>16.649999999999999</v>
      </c>
      <c r="E721" s="314">
        <f t="shared" si="31"/>
        <v>0</v>
      </c>
      <c r="G721"/>
    </row>
    <row r="722" spans="1:7" ht="18" customHeight="1">
      <c r="A722" s="603"/>
      <c r="B722" s="135" cm="1">
        <f t="array" ref="B722">IF((INDEX(GTA!$C$21:$AAH$21,ROW(A64)))=0, 0,(INDEX(GTA!$C$21:$AAH$21,ROW(A64))))</f>
        <v>0</v>
      </c>
      <c r="C722" s="135" t="s">
        <v>22</v>
      </c>
      <c r="D722" s="135">
        <v>16.649999999999999</v>
      </c>
      <c r="E722" s="314">
        <f t="shared" si="31"/>
        <v>0</v>
      </c>
      <c r="G722"/>
    </row>
    <row r="723" spans="1:7" ht="18" customHeight="1">
      <c r="A723" s="134"/>
      <c r="B723" s="135" cm="1">
        <f t="array" ref="B723">IF((INDEX(GTA!$C$21:$AAH$21,ROW(A65)))=0, 0,(INDEX(GTA!$C$21:$AAH$21,ROW(A65))))</f>
        <v>0</v>
      </c>
      <c r="C723" s="135" t="s">
        <v>22</v>
      </c>
      <c r="D723" s="135">
        <v>16.649999999999999</v>
      </c>
      <c r="E723" s="314">
        <f t="shared" si="31"/>
        <v>0</v>
      </c>
      <c r="G723"/>
    </row>
    <row r="724" spans="1:7" ht="18" customHeight="1">
      <c r="A724" s="134"/>
      <c r="B724" s="135" cm="1">
        <f t="array" ref="B724">IF((INDEX(GTA!$C$21:$AAH$21,ROW(A66)))=0, 0,(INDEX(GTA!$C$21:$AAH$21,ROW(A66))))</f>
        <v>0</v>
      </c>
      <c r="C724" s="135" t="s">
        <v>22</v>
      </c>
      <c r="D724" s="135">
        <v>16.649999999999999</v>
      </c>
      <c r="E724" s="314">
        <f t="shared" ref="E724:E787" si="32">IF(B724="", 0, B724*D724)</f>
        <v>0</v>
      </c>
      <c r="G724"/>
    </row>
    <row r="725" spans="1:7" ht="18" customHeight="1">
      <c r="A725" s="284"/>
      <c r="B725" s="135" cm="1">
        <f t="array" ref="B725">IF((INDEX(GTA!$C$21:$AAH$21,ROW(A67)))=0, 0,(INDEX(GTA!$C$21:$AAH$21,ROW(A67))))</f>
        <v>0</v>
      </c>
      <c r="C725" s="135" t="s">
        <v>22</v>
      </c>
      <c r="D725" s="135">
        <v>16.649999999999999</v>
      </c>
      <c r="E725" s="314">
        <f t="shared" si="32"/>
        <v>0</v>
      </c>
      <c r="G725"/>
    </row>
    <row r="726" spans="1:7" ht="18" customHeight="1">
      <c r="A726" s="134"/>
      <c r="B726" s="135" cm="1">
        <f t="array" ref="B726">IF((INDEX(GTA!$C$21:$AAH$21,ROW(A68)))=0, 0,(INDEX(GTA!$C$21:$AAH$21,ROW(A68))))</f>
        <v>0</v>
      </c>
      <c r="C726" s="135" t="s">
        <v>22</v>
      </c>
      <c r="D726" s="135">
        <v>16.649999999999999</v>
      </c>
      <c r="E726" s="314">
        <f t="shared" si="32"/>
        <v>0</v>
      </c>
      <c r="G726"/>
    </row>
    <row r="727" spans="1:7" ht="18" customHeight="1">
      <c r="A727" s="134"/>
      <c r="B727" s="135" cm="1">
        <f t="array" ref="B727">IF((INDEX(GTA!$C$21:$AAH$21,ROW(A69)))=0, 0,(INDEX(GTA!$C$21:$AAH$21,ROW(A69))))</f>
        <v>0</v>
      </c>
      <c r="C727" s="135" t="s">
        <v>22</v>
      </c>
      <c r="D727" s="135">
        <v>16.649999999999999</v>
      </c>
      <c r="E727" s="314">
        <f t="shared" si="32"/>
        <v>0</v>
      </c>
      <c r="G727"/>
    </row>
    <row r="728" spans="1:7" ht="18" customHeight="1">
      <c r="A728" s="134"/>
      <c r="B728" s="135" cm="1">
        <f t="array" ref="B728">IF((INDEX(GTA!$C$21:$AAH$21,ROW(A70)))=0, 0,(INDEX(GTA!$C$21:$AAH$21,ROW(A70))))</f>
        <v>0</v>
      </c>
      <c r="C728" s="135" t="s">
        <v>22</v>
      </c>
      <c r="D728" s="135">
        <v>16.649999999999999</v>
      </c>
      <c r="E728" s="314">
        <f t="shared" si="32"/>
        <v>0</v>
      </c>
      <c r="G728"/>
    </row>
    <row r="729" spans="1:7" ht="18" customHeight="1">
      <c r="A729" s="134"/>
      <c r="B729" s="135" cm="1">
        <f t="array" ref="B729">IF((INDEX(GTA!$C$21:$AAH$21,ROW(A71)))=0, 0,(INDEX(GTA!$C$21:$AAH$21,ROW(A71))))</f>
        <v>0</v>
      </c>
      <c r="C729" s="135" t="s">
        <v>22</v>
      </c>
      <c r="D729" s="135">
        <v>16.649999999999999</v>
      </c>
      <c r="E729" s="314">
        <f t="shared" si="32"/>
        <v>0</v>
      </c>
      <c r="G729"/>
    </row>
    <row r="730" spans="1:7" ht="18" customHeight="1">
      <c r="A730" s="134"/>
      <c r="B730" s="135" cm="1">
        <f t="array" ref="B730">IF((INDEX(GTA!$C$21:$AAH$21,ROW(A72)))=0, 0,(INDEX(GTA!$C$21:$AAH$21,ROW(A72))))</f>
        <v>0</v>
      </c>
      <c r="C730" s="135" t="s">
        <v>22</v>
      </c>
      <c r="D730" s="135">
        <v>16.649999999999999</v>
      </c>
      <c r="E730" s="314">
        <f t="shared" si="32"/>
        <v>0</v>
      </c>
      <c r="G730"/>
    </row>
    <row r="731" spans="1:7" ht="18" customHeight="1">
      <c r="A731" s="134"/>
      <c r="B731" s="135" cm="1">
        <f t="array" ref="B731">IF((INDEX(GTA!$C$21:$AAH$21,ROW(A73)))=0, 0,(INDEX(GTA!$C$21:$AAH$21,ROW(A73))))</f>
        <v>0</v>
      </c>
      <c r="C731" s="135" t="s">
        <v>22</v>
      </c>
      <c r="D731" s="135">
        <v>16.649999999999999</v>
      </c>
      <c r="E731" s="314">
        <f t="shared" si="32"/>
        <v>0</v>
      </c>
      <c r="G731"/>
    </row>
    <row r="732" spans="1:7" ht="18" customHeight="1">
      <c r="A732" s="134"/>
      <c r="B732" s="135" cm="1">
        <f t="array" ref="B732">IF((INDEX(GTA!$C$21:$AAH$21,ROW(A74)))=0, 0,(INDEX(GTA!$C$21:$AAH$21,ROW(A74))))</f>
        <v>0</v>
      </c>
      <c r="C732" s="135" t="s">
        <v>22</v>
      </c>
      <c r="D732" s="135">
        <v>16.649999999999999</v>
      </c>
      <c r="E732" s="314">
        <f t="shared" si="32"/>
        <v>0</v>
      </c>
      <c r="G732"/>
    </row>
    <row r="733" spans="1:7" ht="18" customHeight="1">
      <c r="A733" s="403"/>
      <c r="B733" s="135" cm="1">
        <f t="array" ref="B733">IF((INDEX(GTA!$C$21:$AAH$21,ROW(A75)))=0, 0,(INDEX(GTA!$C$21:$AAH$21,ROW(A75))))</f>
        <v>0</v>
      </c>
      <c r="C733" s="135" t="s">
        <v>22</v>
      </c>
      <c r="D733" s="135">
        <v>16.649999999999999</v>
      </c>
      <c r="E733" s="314">
        <f t="shared" si="32"/>
        <v>0</v>
      </c>
      <c r="G733"/>
    </row>
    <row r="734" spans="1:7" ht="18" customHeight="1">
      <c r="A734" s="134"/>
      <c r="B734" s="135" cm="1">
        <f t="array" ref="B734">IF((INDEX(GTA!$C$21:$AAH$21,ROW(A76)))=0, 0,(INDEX(GTA!$C$21:$AAH$21,ROW(A76))))</f>
        <v>0</v>
      </c>
      <c r="C734" s="135" t="s">
        <v>22</v>
      </c>
      <c r="D734" s="135">
        <v>16.649999999999999</v>
      </c>
      <c r="E734" s="314">
        <f t="shared" si="32"/>
        <v>0</v>
      </c>
      <c r="G734"/>
    </row>
    <row r="735" spans="1:7" ht="18" customHeight="1">
      <c r="A735" s="134"/>
      <c r="B735" s="135" cm="1">
        <f t="array" ref="B735">IF((INDEX(GTA!$C$21:$AAH$21,ROW(A77)))=0, 0,(INDEX(GTA!$C$21:$AAH$21,ROW(A77))))</f>
        <v>0</v>
      </c>
      <c r="C735" s="135" t="s">
        <v>22</v>
      </c>
      <c r="D735" s="135">
        <v>16.649999999999999</v>
      </c>
      <c r="E735" s="314">
        <f t="shared" si="32"/>
        <v>0</v>
      </c>
      <c r="G735"/>
    </row>
    <row r="736" spans="1:7" ht="18" customHeight="1">
      <c r="A736" s="398"/>
      <c r="B736" s="135" cm="1">
        <f t="array" ref="B736">IF((INDEX(GTA!$C$21:$AAH$21,ROW(A78)))=0, 0,(INDEX(GTA!$C$21:$AAH$21,ROW(A78))))</f>
        <v>0</v>
      </c>
      <c r="C736" s="135" t="s">
        <v>22</v>
      </c>
      <c r="D736" s="135">
        <v>16.649999999999999</v>
      </c>
      <c r="E736" s="314">
        <f t="shared" si="32"/>
        <v>0</v>
      </c>
      <c r="G736"/>
    </row>
    <row r="737" spans="1:7" ht="18" customHeight="1">
      <c r="A737" s="134"/>
      <c r="B737" s="135" cm="1">
        <f t="array" ref="B737">IF((INDEX(GTA!$C$21:$AAH$21,ROW(A79)))=0, 0,(INDEX(GTA!$C$21:$AAH$21,ROW(A79))))</f>
        <v>0</v>
      </c>
      <c r="C737" s="135" t="s">
        <v>22</v>
      </c>
      <c r="D737" s="135">
        <v>16.649999999999999</v>
      </c>
      <c r="E737" s="314">
        <f t="shared" si="32"/>
        <v>0</v>
      </c>
      <c r="G737"/>
    </row>
    <row r="738" spans="1:7" ht="18" customHeight="1">
      <c r="A738" s="134"/>
      <c r="B738" s="135" cm="1">
        <f t="array" ref="B738">IF((INDEX(GTA!$C$21:$AAH$21,ROW(A80)))=0, 0,(INDEX(GTA!$C$21:$AAH$21,ROW(A80))))</f>
        <v>0</v>
      </c>
      <c r="C738" s="135" t="s">
        <v>22</v>
      </c>
      <c r="D738" s="135">
        <v>16.649999999999999</v>
      </c>
      <c r="E738" s="314">
        <f t="shared" si="32"/>
        <v>0</v>
      </c>
      <c r="G738"/>
    </row>
    <row r="739" spans="1:7" ht="18" customHeight="1">
      <c r="A739" s="134"/>
      <c r="B739" s="135" cm="1">
        <f t="array" ref="B739">IF((INDEX(GTA!$C$21:$AAH$21,ROW(A81)))=0, 0,(INDEX(GTA!$C$21:$AAH$21,ROW(A81))))</f>
        <v>0</v>
      </c>
      <c r="C739" s="135" t="s">
        <v>22</v>
      </c>
      <c r="D739" s="135">
        <v>16.649999999999999</v>
      </c>
      <c r="E739" s="314">
        <f t="shared" si="32"/>
        <v>0</v>
      </c>
      <c r="G739"/>
    </row>
    <row r="740" spans="1:7" ht="18" customHeight="1">
      <c r="A740" s="134"/>
      <c r="B740" s="135" cm="1">
        <f t="array" ref="B740">IF((INDEX(GTA!$C$21:$AAH$21,ROW(A82)))=0, 0,(INDEX(GTA!$C$21:$AAH$21,ROW(A82))))</f>
        <v>0</v>
      </c>
      <c r="C740" s="135" t="s">
        <v>22</v>
      </c>
      <c r="D740" s="135">
        <v>16.649999999999999</v>
      </c>
      <c r="E740" s="314">
        <f t="shared" si="32"/>
        <v>0</v>
      </c>
      <c r="G740"/>
    </row>
    <row r="741" spans="1:7" ht="18" customHeight="1">
      <c r="A741" s="134"/>
      <c r="B741" s="135" cm="1">
        <f t="array" ref="B741">IF((INDEX(GTA!$C$21:$AAH$21,ROW(A83)))=0, 0,(INDEX(GTA!$C$21:$AAH$21,ROW(A83))))</f>
        <v>0</v>
      </c>
      <c r="C741" s="135" t="s">
        <v>22</v>
      </c>
      <c r="D741" s="135">
        <v>16.649999999999999</v>
      </c>
      <c r="E741" s="314">
        <f t="shared" si="32"/>
        <v>0</v>
      </c>
      <c r="G741"/>
    </row>
    <row r="742" spans="1:7" ht="18" customHeight="1">
      <c r="A742" s="512"/>
      <c r="B742" s="135" cm="1">
        <f t="array" ref="B742">IF((INDEX(GTA!$C$21:$AAH$21,ROW(A84)))=0, 0,(INDEX(GTA!$C$21:$AAH$21,ROW(A84))))</f>
        <v>0</v>
      </c>
      <c r="C742" s="135" t="s">
        <v>22</v>
      </c>
      <c r="D742" s="135">
        <v>16.649999999999999</v>
      </c>
      <c r="E742" s="314">
        <f t="shared" si="32"/>
        <v>0</v>
      </c>
      <c r="G742"/>
    </row>
    <row r="743" spans="1:7" ht="18" customHeight="1">
      <c r="A743" s="134"/>
      <c r="B743" s="135" cm="1">
        <f t="array" ref="B743">IF((INDEX(GTA!$C$21:$AAH$21,ROW(A85)))=0, 0,(INDEX(GTA!$C$21:$AAH$21,ROW(A85))))</f>
        <v>0</v>
      </c>
      <c r="C743" s="135" t="s">
        <v>22</v>
      </c>
      <c r="D743" s="135">
        <v>16.649999999999999</v>
      </c>
      <c r="E743" s="314">
        <f t="shared" si="32"/>
        <v>0</v>
      </c>
      <c r="G743"/>
    </row>
    <row r="744" spans="1:7" ht="18" customHeight="1">
      <c r="A744" s="134"/>
      <c r="B744" s="135" cm="1">
        <f t="array" ref="B744">IF((INDEX(GTA!$C$21:$AAH$21,ROW(A86)))=0, 0,(INDEX(GTA!$C$21:$AAH$21,ROW(A86))))</f>
        <v>0</v>
      </c>
      <c r="C744" s="135" t="s">
        <v>22</v>
      </c>
      <c r="D744" s="135">
        <v>16.649999999999999</v>
      </c>
      <c r="E744" s="314">
        <f t="shared" si="32"/>
        <v>0</v>
      </c>
      <c r="G744"/>
    </row>
    <row r="745" spans="1:7" ht="18" customHeight="1">
      <c r="A745" s="134"/>
      <c r="B745" s="135" cm="1">
        <f t="array" ref="B745">IF((INDEX(GTA!$C$21:$AAH$21,ROW(A87)))=0, 0,(INDEX(GTA!$C$21:$AAH$21,ROW(A87))))</f>
        <v>0</v>
      </c>
      <c r="C745" s="135" t="s">
        <v>22</v>
      </c>
      <c r="D745" s="135">
        <v>16.649999999999999</v>
      </c>
      <c r="E745" s="314">
        <f t="shared" si="32"/>
        <v>0</v>
      </c>
      <c r="G745"/>
    </row>
    <row r="746" spans="1:7" ht="18" customHeight="1">
      <c r="A746" s="134"/>
      <c r="B746" s="135" cm="1">
        <f t="array" ref="B746">IF((INDEX(GTA!$C$21:$AAH$21,ROW(A88)))=0, 0,(INDEX(GTA!$C$21:$AAH$21,ROW(A88))))</f>
        <v>0</v>
      </c>
      <c r="C746" s="135" t="s">
        <v>22</v>
      </c>
      <c r="D746" s="135">
        <v>16.649999999999999</v>
      </c>
      <c r="E746" s="314">
        <f t="shared" si="32"/>
        <v>0</v>
      </c>
      <c r="G746"/>
    </row>
    <row r="747" spans="1:7" ht="18" customHeight="1">
      <c r="A747" s="398"/>
      <c r="B747" s="135" cm="1">
        <f t="array" ref="B747">IF((INDEX(GTA!$C$21:$AAH$21,ROW(A89)))=0, 0,(INDEX(GTA!$C$21:$AAH$21,ROW(A89))))</f>
        <v>0</v>
      </c>
      <c r="C747" s="135" t="s">
        <v>22</v>
      </c>
      <c r="D747" s="135">
        <v>16.649999999999999</v>
      </c>
      <c r="E747" s="314">
        <f t="shared" si="32"/>
        <v>0</v>
      </c>
      <c r="G747"/>
    </row>
    <row r="748" spans="1:7" ht="18" customHeight="1">
      <c r="A748" s="398"/>
      <c r="B748" s="135" cm="1">
        <f t="array" ref="B748">IF((INDEX(GTA!$C$21:$AAH$21,ROW(A90)))=0, 0,(INDEX(GTA!$C$21:$AAH$21,ROW(A90))))</f>
        <v>0</v>
      </c>
      <c r="C748" s="135" t="s">
        <v>22</v>
      </c>
      <c r="D748" s="135">
        <v>16.649999999999999</v>
      </c>
      <c r="E748" s="314">
        <f t="shared" si="32"/>
        <v>0</v>
      </c>
      <c r="G748"/>
    </row>
    <row r="749" spans="1:7" ht="18" customHeight="1">
      <c r="A749" s="398"/>
      <c r="B749" s="135" cm="1">
        <f t="array" ref="B749">IF((INDEX(GTA!$C$21:$AAH$21,ROW(A91)))=0, 0,(INDEX(GTA!$C$21:$AAH$21,ROW(A91))))</f>
        <v>0</v>
      </c>
      <c r="C749" s="135" t="s">
        <v>22</v>
      </c>
      <c r="D749" s="135">
        <v>16.649999999999999</v>
      </c>
      <c r="E749" s="314">
        <f t="shared" si="32"/>
        <v>0</v>
      </c>
      <c r="G749"/>
    </row>
    <row r="750" spans="1:7" ht="18" customHeight="1">
      <c r="A750" s="134"/>
      <c r="B750" s="135" cm="1">
        <f t="array" ref="B750">IF((INDEX(GTA!$C$21:$AAH$21,ROW(A92)))=0, 0,(INDEX(GTA!$C$21:$AAH$21,ROW(A92))))</f>
        <v>0</v>
      </c>
      <c r="C750" s="135" t="s">
        <v>22</v>
      </c>
      <c r="D750" s="135">
        <v>16.649999999999999</v>
      </c>
      <c r="E750" s="314">
        <f t="shared" si="32"/>
        <v>0</v>
      </c>
      <c r="G750"/>
    </row>
    <row r="751" spans="1:7" ht="18" customHeight="1">
      <c r="A751" s="134"/>
      <c r="B751" s="135" cm="1">
        <f t="array" ref="B751">IF((INDEX(GTA!$C$21:$AAH$21,ROW(A93)))=0, 0,(INDEX(GTA!$C$21:$AAH$21,ROW(A93))))</f>
        <v>0</v>
      </c>
      <c r="C751" s="135" t="s">
        <v>22</v>
      </c>
      <c r="D751" s="135">
        <v>16.649999999999999</v>
      </c>
      <c r="E751" s="314">
        <f t="shared" si="32"/>
        <v>0</v>
      </c>
      <c r="G751"/>
    </row>
    <row r="752" spans="1:7" ht="18" customHeight="1">
      <c r="A752" s="134"/>
      <c r="B752" s="135" cm="1">
        <f t="array" ref="B752">IF((INDEX(GTA!$C$21:$AAH$21,ROW(A94)))=0, 0,(INDEX(GTA!$C$21:$AAH$21,ROW(A94))))</f>
        <v>0</v>
      </c>
      <c r="C752" s="135" t="s">
        <v>22</v>
      </c>
      <c r="D752" s="135">
        <v>16.649999999999999</v>
      </c>
      <c r="E752" s="314">
        <f t="shared" si="32"/>
        <v>0</v>
      </c>
      <c r="G752"/>
    </row>
    <row r="753" spans="1:5" ht="18" customHeight="1">
      <c r="A753" s="134"/>
      <c r="B753" s="135" cm="1">
        <f t="array" ref="B753">IF((INDEX(GTA!$C$21:$AAH$21,ROW(A95)))=0, 0,(INDEX(GTA!$C$21:$AAH$21,ROW(A95))))</f>
        <v>0</v>
      </c>
      <c r="C753" s="135" t="s">
        <v>22</v>
      </c>
      <c r="D753" s="135">
        <v>16.649999999999999</v>
      </c>
      <c r="E753" s="314">
        <f t="shared" si="32"/>
        <v>0</v>
      </c>
    </row>
    <row r="754" spans="1:5" ht="18" customHeight="1">
      <c r="A754" s="134"/>
      <c r="B754" s="135" cm="1">
        <f t="array" ref="B754">IF((INDEX(GTA!$C$21:$AAH$21,ROW(A96)))=0, 0,(INDEX(GTA!$C$21:$AAH$21,ROW(A96))))</f>
        <v>0</v>
      </c>
      <c r="C754" s="135" t="s">
        <v>22</v>
      </c>
      <c r="D754" s="135">
        <v>16.649999999999999</v>
      </c>
      <c r="E754" s="314">
        <f t="shared" si="32"/>
        <v>0</v>
      </c>
    </row>
    <row r="755" spans="1:5" ht="18" customHeight="1">
      <c r="A755" s="134"/>
      <c r="B755" s="135" cm="1">
        <f t="array" ref="B755">IF((INDEX(GTA!$C$21:$AAH$21,ROW(A97)))=0, 0,(INDEX(GTA!$C$21:$AAH$21,ROW(A97))))</f>
        <v>0</v>
      </c>
      <c r="C755" s="135" t="s">
        <v>22</v>
      </c>
      <c r="D755" s="135">
        <v>16.649999999999999</v>
      </c>
      <c r="E755" s="314">
        <f t="shared" si="32"/>
        <v>0</v>
      </c>
    </row>
    <row r="756" spans="1:5" ht="18" customHeight="1">
      <c r="A756" s="134"/>
      <c r="B756" s="135" cm="1">
        <f t="array" ref="B756">IF((INDEX(GTA!$C$21:$AAH$21,ROW(A98)))=0, 0,(INDEX(GTA!$C$21:$AAH$21,ROW(A98))))</f>
        <v>0</v>
      </c>
      <c r="C756" s="135" t="s">
        <v>22</v>
      </c>
      <c r="D756" s="135">
        <v>16.649999999999999</v>
      </c>
      <c r="E756" s="314">
        <f t="shared" si="32"/>
        <v>0</v>
      </c>
    </row>
    <row r="757" spans="1:5" ht="18" customHeight="1">
      <c r="A757" s="134"/>
      <c r="B757" s="135" cm="1">
        <f t="array" ref="B757">IF((INDEX(GTA!$C$21:$AAH$21,ROW(A99)))=0, 0,(INDEX(GTA!$C$21:$AAH$21,ROW(A99))))</f>
        <v>0</v>
      </c>
      <c r="C757" s="135" t="s">
        <v>22</v>
      </c>
      <c r="D757" s="135">
        <v>16.649999999999999</v>
      </c>
      <c r="E757" s="314">
        <f t="shared" si="32"/>
        <v>0</v>
      </c>
    </row>
    <row r="758" spans="1:5" ht="18" customHeight="1">
      <c r="A758" s="134"/>
      <c r="B758" s="135" cm="1">
        <f t="array" ref="B758">IF((INDEX(GTA!$C$21:$AAH$21,ROW(A100)))=0, 0,(INDEX(GTA!$C$21:$AAH$21,ROW(A100))))</f>
        <v>0</v>
      </c>
      <c r="C758" s="135" t="s">
        <v>22</v>
      </c>
      <c r="D758" s="135">
        <v>16.649999999999999</v>
      </c>
      <c r="E758" s="314">
        <f t="shared" si="32"/>
        <v>0</v>
      </c>
    </row>
    <row r="759" spans="1:5" ht="18" customHeight="1">
      <c r="A759" s="134"/>
      <c r="B759" s="135" cm="1">
        <f t="array" ref="B759">IF((INDEX(GTA!$C$21:$AAH$21,ROW(A101)))=0, 0,(INDEX(GTA!$C$21:$AAH$21,ROW(A101))))</f>
        <v>0</v>
      </c>
      <c r="C759" s="135" t="s">
        <v>22</v>
      </c>
      <c r="D759" s="135">
        <v>16.649999999999999</v>
      </c>
      <c r="E759" s="314">
        <f t="shared" si="32"/>
        <v>0</v>
      </c>
    </row>
    <row r="760" spans="1:5" ht="18" customHeight="1">
      <c r="A760" s="136"/>
      <c r="B760" s="135" cm="1">
        <f t="array" ref="B760">IF((INDEX(GTA!$C$21:$AAH$21,ROW(A102)))=0, 0,(INDEX(GTA!$C$21:$AAH$21,ROW(A102))))</f>
        <v>0</v>
      </c>
      <c r="C760" s="135" t="s">
        <v>22</v>
      </c>
      <c r="D760" s="135">
        <v>16.649999999999999</v>
      </c>
      <c r="E760" s="314">
        <f t="shared" si="32"/>
        <v>0</v>
      </c>
    </row>
    <row r="761" spans="1:5" ht="18" customHeight="1">
      <c r="A761" s="136"/>
      <c r="B761" s="135" cm="1">
        <f t="array" ref="B761">IF((INDEX(GTA!$C$21:$AAH$21,ROW(A103)))=0, 0,(INDEX(GTA!$C$21:$AAH$21,ROW(A103))))</f>
        <v>0</v>
      </c>
      <c r="C761" s="135" t="s">
        <v>22</v>
      </c>
      <c r="D761" s="135">
        <v>16.649999999999999</v>
      </c>
      <c r="E761" s="314">
        <f t="shared" si="32"/>
        <v>0</v>
      </c>
    </row>
    <row r="762" spans="1:5" ht="18" customHeight="1">
      <c r="A762" s="134"/>
      <c r="B762" s="135" cm="1">
        <f t="array" ref="B762">IF((INDEX(GTA!$C$21:$AAH$21,ROW(A104)))=0, 0,(INDEX(GTA!$C$21:$AAH$21,ROW(A104))))</f>
        <v>0</v>
      </c>
      <c r="C762" s="135" t="s">
        <v>22</v>
      </c>
      <c r="D762" s="135">
        <v>16.649999999999999</v>
      </c>
      <c r="E762" s="314">
        <f t="shared" si="32"/>
        <v>0</v>
      </c>
    </row>
    <row r="763" spans="1:5" ht="18" customHeight="1">
      <c r="A763" s="134"/>
      <c r="B763" s="135" cm="1">
        <f t="array" ref="B763">IF((INDEX(GTA!$C$21:$AAH$21,ROW(A105)))=0, 0,(INDEX(GTA!$C$21:$AAH$21,ROW(A105))))</f>
        <v>0</v>
      </c>
      <c r="C763" s="135" t="s">
        <v>22</v>
      </c>
      <c r="D763" s="135">
        <v>16.649999999999999</v>
      </c>
      <c r="E763" s="314">
        <f t="shared" si="32"/>
        <v>0</v>
      </c>
    </row>
    <row r="764" spans="1:5" ht="18" customHeight="1">
      <c r="A764" s="134"/>
      <c r="B764" s="135" cm="1">
        <f t="array" ref="B764">IF((INDEX(GTA!$C$21:$AAH$21,ROW(A106)))=0, 0,(INDEX(GTA!$C$21:$AAH$21,ROW(A106))))</f>
        <v>0</v>
      </c>
      <c r="C764" s="135" t="s">
        <v>22</v>
      </c>
      <c r="D764" s="135">
        <v>16.649999999999999</v>
      </c>
      <c r="E764" s="314">
        <f t="shared" si="32"/>
        <v>0</v>
      </c>
    </row>
    <row r="765" spans="1:5" ht="18" customHeight="1">
      <c r="A765" s="134"/>
      <c r="B765" s="135" cm="1">
        <f t="array" ref="B765">IF((INDEX(GTA!$C$21:$AAH$21,ROW(A107)))=0, 0,(INDEX(GTA!$C$21:$AAH$21,ROW(A107))))</f>
        <v>0</v>
      </c>
      <c r="C765" s="135" t="s">
        <v>22</v>
      </c>
      <c r="D765" s="135">
        <v>16.649999999999999</v>
      </c>
      <c r="E765" s="314">
        <f t="shared" si="32"/>
        <v>0</v>
      </c>
    </row>
    <row r="766" spans="1:5" ht="18" customHeight="1">
      <c r="A766" s="134"/>
      <c r="B766" s="135" cm="1">
        <f t="array" ref="B766">IF((INDEX(GTA!$C$21:$AAH$21,ROW(A108)))=0, 0,(INDEX(GTA!$C$21:$AAH$21,ROW(A108))))</f>
        <v>0</v>
      </c>
      <c r="C766" s="135" t="s">
        <v>22</v>
      </c>
      <c r="D766" s="135">
        <v>16.649999999999999</v>
      </c>
      <c r="E766" s="314">
        <f t="shared" si="32"/>
        <v>0</v>
      </c>
    </row>
    <row r="767" spans="1:5" ht="18" customHeight="1">
      <c r="A767" s="134"/>
      <c r="B767" s="135" cm="1">
        <f t="array" ref="B767">IF((INDEX(GTA!$C$21:$AAH$21,ROW(A109)))=0, 0,(INDEX(GTA!$C$21:$AAH$21,ROW(A109))))</f>
        <v>0</v>
      </c>
      <c r="C767" s="135" t="s">
        <v>22</v>
      </c>
      <c r="D767" s="135">
        <v>16.649999999999999</v>
      </c>
      <c r="E767" s="314">
        <f t="shared" si="32"/>
        <v>0</v>
      </c>
    </row>
    <row r="768" spans="1:5" ht="18" customHeight="1">
      <c r="A768" s="134"/>
      <c r="B768" s="135" cm="1">
        <f t="array" ref="B768">IF((INDEX(GTA!$C$21:$AAH$21,ROW(A110)))=0, 0,(INDEX(GTA!$C$21:$AAH$21,ROW(A110))))</f>
        <v>0</v>
      </c>
      <c r="C768" s="135" t="s">
        <v>22</v>
      </c>
      <c r="D768" s="135">
        <v>16.649999999999999</v>
      </c>
      <c r="E768" s="314">
        <f t="shared" si="32"/>
        <v>0</v>
      </c>
    </row>
    <row r="769" spans="1:5" ht="18" customHeight="1">
      <c r="A769" s="134"/>
      <c r="B769" s="135" cm="1">
        <f t="array" ref="B769">IF((INDEX(GTA!$C$21:$AAH$21,ROW(A111)))=0, 0,(INDEX(GTA!$C$21:$AAH$21,ROW(A111))))</f>
        <v>0</v>
      </c>
      <c r="C769" s="135" t="s">
        <v>22</v>
      </c>
      <c r="D769" s="135">
        <v>16.649999999999999</v>
      </c>
      <c r="E769" s="314">
        <f t="shared" si="32"/>
        <v>0</v>
      </c>
    </row>
    <row r="770" spans="1:5" ht="18" customHeight="1">
      <c r="A770" s="134"/>
      <c r="B770" s="135" cm="1">
        <f t="array" ref="B770">IF((INDEX(GTA!$C$21:$AAH$21,ROW(A112)))=0, 0,(INDEX(GTA!$C$21:$AAH$21,ROW(A112))))</f>
        <v>0</v>
      </c>
      <c r="C770" s="135" t="s">
        <v>22</v>
      </c>
      <c r="D770" s="135">
        <v>16.649999999999999</v>
      </c>
      <c r="E770" s="314">
        <f t="shared" si="32"/>
        <v>0</v>
      </c>
    </row>
    <row r="771" spans="1:5" ht="18" customHeight="1">
      <c r="A771" s="134"/>
      <c r="B771" s="135" cm="1">
        <f t="array" ref="B771">IF((INDEX(GTA!$C$21:$AAH$21,ROW(A113)))=0, 0,(INDEX(GTA!$C$21:$AAH$21,ROW(A113))))</f>
        <v>0</v>
      </c>
      <c r="C771" s="135" t="s">
        <v>22</v>
      </c>
      <c r="D771" s="135">
        <v>16.649999999999999</v>
      </c>
      <c r="E771" s="314">
        <f t="shared" si="32"/>
        <v>0</v>
      </c>
    </row>
    <row r="772" spans="1:5" ht="18" customHeight="1">
      <c r="A772" s="134"/>
      <c r="B772" s="135" cm="1">
        <f t="array" ref="B772">IF((INDEX(GTA!$C$21:$AAH$21,ROW(A114)))=0, 0,(INDEX(GTA!$C$21:$AAH$21,ROW(A114))))</f>
        <v>0</v>
      </c>
      <c r="C772" s="135" t="s">
        <v>22</v>
      </c>
      <c r="D772" s="135">
        <v>16.649999999999999</v>
      </c>
      <c r="E772" s="314">
        <f t="shared" si="32"/>
        <v>0</v>
      </c>
    </row>
    <row r="773" spans="1:5" ht="18" customHeight="1">
      <c r="A773" s="134"/>
      <c r="B773" s="135" cm="1">
        <f t="array" ref="B773">IF((INDEX(GTA!$C$21:$AAH$21,ROW(A115)))=0, 0,(INDEX(GTA!$C$21:$AAH$21,ROW(A115))))</f>
        <v>0</v>
      </c>
      <c r="C773" s="135" t="s">
        <v>22</v>
      </c>
      <c r="D773" s="135">
        <v>16.649999999999999</v>
      </c>
      <c r="E773" s="314">
        <f t="shared" si="32"/>
        <v>0</v>
      </c>
    </row>
    <row r="774" spans="1:5" ht="18" customHeight="1">
      <c r="A774" s="134"/>
      <c r="B774" s="135" cm="1">
        <f t="array" ref="B774">IF((INDEX(GTA!$C$21:$AAH$21,ROW(A116)))=0, 0,(INDEX(GTA!$C$21:$AAH$21,ROW(A116))))</f>
        <v>0</v>
      </c>
      <c r="C774" s="135" t="s">
        <v>22</v>
      </c>
      <c r="D774" s="135">
        <v>16.649999999999999</v>
      </c>
      <c r="E774" s="314">
        <f t="shared" si="32"/>
        <v>0</v>
      </c>
    </row>
    <row r="775" spans="1:5" ht="18" customHeight="1">
      <c r="A775" s="134"/>
      <c r="B775" s="135" cm="1">
        <f t="array" ref="B775">IF((INDEX(GTA!$C$21:$AAH$21,ROW(A117)))=0, 0,(INDEX(GTA!$C$21:$AAH$21,ROW(A117))))</f>
        <v>0</v>
      </c>
      <c r="C775" s="135" t="s">
        <v>22</v>
      </c>
      <c r="D775" s="135">
        <v>16.649999999999999</v>
      </c>
      <c r="E775" s="314">
        <f t="shared" si="32"/>
        <v>0</v>
      </c>
    </row>
    <row r="776" spans="1:5" ht="18" customHeight="1">
      <c r="A776" s="134"/>
      <c r="B776" s="135" cm="1">
        <f t="array" ref="B776">IF((INDEX(GTA!$C$21:$AAH$21,ROW(A118)))=0, 0,(INDEX(GTA!$C$21:$AAH$21,ROW(A118))))</f>
        <v>0</v>
      </c>
      <c r="C776" s="135" t="s">
        <v>22</v>
      </c>
      <c r="D776" s="135">
        <v>16.649999999999999</v>
      </c>
      <c r="E776" s="314">
        <f t="shared" si="32"/>
        <v>0</v>
      </c>
    </row>
    <row r="777" spans="1:5" ht="18" customHeight="1">
      <c r="A777" s="134"/>
      <c r="B777" s="135" cm="1">
        <f t="array" ref="B777">IF((INDEX(GTA!$C$21:$AAH$21,ROW(A119)))=0, 0,(INDEX(GTA!$C$21:$AAH$21,ROW(A119))))</f>
        <v>0</v>
      </c>
      <c r="C777" s="135" t="s">
        <v>22</v>
      </c>
      <c r="D777" s="135">
        <v>16.649999999999999</v>
      </c>
      <c r="E777" s="314">
        <f t="shared" si="32"/>
        <v>0</v>
      </c>
    </row>
    <row r="778" spans="1:5" ht="18" customHeight="1">
      <c r="A778" s="398"/>
      <c r="B778" s="135" cm="1">
        <f t="array" ref="B778">IF((INDEX(GTA!$C$21:$AAH$21,ROW(A120)))=0, 0,(INDEX(GTA!$C$21:$AAH$21,ROW(A120))))</f>
        <v>0</v>
      </c>
      <c r="C778" s="135" t="s">
        <v>22</v>
      </c>
      <c r="D778" s="135">
        <v>16.649999999999999</v>
      </c>
      <c r="E778" s="314">
        <f t="shared" si="32"/>
        <v>0</v>
      </c>
    </row>
    <row r="779" spans="1:5" ht="18" customHeight="1">
      <c r="A779" s="398"/>
      <c r="B779" s="135" cm="1">
        <f t="array" ref="B779">IF((INDEX(GTA!$C$21:$AAH$21,ROW(A121)))=0, 0,(INDEX(GTA!$C$21:$AAH$21,ROW(A121))))</f>
        <v>0</v>
      </c>
      <c r="C779" s="135" t="s">
        <v>22</v>
      </c>
      <c r="D779" s="135">
        <v>16.649999999999999</v>
      </c>
      <c r="E779" s="314">
        <f t="shared" si="32"/>
        <v>0</v>
      </c>
    </row>
    <row r="780" spans="1:5" ht="18" customHeight="1">
      <c r="A780" s="398"/>
      <c r="B780" s="135" cm="1">
        <f t="array" ref="B780">IF((INDEX(GTA!$C$21:$AAH$21,ROW(A122)))=0, 0,(INDEX(GTA!$C$21:$AAH$21,ROW(A122))))</f>
        <v>0</v>
      </c>
      <c r="C780" s="135" t="s">
        <v>22</v>
      </c>
      <c r="D780" s="135">
        <v>16.649999999999999</v>
      </c>
      <c r="E780" s="314">
        <f t="shared" si="32"/>
        <v>0</v>
      </c>
    </row>
    <row r="781" spans="1:5" ht="18" customHeight="1">
      <c r="A781" s="398"/>
      <c r="B781" s="135" cm="1">
        <f t="array" ref="B781">IF((INDEX(GTA!$C$21:$AAH$21,ROW(A123)))=0, 0,(INDEX(GTA!$C$21:$AAH$21,ROW(A123))))</f>
        <v>0</v>
      </c>
      <c r="C781" s="135" t="s">
        <v>22</v>
      </c>
      <c r="D781" s="135">
        <v>16.649999999999999</v>
      </c>
      <c r="E781" s="314">
        <f t="shared" si="32"/>
        <v>0</v>
      </c>
    </row>
    <row r="782" spans="1:5" ht="18" customHeight="1">
      <c r="A782" s="134"/>
      <c r="B782" s="135" cm="1">
        <f t="array" ref="B782">IF((INDEX(GTA!$C$21:$AAH$21,ROW(A124)))=0, 0,(INDEX(GTA!$C$21:$AAH$21,ROW(A124))))</f>
        <v>0</v>
      </c>
      <c r="C782" s="135" t="s">
        <v>22</v>
      </c>
      <c r="D782" s="135">
        <v>16.649999999999999</v>
      </c>
      <c r="E782" s="314">
        <f t="shared" si="32"/>
        <v>0</v>
      </c>
    </row>
    <row r="783" spans="1:5" ht="18" customHeight="1">
      <c r="A783" s="134"/>
      <c r="B783" s="135" cm="1">
        <f t="array" ref="B783">IF((INDEX(GTA!$C$21:$AAH$21,ROW(A125)))=0, 0,(INDEX(GTA!$C$21:$AAH$21,ROW(A125))))</f>
        <v>0</v>
      </c>
      <c r="C783" s="135" t="s">
        <v>22</v>
      </c>
      <c r="D783" s="135">
        <v>16.649999999999999</v>
      </c>
      <c r="E783" s="314">
        <f t="shared" si="32"/>
        <v>0</v>
      </c>
    </row>
    <row r="784" spans="1:5" ht="18" customHeight="1">
      <c r="A784" s="398"/>
      <c r="B784" s="135" cm="1">
        <f t="array" ref="B784">IF((INDEX(GTA!$C$21:$AAH$21,ROW(A126)))=0, 0,(INDEX(GTA!$C$21:$AAH$21,ROW(A126))))</f>
        <v>0</v>
      </c>
      <c r="C784" s="135" t="s">
        <v>22</v>
      </c>
      <c r="D784" s="135">
        <v>16.649999999999999</v>
      </c>
      <c r="E784" s="314">
        <f t="shared" si="32"/>
        <v>0</v>
      </c>
    </row>
    <row r="785" spans="1:7" ht="18" customHeight="1">
      <c r="A785" s="398"/>
      <c r="B785" s="135" cm="1">
        <f t="array" ref="B785">IF((INDEX(GTA!$C$21:$AAH$21,ROW(A127)))=0, 0,(INDEX(GTA!$C$21:$AAH$21,ROW(A127))))</f>
        <v>0</v>
      </c>
      <c r="C785" s="135" t="s">
        <v>22</v>
      </c>
      <c r="D785" s="135">
        <v>16.649999999999999</v>
      </c>
      <c r="E785" s="314">
        <f t="shared" si="32"/>
        <v>0</v>
      </c>
    </row>
    <row r="786" spans="1:7" ht="18" customHeight="1">
      <c r="A786" s="398"/>
      <c r="B786" s="135" cm="1">
        <f t="array" ref="B786">IF((INDEX(GTA!$C$21:$AAH$21,ROW(A128)))=0, 0,(INDEX(GTA!$C$21:$AAH$21,ROW(A128))))</f>
        <v>0</v>
      </c>
      <c r="C786" s="135" t="s">
        <v>22</v>
      </c>
      <c r="D786" s="135">
        <v>16.649999999999999</v>
      </c>
      <c r="E786" s="314">
        <f t="shared" si="32"/>
        <v>0</v>
      </c>
      <c r="G786"/>
    </row>
    <row r="787" spans="1:7" ht="18" customHeight="1">
      <c r="A787" s="398"/>
      <c r="B787" s="135" cm="1">
        <f t="array" ref="B787">IF((INDEX(GTA!$C$21:$AAH$21,ROW(A129)))=0, 0,(INDEX(GTA!$C$21:$AAH$21,ROW(A129))))</f>
        <v>0</v>
      </c>
      <c r="C787" s="135" t="s">
        <v>22</v>
      </c>
      <c r="D787" s="135">
        <v>16.649999999999999</v>
      </c>
      <c r="E787" s="314">
        <f t="shared" si="32"/>
        <v>0</v>
      </c>
    </row>
    <row r="788" spans="1:7" ht="18" customHeight="1">
      <c r="A788" s="512"/>
      <c r="B788" s="135" cm="1">
        <f t="array" ref="B788">IF((INDEX(GTA!$C$21:$AAH$21,ROW(A130)))=0, 0,(INDEX(GTA!$C$21:$AAH$21,ROW(A130))))</f>
        <v>0</v>
      </c>
      <c r="C788" s="135" t="s">
        <v>22</v>
      </c>
      <c r="D788" s="135">
        <v>16.649999999999999</v>
      </c>
      <c r="E788" s="314">
        <f t="shared" ref="E788:E801" si="33">IF(B788="", 0, B788*D788)</f>
        <v>0</v>
      </c>
    </row>
    <row r="789" spans="1:7" ht="18" customHeight="1">
      <c r="A789" s="398"/>
      <c r="B789" s="135" cm="1">
        <f t="array" ref="B789">IF((INDEX(GTA!$C$21:$AAH$21,ROW(A131)))=0, 0,(INDEX(GTA!$C$21:$AAH$21,ROW(A131))))</f>
        <v>0</v>
      </c>
      <c r="C789" s="135" t="s">
        <v>22</v>
      </c>
      <c r="D789" s="135">
        <v>20</v>
      </c>
      <c r="E789" s="314">
        <f t="shared" si="33"/>
        <v>0</v>
      </c>
    </row>
    <row r="790" spans="1:7" ht="18" customHeight="1">
      <c r="A790" s="398"/>
      <c r="B790" s="135" cm="1">
        <f t="array" ref="B790">IF((INDEX(GTA!$C$21:$AAH$21,ROW(A132)))=0, 0,(INDEX(GTA!$C$21:$AAH$21,ROW(A132))))</f>
        <v>0</v>
      </c>
      <c r="C790" s="135" t="s">
        <v>22</v>
      </c>
      <c r="D790" s="135">
        <v>20</v>
      </c>
      <c r="E790" s="314">
        <f t="shared" si="33"/>
        <v>0</v>
      </c>
    </row>
    <row r="791" spans="1:7" ht="18" customHeight="1">
      <c r="A791" s="398"/>
      <c r="B791" s="135" cm="1">
        <f t="array" ref="B791">IF((INDEX(GTA!$C$21:$AAH$21,ROW(A133)))=0, 0,(INDEX(GTA!$C$21:$AAH$21,ROW(A133))))</f>
        <v>0</v>
      </c>
      <c r="C791" s="135" t="s">
        <v>22</v>
      </c>
      <c r="D791" s="135">
        <v>20</v>
      </c>
      <c r="E791" s="314">
        <f t="shared" si="33"/>
        <v>0</v>
      </c>
    </row>
    <row r="792" spans="1:7" ht="18" customHeight="1">
      <c r="A792" s="398"/>
      <c r="B792" s="135" cm="1">
        <f t="array" ref="B792">IF((INDEX(GTA!$C$21:$AAH$21,ROW(A134)))=0, 0,(INDEX(GTA!$C$21:$AAH$21,ROW(A134))))</f>
        <v>0</v>
      </c>
      <c r="C792" s="135" t="s">
        <v>22</v>
      </c>
      <c r="D792" s="135">
        <v>20</v>
      </c>
      <c r="E792" s="314">
        <f t="shared" si="33"/>
        <v>0</v>
      </c>
    </row>
    <row r="793" spans="1:7" ht="18" customHeight="1">
      <c r="A793" s="398"/>
      <c r="B793" s="135" cm="1">
        <f t="array" ref="B793">IF((INDEX(GTA!$C$21:$AAH$21,ROW(A135)))=0, 0,(INDEX(GTA!$C$21:$AAH$21,ROW(A135))))</f>
        <v>0</v>
      </c>
      <c r="C793" s="135" t="s">
        <v>22</v>
      </c>
      <c r="D793" s="135">
        <v>20</v>
      </c>
      <c r="E793" s="314">
        <f t="shared" si="33"/>
        <v>0</v>
      </c>
    </row>
    <row r="794" spans="1:7" ht="18" customHeight="1">
      <c r="A794" s="398"/>
      <c r="B794" s="135" cm="1">
        <f t="array" ref="B794">IF((INDEX(GTA!$C$21:$AAH$21,ROW(A136)))=0, 0,(INDEX(GTA!$C$21:$AAH$21,ROW(A136))))</f>
        <v>0</v>
      </c>
      <c r="C794" s="135" t="s">
        <v>22</v>
      </c>
      <c r="D794" s="135">
        <v>20</v>
      </c>
      <c r="E794" s="314">
        <f t="shared" si="33"/>
        <v>0</v>
      </c>
    </row>
    <row r="795" spans="1:7" ht="18" customHeight="1">
      <c r="A795" s="398"/>
      <c r="B795" s="135" cm="1">
        <f t="array" ref="B795">IF((INDEX(GTA!$C$21:$AAH$21,ROW(A137)))=0, 0,(INDEX(GTA!$C$21:$AAH$21,ROW(A137))))</f>
        <v>0</v>
      </c>
      <c r="C795" s="135" t="s">
        <v>22</v>
      </c>
      <c r="D795" s="135">
        <v>20</v>
      </c>
      <c r="E795" s="314">
        <f t="shared" si="33"/>
        <v>0</v>
      </c>
    </row>
    <row r="796" spans="1:7" ht="18" customHeight="1">
      <c r="A796" s="398"/>
      <c r="B796" s="135" cm="1">
        <f t="array" ref="B796">IF((INDEX(GTA!$C$21:$AAH$21,ROW(A138)))=0, 0,(INDEX(GTA!$C$21:$AAH$21,ROW(A138))))</f>
        <v>0</v>
      </c>
      <c r="C796" s="135" t="s">
        <v>22</v>
      </c>
      <c r="D796" s="135">
        <v>20</v>
      </c>
      <c r="E796" s="314">
        <f t="shared" si="33"/>
        <v>0</v>
      </c>
    </row>
    <row r="797" spans="1:7" ht="18" customHeight="1">
      <c r="A797" s="398"/>
      <c r="B797" s="135" cm="1">
        <f t="array" ref="B797">IF((INDEX(GTA!$C$21:$AAH$21,ROW(A139)))=0, 0,(INDEX(GTA!$C$21:$AAH$21,ROW(A139))))</f>
        <v>0</v>
      </c>
      <c r="C797" s="135" t="s">
        <v>22</v>
      </c>
      <c r="D797" s="135">
        <v>20</v>
      </c>
      <c r="E797" s="314">
        <f t="shared" si="33"/>
        <v>0</v>
      </c>
    </row>
    <row r="798" spans="1:7" ht="18" customHeight="1">
      <c r="A798" s="398"/>
      <c r="B798" s="135" cm="1">
        <f t="array" ref="B798">IF((INDEX(GTA!$C$21:$AAH$21,ROW(A140)))=0, 0,(INDEX(GTA!$C$21:$AAH$21,ROW(A140))))</f>
        <v>0</v>
      </c>
      <c r="C798" s="135" t="s">
        <v>22</v>
      </c>
      <c r="D798" s="135">
        <v>20</v>
      </c>
      <c r="E798" s="314">
        <f t="shared" si="33"/>
        <v>0</v>
      </c>
    </row>
    <row r="799" spans="1:7" ht="18" customHeight="1">
      <c r="A799" s="398"/>
      <c r="B799" s="135" cm="1">
        <f t="array" ref="B799">IF((INDEX(GTA!$C$21:$AAH$21,ROW(A141)))=0, 0,(INDEX(GTA!$C$21:$AAH$21,ROW(A141))))</f>
        <v>0</v>
      </c>
      <c r="C799" s="135" t="s">
        <v>22</v>
      </c>
      <c r="D799" s="135">
        <v>20</v>
      </c>
      <c r="E799" s="314">
        <f t="shared" si="33"/>
        <v>0</v>
      </c>
      <c r="G799"/>
    </row>
    <row r="800" spans="1:7" ht="18" customHeight="1">
      <c r="A800" s="398"/>
      <c r="B800" s="135" cm="1">
        <f t="array" ref="B800">IF((INDEX(GTA!$C$21:$AAH$21,ROW(A142)))=0, 0,(INDEX(GTA!$C$21:$AAH$21,ROW(A142))))</f>
        <v>0</v>
      </c>
      <c r="C800" s="135" t="s">
        <v>22</v>
      </c>
      <c r="D800" s="135">
        <v>20</v>
      </c>
      <c r="E800" s="314">
        <f t="shared" si="33"/>
        <v>0</v>
      </c>
      <c r="G800"/>
    </row>
    <row r="801" spans="1:7" ht="18" customHeight="1">
      <c r="A801" s="398"/>
      <c r="B801" s="135" cm="1">
        <f t="array" ref="B801">IF((INDEX(GTA!$C$21:$AAH$21,ROW(A143)))=0, 0,(INDEX(GTA!$C$21:$AAH$21,ROW(A143))))</f>
        <v>0</v>
      </c>
      <c r="C801" s="135" t="s">
        <v>22</v>
      </c>
      <c r="D801" s="135">
        <v>20</v>
      </c>
      <c r="E801" s="314">
        <f t="shared" si="33"/>
        <v>0</v>
      </c>
    </row>
    <row r="802" spans="1:7" ht="18" customHeight="1">
      <c r="A802" s="436"/>
      <c r="B802" s="419"/>
      <c r="C802" s="419"/>
      <c r="D802" s="419"/>
      <c r="E802" s="420"/>
    </row>
    <row r="803" spans="1:7" ht="18" customHeight="1">
      <c r="A803" s="418" t="s">
        <v>562</v>
      </c>
      <c r="B803" s="415">
        <f>SUM(B659:B802)</f>
        <v>7</v>
      </c>
      <c r="C803" s="419"/>
      <c r="D803" s="419"/>
      <c r="E803" s="420"/>
      <c r="G803"/>
    </row>
    <row r="804" spans="1:7" ht="18" customHeight="1">
      <c r="A804" s="134"/>
      <c r="B804" s="135"/>
      <c r="C804" s="135"/>
      <c r="D804" s="135"/>
      <c r="E804" s="314"/>
      <c r="G804"/>
    </row>
    <row r="805" spans="1:7" ht="18" customHeight="1">
      <c r="A805" s="429" t="s">
        <v>563</v>
      </c>
      <c r="B805" s="415"/>
      <c r="C805" s="419"/>
      <c r="D805" s="419"/>
      <c r="E805" s="420"/>
      <c r="G805"/>
    </row>
    <row r="806" spans="1:7" ht="18" customHeight="1">
      <c r="A806" s="396" t="s">
        <v>324</v>
      </c>
      <c r="B806" s="135">
        <f>GTA!C475</f>
        <v>0</v>
      </c>
      <c r="C806" s="135" t="s">
        <v>22</v>
      </c>
      <c r="D806" s="135">
        <v>18</v>
      </c>
      <c r="E806" s="314">
        <f t="shared" ref="E806:E813" si="34">B806*D806</f>
        <v>0</v>
      </c>
      <c r="G806"/>
    </row>
    <row r="807" spans="1:7" ht="18" customHeight="1">
      <c r="A807" s="138" t="s">
        <v>379</v>
      </c>
      <c r="B807" s="135">
        <f>GTA!D475</f>
        <v>0</v>
      </c>
      <c r="C807" s="135" t="s">
        <v>22</v>
      </c>
      <c r="D807" s="135">
        <v>18</v>
      </c>
      <c r="E807" s="314">
        <f t="shared" si="34"/>
        <v>0</v>
      </c>
      <c r="G807"/>
    </row>
    <row r="808" spans="1:7" ht="18" customHeight="1">
      <c r="A808" s="404" t="s">
        <v>245</v>
      </c>
      <c r="B808" s="135">
        <f>GTA!E475</f>
        <v>0</v>
      </c>
      <c r="C808" s="135" t="s">
        <v>22</v>
      </c>
      <c r="D808" s="135">
        <v>18</v>
      </c>
      <c r="E808" s="314">
        <f t="shared" si="34"/>
        <v>0</v>
      </c>
      <c r="G808"/>
    </row>
    <row r="809" spans="1:7" ht="18" customHeight="1">
      <c r="A809" s="284" t="s">
        <v>221</v>
      </c>
      <c r="B809" s="135">
        <f>GTA!F475</f>
        <v>0</v>
      </c>
      <c r="C809" s="135" t="s">
        <v>22</v>
      </c>
      <c r="D809" s="135">
        <v>18</v>
      </c>
      <c r="E809" s="314">
        <f t="shared" si="34"/>
        <v>0</v>
      </c>
      <c r="G809"/>
    </row>
    <row r="810" spans="1:7" ht="18" customHeight="1">
      <c r="A810" s="284" t="s">
        <v>323</v>
      </c>
      <c r="B810" s="135">
        <f>GTA!G475</f>
        <v>0</v>
      </c>
      <c r="C810" s="135" t="s">
        <v>22</v>
      </c>
      <c r="D810" s="135">
        <v>18</v>
      </c>
      <c r="E810" s="314">
        <f>B810*D810</f>
        <v>0</v>
      </c>
      <c r="G810"/>
    </row>
    <row r="811" spans="1:7" ht="18" customHeight="1">
      <c r="A811" s="284" t="s">
        <v>237</v>
      </c>
      <c r="B811" s="135">
        <f>GTA!J475</f>
        <v>0</v>
      </c>
      <c r="C811" s="135" t="s">
        <v>22</v>
      </c>
      <c r="D811" s="135">
        <v>18</v>
      </c>
      <c r="E811" s="314">
        <f>B811*D811</f>
        <v>0</v>
      </c>
      <c r="G811"/>
    </row>
    <row r="812" spans="1:7" ht="18" customHeight="1">
      <c r="A812" s="134" t="s">
        <v>538</v>
      </c>
      <c r="B812" s="135">
        <f>GTA!H475</f>
        <v>0</v>
      </c>
      <c r="C812" s="135" t="s">
        <v>22</v>
      </c>
      <c r="D812" s="135">
        <v>18</v>
      </c>
      <c r="E812" s="314">
        <f t="shared" si="34"/>
        <v>0</v>
      </c>
    </row>
    <row r="813" spans="1:7" ht="18" customHeight="1">
      <c r="A813" s="134" t="s">
        <v>394</v>
      </c>
      <c r="B813" s="135">
        <f>GTA!I475</f>
        <v>0</v>
      </c>
      <c r="C813" s="135" t="s">
        <v>22</v>
      </c>
      <c r="D813" s="135">
        <v>18</v>
      </c>
      <c r="E813" s="314">
        <f t="shared" si="34"/>
        <v>0</v>
      </c>
    </row>
    <row r="814" spans="1:7" ht="18" customHeight="1">
      <c r="A814" s="436"/>
      <c r="B814" s="419"/>
      <c r="C814" s="419"/>
      <c r="D814" s="419"/>
      <c r="E814" s="420"/>
    </row>
    <row r="815" spans="1:7" ht="18" customHeight="1">
      <c r="A815" s="418" t="s">
        <v>564</v>
      </c>
      <c r="B815" s="415">
        <f>SUM(B805:B814)</f>
        <v>0</v>
      </c>
      <c r="C815" s="419"/>
      <c r="D815" s="419"/>
      <c r="E815" s="420"/>
    </row>
    <row r="816" spans="1:7" ht="18" customHeight="1">
      <c r="A816" s="134"/>
      <c r="B816" s="135"/>
      <c r="C816" s="135"/>
      <c r="D816" s="135"/>
      <c r="E816" s="314"/>
    </row>
    <row r="817" spans="1:5" ht="18" customHeight="1">
      <c r="A817" s="429" t="s">
        <v>565</v>
      </c>
      <c r="B817" s="415"/>
      <c r="C817" s="419"/>
      <c r="D817" s="419"/>
      <c r="E817" s="420"/>
    </row>
    <row r="818" spans="1:5" ht="18" customHeight="1">
      <c r="A818" s="284" t="s">
        <v>486</v>
      </c>
      <c r="B818" s="135">
        <f>'OUTSIDE GTA'!C107</f>
        <v>0</v>
      </c>
      <c r="C818" s="135" t="s">
        <v>22</v>
      </c>
      <c r="D818" s="135">
        <v>16.649999999999999</v>
      </c>
      <c r="E818" s="314">
        <f>B818*D818</f>
        <v>0</v>
      </c>
    </row>
    <row r="819" spans="1:5" ht="18" customHeight="1">
      <c r="A819" s="284" t="s">
        <v>566</v>
      </c>
      <c r="B819" s="135">
        <f>'OUTSIDE GTA'!D107</f>
        <v>0</v>
      </c>
      <c r="C819" s="135" t="s">
        <v>22</v>
      </c>
      <c r="D819" s="135">
        <v>16.649999999999999</v>
      </c>
      <c r="E819" s="314">
        <f>B819*D819</f>
        <v>0</v>
      </c>
    </row>
    <row r="820" spans="1:5" ht="18" customHeight="1">
      <c r="A820" s="134" t="s">
        <v>567</v>
      </c>
      <c r="B820" s="135">
        <f>'OUTSIDE GTA'!E107</f>
        <v>0</v>
      </c>
      <c r="C820" s="135" t="s">
        <v>22</v>
      </c>
      <c r="D820" s="135">
        <v>18</v>
      </c>
      <c r="E820" s="314">
        <f t="shared" ref="E820:E821" si="35">B820*D820</f>
        <v>0</v>
      </c>
    </row>
    <row r="821" spans="1:5" ht="18" customHeight="1">
      <c r="A821" s="138" t="s">
        <v>568</v>
      </c>
      <c r="B821" s="135">
        <f>'OUTSIDE GTA'!F107</f>
        <v>0</v>
      </c>
      <c r="C821" s="135" t="s">
        <v>22</v>
      </c>
      <c r="D821" s="135">
        <v>16.649999999999999</v>
      </c>
      <c r="E821" s="314">
        <f t="shared" si="35"/>
        <v>0</v>
      </c>
    </row>
    <row r="822" spans="1:5" ht="18" customHeight="1">
      <c r="A822" s="284" t="s">
        <v>569</v>
      </c>
      <c r="B822" s="135">
        <f>'OUTSIDE GTA'!G107</f>
        <v>0</v>
      </c>
      <c r="C822" s="135" t="s">
        <v>22</v>
      </c>
      <c r="D822" s="135">
        <v>16.649999999999999</v>
      </c>
      <c r="E822" s="314">
        <f>B822*D822</f>
        <v>0</v>
      </c>
    </row>
    <row r="823" spans="1:5" ht="18" customHeight="1">
      <c r="A823" s="134" t="s">
        <v>466</v>
      </c>
      <c r="B823" s="135">
        <f>'OUTSIDE GTA'!H107</f>
        <v>0</v>
      </c>
      <c r="C823" s="135" t="s">
        <v>22</v>
      </c>
      <c r="D823" s="135">
        <v>16.649999999999999</v>
      </c>
      <c r="E823" s="314">
        <f t="shared" ref="E823" si="36">B823*D823</f>
        <v>0</v>
      </c>
    </row>
    <row r="824" spans="1:5" ht="18" customHeight="1">
      <c r="A824" s="138" t="s">
        <v>417</v>
      </c>
      <c r="B824" s="135">
        <f>'OUTSIDE GTA'!I107</f>
        <v>0</v>
      </c>
      <c r="C824" s="135" t="s">
        <v>22</v>
      </c>
      <c r="D824" s="135">
        <v>16.649999999999999</v>
      </c>
      <c r="E824" s="314">
        <f t="shared" ref="E824:E826" si="37">B824*D824</f>
        <v>0</v>
      </c>
    </row>
    <row r="825" spans="1:5" ht="18" customHeight="1">
      <c r="A825" s="404" t="s">
        <v>570</v>
      </c>
      <c r="B825" s="135">
        <f>'OUTSIDE GTA'!J107</f>
        <v>0</v>
      </c>
      <c r="C825" s="135" t="s">
        <v>22</v>
      </c>
      <c r="D825" s="135">
        <v>18</v>
      </c>
      <c r="E825" s="314">
        <f t="shared" si="37"/>
        <v>0</v>
      </c>
    </row>
    <row r="826" spans="1:5" ht="18" customHeight="1">
      <c r="A826" s="284" t="s">
        <v>231</v>
      </c>
      <c r="B826" s="135">
        <f>'OUTSIDE GTA'!K107</f>
        <v>0</v>
      </c>
      <c r="C826" s="135" t="s">
        <v>22</v>
      </c>
      <c r="D826" s="135">
        <v>16.649999999999999</v>
      </c>
      <c r="E826" s="314">
        <f t="shared" si="37"/>
        <v>0</v>
      </c>
    </row>
    <row r="827" spans="1:5" ht="18" customHeight="1">
      <c r="A827" s="284" t="s">
        <v>571</v>
      </c>
      <c r="B827" s="135">
        <f>'OUTSIDE GTA'!L107</f>
        <v>0</v>
      </c>
      <c r="C827" s="135" t="s">
        <v>22</v>
      </c>
      <c r="D827" s="135">
        <v>16.649999999999999</v>
      </c>
      <c r="E827" s="314">
        <f>B827*D827</f>
        <v>0</v>
      </c>
    </row>
    <row r="828" spans="1:5" ht="18" customHeight="1">
      <c r="A828" s="284" t="s">
        <v>572</v>
      </c>
      <c r="B828" s="135">
        <f>'OUTSIDE GTA'!M107</f>
        <v>0</v>
      </c>
      <c r="C828" s="135" t="s">
        <v>22</v>
      </c>
      <c r="D828" s="135">
        <v>18</v>
      </c>
      <c r="E828" s="314">
        <f>B828*D828</f>
        <v>0</v>
      </c>
    </row>
    <row r="829" spans="1:5" ht="18" customHeight="1">
      <c r="A829" s="284" t="s">
        <v>573</v>
      </c>
      <c r="B829" s="135">
        <f>'OUTSIDE GTA'!N107</f>
        <v>0</v>
      </c>
      <c r="C829" s="135" t="s">
        <v>22</v>
      </c>
      <c r="D829" s="135">
        <v>16.649999999999999</v>
      </c>
      <c r="E829" s="314">
        <f>B829*D829</f>
        <v>0</v>
      </c>
    </row>
    <row r="830" spans="1:5" ht="18" customHeight="1">
      <c r="A830" s="134" t="s">
        <v>396</v>
      </c>
      <c r="B830" s="135">
        <f>'OUTSIDE GTA'!O107</f>
        <v>0</v>
      </c>
      <c r="C830" s="135" t="s">
        <v>22</v>
      </c>
      <c r="D830" s="135">
        <v>16.649999999999999</v>
      </c>
      <c r="E830" s="314">
        <f t="shared" ref="E830" si="38">B830*D830</f>
        <v>0</v>
      </c>
    </row>
    <row r="831" spans="1:5" ht="18" customHeight="1">
      <c r="A831" s="138" t="s">
        <v>574</v>
      </c>
      <c r="B831" s="135">
        <f>'OUTSIDE GTA'!P107</f>
        <v>0</v>
      </c>
      <c r="C831" s="135" t="s">
        <v>22</v>
      </c>
      <c r="D831" s="135">
        <v>16.649999999999999</v>
      </c>
      <c r="E831" s="314">
        <f t="shared" ref="E831:E833" si="39">B831*D831</f>
        <v>0</v>
      </c>
    </row>
    <row r="832" spans="1:5" ht="18" customHeight="1">
      <c r="A832" s="404" t="s">
        <v>575</v>
      </c>
      <c r="B832" s="135">
        <f>'OUTSIDE GTA'!Q107</f>
        <v>0</v>
      </c>
      <c r="C832" s="135" t="s">
        <v>22</v>
      </c>
      <c r="D832" s="135">
        <v>16.649999999999999</v>
      </c>
      <c r="E832" s="314">
        <f t="shared" si="39"/>
        <v>0</v>
      </c>
    </row>
    <row r="833" spans="1:7" ht="18" customHeight="1">
      <c r="A833" s="284" t="s">
        <v>576</v>
      </c>
      <c r="B833" s="135">
        <f>'OUTSIDE GTA'!R107</f>
        <v>0</v>
      </c>
      <c r="C833" s="135" t="s">
        <v>22</v>
      </c>
      <c r="D833" s="135">
        <v>16.649999999999999</v>
      </c>
      <c r="E833" s="314">
        <f t="shared" si="39"/>
        <v>0</v>
      </c>
    </row>
    <row r="834" spans="1:7" ht="18" customHeight="1">
      <c r="A834" s="284" t="s">
        <v>577</v>
      </c>
      <c r="B834" s="135">
        <f>'OUTSIDE GTA'!S107</f>
        <v>0</v>
      </c>
      <c r="C834" s="135" t="s">
        <v>22</v>
      </c>
      <c r="D834" s="135">
        <v>16.649999999999999</v>
      </c>
      <c r="E834" s="314">
        <f>B834*D834</f>
        <v>0</v>
      </c>
    </row>
    <row r="835" spans="1:7" ht="18" customHeight="1">
      <c r="A835" s="284" t="s">
        <v>578</v>
      </c>
      <c r="B835" s="135">
        <f>'OUTSIDE GTA'!T107</f>
        <v>0</v>
      </c>
      <c r="C835" s="135" t="s">
        <v>22</v>
      </c>
      <c r="D835" s="135">
        <v>16.649999999999999</v>
      </c>
      <c r="E835" s="314">
        <f>B835*D835</f>
        <v>0</v>
      </c>
    </row>
    <row r="836" spans="1:7" ht="18" customHeight="1">
      <c r="A836" s="134" t="s">
        <v>579</v>
      </c>
      <c r="B836" s="135">
        <f>'OUTSIDE GTA'!U107</f>
        <v>0</v>
      </c>
      <c r="C836" s="135" t="s">
        <v>22</v>
      </c>
      <c r="D836" s="135">
        <v>18</v>
      </c>
      <c r="E836" s="314">
        <f t="shared" ref="E836" si="40">B836*D836</f>
        <v>0</v>
      </c>
      <c r="G836"/>
    </row>
    <row r="837" spans="1:7" ht="18" customHeight="1">
      <c r="A837" s="436"/>
      <c r="B837" s="419"/>
      <c r="C837" s="419"/>
      <c r="D837" s="419"/>
      <c r="E837" s="420"/>
      <c r="G837"/>
    </row>
    <row r="838" spans="1:7" ht="18" customHeight="1">
      <c r="A838" s="429" t="s">
        <v>565</v>
      </c>
      <c r="B838" s="415">
        <f>SUM(B817:B837)</f>
        <v>0</v>
      </c>
      <c r="C838" s="419"/>
      <c r="D838" s="419"/>
      <c r="E838" s="420"/>
      <c r="G838"/>
    </row>
    <row r="839" spans="1:7" ht="18" customHeight="1">
      <c r="A839" s="134"/>
      <c r="B839" s="135"/>
      <c r="C839" s="135"/>
      <c r="D839" s="135"/>
      <c r="E839" s="314"/>
      <c r="G839"/>
    </row>
    <row r="840" spans="1:7" ht="18" customHeight="1">
      <c r="A840" s="418" t="s">
        <v>580</v>
      </c>
      <c r="B840" s="419"/>
      <c r="C840" s="419"/>
      <c r="D840" s="419"/>
      <c r="E840" s="420"/>
    </row>
    <row r="841" spans="1:7" ht="18" customHeight="1">
      <c r="A841" s="396" t="s">
        <v>484</v>
      </c>
      <c r="B841" s="135">
        <f>GTA!C75</f>
        <v>0</v>
      </c>
      <c r="C841" s="135" t="s">
        <v>22</v>
      </c>
      <c r="D841" s="135">
        <v>18</v>
      </c>
      <c r="E841" s="314">
        <f t="shared" ref="E841:E847" si="41">B841*D841</f>
        <v>0</v>
      </c>
    </row>
    <row r="842" spans="1:7" ht="18" customHeight="1">
      <c r="A842" s="396" t="s">
        <v>581</v>
      </c>
      <c r="B842" s="135">
        <f>GTA!D75</f>
        <v>0</v>
      </c>
      <c r="C842" s="135" t="s">
        <v>22</v>
      </c>
      <c r="D842" s="135">
        <v>18</v>
      </c>
      <c r="E842" s="314">
        <f t="shared" si="41"/>
        <v>0</v>
      </c>
    </row>
    <row r="843" spans="1:7" ht="18" customHeight="1">
      <c r="A843" s="396" t="s">
        <v>582</v>
      </c>
      <c r="B843" s="135">
        <f>GTA!J75</f>
        <v>0</v>
      </c>
      <c r="C843" s="135" t="s">
        <v>22</v>
      </c>
      <c r="D843" s="135">
        <v>18</v>
      </c>
      <c r="E843" s="314">
        <f t="shared" si="41"/>
        <v>0</v>
      </c>
    </row>
    <row r="844" spans="1:7" ht="18" customHeight="1">
      <c r="A844" s="396" t="s">
        <v>583</v>
      </c>
      <c r="B844" s="135">
        <f>GTA!E75</f>
        <v>0</v>
      </c>
      <c r="C844" s="135" t="s">
        <v>22</v>
      </c>
      <c r="D844" s="135">
        <v>20</v>
      </c>
      <c r="E844" s="314">
        <f t="shared" si="41"/>
        <v>0</v>
      </c>
    </row>
    <row r="845" spans="1:7" ht="18" customHeight="1">
      <c r="A845" s="396" t="s">
        <v>584</v>
      </c>
      <c r="B845" s="405">
        <f>GTA!F75</f>
        <v>0</v>
      </c>
      <c r="C845" s="135" t="s">
        <v>22</v>
      </c>
      <c r="D845" s="135">
        <v>18</v>
      </c>
      <c r="E845" s="314">
        <f t="shared" si="41"/>
        <v>0</v>
      </c>
    </row>
    <row r="846" spans="1:7" ht="18" customHeight="1">
      <c r="A846" s="396" t="s">
        <v>585</v>
      </c>
      <c r="B846" s="135">
        <f>GTA!G75</f>
        <v>0</v>
      </c>
      <c r="C846" s="135" t="s">
        <v>22</v>
      </c>
      <c r="D846" s="135">
        <v>18</v>
      </c>
      <c r="E846" s="314">
        <f t="shared" si="41"/>
        <v>0</v>
      </c>
      <c r="G846"/>
    </row>
    <row r="847" spans="1:7" ht="18" customHeight="1">
      <c r="A847" s="396" t="s">
        <v>239</v>
      </c>
      <c r="B847" s="135">
        <f>GTA!H75</f>
        <v>0</v>
      </c>
      <c r="C847" s="135" t="s">
        <v>22</v>
      </c>
      <c r="D847" s="135">
        <v>18</v>
      </c>
      <c r="E847" s="314">
        <f t="shared" si="41"/>
        <v>0</v>
      </c>
    </row>
    <row r="848" spans="1:7" ht="18" customHeight="1">
      <c r="A848" s="437"/>
      <c r="B848" s="419"/>
      <c r="C848" s="419"/>
      <c r="D848" s="419"/>
      <c r="E848" s="420"/>
    </row>
    <row r="849" spans="1:6" ht="18" customHeight="1">
      <c r="A849" s="418" t="s">
        <v>586</v>
      </c>
      <c r="B849" s="415">
        <f>SUM(B840:B848)</f>
        <v>0</v>
      </c>
      <c r="C849" s="419"/>
      <c r="D849" s="419"/>
      <c r="E849" s="420"/>
    </row>
    <row r="850" spans="1:6" ht="18" customHeight="1">
      <c r="A850" s="396"/>
      <c r="B850" s="135"/>
      <c r="C850" s="135"/>
      <c r="D850" s="135"/>
      <c r="E850" s="314"/>
    </row>
    <row r="851" spans="1:6" ht="18" customHeight="1">
      <c r="A851" s="429" t="s">
        <v>587</v>
      </c>
      <c r="B851" s="419"/>
      <c r="C851" s="419"/>
      <c r="D851" s="419"/>
      <c r="E851" s="420"/>
    </row>
    <row r="852" spans="1:6" ht="18" customHeight="1">
      <c r="A852" s="396" t="s">
        <v>588</v>
      </c>
      <c r="B852" s="135">
        <f>'OUTSIDE GTA'!N179</f>
        <v>0</v>
      </c>
      <c r="C852" s="135" t="s">
        <v>22</v>
      </c>
      <c r="D852" s="135">
        <v>18</v>
      </c>
      <c r="E852" s="314">
        <f>B852*D852</f>
        <v>0</v>
      </c>
    </row>
    <row r="853" spans="1:6" ht="18" customHeight="1">
      <c r="A853" s="396" t="s">
        <v>323</v>
      </c>
      <c r="B853" s="135">
        <f>'OUTSIDE GTA'!C179</f>
        <v>34</v>
      </c>
      <c r="C853" s="135" t="s">
        <v>22</v>
      </c>
      <c r="D853" s="135">
        <v>18</v>
      </c>
      <c r="E853" s="314">
        <f>B853*D853</f>
        <v>612</v>
      </c>
      <c r="F853" s="889" t="s">
        <v>587</v>
      </c>
    </row>
    <row r="854" spans="1:6" ht="18" customHeight="1">
      <c r="A854" s="437"/>
      <c r="B854" s="419"/>
      <c r="C854" s="419"/>
      <c r="D854" s="419"/>
      <c r="E854" s="420"/>
    </row>
    <row r="855" spans="1:6" ht="18" customHeight="1">
      <c r="A855" s="429" t="s">
        <v>589</v>
      </c>
      <c r="B855" s="415">
        <f>SUM(B851:B854)</f>
        <v>34</v>
      </c>
      <c r="C855" s="419"/>
      <c r="D855" s="419"/>
      <c r="E855" s="420"/>
    </row>
    <row r="856" spans="1:6" ht="18" customHeight="1">
      <c r="A856" s="396"/>
      <c r="B856" s="135"/>
      <c r="C856" s="135"/>
      <c r="D856" s="135"/>
      <c r="E856" s="314"/>
    </row>
    <row r="857" spans="1:6" ht="18" customHeight="1">
      <c r="A857" s="429" t="s">
        <v>590</v>
      </c>
      <c r="B857" s="419"/>
      <c r="C857" s="419"/>
      <c r="D857" s="419"/>
      <c r="E857" s="420"/>
    </row>
    <row r="858" spans="1:6" ht="18" customHeight="1">
      <c r="A858" s="320" t="s">
        <v>591</v>
      </c>
      <c r="B858" s="135">
        <f>'OUTSIDE GTA'!C325</f>
        <v>0</v>
      </c>
      <c r="C858" s="135" t="s">
        <v>22</v>
      </c>
      <c r="D858" s="135">
        <v>20</v>
      </c>
      <c r="E858" s="314">
        <f>B858*D858</f>
        <v>0</v>
      </c>
    </row>
    <row r="859" spans="1:6" ht="18" customHeight="1">
      <c r="A859" s="396"/>
      <c r="B859" s="135"/>
      <c r="C859" s="135"/>
      <c r="D859" s="135"/>
      <c r="E859" s="314"/>
    </row>
    <row r="860" spans="1:6" ht="18" customHeight="1">
      <c r="A860" s="437"/>
      <c r="B860" s="419"/>
      <c r="C860" s="419"/>
      <c r="D860" s="419"/>
      <c r="E860" s="420"/>
    </row>
    <row r="861" spans="1:6" ht="18" customHeight="1">
      <c r="A861" s="429" t="s">
        <v>590</v>
      </c>
      <c r="B861" s="415">
        <f>SUM(B857:B860)</f>
        <v>0</v>
      </c>
      <c r="C861" s="419"/>
      <c r="D861" s="419"/>
      <c r="E861" s="420"/>
    </row>
    <row r="862" spans="1:6" ht="18" customHeight="1">
      <c r="A862" s="396"/>
      <c r="B862" s="135"/>
      <c r="C862" s="135"/>
      <c r="D862" s="135"/>
      <c r="E862" s="314"/>
    </row>
    <row r="863" spans="1:6" ht="18" customHeight="1">
      <c r="A863" s="429" t="s">
        <v>592</v>
      </c>
      <c r="B863" s="419"/>
      <c r="C863" s="419"/>
      <c r="D863" s="419"/>
      <c r="E863" s="420"/>
    </row>
    <row r="864" spans="1:6" ht="18" customHeight="1">
      <c r="A864" s="396" t="s">
        <v>593</v>
      </c>
      <c r="B864" s="135">
        <f>'OUTSIDE GTA'!C343</f>
        <v>0</v>
      </c>
      <c r="C864" s="135" t="s">
        <v>22</v>
      </c>
      <c r="D864" s="135">
        <v>16.649999999999999</v>
      </c>
      <c r="E864" s="314">
        <f>B864*D864</f>
        <v>0</v>
      </c>
    </row>
    <row r="865" spans="1:5 16384:16384" ht="18" customHeight="1">
      <c r="A865" s="396"/>
      <c r="B865" s="135">
        <f>'OUTSIDE GTA'!C331</f>
        <v>0</v>
      </c>
      <c r="C865" s="135" t="s">
        <v>22</v>
      </c>
      <c r="D865" s="135">
        <v>18</v>
      </c>
      <c r="E865" s="314">
        <f>B865*D865</f>
        <v>0</v>
      </c>
    </row>
    <row r="866" spans="1:5 16384:16384" ht="18" customHeight="1">
      <c r="A866" s="437"/>
      <c r="B866" s="419"/>
      <c r="C866" s="419"/>
      <c r="D866" s="419"/>
      <c r="E866" s="420"/>
    </row>
    <row r="867" spans="1:5 16384:16384" ht="18" customHeight="1">
      <c r="A867" s="429" t="s">
        <v>592</v>
      </c>
      <c r="B867" s="415">
        <f>SUM(B863:B866)</f>
        <v>0</v>
      </c>
      <c r="C867" s="419"/>
      <c r="D867" s="419"/>
      <c r="E867" s="420"/>
    </row>
    <row r="868" spans="1:5 16384:16384" ht="18" customHeight="1">
      <c r="A868" s="396"/>
      <c r="B868" s="135"/>
      <c r="C868" s="135"/>
      <c r="D868" s="135"/>
      <c r="E868" s="314"/>
    </row>
    <row r="869" spans="1:5 16384:16384" ht="18" customHeight="1">
      <c r="A869" s="429" t="s">
        <v>594</v>
      </c>
      <c r="B869" s="419"/>
      <c r="C869" s="419"/>
      <c r="D869" s="419"/>
      <c r="E869" s="420"/>
    </row>
    <row r="870" spans="1:5 16384:16384" ht="18" customHeight="1">
      <c r="A870" s="517" t="s">
        <v>595</v>
      </c>
      <c r="B870" s="135">
        <f>'OUTSIDE GTA'!C161</f>
        <v>0</v>
      </c>
      <c r="C870" s="135" t="s">
        <v>22</v>
      </c>
      <c r="D870" s="135">
        <v>16.649999999999999</v>
      </c>
      <c r="E870" s="314">
        <f t="shared" ref="E870:E876" si="42">B870*D870</f>
        <v>0</v>
      </c>
    </row>
    <row r="871" spans="1:5 16384:16384" ht="18" customHeight="1">
      <c r="A871" s="517" t="s">
        <v>596</v>
      </c>
      <c r="B871" s="135">
        <f>'OUTSIDE GTA'!N161</f>
        <v>0</v>
      </c>
      <c r="C871" s="135" t="s">
        <v>22</v>
      </c>
      <c r="D871" s="135">
        <v>16.649999999999999</v>
      </c>
      <c r="E871" s="314">
        <f>B871*D871</f>
        <v>0</v>
      </c>
      <c r="XFD871" s="313" t="s">
        <v>597</v>
      </c>
    </row>
    <row r="872" spans="1:5 16384:16384" ht="18" customHeight="1">
      <c r="A872" s="517" t="s">
        <v>598</v>
      </c>
      <c r="B872" s="135">
        <f>'OUTSIDE GTA'!D161</f>
        <v>0</v>
      </c>
      <c r="C872" s="135" t="s">
        <v>22</v>
      </c>
      <c r="D872" s="135">
        <v>16.649999999999999</v>
      </c>
      <c r="E872" s="314">
        <f t="shared" si="42"/>
        <v>0</v>
      </c>
    </row>
    <row r="873" spans="1:5 16384:16384" ht="18" customHeight="1">
      <c r="A873" s="517" t="s">
        <v>599</v>
      </c>
      <c r="B873" s="135">
        <f>'OUTSIDE GTA'!E161</f>
        <v>0</v>
      </c>
      <c r="C873" s="135" t="s">
        <v>22</v>
      </c>
      <c r="D873" s="135">
        <v>16.649999999999999</v>
      </c>
      <c r="E873" s="314">
        <f t="shared" si="42"/>
        <v>0</v>
      </c>
    </row>
    <row r="874" spans="1:5 16384:16384" ht="18" customHeight="1">
      <c r="A874" s="517" t="s">
        <v>600</v>
      </c>
      <c r="B874" s="135">
        <f>'OUTSIDE GTA'!F161</f>
        <v>0</v>
      </c>
      <c r="C874" s="135" t="s">
        <v>22</v>
      </c>
      <c r="D874" s="135">
        <v>16.649999999999999</v>
      </c>
      <c r="E874" s="314">
        <f t="shared" si="42"/>
        <v>0</v>
      </c>
    </row>
    <row r="875" spans="1:5 16384:16384" ht="18" customHeight="1">
      <c r="A875" s="517" t="s">
        <v>601</v>
      </c>
      <c r="B875" s="135">
        <f>'OUTSIDE GTA'!G161</f>
        <v>0</v>
      </c>
      <c r="C875" s="135" t="s">
        <v>22</v>
      </c>
      <c r="D875" s="135">
        <v>16.649999999999999</v>
      </c>
      <c r="E875" s="314">
        <f t="shared" si="42"/>
        <v>0</v>
      </c>
    </row>
    <row r="876" spans="1:5 16384:16384" ht="18" customHeight="1">
      <c r="A876" s="517" t="s">
        <v>602</v>
      </c>
      <c r="B876" s="135">
        <f>'OUTSIDE GTA'!H161</f>
        <v>0</v>
      </c>
      <c r="C876" s="135" t="s">
        <v>22</v>
      </c>
      <c r="D876" s="135">
        <v>16.649999999999999</v>
      </c>
      <c r="E876" s="314">
        <f t="shared" si="42"/>
        <v>0</v>
      </c>
    </row>
    <row r="877" spans="1:5 16384:16384" ht="18" customHeight="1">
      <c r="A877" s="517" t="s">
        <v>603</v>
      </c>
      <c r="B877" s="135">
        <f>'OUTSIDE GTA'!I161</f>
        <v>0</v>
      </c>
      <c r="C877" s="135" t="s">
        <v>22</v>
      </c>
      <c r="D877" s="135">
        <v>16.649999999999999</v>
      </c>
      <c r="E877" s="314">
        <f t="shared" ref="E877:E882" si="43">B877*D877</f>
        <v>0</v>
      </c>
    </row>
    <row r="878" spans="1:5 16384:16384" ht="18" customHeight="1">
      <c r="A878" s="517" t="s">
        <v>604</v>
      </c>
      <c r="B878" s="135">
        <f>'OUTSIDE GTA'!J161</f>
        <v>0</v>
      </c>
      <c r="C878" s="135" t="s">
        <v>22</v>
      </c>
      <c r="D878" s="135">
        <v>16.649999999999999</v>
      </c>
      <c r="E878" s="314">
        <f t="shared" si="43"/>
        <v>0</v>
      </c>
    </row>
    <row r="879" spans="1:5 16384:16384" ht="18" customHeight="1">
      <c r="A879" s="517" t="s">
        <v>605</v>
      </c>
      <c r="B879" s="135">
        <f>'OUTSIDE GTA'!K161</f>
        <v>0</v>
      </c>
      <c r="C879" s="135" t="s">
        <v>22</v>
      </c>
      <c r="D879" s="135">
        <v>16.649999999999999</v>
      </c>
      <c r="E879" s="314">
        <f t="shared" si="43"/>
        <v>0</v>
      </c>
    </row>
    <row r="880" spans="1:5 16384:16384" ht="18" customHeight="1">
      <c r="A880" s="517" t="s">
        <v>606</v>
      </c>
      <c r="B880" s="135">
        <f>'OUTSIDE GTA'!L161</f>
        <v>0</v>
      </c>
      <c r="C880" s="135" t="s">
        <v>22</v>
      </c>
      <c r="D880" s="135">
        <v>16.649999999999999</v>
      </c>
      <c r="E880" s="314">
        <f t="shared" si="43"/>
        <v>0</v>
      </c>
    </row>
    <row r="881" spans="1:7" ht="18" customHeight="1">
      <c r="A881" s="517" t="s">
        <v>607</v>
      </c>
      <c r="B881" s="135">
        <f>'OUTSIDE GTA'!M161</f>
        <v>0</v>
      </c>
      <c r="C881" s="135" t="s">
        <v>22</v>
      </c>
      <c r="D881" s="135">
        <v>16.649999999999999</v>
      </c>
      <c r="E881" s="314">
        <f t="shared" si="43"/>
        <v>0</v>
      </c>
    </row>
    <row r="882" spans="1:7" ht="18" customHeight="1">
      <c r="A882" s="517" t="s">
        <v>608</v>
      </c>
      <c r="B882" s="135">
        <f>'OUTSIDE GTA'!O161</f>
        <v>0</v>
      </c>
      <c r="C882" s="135" t="s">
        <v>22</v>
      </c>
      <c r="D882" s="135">
        <v>16.649999999999999</v>
      </c>
      <c r="E882" s="314">
        <f t="shared" si="43"/>
        <v>0</v>
      </c>
    </row>
    <row r="883" spans="1:7" ht="18" customHeight="1">
      <c r="A883" s="437"/>
      <c r="B883" s="419"/>
      <c r="C883" s="419"/>
      <c r="D883" s="419"/>
      <c r="E883" s="420"/>
    </row>
    <row r="884" spans="1:7" ht="18" customHeight="1">
      <c r="A884" s="429" t="s">
        <v>609</v>
      </c>
      <c r="B884" s="415">
        <f>SUM(B869:B883)</f>
        <v>0</v>
      </c>
      <c r="C884" s="419"/>
      <c r="D884" s="419"/>
      <c r="E884" s="420"/>
    </row>
    <row r="885" spans="1:7" ht="18" customHeight="1">
      <c r="A885" s="396"/>
      <c r="B885" s="135"/>
      <c r="C885" s="135"/>
      <c r="D885" s="135"/>
      <c r="E885" s="314"/>
    </row>
    <row r="886" spans="1:7" ht="18" customHeight="1">
      <c r="A886" s="429" t="s">
        <v>610</v>
      </c>
      <c r="B886" s="419"/>
      <c r="C886" s="419"/>
      <c r="D886" s="419"/>
      <c r="E886" s="420"/>
      <c r="G886" s="917"/>
    </row>
    <row r="887" spans="1:7" ht="18" customHeight="1">
      <c r="A887" s="134" t="s">
        <v>611</v>
      </c>
      <c r="B887" s="135">
        <f>'OUTSIDE GTA'!C89</f>
        <v>0</v>
      </c>
      <c r="C887" s="135" t="s">
        <v>22</v>
      </c>
      <c r="D887" s="135">
        <v>16.649999999999999</v>
      </c>
      <c r="E887" s="314">
        <f>B887*D887</f>
        <v>0</v>
      </c>
      <c r="G887" s="917"/>
    </row>
    <row r="888" spans="1:7" ht="18" customHeight="1">
      <c r="A888" s="134" t="s">
        <v>612</v>
      </c>
      <c r="B888" s="135">
        <f>'OUTSIDE GTA'!D89</f>
        <v>0</v>
      </c>
      <c r="C888" s="135" t="s">
        <v>22</v>
      </c>
      <c r="D888" s="135">
        <v>16.649999999999999</v>
      </c>
      <c r="E888" s="314">
        <f>B888*D888</f>
        <v>0</v>
      </c>
      <c r="G888" s="917"/>
    </row>
    <row r="889" spans="1:7" ht="18" customHeight="1">
      <c r="A889" s="134" t="s">
        <v>613</v>
      </c>
      <c r="B889" s="135">
        <f>'OUTSIDE GTA'!E89</f>
        <v>0</v>
      </c>
      <c r="C889" s="135" t="s">
        <v>22</v>
      </c>
      <c r="D889" s="135">
        <v>16.649999999999999</v>
      </c>
      <c r="E889" s="314">
        <f t="shared" ref="E889:E906" si="44">B889*D889</f>
        <v>0</v>
      </c>
      <c r="G889" s="917"/>
    </row>
    <row r="890" spans="1:7" ht="18" customHeight="1">
      <c r="A890" s="134" t="s">
        <v>614</v>
      </c>
      <c r="B890" s="135">
        <f>'OUTSIDE GTA'!F89</f>
        <v>0</v>
      </c>
      <c r="C890" s="135" t="s">
        <v>22</v>
      </c>
      <c r="D890" s="135">
        <v>16.649999999999999</v>
      </c>
      <c r="E890" s="314">
        <f t="shared" si="44"/>
        <v>0</v>
      </c>
      <c r="G890" s="917"/>
    </row>
    <row r="891" spans="1:7" ht="18" customHeight="1">
      <c r="A891" s="134" t="s">
        <v>615</v>
      </c>
      <c r="B891" s="135">
        <f>'OUTSIDE GTA'!G89</f>
        <v>0</v>
      </c>
      <c r="C891" s="135" t="s">
        <v>22</v>
      </c>
      <c r="D891" s="135">
        <v>16.649999999999999</v>
      </c>
      <c r="E891" s="314">
        <f t="shared" si="44"/>
        <v>0</v>
      </c>
      <c r="G891" s="917"/>
    </row>
    <row r="892" spans="1:7" ht="18" customHeight="1">
      <c r="A892" s="134" t="s">
        <v>616</v>
      </c>
      <c r="B892" s="135">
        <f>'OUTSIDE GTA'!H89</f>
        <v>0</v>
      </c>
      <c r="C892" s="135" t="s">
        <v>22</v>
      </c>
      <c r="D892" s="135">
        <v>16.649999999999999</v>
      </c>
      <c r="E892" s="314">
        <f t="shared" si="44"/>
        <v>0</v>
      </c>
      <c r="G892" s="917"/>
    </row>
    <row r="893" spans="1:7" ht="18" customHeight="1">
      <c r="A893" s="134" t="s">
        <v>617</v>
      </c>
      <c r="B893" s="135">
        <f>'OUTSIDE GTA'!I89</f>
        <v>0</v>
      </c>
      <c r="C893" s="135" t="s">
        <v>22</v>
      </c>
      <c r="D893" s="135">
        <v>16.649999999999999</v>
      </c>
      <c r="E893" s="314">
        <f>B893*D893</f>
        <v>0</v>
      </c>
      <c r="G893" s="917"/>
    </row>
    <row r="894" spans="1:7" ht="18" customHeight="1">
      <c r="A894" s="134" t="s">
        <v>618</v>
      </c>
      <c r="B894" s="135">
        <f>'OUTSIDE GTA'!J89</f>
        <v>0</v>
      </c>
      <c r="C894" s="135" t="s">
        <v>22</v>
      </c>
      <c r="D894" s="135">
        <v>16.649999999999999</v>
      </c>
      <c r="E894" s="314">
        <f t="shared" si="44"/>
        <v>0</v>
      </c>
      <c r="G894" s="917"/>
    </row>
    <row r="895" spans="1:7" ht="18" customHeight="1">
      <c r="A895" s="134" t="s">
        <v>619</v>
      </c>
      <c r="B895" s="135">
        <f>'OUTSIDE GTA'!K89</f>
        <v>0</v>
      </c>
      <c r="C895" s="135" t="s">
        <v>22</v>
      </c>
      <c r="D895" s="135">
        <v>16.649999999999999</v>
      </c>
      <c r="E895" s="314">
        <f t="shared" si="44"/>
        <v>0</v>
      </c>
      <c r="G895" s="917"/>
    </row>
    <row r="896" spans="1:7" ht="18" customHeight="1">
      <c r="A896" s="134" t="s">
        <v>620</v>
      </c>
      <c r="B896" s="135">
        <f>'OUTSIDE GTA'!L89</f>
        <v>0</v>
      </c>
      <c r="C896" s="135" t="s">
        <v>22</v>
      </c>
      <c r="D896" s="135">
        <v>16.649999999999999</v>
      </c>
      <c r="E896" s="314">
        <f t="shared" si="44"/>
        <v>0</v>
      </c>
      <c r="G896" s="917"/>
    </row>
    <row r="897" spans="1:7" ht="18" customHeight="1">
      <c r="A897" s="134" t="s">
        <v>621</v>
      </c>
      <c r="B897" s="135">
        <f>'OUTSIDE GTA'!M89</f>
        <v>0</v>
      </c>
      <c r="C897" s="135" t="s">
        <v>22</v>
      </c>
      <c r="D897" s="135">
        <v>16.649999999999999</v>
      </c>
      <c r="E897" s="314">
        <f t="shared" si="44"/>
        <v>0</v>
      </c>
      <c r="G897" s="917"/>
    </row>
    <row r="898" spans="1:7" ht="18" customHeight="1">
      <c r="A898" s="134" t="s">
        <v>622</v>
      </c>
      <c r="B898" s="135">
        <f>'OUTSIDE GTA'!N89</f>
        <v>0</v>
      </c>
      <c r="C898" s="135" t="s">
        <v>22</v>
      </c>
      <c r="D898" s="135">
        <v>16.649999999999999</v>
      </c>
      <c r="E898" s="314">
        <f t="shared" si="44"/>
        <v>0</v>
      </c>
      <c r="G898" s="917"/>
    </row>
    <row r="899" spans="1:7" ht="18" customHeight="1">
      <c r="A899" s="134" t="s">
        <v>623</v>
      </c>
      <c r="B899" s="135">
        <f>'OUTSIDE GTA'!O89</f>
        <v>0</v>
      </c>
      <c r="C899" s="135" t="s">
        <v>22</v>
      </c>
      <c r="D899" s="135">
        <v>16.649999999999999</v>
      </c>
      <c r="E899" s="314">
        <f t="shared" si="44"/>
        <v>0</v>
      </c>
      <c r="G899" s="917"/>
    </row>
    <row r="900" spans="1:7" ht="18" customHeight="1">
      <c r="A900" s="134" t="s">
        <v>624</v>
      </c>
      <c r="B900" s="135">
        <f>'OUTSIDE GTA'!Q89</f>
        <v>0</v>
      </c>
      <c r="C900" s="135" t="s">
        <v>22</v>
      </c>
      <c r="D900" s="135">
        <v>16.649999999999999</v>
      </c>
      <c r="E900" s="314">
        <f t="shared" si="44"/>
        <v>0</v>
      </c>
      <c r="G900" s="917"/>
    </row>
    <row r="901" spans="1:7" ht="18" customHeight="1">
      <c r="A901" s="134" t="s">
        <v>625</v>
      </c>
      <c r="B901" s="135">
        <f>'OUTSIDE GTA'!P89</f>
        <v>0</v>
      </c>
      <c r="C901" s="135" t="s">
        <v>22</v>
      </c>
      <c r="D901" s="135">
        <v>16.649999999999999</v>
      </c>
      <c r="E901" s="314">
        <f>B901*D901</f>
        <v>0</v>
      </c>
      <c r="G901" s="917"/>
    </row>
    <row r="902" spans="1:7" ht="18" customHeight="1">
      <c r="A902" s="134" t="s">
        <v>626</v>
      </c>
      <c r="B902" s="135">
        <f>'OUTSIDE GTA'!R89</f>
        <v>0</v>
      </c>
      <c r="C902" s="135" t="s">
        <v>22</v>
      </c>
      <c r="D902" s="135">
        <v>16.649999999999999</v>
      </c>
      <c r="E902" s="314">
        <f t="shared" si="44"/>
        <v>0</v>
      </c>
      <c r="G902" s="917"/>
    </row>
    <row r="903" spans="1:7" ht="18" customHeight="1">
      <c r="A903" s="134" t="s">
        <v>627</v>
      </c>
      <c r="B903" s="135">
        <f>'OUTSIDE GTA'!S89+'OUTSIDE GTA'!Y89</f>
        <v>0</v>
      </c>
      <c r="C903" s="135" t="s">
        <v>22</v>
      </c>
      <c r="D903" s="135">
        <v>16.649999999999999</v>
      </c>
      <c r="E903" s="314">
        <f t="shared" si="44"/>
        <v>0</v>
      </c>
      <c r="G903" s="917"/>
    </row>
    <row r="904" spans="1:7" ht="18" customHeight="1">
      <c r="A904" s="134" t="s">
        <v>628</v>
      </c>
      <c r="B904" s="135">
        <f>'OUTSIDE GTA'!T89</f>
        <v>0</v>
      </c>
      <c r="C904" s="135" t="s">
        <v>22</v>
      </c>
      <c r="D904" s="135">
        <v>16.649999999999999</v>
      </c>
      <c r="E904" s="314">
        <f t="shared" si="44"/>
        <v>0</v>
      </c>
    </row>
    <row r="905" spans="1:7" ht="18" customHeight="1">
      <c r="A905" s="134" t="s">
        <v>629</v>
      </c>
      <c r="B905" s="135">
        <f>'OUTSIDE GTA'!U89</f>
        <v>0</v>
      </c>
      <c r="C905" s="135" t="s">
        <v>22</v>
      </c>
      <c r="D905" s="135">
        <v>16.649999999999999</v>
      </c>
      <c r="E905" s="314">
        <f t="shared" si="44"/>
        <v>0</v>
      </c>
    </row>
    <row r="906" spans="1:7" ht="18" customHeight="1">
      <c r="A906" s="134" t="s">
        <v>630</v>
      </c>
      <c r="B906" s="135">
        <f>'OUTSIDE GTA'!V89</f>
        <v>0</v>
      </c>
      <c r="C906" s="135" t="s">
        <v>22</v>
      </c>
      <c r="D906" s="135">
        <v>16.649999999999999</v>
      </c>
      <c r="E906" s="314">
        <f t="shared" si="44"/>
        <v>0</v>
      </c>
    </row>
    <row r="907" spans="1:7" ht="18" customHeight="1">
      <c r="A907" s="134"/>
      <c r="B907" s="135"/>
      <c r="C907" s="135"/>
      <c r="D907" s="135"/>
      <c r="E907" s="314"/>
    </row>
    <row r="908" spans="1:7" ht="18" customHeight="1">
      <c r="A908" s="436"/>
      <c r="B908" s="419"/>
      <c r="C908" s="419"/>
      <c r="D908" s="419"/>
      <c r="E908" s="420"/>
    </row>
    <row r="909" spans="1:7" ht="18" customHeight="1">
      <c r="A909" s="429" t="s">
        <v>631</v>
      </c>
      <c r="B909" s="415">
        <f>SUM(B886:B908)</f>
        <v>0</v>
      </c>
      <c r="C909" s="419"/>
      <c r="D909" s="419"/>
      <c r="E909" s="420"/>
    </row>
    <row r="910" spans="1:7" ht="18" customHeight="1">
      <c r="A910" s="134"/>
      <c r="B910" s="135"/>
      <c r="C910" s="135"/>
      <c r="D910" s="135"/>
      <c r="E910" s="314"/>
    </row>
    <row r="911" spans="1:7" ht="18" customHeight="1">
      <c r="A911" s="430" t="s">
        <v>632</v>
      </c>
      <c r="B911" s="419"/>
      <c r="C911" s="419"/>
      <c r="D911" s="419"/>
      <c r="E911" s="420"/>
    </row>
    <row r="912" spans="1:7" ht="18" customHeight="1">
      <c r="A912" s="399" t="s">
        <v>486</v>
      </c>
      <c r="B912" s="135">
        <f>GTA!C183</f>
        <v>0</v>
      </c>
      <c r="C912" s="135" t="s">
        <v>22</v>
      </c>
      <c r="D912" s="135">
        <v>18</v>
      </c>
      <c r="E912" s="314">
        <f>B912*D912</f>
        <v>0</v>
      </c>
    </row>
    <row r="913" spans="1:7" ht="18" customHeight="1">
      <c r="A913" s="399" t="s">
        <v>325</v>
      </c>
      <c r="B913" s="135">
        <f>GTA!D183</f>
        <v>0</v>
      </c>
      <c r="C913" s="135" t="s">
        <v>22</v>
      </c>
      <c r="D913" s="135">
        <v>18</v>
      </c>
      <c r="E913" s="314">
        <f t="shared" ref="E913:E925" si="45">B913*D913</f>
        <v>0</v>
      </c>
    </row>
    <row r="914" spans="1:7" ht="18" customHeight="1">
      <c r="A914" s="399" t="s">
        <v>441</v>
      </c>
      <c r="B914" s="135">
        <f>GTA!E183</f>
        <v>0</v>
      </c>
      <c r="C914" s="135" t="s">
        <v>22</v>
      </c>
      <c r="D914" s="135">
        <v>18</v>
      </c>
      <c r="E914" s="314">
        <f>B914*D914</f>
        <v>0</v>
      </c>
    </row>
    <row r="915" spans="1:7" ht="18" customHeight="1">
      <c r="A915" s="399" t="s">
        <v>210</v>
      </c>
      <c r="B915" s="135">
        <f>GTA!F183</f>
        <v>0</v>
      </c>
      <c r="C915" s="135" t="s">
        <v>22</v>
      </c>
      <c r="D915" s="135">
        <v>18</v>
      </c>
      <c r="E915" s="314">
        <f>B915*D915</f>
        <v>0</v>
      </c>
    </row>
    <row r="916" spans="1:7" ht="18" customHeight="1">
      <c r="A916" s="399" t="s">
        <v>633</v>
      </c>
      <c r="B916" s="135">
        <f>GTA!O183</f>
        <v>0</v>
      </c>
      <c r="C916" s="135" t="s">
        <v>22</v>
      </c>
      <c r="D916" s="135">
        <v>18</v>
      </c>
      <c r="E916" s="314">
        <f>B916*D916</f>
        <v>0</v>
      </c>
    </row>
    <row r="917" spans="1:7" ht="18" customHeight="1">
      <c r="A917" s="399" t="s">
        <v>221</v>
      </c>
      <c r="B917" s="135">
        <f>GTA!G183</f>
        <v>0</v>
      </c>
      <c r="C917" s="135" t="s">
        <v>22</v>
      </c>
      <c r="D917" s="135">
        <v>18</v>
      </c>
      <c r="E917" s="314">
        <f t="shared" si="45"/>
        <v>0</v>
      </c>
    </row>
    <row r="918" spans="1:7" ht="18" customHeight="1">
      <c r="A918" s="399" t="s">
        <v>327</v>
      </c>
      <c r="B918" s="135">
        <f>GTA!H183</f>
        <v>0</v>
      </c>
      <c r="C918" s="135" t="s">
        <v>22</v>
      </c>
      <c r="D918" s="135">
        <v>20</v>
      </c>
      <c r="E918" s="314">
        <f t="shared" si="45"/>
        <v>0</v>
      </c>
    </row>
    <row r="919" spans="1:7" ht="18" customHeight="1">
      <c r="A919" s="399" t="s">
        <v>634</v>
      </c>
      <c r="B919" s="135">
        <f>GTA!I183</f>
        <v>0</v>
      </c>
      <c r="C919" s="135" t="s">
        <v>22</v>
      </c>
      <c r="D919" s="135">
        <v>20</v>
      </c>
      <c r="E919" s="314">
        <f t="shared" si="45"/>
        <v>0</v>
      </c>
    </row>
    <row r="920" spans="1:7" ht="18" customHeight="1">
      <c r="A920" s="399" t="s">
        <v>584</v>
      </c>
      <c r="B920" s="135">
        <f>GTA!P183</f>
        <v>0</v>
      </c>
      <c r="C920" s="135" t="s">
        <v>22</v>
      </c>
      <c r="D920" s="135">
        <v>18</v>
      </c>
      <c r="E920" s="314">
        <f>B920*D920</f>
        <v>0</v>
      </c>
    </row>
    <row r="921" spans="1:7" ht="18" customHeight="1">
      <c r="A921" s="399" t="s">
        <v>635</v>
      </c>
      <c r="B921" s="135">
        <f>GTA!J183</f>
        <v>0</v>
      </c>
      <c r="C921" s="135" t="s">
        <v>22</v>
      </c>
      <c r="D921" s="135">
        <v>20</v>
      </c>
      <c r="E921" s="314">
        <f t="shared" si="45"/>
        <v>0</v>
      </c>
    </row>
    <row r="922" spans="1:7" ht="18" customHeight="1">
      <c r="A922" s="399" t="s">
        <v>479</v>
      </c>
      <c r="B922" s="135">
        <f>GTA!K183</f>
        <v>0</v>
      </c>
      <c r="C922" s="135" t="s">
        <v>22</v>
      </c>
      <c r="D922" s="135">
        <v>18</v>
      </c>
      <c r="E922" s="314">
        <f t="shared" si="45"/>
        <v>0</v>
      </c>
    </row>
    <row r="923" spans="1:7" ht="18" customHeight="1">
      <c r="A923" s="399" t="s">
        <v>237</v>
      </c>
      <c r="B923" s="135">
        <f>GTA!L183</f>
        <v>0</v>
      </c>
      <c r="C923" s="135" t="s">
        <v>22</v>
      </c>
      <c r="D923" s="135">
        <v>18</v>
      </c>
      <c r="E923" s="314">
        <f>B923*D923</f>
        <v>0</v>
      </c>
    </row>
    <row r="924" spans="1:7" ht="18" customHeight="1">
      <c r="A924" s="399" t="s">
        <v>354</v>
      </c>
      <c r="B924" s="135">
        <f>GTA!M183</f>
        <v>0</v>
      </c>
      <c r="C924" s="135" t="s">
        <v>22</v>
      </c>
      <c r="D924" s="135">
        <v>20</v>
      </c>
      <c r="E924" s="314">
        <f t="shared" si="45"/>
        <v>0</v>
      </c>
    </row>
    <row r="925" spans="1:7" ht="18" customHeight="1">
      <c r="A925" s="399" t="s">
        <v>636</v>
      </c>
      <c r="B925" s="135">
        <f>GTA!N183</f>
        <v>0</v>
      </c>
      <c r="C925" s="135" t="s">
        <v>22</v>
      </c>
      <c r="D925" s="135">
        <v>18</v>
      </c>
      <c r="E925" s="314">
        <f t="shared" si="45"/>
        <v>0</v>
      </c>
    </row>
    <row r="926" spans="1:7" ht="18" customHeight="1">
      <c r="A926" s="399" t="s">
        <v>403</v>
      </c>
      <c r="B926" s="135">
        <f>GTA!Q183</f>
        <v>0</v>
      </c>
      <c r="C926" s="135" t="s">
        <v>22</v>
      </c>
      <c r="D926" s="135">
        <v>18</v>
      </c>
      <c r="E926" s="314">
        <f>B926*D926</f>
        <v>0</v>
      </c>
    </row>
    <row r="927" spans="1:7" ht="18" customHeight="1">
      <c r="A927" s="399" t="s">
        <v>637</v>
      </c>
      <c r="B927" s="135">
        <f>GTA!R183</f>
        <v>0</v>
      </c>
      <c r="C927" s="135" t="s">
        <v>22</v>
      </c>
      <c r="D927" s="135">
        <v>18</v>
      </c>
      <c r="E927" s="314">
        <f>B927*D927</f>
        <v>0</v>
      </c>
    </row>
    <row r="928" spans="1:7" ht="18" customHeight="1">
      <c r="A928" s="435"/>
      <c r="B928" s="419"/>
      <c r="C928" s="419"/>
      <c r="D928" s="419"/>
      <c r="E928" s="420"/>
      <c r="G928"/>
    </row>
    <row r="929" spans="1:7" ht="18" customHeight="1">
      <c r="A929" s="430" t="s">
        <v>638</v>
      </c>
      <c r="B929" s="415">
        <f>SUM(B911:B928)</f>
        <v>0</v>
      </c>
      <c r="C929" s="419"/>
      <c r="D929" s="419"/>
      <c r="E929" s="420"/>
      <c r="G929"/>
    </row>
    <row r="930" spans="1:7" ht="18" customHeight="1">
      <c r="A930" s="136"/>
      <c r="B930" s="135"/>
      <c r="C930" s="135"/>
      <c r="D930" s="135"/>
      <c r="E930" s="314"/>
      <c r="G930"/>
    </row>
    <row r="931" spans="1:7" ht="18" customHeight="1">
      <c r="A931" s="134"/>
      <c r="B931" s="135"/>
      <c r="C931" s="135"/>
      <c r="D931" s="135"/>
      <c r="E931" s="314"/>
      <c r="G931"/>
    </row>
    <row r="932" spans="1:7" ht="18" customHeight="1">
      <c r="A932" s="415" t="s">
        <v>641</v>
      </c>
      <c r="B932" s="419"/>
      <c r="C932" s="419"/>
      <c r="D932" s="419"/>
      <c r="E932" s="420"/>
      <c r="G932"/>
    </row>
    <row r="933" spans="1:7" ht="18" customHeight="1">
      <c r="A933" s="134" t="s">
        <v>416</v>
      </c>
      <c r="B933" s="135">
        <f>GTA!D219</f>
        <v>0</v>
      </c>
      <c r="C933" s="135" t="s">
        <v>22</v>
      </c>
      <c r="D933" s="135">
        <v>18</v>
      </c>
      <c r="E933" s="314">
        <f>B933*D933</f>
        <v>0</v>
      </c>
      <c r="G933"/>
    </row>
    <row r="934" spans="1:7" ht="18" customHeight="1">
      <c r="A934" s="134" t="s">
        <v>385</v>
      </c>
      <c r="B934" s="135">
        <f>GTA!E219</f>
        <v>0</v>
      </c>
      <c r="C934" s="135" t="s">
        <v>22</v>
      </c>
      <c r="D934" s="135">
        <v>18</v>
      </c>
      <c r="E934" s="314">
        <f>B934*D934</f>
        <v>0</v>
      </c>
      <c r="G934"/>
    </row>
    <row r="935" spans="1:7" ht="18" customHeight="1">
      <c r="A935" s="134" t="s">
        <v>384</v>
      </c>
      <c r="B935" s="135">
        <f>GTA!F219</f>
        <v>0</v>
      </c>
      <c r="C935" s="135" t="s">
        <v>22</v>
      </c>
      <c r="D935" s="135">
        <v>18</v>
      </c>
      <c r="E935" s="314">
        <f>B935*D935</f>
        <v>0</v>
      </c>
      <c r="G935"/>
    </row>
    <row r="936" spans="1:7" ht="18" customHeight="1">
      <c r="A936" s="134" t="s">
        <v>218</v>
      </c>
      <c r="B936" s="135">
        <f>GTA!G219</f>
        <v>0</v>
      </c>
      <c r="C936" s="135" t="s">
        <v>22</v>
      </c>
      <c r="D936" s="135">
        <v>16.649999999999999</v>
      </c>
      <c r="E936" s="314">
        <f>B936*D936</f>
        <v>0</v>
      </c>
    </row>
    <row r="937" spans="1:7" ht="18" customHeight="1">
      <c r="A937" s="436"/>
      <c r="B937" s="419"/>
      <c r="C937" s="419"/>
      <c r="D937" s="419"/>
      <c r="E937" s="420"/>
      <c r="F937" s="890"/>
    </row>
    <row r="938" spans="1:7" ht="18" customHeight="1">
      <c r="A938" s="415" t="s">
        <v>641</v>
      </c>
      <c r="B938" s="415">
        <f>SUM(B932:B937)</f>
        <v>0</v>
      </c>
      <c r="C938" s="419"/>
      <c r="D938" s="419"/>
      <c r="E938" s="420"/>
      <c r="G938"/>
    </row>
    <row r="939" spans="1:7" ht="18" customHeight="1">
      <c r="A939" s="132"/>
      <c r="B939" s="135"/>
      <c r="C939" s="135"/>
      <c r="D939" s="135"/>
      <c r="E939" s="314"/>
      <c r="G939"/>
    </row>
    <row r="940" spans="1:7" ht="18" customHeight="1">
      <c r="A940" s="134"/>
      <c r="B940" s="135"/>
      <c r="C940" s="135"/>
      <c r="D940" s="135"/>
      <c r="E940" s="314"/>
      <c r="G940"/>
    </row>
    <row r="941" spans="1:7" ht="18" customHeight="1">
      <c r="A941" s="415" t="s">
        <v>642</v>
      </c>
      <c r="B941" s="419"/>
      <c r="C941" s="419"/>
      <c r="D941" s="419"/>
      <c r="E941" s="420"/>
      <c r="G941"/>
    </row>
    <row r="942" spans="1:7" ht="18" customHeight="1">
      <c r="A942" s="134" t="s">
        <v>643</v>
      </c>
      <c r="B942" s="135">
        <f>GTA!C548</f>
        <v>0</v>
      </c>
      <c r="C942" s="135" t="s">
        <v>22</v>
      </c>
      <c r="D942" s="135">
        <v>16.649999999999999</v>
      </c>
      <c r="E942" s="314">
        <f>B942*D942</f>
        <v>0</v>
      </c>
      <c r="G942"/>
    </row>
    <row r="943" spans="1:7" ht="18" customHeight="1">
      <c r="A943" s="134" t="s">
        <v>644</v>
      </c>
      <c r="B943" s="135">
        <f>GTA!D548</f>
        <v>0</v>
      </c>
      <c r="C943" s="135" t="s">
        <v>22</v>
      </c>
      <c r="D943" s="135">
        <v>18</v>
      </c>
      <c r="E943" s="314">
        <f>B943*D943</f>
        <v>0</v>
      </c>
      <c r="G943"/>
    </row>
    <row r="944" spans="1:7" ht="18" customHeight="1">
      <c r="A944" s="134" t="s">
        <v>210</v>
      </c>
      <c r="B944" s="135">
        <f>GTA!E548</f>
        <v>0</v>
      </c>
      <c r="C944" s="135" t="s">
        <v>22</v>
      </c>
      <c r="D944" s="135">
        <v>16.649999999999999</v>
      </c>
      <c r="E944" s="314">
        <f>B944*D944</f>
        <v>0</v>
      </c>
      <c r="G944"/>
    </row>
    <row r="945" spans="1:7" ht="18" customHeight="1">
      <c r="A945" s="134" t="s">
        <v>403</v>
      </c>
      <c r="B945" s="135">
        <f>GTA!F548</f>
        <v>0</v>
      </c>
      <c r="C945" s="135" t="s">
        <v>22</v>
      </c>
      <c r="D945" s="135">
        <v>16.649999999999999</v>
      </c>
      <c r="E945" s="314">
        <f>B945*D945</f>
        <v>0</v>
      </c>
      <c r="F945" s="890"/>
    </row>
    <row r="946" spans="1:7" ht="18" customHeight="1">
      <c r="A946" s="436"/>
      <c r="B946" s="419"/>
      <c r="C946" s="419"/>
      <c r="D946" s="419"/>
      <c r="E946" s="420"/>
      <c r="F946" s="991">
        <f>E950/17.2</f>
        <v>0</v>
      </c>
    </row>
    <row r="947" spans="1:7" ht="18" customHeight="1">
      <c r="A947" s="415" t="s">
        <v>642</v>
      </c>
      <c r="B947" s="415">
        <f>SUM(B941:B946)</f>
        <v>0</v>
      </c>
      <c r="C947" s="419"/>
      <c r="D947" s="419"/>
      <c r="E947" s="420"/>
      <c r="F947" s="992"/>
      <c r="G947" s="832">
        <f>57-F946</f>
        <v>57</v>
      </c>
    </row>
    <row r="948" spans="1:7" ht="18" customHeight="1">
      <c r="A948" s="134"/>
      <c r="B948" s="135"/>
      <c r="C948" s="135"/>
      <c r="D948" s="135"/>
      <c r="E948" s="314"/>
    </row>
    <row r="949" spans="1:7" ht="18" customHeight="1">
      <c r="A949" s="330" t="s">
        <v>645</v>
      </c>
      <c r="B949" s="331"/>
      <c r="C949" s="331"/>
      <c r="D949" s="331"/>
      <c r="E949" s="332"/>
    </row>
    <row r="950" spans="1:7" ht="18" customHeight="1">
      <c r="A950" s="333" t="s">
        <v>646</v>
      </c>
      <c r="B950" s="334">
        <f>GTA!C436</f>
        <v>0</v>
      </c>
      <c r="C950" s="331" t="s">
        <v>22</v>
      </c>
      <c r="D950" s="331">
        <v>20</v>
      </c>
      <c r="E950" s="332">
        <f>B950*D950</f>
        <v>0</v>
      </c>
      <c r="F950" s="891">
        <f>(E953/17.6)</f>
        <v>72.72727272727272</v>
      </c>
    </row>
    <row r="951" spans="1:7" ht="18" customHeight="1">
      <c r="A951" s="136"/>
      <c r="B951" s="135"/>
      <c r="C951" s="135"/>
      <c r="D951" s="135"/>
      <c r="E951" s="314"/>
      <c r="F951" s="892">
        <f>(F946+F950)-60</f>
        <v>12.72727272727272</v>
      </c>
    </row>
    <row r="952" spans="1:7" ht="18" customHeight="1">
      <c r="A952" s="294" t="s">
        <v>11</v>
      </c>
      <c r="B952" s="295"/>
      <c r="C952" s="295"/>
      <c r="D952" s="295"/>
      <c r="E952" s="319"/>
    </row>
    <row r="953" spans="1:7" ht="18" customHeight="1">
      <c r="A953" s="336" t="s">
        <v>646</v>
      </c>
      <c r="B953" s="337">
        <f>GTA!C309</f>
        <v>80</v>
      </c>
      <c r="C953" s="295" t="s">
        <v>22</v>
      </c>
      <c r="D953" s="295">
        <v>16</v>
      </c>
      <c r="E953" s="319">
        <f>D953*B953</f>
        <v>1280</v>
      </c>
      <c r="G953" s="832">
        <f>F950-G947</f>
        <v>15.72727272727272</v>
      </c>
    </row>
    <row r="954" spans="1:7" ht="18" customHeight="1">
      <c r="A954" s="136"/>
      <c r="B954" s="135"/>
      <c r="C954" s="135"/>
      <c r="D954" s="135"/>
      <c r="E954" s="314"/>
      <c r="G954" s="832"/>
    </row>
    <row r="955" spans="1:7" ht="18" customHeight="1">
      <c r="A955" s="133" t="s">
        <v>11</v>
      </c>
      <c r="B955" s="135"/>
      <c r="C955" s="135"/>
      <c r="D955" s="135"/>
      <c r="E955" s="314"/>
    </row>
    <row r="956" spans="1:7" ht="18" customHeight="1">
      <c r="A956" s="134" t="s">
        <v>646</v>
      </c>
      <c r="B956" s="527">
        <v>12.75</v>
      </c>
      <c r="C956" s="135" t="s">
        <v>22</v>
      </c>
      <c r="D956" s="135">
        <v>17.600000000000001</v>
      </c>
      <c r="E956" s="314">
        <f>B956*D956</f>
        <v>224.4</v>
      </c>
      <c r="F956" s="889" t="s">
        <v>11</v>
      </c>
    </row>
    <row r="957" spans="1:7" ht="18" customHeight="1">
      <c r="A957" s="134"/>
      <c r="B957" s="150"/>
      <c r="C957" s="135"/>
      <c r="D957" s="135"/>
      <c r="E957" s="314"/>
    </row>
    <row r="958" spans="1:7" ht="18" customHeight="1">
      <c r="A958" s="313"/>
      <c r="B958" s="313"/>
      <c r="C958" s="313"/>
      <c r="D958" s="313"/>
      <c r="E958" s="313"/>
    </row>
    <row r="959" spans="1:7" ht="18" customHeight="1">
      <c r="A959" s="457"/>
      <c r="B959" s="457"/>
      <c r="C959" s="457"/>
      <c r="D959" s="457"/>
      <c r="E959" s="457"/>
    </row>
    <row r="960" spans="1:7" ht="18" customHeight="1">
      <c r="A960" s="313"/>
      <c r="B960" s="313"/>
      <c r="C960" s="313"/>
      <c r="D960" s="313"/>
      <c r="E960" s="313"/>
    </row>
    <row r="961" spans="1:5" ht="18" customHeight="1">
      <c r="A961" s="313"/>
      <c r="B961" s="313"/>
      <c r="C961" s="313"/>
      <c r="D961" s="313"/>
      <c r="E961" s="313"/>
    </row>
    <row r="962" spans="1:5" ht="18" customHeight="1">
      <c r="A962" s="442" t="s">
        <v>648</v>
      </c>
      <c r="B962" s="443"/>
      <c r="C962" s="443"/>
      <c r="D962" s="443"/>
      <c r="E962" s="444"/>
    </row>
    <row r="963" spans="1:5" ht="18" customHeight="1">
      <c r="A963" s="394" t="s">
        <v>649</v>
      </c>
      <c r="B963" s="135" t="e">
        <f>GTA!#REF!</f>
        <v>#REF!</v>
      </c>
      <c r="C963" s="135" t="s">
        <v>22</v>
      </c>
      <c r="D963" s="135">
        <v>16.649999999999999</v>
      </c>
      <c r="E963" s="314" t="e">
        <f>B963*D963</f>
        <v>#REF!</v>
      </c>
    </row>
    <row r="964" spans="1:5" ht="18" customHeight="1">
      <c r="A964" s="445"/>
      <c r="B964" s="446"/>
      <c r="C964" s="446"/>
      <c r="D964" s="446"/>
      <c r="E964" s="447"/>
    </row>
    <row r="965" spans="1:5" ht="18" customHeight="1">
      <c r="A965" s="448" t="s">
        <v>650</v>
      </c>
      <c r="B965" s="443" t="e">
        <f>SUM(B962:B964)</f>
        <v>#REF!</v>
      </c>
      <c r="C965" s="443"/>
      <c r="D965" s="443"/>
      <c r="E965" s="443"/>
    </row>
    <row r="966" spans="1:5" ht="18" customHeight="1">
      <c r="A966" s="393"/>
      <c r="B966" s="131"/>
      <c r="C966" s="131"/>
      <c r="D966" s="131"/>
      <c r="E966" s="131"/>
    </row>
    <row r="967" spans="1:5" ht="18" customHeight="1">
      <c r="A967" s="393" t="s">
        <v>651</v>
      </c>
      <c r="B967" s="131"/>
      <c r="C967" s="131"/>
      <c r="D967" s="131"/>
      <c r="E967" s="131"/>
    </row>
    <row r="968" spans="1:5" ht="18" customHeight="1">
      <c r="A968" s="133" t="s">
        <v>652</v>
      </c>
      <c r="B968" s="131"/>
      <c r="C968" s="131"/>
      <c r="D968" s="131"/>
      <c r="E968" s="312"/>
    </row>
    <row r="969" spans="1:5" ht="18" customHeight="1">
      <c r="A969" s="133" t="s">
        <v>92</v>
      </c>
      <c r="B969" s="135"/>
      <c r="C969" s="135"/>
      <c r="D969" s="135"/>
      <c r="E969" s="314"/>
    </row>
    <row r="970" spans="1:5" ht="18" customHeight="1">
      <c r="A970" s="133" t="s">
        <v>653</v>
      </c>
      <c r="B970" s="131"/>
      <c r="C970" s="131"/>
      <c r="D970" s="131"/>
      <c r="E970" s="312"/>
    </row>
    <row r="971" spans="1:5" ht="18" customHeight="1">
      <c r="A971" s="392" t="s">
        <v>654</v>
      </c>
      <c r="B971" s="150"/>
      <c r="C971" s="135"/>
      <c r="D971" s="135"/>
      <c r="E971" s="314"/>
    </row>
    <row r="972" spans="1:5" ht="18" customHeight="1">
      <c r="A972" s="392" t="s">
        <v>655</v>
      </c>
      <c r="B972" s="135"/>
      <c r="C972" s="135"/>
      <c r="D972" s="135"/>
      <c r="E972" s="314"/>
    </row>
    <row r="973" spans="1:5" ht="18" customHeight="1">
      <c r="A973" s="133" t="s">
        <v>656</v>
      </c>
      <c r="B973" s="135"/>
      <c r="C973" s="135"/>
      <c r="D973" s="135"/>
      <c r="E973" s="314"/>
    </row>
    <row r="974" spans="1:5" ht="18" customHeight="1">
      <c r="A974" s="133" t="s">
        <v>657</v>
      </c>
      <c r="B974" s="135"/>
      <c r="C974" s="135"/>
      <c r="D974" s="135"/>
      <c r="E974" s="314"/>
    </row>
    <row r="975" spans="1:5" ht="18" customHeight="1">
      <c r="A975" s="133" t="s">
        <v>658</v>
      </c>
      <c r="B975" s="135"/>
      <c r="C975" s="135"/>
      <c r="D975" s="135"/>
      <c r="E975" s="314"/>
    </row>
    <row r="976" spans="1:5" ht="18" customHeight="1">
      <c r="A976" s="133" t="s">
        <v>659</v>
      </c>
      <c r="B976" s="135"/>
      <c r="C976" s="136"/>
      <c r="D976" s="136"/>
      <c r="E976" s="136"/>
    </row>
    <row r="977" spans="1:5" ht="18" customHeight="1">
      <c r="A977" s="133" t="s">
        <v>660</v>
      </c>
      <c r="B977" s="135"/>
      <c r="C977" s="135"/>
      <c r="D977" s="135"/>
      <c r="E977" s="314"/>
    </row>
    <row r="978" spans="1:5" ht="18" customHeight="1">
      <c r="A978" s="137" t="s">
        <v>661</v>
      </c>
      <c r="B978" s="135"/>
      <c r="C978" s="135"/>
      <c r="D978" s="135"/>
      <c r="E978" s="314"/>
    </row>
    <row r="979" spans="1:5" ht="18" customHeight="1">
      <c r="A979" s="133" t="s">
        <v>662</v>
      </c>
      <c r="B979" s="135"/>
      <c r="C979" s="135"/>
      <c r="D979" s="135"/>
      <c r="E979" s="314"/>
    </row>
    <row r="980" spans="1:5" ht="18" customHeight="1">
      <c r="A980" s="133" t="s">
        <v>663</v>
      </c>
      <c r="B980" s="135"/>
      <c r="C980" s="135"/>
      <c r="D980" s="135"/>
      <c r="E980" s="314"/>
    </row>
    <row r="981" spans="1:5" ht="18" customHeight="1">
      <c r="A981" s="133" t="s">
        <v>664</v>
      </c>
      <c r="B981" s="136"/>
      <c r="C981" s="136"/>
      <c r="D981" s="136"/>
      <c r="E981" s="136"/>
    </row>
    <row r="982" spans="1:5" ht="18" customHeight="1">
      <c r="A982" s="133" t="s">
        <v>665</v>
      </c>
      <c r="B982" s="135"/>
      <c r="C982" s="135"/>
      <c r="D982" s="135"/>
      <c r="E982" s="314"/>
    </row>
    <row r="983" spans="1:5" ht="18" customHeight="1">
      <c r="A983" s="133" t="s">
        <v>121</v>
      </c>
      <c r="B983" s="135"/>
      <c r="C983" s="135"/>
      <c r="D983" s="135"/>
      <c r="E983" s="314"/>
    </row>
    <row r="984" spans="1:5" ht="18" customHeight="1">
      <c r="A984" s="133" t="s">
        <v>337</v>
      </c>
      <c r="B984" s="135"/>
      <c r="C984" s="135"/>
      <c r="D984" s="135"/>
      <c r="E984" s="314"/>
    </row>
    <row r="985" spans="1:5" ht="18" customHeight="1">
      <c r="A985" s="133" t="s">
        <v>666</v>
      </c>
      <c r="B985" s="135"/>
      <c r="C985" s="135"/>
      <c r="D985" s="135"/>
      <c r="E985" s="314"/>
    </row>
    <row r="986" spans="1:5" ht="18" customHeight="1">
      <c r="A986" s="133" t="s">
        <v>667</v>
      </c>
      <c r="B986" s="135"/>
      <c r="C986" s="135"/>
      <c r="D986" s="135"/>
      <c r="E986" s="314"/>
    </row>
    <row r="987" spans="1:5" ht="18" customHeight="1">
      <c r="A987" s="133" t="s">
        <v>668</v>
      </c>
      <c r="B987" s="135"/>
      <c r="C987" s="135"/>
      <c r="D987" s="135"/>
      <c r="E987" s="314"/>
    </row>
    <row r="988" spans="1:5" ht="18" customHeight="1">
      <c r="A988" s="133" t="s">
        <v>669</v>
      </c>
      <c r="B988" s="135"/>
      <c r="C988" s="135"/>
      <c r="D988" s="135"/>
      <c r="E988" s="314"/>
    </row>
    <row r="989" spans="1:5" ht="18" customHeight="1">
      <c r="A989" s="133" t="s">
        <v>670</v>
      </c>
      <c r="B989" s="136"/>
      <c r="C989" s="136"/>
      <c r="D989" s="136"/>
      <c r="E989" s="136"/>
    </row>
    <row r="990" spans="1:5" ht="18" customHeight="1">
      <c r="A990" s="133" t="s">
        <v>671</v>
      </c>
      <c r="B990" s="135"/>
      <c r="C990" s="135"/>
      <c r="D990" s="135"/>
      <c r="E990" s="314"/>
    </row>
    <row r="991" spans="1:5" ht="18" customHeight="1">
      <c r="A991" s="133" t="s">
        <v>672</v>
      </c>
      <c r="B991" s="135"/>
      <c r="C991" s="135"/>
      <c r="D991" s="135"/>
      <c r="E991" s="314"/>
    </row>
    <row r="992" spans="1:5" ht="18" customHeight="1">
      <c r="A992" s="133" t="s">
        <v>673</v>
      </c>
      <c r="B992" s="135"/>
      <c r="C992" s="135"/>
      <c r="D992" s="135"/>
      <c r="E992" s="314"/>
    </row>
    <row r="993" spans="1:5" ht="18" customHeight="1">
      <c r="A993" s="133" t="s">
        <v>674</v>
      </c>
      <c r="B993" s="135"/>
      <c r="C993" s="135"/>
      <c r="D993" s="135"/>
      <c r="E993" s="314"/>
    </row>
    <row r="994" spans="1:5" ht="18" customHeight="1">
      <c r="A994" s="133" t="s">
        <v>675</v>
      </c>
      <c r="B994" s="135"/>
      <c r="C994" s="135"/>
      <c r="D994" s="135"/>
      <c r="E994" s="314"/>
    </row>
    <row r="995" spans="1:5" ht="18" customHeight="1">
      <c r="A995" s="133" t="s">
        <v>676</v>
      </c>
      <c r="B995" s="135"/>
      <c r="C995" s="135"/>
      <c r="D995" s="135"/>
      <c r="E995" s="314"/>
    </row>
    <row r="996" spans="1:5" ht="18" customHeight="1">
      <c r="A996" s="140" t="s">
        <v>677</v>
      </c>
      <c r="B996" s="135"/>
      <c r="C996" s="135"/>
      <c r="D996" s="135"/>
      <c r="E996" s="314"/>
    </row>
    <row r="997" spans="1:5" ht="18" customHeight="1">
      <c r="A997" s="133" t="s">
        <v>678</v>
      </c>
      <c r="B997" s="135"/>
      <c r="C997" s="135"/>
      <c r="D997" s="135"/>
      <c r="E997" s="314"/>
    </row>
    <row r="998" spans="1:5" ht="18" customHeight="1">
      <c r="A998" s="133" t="s">
        <v>679</v>
      </c>
      <c r="B998" s="135"/>
      <c r="C998" s="135"/>
      <c r="D998" s="135"/>
      <c r="E998" s="314"/>
    </row>
    <row r="999" spans="1:5" ht="18" customHeight="1">
      <c r="A999" s="133" t="s">
        <v>680</v>
      </c>
      <c r="B999" s="135"/>
      <c r="C999" s="135"/>
      <c r="D999" s="135"/>
      <c r="E999" s="314"/>
    </row>
    <row r="1000" spans="1:5" ht="18" customHeight="1">
      <c r="A1000" s="133" t="s">
        <v>681</v>
      </c>
      <c r="B1000" s="135"/>
      <c r="C1000" s="135"/>
      <c r="D1000" s="135"/>
      <c r="E1000" s="314"/>
    </row>
    <row r="1001" spans="1:5" ht="18" customHeight="1">
      <c r="A1001" s="133" t="s">
        <v>682</v>
      </c>
      <c r="B1001" s="135"/>
      <c r="C1001" s="135"/>
      <c r="D1001" s="135"/>
      <c r="E1001" s="314"/>
    </row>
    <row r="1002" spans="1:5" ht="18" customHeight="1">
      <c r="A1002" s="133" t="s">
        <v>683</v>
      </c>
      <c r="B1002" s="135"/>
      <c r="C1002" s="135"/>
      <c r="D1002" s="135"/>
      <c r="E1002" s="314"/>
    </row>
    <row r="1003" spans="1:5" ht="18" customHeight="1">
      <c r="A1003" s="133" t="s">
        <v>684</v>
      </c>
      <c r="B1003" s="135"/>
      <c r="C1003" s="135"/>
      <c r="D1003" s="135"/>
      <c r="E1003" s="314"/>
    </row>
    <row r="1004" spans="1:5" ht="18" customHeight="1">
      <c r="A1004" s="137" t="s">
        <v>685</v>
      </c>
      <c r="B1004" s="135"/>
      <c r="C1004" s="135"/>
      <c r="D1004" s="135"/>
      <c r="E1004" s="314"/>
    </row>
    <row r="1005" spans="1:5" ht="18" customHeight="1">
      <c r="A1005" s="133" t="s">
        <v>686</v>
      </c>
      <c r="B1005" s="135"/>
      <c r="C1005" s="135"/>
      <c r="D1005" s="135"/>
      <c r="E1005" s="314"/>
    </row>
    <row r="1006" spans="1:5" ht="18" customHeight="1">
      <c r="A1006" s="133" t="s">
        <v>687</v>
      </c>
      <c r="B1006" s="135"/>
      <c r="C1006" s="135"/>
      <c r="D1006" s="135"/>
      <c r="E1006" s="314"/>
    </row>
    <row r="1007" spans="1:5" ht="18" customHeight="1">
      <c r="A1007" s="133" t="s">
        <v>688</v>
      </c>
      <c r="B1007" s="135"/>
      <c r="C1007" s="135"/>
      <c r="D1007" s="135"/>
      <c r="E1007" s="314"/>
    </row>
    <row r="1008" spans="1:5" ht="18" customHeight="1">
      <c r="A1008" s="137" t="s">
        <v>689</v>
      </c>
      <c r="B1008" s="135"/>
      <c r="C1008" s="135"/>
      <c r="D1008" s="135"/>
      <c r="E1008" s="314"/>
    </row>
    <row r="1009" spans="1:6" ht="18" customHeight="1">
      <c r="A1009" s="133" t="s">
        <v>690</v>
      </c>
      <c r="B1009" s="135"/>
      <c r="C1009" s="135"/>
      <c r="D1009" s="135"/>
      <c r="E1009" s="314"/>
    </row>
    <row r="1010" spans="1:6" ht="18" customHeight="1">
      <c r="A1010" s="133" t="s">
        <v>691</v>
      </c>
      <c r="B1010" s="135"/>
      <c r="C1010" s="135"/>
      <c r="D1010" s="135"/>
      <c r="E1010" s="314"/>
    </row>
    <row r="1011" spans="1:6" ht="18" customHeight="1">
      <c r="A1011" s="133" t="s">
        <v>692</v>
      </c>
      <c r="B1011" s="135"/>
      <c r="C1011" s="135"/>
      <c r="D1011" s="135"/>
      <c r="E1011" s="314"/>
    </row>
    <row r="1012" spans="1:6" ht="18" customHeight="1">
      <c r="A1012" s="133" t="s">
        <v>693</v>
      </c>
      <c r="B1012" s="135"/>
      <c r="C1012" s="135"/>
      <c r="D1012" s="135"/>
      <c r="E1012" s="314"/>
    </row>
    <row r="1013" spans="1:6" ht="18" customHeight="1">
      <c r="A1013" s="133" t="s">
        <v>694</v>
      </c>
      <c r="B1013" s="135"/>
      <c r="C1013" s="135"/>
      <c r="D1013" s="135"/>
      <c r="E1013" s="314"/>
    </row>
    <row r="1014" spans="1:6" ht="18" customHeight="1">
      <c r="A1014" s="133" t="s">
        <v>695</v>
      </c>
      <c r="B1014" s="135"/>
      <c r="C1014" s="135"/>
      <c r="D1014" s="135"/>
      <c r="E1014" s="314"/>
      <c r="F1014" s="890"/>
    </row>
    <row r="1015" spans="1:6" ht="18" customHeight="1">
      <c r="A1015" s="133" t="s">
        <v>696</v>
      </c>
      <c r="B1015" s="135"/>
      <c r="C1015" s="135"/>
      <c r="D1015" s="135"/>
      <c r="E1015" s="314"/>
      <c r="F1015" s="890"/>
    </row>
    <row r="1016" spans="1:6" ht="18" customHeight="1">
      <c r="A1016" s="133" t="s">
        <v>697</v>
      </c>
      <c r="B1016" s="135"/>
      <c r="C1016" s="135"/>
      <c r="D1016" s="135"/>
      <c r="E1016" s="314"/>
      <c r="F1016" s="890"/>
    </row>
    <row r="1017" spans="1:6" ht="18" customHeight="1">
      <c r="A1017" s="137" t="s">
        <v>698</v>
      </c>
      <c r="B1017" s="135"/>
      <c r="C1017" s="135"/>
      <c r="D1017" s="135"/>
      <c r="E1017" s="314"/>
      <c r="F1017" s="890"/>
    </row>
    <row r="1018" spans="1:6" ht="18" customHeight="1">
      <c r="A1018" s="133" t="s">
        <v>699</v>
      </c>
      <c r="B1018" s="135"/>
      <c r="C1018" s="135"/>
      <c r="D1018" s="135"/>
      <c r="E1018" s="314"/>
      <c r="F1018" s="890"/>
    </row>
    <row r="1019" spans="1:6" ht="18" customHeight="1">
      <c r="A1019" s="133" t="s">
        <v>700</v>
      </c>
      <c r="B1019" s="135"/>
      <c r="C1019" s="135"/>
      <c r="D1019" s="135"/>
      <c r="E1019" s="314"/>
      <c r="F1019" s="890"/>
    </row>
    <row r="1020" spans="1:6" ht="18" customHeight="1">
      <c r="A1020" s="133"/>
      <c r="B1020" s="135"/>
      <c r="C1020" s="135"/>
      <c r="D1020" s="135"/>
      <c r="E1020" s="314"/>
      <c r="F1020" s="890"/>
    </row>
    <row r="1021" spans="1:6" ht="18" customHeight="1">
      <c r="A1021" s="133"/>
      <c r="B1021" s="136"/>
      <c r="C1021" s="136"/>
      <c r="D1021" s="136"/>
      <c r="E1021" s="136"/>
      <c r="F1021" s="890"/>
    </row>
    <row r="1022" spans="1:6" ht="18" customHeight="1">
      <c r="A1022" s="137"/>
      <c r="B1022" s="135"/>
      <c r="C1022" s="135"/>
      <c r="D1022" s="135"/>
      <c r="E1022" s="314"/>
      <c r="F1022" s="890"/>
    </row>
    <row r="1023" spans="1:6" ht="18" customHeight="1">
      <c r="A1023" s="133"/>
      <c r="B1023" s="135"/>
      <c r="C1023" s="135"/>
      <c r="D1023" s="135"/>
      <c r="E1023" s="314"/>
      <c r="F1023" s="890"/>
    </row>
    <row r="1024" spans="1:6" ht="18" customHeight="1">
      <c r="A1024" s="133"/>
      <c r="B1024" s="135"/>
      <c r="C1024" s="135"/>
      <c r="D1024" s="135"/>
      <c r="E1024" s="314"/>
      <c r="F1024" s="890"/>
    </row>
    <row r="1025" spans="1:6" ht="18" customHeight="1">
      <c r="A1025" s="133"/>
      <c r="B1025" s="135"/>
      <c r="C1025" s="135"/>
      <c r="D1025" s="135"/>
      <c r="E1025" s="314"/>
      <c r="F1025" s="890"/>
    </row>
    <row r="1026" spans="1:6" ht="18" customHeight="1">
      <c r="A1026" s="133"/>
      <c r="B1026" s="135"/>
      <c r="C1026" s="135"/>
      <c r="D1026" s="135"/>
      <c r="E1026" s="314"/>
      <c r="F1026" s="890"/>
    </row>
    <row r="1027" spans="1:6" ht="18" customHeight="1">
      <c r="A1027" s="134"/>
      <c r="B1027" s="135"/>
      <c r="C1027" s="135"/>
      <c r="D1027" s="135"/>
      <c r="E1027" s="314"/>
      <c r="F1027" s="890"/>
    </row>
    <row r="1028" spans="1:6" ht="18" customHeight="1">
      <c r="A1028" s="134"/>
      <c r="B1028" s="135"/>
      <c r="C1028" s="135"/>
      <c r="D1028" s="135"/>
      <c r="E1028" s="314"/>
      <c r="F1028" s="890"/>
    </row>
    <row r="1029" spans="1:6" ht="18" customHeight="1">
      <c r="A1029" s="134"/>
      <c r="B1029" s="135"/>
      <c r="C1029" s="135"/>
      <c r="D1029" s="135"/>
      <c r="E1029" s="314"/>
      <c r="F1029" s="890"/>
    </row>
    <row r="1030" spans="1:6" ht="18" customHeight="1">
      <c r="A1030" s="134"/>
      <c r="B1030" s="135"/>
      <c r="C1030" s="135"/>
      <c r="D1030" s="135"/>
      <c r="E1030" s="314"/>
      <c r="F1030" s="890"/>
    </row>
    <row r="1031" spans="1:6" ht="18" customHeight="1">
      <c r="A1031" s="134"/>
      <c r="B1031" s="135"/>
      <c r="C1031" s="135"/>
      <c r="D1031" s="135"/>
      <c r="E1031" s="314"/>
      <c r="F1031" s="890"/>
    </row>
    <row r="1032" spans="1:6" ht="18" customHeight="1">
      <c r="A1032" s="134"/>
      <c r="B1032" s="135"/>
      <c r="C1032" s="135"/>
      <c r="D1032" s="135"/>
      <c r="E1032" s="314"/>
      <c r="F1032" s="890"/>
    </row>
    <row r="1033" spans="1:6" ht="18" customHeight="1">
      <c r="A1033" s="134"/>
      <c r="B1033" s="135"/>
      <c r="C1033" s="135"/>
      <c r="D1033" s="135"/>
      <c r="E1033" s="314"/>
      <c r="F1033" s="890"/>
    </row>
    <row r="1034" spans="1:6" ht="18" customHeight="1">
      <c r="A1034" s="134"/>
      <c r="B1034" s="135"/>
      <c r="C1034" s="135"/>
      <c r="D1034" s="135"/>
      <c r="E1034" s="314"/>
      <c r="F1034" s="890"/>
    </row>
    <row r="1035" spans="1:6" ht="18" customHeight="1">
      <c r="A1035" s="134"/>
      <c r="B1035" s="135"/>
      <c r="C1035" s="135"/>
      <c r="D1035" s="135"/>
      <c r="E1035" s="314"/>
      <c r="F1035" s="890"/>
    </row>
    <row r="1036" spans="1:6" ht="18" customHeight="1">
      <c r="A1036" s="134"/>
      <c r="B1036" s="135"/>
      <c r="C1036" s="135"/>
      <c r="D1036" s="135"/>
      <c r="E1036" s="314"/>
      <c r="F1036" s="890"/>
    </row>
    <row r="1037" spans="1:6" ht="18" customHeight="1">
      <c r="A1037" s="134"/>
      <c r="B1037" s="135"/>
      <c r="C1037" s="135"/>
      <c r="D1037" s="135"/>
      <c r="E1037" s="314"/>
      <c r="F1037" s="890"/>
    </row>
    <row r="1038" spans="1:6" ht="18" customHeight="1">
      <c r="A1038" s="134"/>
      <c r="B1038" s="135"/>
      <c r="C1038" s="135"/>
      <c r="D1038" s="135"/>
      <c r="E1038" s="314"/>
      <c r="F1038" s="890"/>
    </row>
    <row r="1039" spans="1:6" ht="18" customHeight="1">
      <c r="A1039" s="134"/>
      <c r="B1039" s="135"/>
      <c r="C1039" s="135"/>
      <c r="D1039" s="135"/>
      <c r="E1039" s="314"/>
      <c r="F1039" s="890"/>
    </row>
    <row r="1040" spans="1:6" ht="18" customHeight="1">
      <c r="A1040" s="134"/>
      <c r="B1040" s="135"/>
      <c r="C1040" s="135"/>
      <c r="D1040" s="135"/>
      <c r="E1040" s="314"/>
      <c r="F1040" s="890"/>
    </row>
    <row r="1041" spans="1:6" ht="18" customHeight="1">
      <c r="A1041" s="134"/>
      <c r="B1041" s="135"/>
      <c r="C1041" s="135"/>
      <c r="D1041" s="135"/>
      <c r="E1041" s="314"/>
      <c r="F1041" s="890"/>
    </row>
    <row r="1042" spans="1:6" ht="18" customHeight="1">
      <c r="A1042" s="134"/>
      <c r="B1042" s="135"/>
      <c r="C1042" s="135"/>
      <c r="D1042" s="135"/>
      <c r="E1042" s="314"/>
    </row>
    <row r="1043" spans="1:6" ht="18" customHeight="1">
      <c r="A1043" s="134"/>
      <c r="B1043" s="135"/>
      <c r="C1043" s="135"/>
      <c r="D1043" s="135"/>
      <c r="E1043" s="314"/>
    </row>
    <row r="1044" spans="1:6" ht="18" customHeight="1">
      <c r="A1044" s="134"/>
      <c r="B1044" s="135"/>
      <c r="C1044" s="135"/>
      <c r="D1044" s="135"/>
      <c r="E1044" s="314"/>
    </row>
    <row r="1045" spans="1:6" ht="18" customHeight="1">
      <c r="A1045" s="134"/>
      <c r="B1045" s="135"/>
      <c r="C1045" s="135"/>
      <c r="D1045" s="135"/>
      <c r="E1045" s="314"/>
    </row>
    <row r="1046" spans="1:6" ht="18" customHeight="1">
      <c r="A1046" s="134"/>
      <c r="B1046" s="135"/>
      <c r="C1046" s="135"/>
      <c r="D1046" s="135"/>
      <c r="E1046" s="314"/>
    </row>
    <row r="1047" spans="1:6" ht="18" customHeight="1">
      <c r="A1047" s="134"/>
      <c r="B1047" s="135"/>
      <c r="C1047" s="135"/>
      <c r="D1047" s="135"/>
      <c r="E1047" s="314"/>
    </row>
    <row r="1048" spans="1:6" ht="18" customHeight="1">
      <c r="A1048" s="134"/>
      <c r="B1048" s="135"/>
      <c r="C1048" s="135"/>
      <c r="D1048" s="135"/>
      <c r="E1048" s="314"/>
    </row>
    <row r="1049" spans="1:6" ht="18" customHeight="1">
      <c r="A1049" s="134"/>
      <c r="B1049" s="135"/>
      <c r="C1049" s="135"/>
      <c r="D1049" s="135"/>
      <c r="E1049" s="314"/>
    </row>
    <row r="1050" spans="1:6" ht="18" customHeight="1">
      <c r="A1050" s="134"/>
      <c r="B1050" s="135"/>
      <c r="C1050" s="135"/>
      <c r="D1050" s="135"/>
      <c r="E1050" s="314"/>
    </row>
    <row r="1051" spans="1:6" ht="18" customHeight="1">
      <c r="A1051" s="134"/>
      <c r="B1051" s="135"/>
      <c r="C1051" s="135"/>
      <c r="D1051" s="135"/>
      <c r="E1051" s="314"/>
    </row>
    <row r="1052" spans="1:6" ht="18" customHeight="1">
      <c r="A1052" s="134"/>
      <c r="B1052" s="135"/>
      <c r="C1052" s="135"/>
      <c r="D1052" s="135"/>
      <c r="E1052" s="314"/>
    </row>
    <row r="1053" spans="1:6" ht="18" customHeight="1">
      <c r="A1053" s="134"/>
      <c r="B1053" s="135"/>
      <c r="C1053" s="135"/>
      <c r="D1053" s="135"/>
      <c r="E1053" s="314"/>
    </row>
    <row r="1054" spans="1:6" ht="18" customHeight="1">
      <c r="A1054" s="134"/>
      <c r="B1054" s="135"/>
      <c r="C1054" s="135"/>
      <c r="D1054" s="132" t="s">
        <v>701</v>
      </c>
      <c r="E1054" s="312"/>
    </row>
    <row r="1055" spans="1:6" ht="18" customHeight="1">
      <c r="A1055" s="138"/>
      <c r="B1055" s="141"/>
      <c r="C1055" s="141"/>
      <c r="D1055" s="141"/>
      <c r="E1055" s="318"/>
    </row>
    <row r="1057" spans="1:4" ht="18" customHeight="1">
      <c r="A1057" s="313"/>
      <c r="B1057" s="313"/>
      <c r="C1057" s="313"/>
      <c r="D1057" s="313"/>
    </row>
    <row r="1058" spans="1:4" ht="18" customHeight="1">
      <c r="A1058" s="313"/>
      <c r="B1058" s="313"/>
      <c r="C1058" s="313"/>
      <c r="D1058" s="313"/>
    </row>
  </sheetData>
  <sortState xmlns:xlrd2="http://schemas.microsoft.com/office/spreadsheetml/2017/richdata2" ref="A968:A1027">
    <sortCondition ref="A1027"/>
  </sortState>
  <mergeCells count="1">
    <mergeCell ref="F946:F947"/>
  </mergeCells>
  <conditionalFormatting sqref="A48:A56">
    <cfRule type="duplicateValues" dxfId="247" priority="17"/>
  </conditionalFormatting>
  <conditionalFormatting sqref="A70:A88">
    <cfRule type="duplicateValues" dxfId="246" priority="335"/>
  </conditionalFormatting>
  <conditionalFormatting sqref="A93:A94">
    <cfRule type="duplicateValues" dxfId="245" priority="342"/>
  </conditionalFormatting>
  <conditionalFormatting sqref="A118">
    <cfRule type="duplicateValues" dxfId="244" priority="3"/>
  </conditionalFormatting>
  <conditionalFormatting sqref="A125 A110:A114 A99:A104">
    <cfRule type="duplicateValues" dxfId="243" priority="11"/>
  </conditionalFormatting>
  <conditionalFormatting sqref="A125">
    <cfRule type="duplicateValues" dxfId="242" priority="12"/>
    <cfRule type="duplicateValues" dxfId="241" priority="13"/>
  </conditionalFormatting>
  <conditionalFormatting sqref="A159">
    <cfRule type="duplicateValues" dxfId="240" priority="20"/>
  </conditionalFormatting>
  <conditionalFormatting sqref="A281:A283">
    <cfRule type="duplicateValues" dxfId="239" priority="19"/>
  </conditionalFormatting>
  <conditionalFormatting sqref="A294">
    <cfRule type="duplicateValues" dxfId="238" priority="16"/>
  </conditionalFormatting>
  <conditionalFormatting sqref="A368:A371">
    <cfRule type="duplicateValues" dxfId="237" priority="8"/>
  </conditionalFormatting>
  <conditionalFormatting sqref="A378:A379">
    <cfRule type="duplicateValues" dxfId="236" priority="15"/>
  </conditionalFormatting>
  <conditionalFormatting sqref="A652 A654">
    <cfRule type="duplicateValues" dxfId="235" priority="446"/>
  </conditionalFormatting>
  <conditionalFormatting sqref="A659:A663 A668:A801">
    <cfRule type="duplicateValues" dxfId="234" priority="554"/>
  </conditionalFormatting>
  <conditionalFormatting sqref="A858">
    <cfRule type="duplicateValues" dxfId="233" priority="10"/>
  </conditionalFormatting>
  <conditionalFormatting sqref="G886:G903">
    <cfRule type="duplicateValues" dxfId="232" priority="6"/>
  </conditionalFormatting>
  <pageMargins left="0.7" right="0.7" top="0.75" bottom="0.75" header="0.3" footer="0.3"/>
  <pageSetup scale="60" orientation="landscape" horizontalDpi="4294967292" verticalDpi="12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2B284-CA60-4576-8467-426E336DA992}">
  <sheetPr>
    <tabColor theme="4"/>
  </sheetPr>
  <dimension ref="A1:F942"/>
  <sheetViews>
    <sheetView topLeftCell="A784" zoomScale="70" zoomScaleNormal="70" workbookViewId="0">
      <selection activeCell="A824" sqref="A824"/>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89.7109375" style="313" customWidth="1"/>
    <col min="7" max="16384" width="9" style="313"/>
  </cols>
  <sheetData>
    <row r="1" spans="1:6" ht="18" customHeight="1">
      <c r="A1" s="131" t="s">
        <v>702</v>
      </c>
      <c r="B1" s="131" t="s">
        <v>0</v>
      </c>
      <c r="C1" s="131" t="s">
        <v>1</v>
      </c>
      <c r="D1" s="131" t="s">
        <v>2</v>
      </c>
      <c r="E1" s="791" t="s">
        <v>19</v>
      </c>
      <c r="F1" s="312" t="s">
        <v>648</v>
      </c>
    </row>
    <row r="2" spans="1:6" ht="18" customHeight="1">
      <c r="A2" s="414" t="s">
        <v>20</v>
      </c>
      <c r="B2" s="415"/>
      <c r="C2" s="415"/>
      <c r="D2" s="415"/>
      <c r="E2" s="792"/>
      <c r="F2" s="398"/>
    </row>
    <row r="3" spans="1:6" ht="18" customHeight="1">
      <c r="A3" s="394" t="s">
        <v>21</v>
      </c>
      <c r="B3" s="135">
        <f>GTA!F201</f>
        <v>0</v>
      </c>
      <c r="C3" s="135" t="s">
        <v>22</v>
      </c>
      <c r="D3" s="135">
        <v>16.649999999999999</v>
      </c>
      <c r="E3" s="793">
        <f>B3*D3</f>
        <v>0</v>
      </c>
      <c r="F3" s="398"/>
    </row>
    <row r="4" spans="1:6" ht="18" customHeight="1">
      <c r="A4" s="423"/>
      <c r="B4" s="419"/>
      <c r="C4" s="419"/>
      <c r="D4" s="419"/>
      <c r="E4" s="794"/>
      <c r="F4" s="398"/>
    </row>
    <row r="5" spans="1:6" ht="18" customHeight="1">
      <c r="A5" s="414" t="s">
        <v>24</v>
      </c>
      <c r="B5" s="415">
        <f>SUM(B2:B4)</f>
        <v>0</v>
      </c>
      <c r="C5" s="415"/>
      <c r="D5" s="415"/>
      <c r="E5" s="795"/>
      <c r="F5" s="398"/>
    </row>
    <row r="6" spans="1:6" ht="18" customHeight="1">
      <c r="A6" s="394"/>
      <c r="B6" s="135"/>
      <c r="C6" s="135"/>
      <c r="D6" s="135"/>
      <c r="E6" s="793"/>
      <c r="F6" s="398"/>
    </row>
    <row r="7" spans="1:6" ht="18" customHeight="1">
      <c r="A7" s="414" t="s">
        <v>26</v>
      </c>
      <c r="B7" s="415"/>
      <c r="C7" s="415"/>
      <c r="D7" s="415"/>
      <c r="E7" s="792"/>
      <c r="F7" s="398"/>
    </row>
    <row r="8" spans="1:6" ht="18" customHeight="1">
      <c r="A8" s="136" t="s">
        <v>27</v>
      </c>
      <c r="B8" s="135">
        <f>OTTAWA!C72</f>
        <v>0</v>
      </c>
      <c r="C8" s="135" t="s">
        <v>22</v>
      </c>
      <c r="D8" s="135">
        <v>18</v>
      </c>
      <c r="E8" s="793">
        <f>B8*D8</f>
        <v>0</v>
      </c>
      <c r="F8" s="398"/>
    </row>
    <row r="9" spans="1:6" ht="18" customHeight="1">
      <c r="A9" s="423"/>
      <c r="B9" s="419"/>
      <c r="C9" s="419"/>
      <c r="D9" s="419"/>
      <c r="E9" s="794"/>
      <c r="F9" s="398"/>
    </row>
    <row r="10" spans="1:6" ht="18" customHeight="1">
      <c r="A10" s="414" t="s">
        <v>28</v>
      </c>
      <c r="B10" s="415">
        <f>SUM(B7:B9)</f>
        <v>0</v>
      </c>
      <c r="C10" s="415"/>
      <c r="D10" s="415"/>
      <c r="E10" s="795"/>
      <c r="F10" s="398"/>
    </row>
    <row r="11" spans="1:6" ht="18" customHeight="1">
      <c r="A11" s="394"/>
      <c r="B11" s="135"/>
      <c r="C11" s="135"/>
      <c r="D11" s="135"/>
      <c r="E11" s="793"/>
      <c r="F11" s="398"/>
    </row>
    <row r="12" spans="1:6" ht="18" customHeight="1">
      <c r="A12" s="414" t="s">
        <v>29</v>
      </c>
      <c r="B12" s="415"/>
      <c r="C12" s="415"/>
      <c r="D12" s="415"/>
      <c r="E12" s="792"/>
      <c r="F12" s="398"/>
    </row>
    <row r="13" spans="1:6" ht="18" customHeight="1">
      <c r="A13" s="394" t="s">
        <v>30</v>
      </c>
      <c r="B13" s="135">
        <f>'OUTSIDE GTA'!C197</f>
        <v>0</v>
      </c>
      <c r="C13" s="135" t="s">
        <v>22</v>
      </c>
      <c r="D13" s="135">
        <v>16.649999999999999</v>
      </c>
      <c r="E13" s="793">
        <f t="shared" ref="E13:E20" si="0">B13*D13</f>
        <v>0</v>
      </c>
      <c r="F13" s="398"/>
    </row>
    <row r="14" spans="1:6" ht="18" customHeight="1">
      <c r="A14" s="394" t="s">
        <v>31</v>
      </c>
      <c r="B14" s="135">
        <f>'OUTSIDE GTA'!J197</f>
        <v>0</v>
      </c>
      <c r="C14" s="135" t="s">
        <v>22</v>
      </c>
      <c r="D14" s="135">
        <v>16.649999999999999</v>
      </c>
      <c r="E14" s="793">
        <f>B14*D14</f>
        <v>0</v>
      </c>
      <c r="F14" s="398"/>
    </row>
    <row r="15" spans="1:6" ht="18" customHeight="1">
      <c r="A15" s="395" t="s">
        <v>32</v>
      </c>
      <c r="B15" s="135">
        <f>'OUTSIDE GTA'!G197</f>
        <v>0</v>
      </c>
      <c r="C15" s="135" t="s">
        <v>22</v>
      </c>
      <c r="D15" s="135">
        <v>16.649999999999999</v>
      </c>
      <c r="E15" s="793">
        <f t="shared" si="0"/>
        <v>0</v>
      </c>
      <c r="F15" s="398"/>
    </row>
    <row r="16" spans="1:6" ht="18" customHeight="1">
      <c r="A16" s="395" t="s">
        <v>33</v>
      </c>
      <c r="B16" s="135">
        <f>'OUTSIDE GTA'!E197</f>
        <v>0</v>
      </c>
      <c r="C16" s="135" t="s">
        <v>22</v>
      </c>
      <c r="D16" s="135">
        <v>16.649999999999999</v>
      </c>
      <c r="E16" s="793">
        <f t="shared" si="0"/>
        <v>0</v>
      </c>
      <c r="F16" s="398"/>
    </row>
    <row r="17" spans="1:6" ht="18" customHeight="1">
      <c r="A17" s="395" t="s">
        <v>34</v>
      </c>
      <c r="B17" s="135">
        <f>'OUTSIDE GTA'!D197</f>
        <v>0</v>
      </c>
      <c r="C17" s="135" t="s">
        <v>22</v>
      </c>
      <c r="D17" s="135">
        <v>16.649999999999999</v>
      </c>
      <c r="E17" s="793">
        <f t="shared" si="0"/>
        <v>0</v>
      </c>
      <c r="F17" s="398"/>
    </row>
    <row r="18" spans="1:6" ht="18" customHeight="1">
      <c r="A18" s="395" t="s">
        <v>35</v>
      </c>
      <c r="B18" s="135">
        <f>'OUTSIDE GTA'!H197</f>
        <v>0</v>
      </c>
      <c r="C18" s="135" t="s">
        <v>22</v>
      </c>
      <c r="D18" s="135">
        <v>16.649999999999999</v>
      </c>
      <c r="E18" s="793">
        <f t="shared" si="0"/>
        <v>0</v>
      </c>
      <c r="F18" s="398"/>
    </row>
    <row r="19" spans="1:6" s="529" customFormat="1" ht="18" customHeight="1">
      <c r="A19" s="395" t="s">
        <v>36</v>
      </c>
      <c r="B19" s="135">
        <f>'OUTSIDE GTA'!F197</f>
        <v>0</v>
      </c>
      <c r="C19" s="135" t="s">
        <v>22</v>
      </c>
      <c r="D19" s="135">
        <v>16.649999999999999</v>
      </c>
      <c r="E19" s="793">
        <f t="shared" si="0"/>
        <v>0</v>
      </c>
      <c r="F19" s="563"/>
    </row>
    <row r="20" spans="1:6" s="529" customFormat="1" ht="18" customHeight="1">
      <c r="A20" s="395" t="s">
        <v>37</v>
      </c>
      <c r="B20" s="135">
        <f>'OUTSIDE GTA'!I197</f>
        <v>0</v>
      </c>
      <c r="C20" s="135" t="s">
        <v>22</v>
      </c>
      <c r="D20" s="135">
        <v>16.649999999999999</v>
      </c>
      <c r="E20" s="793">
        <f t="shared" si="0"/>
        <v>0</v>
      </c>
      <c r="F20" s="563"/>
    </row>
    <row r="21" spans="1:6" ht="18" customHeight="1">
      <c r="A21" s="423"/>
      <c r="B21" s="419"/>
      <c r="C21" s="419"/>
      <c r="D21" s="419"/>
      <c r="E21" s="794"/>
      <c r="F21" s="398"/>
    </row>
    <row r="22" spans="1:6" ht="18" customHeight="1">
      <c r="A22" s="414" t="s">
        <v>29</v>
      </c>
      <c r="B22" s="415">
        <f>SUM(B12:B21)</f>
        <v>0</v>
      </c>
      <c r="C22" s="415"/>
      <c r="D22" s="415"/>
      <c r="E22" s="795"/>
      <c r="F22" s="398"/>
    </row>
    <row r="23" spans="1:6" ht="18" customHeight="1">
      <c r="A23" s="394"/>
      <c r="B23" s="135"/>
      <c r="C23" s="135"/>
      <c r="D23" s="135"/>
      <c r="E23" s="793"/>
      <c r="F23" s="398"/>
    </row>
    <row r="24" spans="1:6" ht="18" customHeight="1">
      <c r="A24" s="414" t="s">
        <v>38</v>
      </c>
      <c r="B24" s="415"/>
      <c r="C24" s="415"/>
      <c r="D24" s="415"/>
      <c r="E24" s="792"/>
      <c r="F24" s="398"/>
    </row>
    <row r="25" spans="1:6" ht="18" customHeight="1">
      <c r="A25" s="394" t="s">
        <v>39</v>
      </c>
      <c r="B25" s="135">
        <f>'OUTSIDE GTA'!D17</f>
        <v>0</v>
      </c>
      <c r="C25" s="135" t="s">
        <v>22</v>
      </c>
      <c r="D25" s="135">
        <v>17</v>
      </c>
      <c r="E25" s="793">
        <f>B25*D25</f>
        <v>0</v>
      </c>
      <c r="F25" s="398" t="s">
        <v>38</v>
      </c>
    </row>
    <row r="26" spans="1:6" ht="18" customHeight="1">
      <c r="A26" s="394" t="s">
        <v>40</v>
      </c>
      <c r="B26" s="135">
        <f>'OUTSIDE GTA'!Q17</f>
        <v>0</v>
      </c>
      <c r="C26" s="135" t="s">
        <v>22</v>
      </c>
      <c r="D26" s="135">
        <v>17</v>
      </c>
      <c r="E26" s="793">
        <f>B26*D26</f>
        <v>0</v>
      </c>
      <c r="F26" s="398" t="s">
        <v>38</v>
      </c>
    </row>
    <row r="27" spans="1:6" ht="18" customHeight="1">
      <c r="A27" s="395" t="s">
        <v>41</v>
      </c>
      <c r="B27" s="135">
        <f>'OUTSIDE GTA'!P17</f>
        <v>0</v>
      </c>
      <c r="C27" s="135" t="s">
        <v>22</v>
      </c>
      <c r="D27" s="135">
        <v>16.649999999999999</v>
      </c>
      <c r="E27" s="793">
        <f>B27*D27</f>
        <v>0</v>
      </c>
      <c r="F27" s="398" t="s">
        <v>38</v>
      </c>
    </row>
    <row r="28" spans="1:6" ht="18" customHeight="1">
      <c r="A28" s="395" t="s">
        <v>43</v>
      </c>
      <c r="B28" s="135">
        <f>'OUTSIDE GTA'!C17</f>
        <v>0</v>
      </c>
      <c r="C28" s="135" t="s">
        <v>22</v>
      </c>
      <c r="D28" s="135">
        <v>16.649999999999999</v>
      </c>
      <c r="E28" s="793">
        <f>B28*D28</f>
        <v>0</v>
      </c>
      <c r="F28" s="398" t="s">
        <v>38</v>
      </c>
    </row>
    <row r="29" spans="1:6" ht="18" customHeight="1">
      <c r="A29" s="423"/>
      <c r="B29" s="419"/>
      <c r="C29" s="419"/>
      <c r="D29" s="419"/>
      <c r="E29" s="794"/>
      <c r="F29" s="398"/>
    </row>
    <row r="30" spans="1:6" ht="18" customHeight="1">
      <c r="A30" s="414" t="s">
        <v>44</v>
      </c>
      <c r="B30" s="415">
        <f>SUM(B24:B29)</f>
        <v>0</v>
      </c>
      <c r="C30" s="415"/>
      <c r="D30" s="415"/>
      <c r="E30" s="795"/>
      <c r="F30" s="398"/>
    </row>
    <row r="31" spans="1:6" ht="18" customHeight="1">
      <c r="A31" s="394"/>
      <c r="B31" s="135"/>
      <c r="C31" s="135"/>
      <c r="D31" s="135"/>
      <c r="E31" s="793"/>
      <c r="F31" s="398"/>
    </row>
    <row r="32" spans="1:6" ht="18" customHeight="1">
      <c r="A32" s="414" t="s">
        <v>45</v>
      </c>
      <c r="B32" s="415"/>
      <c r="C32" s="415"/>
      <c r="D32" s="415"/>
      <c r="E32" s="795"/>
      <c r="F32" s="398"/>
    </row>
    <row r="33" spans="1:6" ht="18" customHeight="1">
      <c r="A33" s="394" t="s">
        <v>46</v>
      </c>
      <c r="B33" s="135">
        <f>'OUTSIDE GTA'!C270</f>
        <v>0</v>
      </c>
      <c r="C33" s="135" t="s">
        <v>22</v>
      </c>
      <c r="D33" s="135">
        <v>18</v>
      </c>
      <c r="E33" s="793">
        <f>B33*D33</f>
        <v>0</v>
      </c>
      <c r="F33" s="398"/>
    </row>
    <row r="34" spans="1:6" ht="18" customHeight="1">
      <c r="A34" s="395" t="s">
        <v>47</v>
      </c>
      <c r="B34" s="135">
        <f>'OUTSIDE GTA'!D270</f>
        <v>0</v>
      </c>
      <c r="C34" s="135" t="s">
        <v>22</v>
      </c>
      <c r="D34" s="135">
        <v>18</v>
      </c>
      <c r="E34" s="793">
        <f>B34*D34</f>
        <v>0</v>
      </c>
      <c r="F34" s="398"/>
    </row>
    <row r="35" spans="1:6" ht="18" customHeight="1">
      <c r="A35" s="395" t="s">
        <v>48</v>
      </c>
      <c r="B35" s="135">
        <f>'OUTSIDE GTA'!E270</f>
        <v>0</v>
      </c>
      <c r="C35" s="135" t="s">
        <v>22</v>
      </c>
      <c r="D35" s="135">
        <v>18</v>
      </c>
      <c r="E35" s="793">
        <f>B35*D35</f>
        <v>0</v>
      </c>
      <c r="F35" s="398"/>
    </row>
    <row r="36" spans="1:6" ht="18" customHeight="1">
      <c r="A36" s="395" t="s">
        <v>49</v>
      </c>
      <c r="B36" s="135">
        <f>'OUTSIDE GTA'!F270</f>
        <v>0</v>
      </c>
      <c r="C36" s="135" t="s">
        <v>22</v>
      </c>
      <c r="D36" s="135">
        <v>18</v>
      </c>
      <c r="E36" s="793">
        <f>B36*D36</f>
        <v>0</v>
      </c>
      <c r="F36" s="398"/>
    </row>
    <row r="37" spans="1:6" ht="18" customHeight="1">
      <c r="A37" s="395" t="s">
        <v>50</v>
      </c>
      <c r="B37" s="135">
        <f>'OUTSIDE GTA'!G270</f>
        <v>0</v>
      </c>
      <c r="C37" s="135" t="s">
        <v>22</v>
      </c>
      <c r="D37" s="135">
        <v>18</v>
      </c>
      <c r="E37" s="793">
        <f>B37*D37</f>
        <v>0</v>
      </c>
      <c r="F37" s="398"/>
    </row>
    <row r="38" spans="1:6" ht="18" customHeight="1">
      <c r="A38" s="423"/>
      <c r="B38" s="419"/>
      <c r="C38" s="419"/>
      <c r="D38" s="419"/>
      <c r="E38" s="794"/>
      <c r="F38" s="398"/>
    </row>
    <row r="39" spans="1:6" ht="18" customHeight="1">
      <c r="A39" s="414" t="s">
        <v>51</v>
      </c>
      <c r="B39" s="415">
        <f>SUM(B32:B38)</f>
        <v>0</v>
      </c>
      <c r="C39" s="415"/>
      <c r="D39" s="415"/>
      <c r="E39" s="795"/>
      <c r="F39" s="398"/>
    </row>
    <row r="40" spans="1:6" ht="18" customHeight="1">
      <c r="A40" s="394"/>
      <c r="B40" s="135"/>
      <c r="C40" s="135"/>
      <c r="D40" s="135"/>
      <c r="E40" s="793"/>
      <c r="F40" s="398"/>
    </row>
    <row r="41" spans="1:6" ht="18" customHeight="1">
      <c r="A41" s="414" t="s">
        <v>52</v>
      </c>
      <c r="B41" s="415"/>
      <c r="C41" s="415"/>
      <c r="D41" s="415"/>
      <c r="E41" s="792"/>
      <c r="F41" s="398"/>
    </row>
    <row r="42" spans="1:6" ht="18" customHeight="1">
      <c r="A42" s="394" t="s">
        <v>53</v>
      </c>
      <c r="B42" s="135">
        <f>'OUTSIDE GTA'!C288</f>
        <v>0</v>
      </c>
      <c r="C42" s="135" t="s">
        <v>22</v>
      </c>
      <c r="D42" s="135">
        <v>16.649999999999999</v>
      </c>
      <c r="E42" s="793">
        <f>B42*D42</f>
        <v>0</v>
      </c>
      <c r="F42" s="398"/>
    </row>
    <row r="43" spans="1:6" ht="18" customHeight="1">
      <c r="A43" s="395" t="s">
        <v>54</v>
      </c>
      <c r="B43" s="135">
        <f>'OUTSIDE GTA'!D288</f>
        <v>0</v>
      </c>
      <c r="C43" s="135" t="s">
        <v>22</v>
      </c>
      <c r="D43" s="135">
        <v>16.649999999999999</v>
      </c>
      <c r="E43" s="793">
        <f>B43*D43</f>
        <v>0</v>
      </c>
      <c r="F43" s="398"/>
    </row>
    <row r="44" spans="1:6" ht="18" customHeight="1">
      <c r="A44" s="423"/>
      <c r="B44" s="419"/>
      <c r="C44" s="419"/>
      <c r="D44" s="419"/>
      <c r="E44" s="794"/>
      <c r="F44" s="398"/>
    </row>
    <row r="45" spans="1:6" ht="18" customHeight="1">
      <c r="A45" s="414" t="s">
        <v>52</v>
      </c>
      <c r="B45" s="415">
        <f>SUM(B41:B44)</f>
        <v>0</v>
      </c>
      <c r="C45" s="415"/>
      <c r="D45" s="415"/>
      <c r="E45" s="795"/>
      <c r="F45" s="398"/>
    </row>
    <row r="46" spans="1:6" ht="18" customHeight="1">
      <c r="A46" s="394"/>
      <c r="B46" s="135"/>
      <c r="C46" s="135"/>
      <c r="D46" s="135"/>
      <c r="E46" s="793"/>
      <c r="F46" s="398"/>
    </row>
    <row r="47" spans="1:6" ht="18" customHeight="1">
      <c r="A47" s="414" t="s">
        <v>55</v>
      </c>
      <c r="B47" s="415"/>
      <c r="C47" s="415"/>
      <c r="D47" s="415"/>
      <c r="E47" s="792"/>
      <c r="F47" s="398"/>
    </row>
    <row r="48" spans="1:6" ht="18" customHeight="1">
      <c r="A48" s="601" t="s">
        <v>41</v>
      </c>
      <c r="B48" s="135">
        <f>'OUTSIDE GTA'!C35</f>
        <v>0</v>
      </c>
      <c r="C48" s="135" t="s">
        <v>22</v>
      </c>
      <c r="D48" s="135">
        <v>16.649999999999999</v>
      </c>
      <c r="E48" s="796">
        <f t="shared" ref="E48:E56" si="1">B48*D48</f>
        <v>0</v>
      </c>
      <c r="F48" s="398" t="s">
        <v>55</v>
      </c>
    </row>
    <row r="49" spans="1:6" ht="18" customHeight="1">
      <c r="A49" s="602" t="s">
        <v>56</v>
      </c>
      <c r="B49" s="481">
        <f>'OUTSIDE GTA'!G35</f>
        <v>0</v>
      </c>
      <c r="C49" s="481" t="s">
        <v>22</v>
      </c>
      <c r="D49" s="481">
        <v>16.649999999999999</v>
      </c>
      <c r="E49" s="796">
        <f t="shared" si="1"/>
        <v>0</v>
      </c>
      <c r="F49" s="398" t="s">
        <v>55</v>
      </c>
    </row>
    <row r="50" spans="1:6" ht="18" customHeight="1">
      <c r="A50" s="601" t="s">
        <v>57</v>
      </c>
      <c r="B50" s="135">
        <f>'OUTSIDE GTA'!D35</f>
        <v>0</v>
      </c>
      <c r="C50" s="135" t="s">
        <v>22</v>
      </c>
      <c r="D50" s="135">
        <v>16.649999999999999</v>
      </c>
      <c r="E50" s="793">
        <f t="shared" si="1"/>
        <v>0</v>
      </c>
      <c r="F50" s="398" t="s">
        <v>55</v>
      </c>
    </row>
    <row r="51" spans="1:6" ht="18" customHeight="1">
      <c r="A51" s="667" t="s">
        <v>58</v>
      </c>
      <c r="B51" s="135">
        <f>'OUTSIDE GTA'!E35</f>
        <v>0</v>
      </c>
      <c r="C51" s="135" t="s">
        <v>22</v>
      </c>
      <c r="D51" s="135">
        <v>16.649999999999999</v>
      </c>
      <c r="E51" s="793">
        <f t="shared" si="1"/>
        <v>0</v>
      </c>
      <c r="F51" s="398" t="s">
        <v>55</v>
      </c>
    </row>
    <row r="52" spans="1:6" ht="18" customHeight="1">
      <c r="A52" s="601" t="s">
        <v>59</v>
      </c>
      <c r="B52" s="135">
        <f>'OUTSIDE GTA'!F35</f>
        <v>0</v>
      </c>
      <c r="C52" s="135" t="s">
        <v>22</v>
      </c>
      <c r="D52" s="135">
        <v>16.649999999999999</v>
      </c>
      <c r="E52" s="793">
        <f t="shared" si="1"/>
        <v>0</v>
      </c>
      <c r="F52" s="398" t="s">
        <v>55</v>
      </c>
    </row>
    <row r="53" spans="1:6" ht="18" customHeight="1">
      <c r="A53" s="601" t="s">
        <v>60</v>
      </c>
      <c r="B53" s="135">
        <f>'OUTSIDE GTA'!H35</f>
        <v>0</v>
      </c>
      <c r="C53" s="135" t="s">
        <v>22</v>
      </c>
      <c r="D53" s="135">
        <v>16.649999999999999</v>
      </c>
      <c r="E53" s="793">
        <f t="shared" si="1"/>
        <v>0</v>
      </c>
      <c r="F53" s="398" t="s">
        <v>55</v>
      </c>
    </row>
    <row r="54" spans="1:6" ht="18" customHeight="1">
      <c r="A54" s="601" t="s">
        <v>61</v>
      </c>
      <c r="B54" s="135">
        <f>'OUTSIDE GTA'!I35</f>
        <v>0</v>
      </c>
      <c r="C54" s="135" t="s">
        <v>22</v>
      </c>
      <c r="D54" s="135">
        <v>16.649999999999999</v>
      </c>
      <c r="E54" s="793">
        <f t="shared" si="1"/>
        <v>0</v>
      </c>
      <c r="F54" s="398" t="s">
        <v>55</v>
      </c>
    </row>
    <row r="55" spans="1:6" ht="18" customHeight="1">
      <c r="A55" s="601" t="s">
        <v>62</v>
      </c>
      <c r="B55" s="135">
        <f>'OUTSIDE GTA'!J35</f>
        <v>0</v>
      </c>
      <c r="C55" s="135" t="s">
        <v>22</v>
      </c>
      <c r="D55" s="135">
        <v>16.649999999999999</v>
      </c>
      <c r="E55" s="793">
        <f t="shared" si="1"/>
        <v>0</v>
      </c>
      <c r="F55" s="398" t="s">
        <v>55</v>
      </c>
    </row>
    <row r="56" spans="1:6" ht="18" customHeight="1">
      <c r="A56" s="601" t="s">
        <v>63</v>
      </c>
      <c r="B56" s="135">
        <f>'OUTSIDE GTA'!K35</f>
        <v>0</v>
      </c>
      <c r="C56" s="135" t="s">
        <v>22</v>
      </c>
      <c r="D56" s="135">
        <v>16.649999999999999</v>
      </c>
      <c r="E56" s="793">
        <f t="shared" si="1"/>
        <v>0</v>
      </c>
      <c r="F56" s="398" t="s">
        <v>55</v>
      </c>
    </row>
    <row r="57" spans="1:6" ht="18" customHeight="1">
      <c r="A57" s="423"/>
      <c r="B57" s="419"/>
      <c r="C57" s="419"/>
      <c r="D57" s="419"/>
      <c r="E57" s="794"/>
      <c r="F57" s="398"/>
    </row>
    <row r="58" spans="1:6" ht="18" customHeight="1">
      <c r="A58" s="414" t="s">
        <v>64</v>
      </c>
      <c r="B58" s="415">
        <f>SUM(B47:B57)</f>
        <v>0</v>
      </c>
      <c r="C58" s="415"/>
      <c r="D58" s="415"/>
      <c r="E58" s="795"/>
      <c r="F58" s="398"/>
    </row>
    <row r="59" spans="1:6" ht="18" customHeight="1">
      <c r="A59" s="394"/>
      <c r="B59" s="135"/>
      <c r="C59" s="135"/>
      <c r="D59" s="135"/>
      <c r="E59" s="793"/>
      <c r="F59" s="398"/>
    </row>
    <row r="60" spans="1:6" ht="18" customHeight="1">
      <c r="A60" s="414" t="s">
        <v>66</v>
      </c>
      <c r="B60" s="415"/>
      <c r="C60" s="415"/>
      <c r="D60" s="415"/>
      <c r="E60" s="792"/>
      <c r="F60" s="398"/>
    </row>
    <row r="61" spans="1:6" s="529" customFormat="1" ht="18" customHeight="1">
      <c r="A61" s="394" t="s">
        <v>67</v>
      </c>
      <c r="B61" s="135">
        <f>'OUTSIDE GTA'!D125</f>
        <v>0</v>
      </c>
      <c r="C61" s="135" t="s">
        <v>22</v>
      </c>
      <c r="D61" s="135">
        <v>17</v>
      </c>
      <c r="E61" s="793">
        <f>B61*D61</f>
        <v>0</v>
      </c>
      <c r="F61" s="563" t="s">
        <v>66</v>
      </c>
    </row>
    <row r="62" spans="1:6" ht="18" customHeight="1">
      <c r="A62" s="394" t="s">
        <v>68</v>
      </c>
      <c r="B62" s="135">
        <f>'OUTSIDE GTA'!C125</f>
        <v>0</v>
      </c>
      <c r="C62" s="135" t="s">
        <v>22</v>
      </c>
      <c r="D62" s="135">
        <v>15.5</v>
      </c>
      <c r="E62" s="793">
        <f>B62*D62</f>
        <v>0</v>
      </c>
      <c r="F62" s="398" t="s">
        <v>66</v>
      </c>
    </row>
    <row r="63" spans="1:6" ht="18" customHeight="1">
      <c r="A63" s="394" t="s">
        <v>69</v>
      </c>
      <c r="B63" s="135">
        <f>'OUTSIDE GTA'!E125</f>
        <v>0</v>
      </c>
      <c r="C63" s="135" t="s">
        <v>22</v>
      </c>
      <c r="D63" s="135">
        <v>15.5</v>
      </c>
      <c r="E63" s="793">
        <f>B63*D63</f>
        <v>0</v>
      </c>
      <c r="F63" s="398" t="s">
        <v>66</v>
      </c>
    </row>
    <row r="64" spans="1:6" ht="18" customHeight="1">
      <c r="A64" s="394" t="s">
        <v>70</v>
      </c>
      <c r="B64" s="135">
        <f>'OUTSIDE GTA'!F125</f>
        <v>0</v>
      </c>
      <c r="C64" s="135" t="s">
        <v>22</v>
      </c>
      <c r="D64" s="135">
        <v>15.5</v>
      </c>
      <c r="E64" s="793">
        <f>B64*D64</f>
        <v>0</v>
      </c>
      <c r="F64" s="398" t="s">
        <v>66</v>
      </c>
    </row>
    <row r="65" spans="1:6" ht="18" customHeight="1">
      <c r="A65" s="394" t="s">
        <v>71</v>
      </c>
      <c r="B65" s="135">
        <f>'OUTSIDE GTA'!G125</f>
        <v>0</v>
      </c>
      <c r="C65" s="135" t="s">
        <v>22</v>
      </c>
      <c r="D65" s="135">
        <v>15.5</v>
      </c>
      <c r="E65" s="793">
        <f>B65*D65</f>
        <v>0</v>
      </c>
      <c r="F65" s="398" t="s">
        <v>66</v>
      </c>
    </row>
    <row r="66" spans="1:6" ht="18" customHeight="1">
      <c r="A66" s="423"/>
      <c r="B66" s="419"/>
      <c r="C66" s="419"/>
      <c r="D66" s="419"/>
      <c r="E66" s="794"/>
      <c r="F66" s="398"/>
    </row>
    <row r="67" spans="1:6" ht="18" customHeight="1">
      <c r="A67" s="414" t="s">
        <v>66</v>
      </c>
      <c r="B67" s="415">
        <f>SUM(B61:B66)</f>
        <v>0</v>
      </c>
      <c r="C67" s="415"/>
      <c r="D67" s="415"/>
      <c r="E67" s="795"/>
      <c r="F67" s="398"/>
    </row>
    <row r="68" spans="1:6" ht="18" customHeight="1">
      <c r="A68" s="394"/>
      <c r="B68" s="135"/>
      <c r="C68" s="135"/>
      <c r="D68" s="135"/>
      <c r="E68" s="793"/>
      <c r="F68" s="398"/>
    </row>
    <row r="69" spans="1:6" ht="18" customHeight="1">
      <c r="A69" s="414" t="s">
        <v>72</v>
      </c>
      <c r="B69" s="415"/>
      <c r="C69" s="415"/>
      <c r="D69" s="415"/>
      <c r="E69" s="792"/>
      <c r="F69" s="398"/>
    </row>
    <row r="70" spans="1:6" s="529" customFormat="1" ht="18" customHeight="1">
      <c r="A70" s="602" t="s">
        <v>703</v>
      </c>
      <c r="B70" s="481">
        <f>'OUTSIDE GTA'!C71</f>
        <v>0</v>
      </c>
      <c r="C70" s="481" t="s">
        <v>22</v>
      </c>
      <c r="D70" s="481">
        <v>20</v>
      </c>
      <c r="E70" s="796">
        <f t="shared" ref="E70:E84" si="2">B70*D70</f>
        <v>0</v>
      </c>
      <c r="F70" s="563" t="s">
        <v>72</v>
      </c>
    </row>
    <row r="71" spans="1:6" s="529" customFormat="1" ht="18" customHeight="1">
      <c r="A71" s="602" t="s">
        <v>704</v>
      </c>
      <c r="B71" s="481">
        <f>'OUTSIDE GTA'!H71</f>
        <v>0</v>
      </c>
      <c r="C71" s="481" t="s">
        <v>22</v>
      </c>
      <c r="D71" s="481">
        <v>16.649999999999999</v>
      </c>
      <c r="E71" s="796">
        <f t="shared" si="2"/>
        <v>0</v>
      </c>
      <c r="F71" s="563" t="s">
        <v>72</v>
      </c>
    </row>
    <row r="72" spans="1:6" s="529" customFormat="1" ht="18" customHeight="1">
      <c r="A72" s="602" t="s">
        <v>705</v>
      </c>
      <c r="B72" s="481">
        <f>'OUTSIDE GTA'!G71</f>
        <v>0</v>
      </c>
      <c r="C72" s="481" t="s">
        <v>22</v>
      </c>
      <c r="D72" s="481">
        <v>16.649999999999999</v>
      </c>
      <c r="E72" s="796">
        <f t="shared" si="2"/>
        <v>0</v>
      </c>
      <c r="F72" s="563" t="s">
        <v>72</v>
      </c>
    </row>
    <row r="73" spans="1:6" s="529" customFormat="1" ht="18" customHeight="1">
      <c r="A73" s="602" t="s">
        <v>706</v>
      </c>
      <c r="B73" s="481">
        <f>'OUTSIDE GTA'!M71</f>
        <v>0</v>
      </c>
      <c r="C73" s="481" t="s">
        <v>22</v>
      </c>
      <c r="D73" s="481">
        <v>20</v>
      </c>
      <c r="E73" s="796">
        <f t="shared" si="2"/>
        <v>0</v>
      </c>
      <c r="F73" s="563" t="s">
        <v>72</v>
      </c>
    </row>
    <row r="74" spans="1:6" s="529" customFormat="1" ht="18" customHeight="1">
      <c r="A74" s="602" t="s">
        <v>707</v>
      </c>
      <c r="B74" s="481">
        <f>'OUTSIDE GTA'!F71</f>
        <v>0</v>
      </c>
      <c r="C74" s="481" t="s">
        <v>22</v>
      </c>
      <c r="D74" s="481">
        <v>16.649999999999999</v>
      </c>
      <c r="E74" s="796">
        <f t="shared" si="2"/>
        <v>0</v>
      </c>
      <c r="F74" s="563" t="s">
        <v>72</v>
      </c>
    </row>
    <row r="75" spans="1:6" s="529" customFormat="1" ht="18" customHeight="1">
      <c r="A75" s="602" t="s">
        <v>708</v>
      </c>
      <c r="B75" s="481">
        <f>'OUTSIDE GTA'!N71</f>
        <v>0</v>
      </c>
      <c r="C75" s="481" t="s">
        <v>22</v>
      </c>
      <c r="D75" s="481">
        <v>20</v>
      </c>
      <c r="E75" s="796">
        <f t="shared" si="2"/>
        <v>0</v>
      </c>
      <c r="F75" s="563" t="s">
        <v>72</v>
      </c>
    </row>
    <row r="76" spans="1:6" s="529" customFormat="1" ht="18" customHeight="1">
      <c r="A76" s="602" t="s">
        <v>709</v>
      </c>
      <c r="B76" s="481">
        <f>'OUTSIDE GTA'!I71</f>
        <v>0</v>
      </c>
      <c r="C76" s="481" t="s">
        <v>22</v>
      </c>
      <c r="D76" s="481">
        <v>16.649999999999999</v>
      </c>
      <c r="E76" s="796">
        <f t="shared" si="2"/>
        <v>0</v>
      </c>
      <c r="F76" s="563" t="s">
        <v>72</v>
      </c>
    </row>
    <row r="77" spans="1:6" s="529" customFormat="1" ht="18" customHeight="1">
      <c r="A77" s="602" t="s">
        <v>80</v>
      </c>
      <c r="B77" s="481">
        <f>'OUTSIDE GTA'!P71</f>
        <v>0</v>
      </c>
      <c r="C77" s="481" t="s">
        <v>22</v>
      </c>
      <c r="D77" s="481">
        <v>16.649999999999999</v>
      </c>
      <c r="E77" s="796">
        <f t="shared" si="2"/>
        <v>0</v>
      </c>
      <c r="F77" s="563" t="s">
        <v>72</v>
      </c>
    </row>
    <row r="78" spans="1:6" s="529" customFormat="1" ht="18" customHeight="1">
      <c r="A78" s="602" t="s">
        <v>81</v>
      </c>
      <c r="B78" s="481">
        <f>'OUTSIDE GTA'!J71</f>
        <v>0</v>
      </c>
      <c r="C78" s="481" t="s">
        <v>22</v>
      </c>
      <c r="D78" s="481">
        <v>16.649999999999999</v>
      </c>
      <c r="E78" s="796">
        <f t="shared" si="2"/>
        <v>0</v>
      </c>
      <c r="F78" s="563" t="s">
        <v>72</v>
      </c>
    </row>
    <row r="79" spans="1:6" s="529" customFormat="1" ht="18" customHeight="1">
      <c r="A79" s="602" t="s">
        <v>78</v>
      </c>
      <c r="B79" s="481">
        <f>'OUTSIDE GTA'!Q71</f>
        <v>0</v>
      </c>
      <c r="C79" s="481" t="s">
        <v>22</v>
      </c>
      <c r="D79" s="481">
        <v>16.649999999999999</v>
      </c>
      <c r="E79" s="796">
        <f t="shared" si="2"/>
        <v>0</v>
      </c>
      <c r="F79" s="563" t="s">
        <v>72</v>
      </c>
    </row>
    <row r="80" spans="1:6" s="529" customFormat="1" ht="18" customHeight="1">
      <c r="A80" s="602" t="s">
        <v>75</v>
      </c>
      <c r="B80" s="481">
        <f>'OUTSIDE GTA'!K71</f>
        <v>0</v>
      </c>
      <c r="C80" s="481" t="s">
        <v>22</v>
      </c>
      <c r="D80" s="481">
        <v>16.649999999999999</v>
      </c>
      <c r="E80" s="796">
        <f t="shared" si="2"/>
        <v>0</v>
      </c>
      <c r="F80" s="563" t="s">
        <v>72</v>
      </c>
    </row>
    <row r="81" spans="1:6" s="529" customFormat="1" ht="18" customHeight="1">
      <c r="A81" s="602" t="s">
        <v>89</v>
      </c>
      <c r="B81" s="481">
        <f>'OUTSIDE GTA'!E71</f>
        <v>0</v>
      </c>
      <c r="C81" s="481" t="s">
        <v>22</v>
      </c>
      <c r="D81" s="481">
        <v>20</v>
      </c>
      <c r="E81" s="796">
        <f t="shared" si="2"/>
        <v>0</v>
      </c>
      <c r="F81" s="563" t="s">
        <v>72</v>
      </c>
    </row>
    <row r="82" spans="1:6" s="529" customFormat="1" ht="18" customHeight="1">
      <c r="A82" s="602" t="s">
        <v>710</v>
      </c>
      <c r="B82" s="481">
        <f>'OUTSIDE GTA'!T71</f>
        <v>0</v>
      </c>
      <c r="C82" s="481" t="s">
        <v>22</v>
      </c>
      <c r="D82" s="481">
        <v>16.649999999999999</v>
      </c>
      <c r="E82" s="796">
        <f t="shared" si="2"/>
        <v>0</v>
      </c>
      <c r="F82" s="563" t="s">
        <v>72</v>
      </c>
    </row>
    <row r="83" spans="1:6" s="529" customFormat="1" ht="18" customHeight="1">
      <c r="A83" s="602" t="s">
        <v>711</v>
      </c>
      <c r="B83" s="481">
        <f>'OUTSIDE GTA'!U71</f>
        <v>0</v>
      </c>
      <c r="C83" s="481" t="s">
        <v>22</v>
      </c>
      <c r="D83" s="481">
        <v>16.649999999999999</v>
      </c>
      <c r="E83" s="796">
        <f t="shared" si="2"/>
        <v>0</v>
      </c>
      <c r="F83" s="563" t="s">
        <v>72</v>
      </c>
    </row>
    <row r="84" spans="1:6" s="529" customFormat="1" ht="18" customHeight="1">
      <c r="A84" s="602" t="s">
        <v>712</v>
      </c>
      <c r="B84" s="481">
        <f>'OUTSIDE GTA'!D71</f>
        <v>0</v>
      </c>
      <c r="C84" s="481" t="s">
        <v>22</v>
      </c>
      <c r="D84" s="481">
        <v>20</v>
      </c>
      <c r="E84" s="796">
        <f t="shared" si="2"/>
        <v>0</v>
      </c>
      <c r="F84" s="563" t="s">
        <v>72</v>
      </c>
    </row>
    <row r="85" spans="1:6" s="529" customFormat="1" ht="18" customHeight="1">
      <c r="A85" s="602" t="s">
        <v>713</v>
      </c>
      <c r="B85" s="481">
        <f>'OUTSIDE GTA'!L71</f>
        <v>0</v>
      </c>
      <c r="C85" s="481" t="s">
        <v>22</v>
      </c>
      <c r="D85" s="481">
        <v>16.649999999999999</v>
      </c>
      <c r="E85" s="796">
        <f>B85*D85</f>
        <v>0</v>
      </c>
      <c r="F85" s="563" t="s">
        <v>72</v>
      </c>
    </row>
    <row r="86" spans="1:6" s="529" customFormat="1" ht="18" customHeight="1">
      <c r="A86" s="602" t="s">
        <v>714</v>
      </c>
      <c r="B86" s="481">
        <f>'OUTSIDE GTA'!O71</f>
        <v>0</v>
      </c>
      <c r="C86" s="481" t="s">
        <v>22</v>
      </c>
      <c r="D86" s="481">
        <v>20</v>
      </c>
      <c r="E86" s="796">
        <f>B86*D86</f>
        <v>0</v>
      </c>
      <c r="F86" s="563" t="s">
        <v>72</v>
      </c>
    </row>
    <row r="87" spans="1:6" s="529" customFormat="1" ht="18" customHeight="1">
      <c r="A87" s="602" t="s">
        <v>715</v>
      </c>
      <c r="B87" s="481">
        <f>'OUTSIDE GTA'!R71</f>
        <v>0</v>
      </c>
      <c r="C87" s="481" t="s">
        <v>22</v>
      </c>
      <c r="D87" s="481">
        <v>20</v>
      </c>
      <c r="E87" s="796">
        <f>B87*D87</f>
        <v>0</v>
      </c>
      <c r="F87" s="563" t="s">
        <v>72</v>
      </c>
    </row>
    <row r="88" spans="1:6" s="529" customFormat="1" ht="18" customHeight="1">
      <c r="A88" s="602" t="s">
        <v>716</v>
      </c>
      <c r="B88" s="481">
        <f>'OUTSIDE GTA'!S71</f>
        <v>0</v>
      </c>
      <c r="C88" s="481" t="s">
        <v>22</v>
      </c>
      <c r="D88" s="481">
        <v>20</v>
      </c>
      <c r="E88" s="796">
        <f>B88*D88</f>
        <v>0</v>
      </c>
      <c r="F88" s="563" t="s">
        <v>72</v>
      </c>
    </row>
    <row r="89" spans="1:6" ht="18" customHeight="1">
      <c r="A89" s="423"/>
      <c r="B89" s="419"/>
      <c r="C89" s="419"/>
      <c r="D89" s="419"/>
      <c r="E89" s="794"/>
      <c r="F89" s="398"/>
    </row>
    <row r="90" spans="1:6" ht="18" customHeight="1">
      <c r="A90" s="414" t="s">
        <v>72</v>
      </c>
      <c r="B90" s="415">
        <f>SUM(B70:B89)</f>
        <v>0</v>
      </c>
      <c r="C90" s="415"/>
      <c r="D90" s="415"/>
      <c r="E90" s="795"/>
      <c r="F90" s="398"/>
    </row>
    <row r="91" spans="1:6" ht="18" customHeight="1">
      <c r="A91" s="394"/>
      <c r="B91" s="135"/>
      <c r="C91" s="135"/>
      <c r="D91" s="135"/>
      <c r="E91" s="793"/>
      <c r="F91" s="398"/>
    </row>
    <row r="92" spans="1:6" ht="18" customHeight="1">
      <c r="A92" s="414" t="s">
        <v>92</v>
      </c>
      <c r="B92" s="415"/>
      <c r="C92" s="415"/>
      <c r="D92" s="415"/>
      <c r="E92" s="792"/>
      <c r="F92" s="398"/>
    </row>
    <row r="93" spans="1:6" s="529" customFormat="1" ht="18" customHeight="1">
      <c r="A93" s="602" t="s">
        <v>93</v>
      </c>
      <c r="B93" s="481">
        <f>'OUTSIDE GTA'!C143</f>
        <v>0</v>
      </c>
      <c r="C93" s="481" t="s">
        <v>22</v>
      </c>
      <c r="D93" s="481">
        <v>20</v>
      </c>
      <c r="E93" s="796">
        <f>B93*D93</f>
        <v>0</v>
      </c>
      <c r="F93" s="563" t="s">
        <v>92</v>
      </c>
    </row>
    <row r="94" spans="1:6" s="529" customFormat="1" ht="18" customHeight="1">
      <c r="A94" s="602" t="s">
        <v>94</v>
      </c>
      <c r="B94" s="481">
        <f>'OUTSIDE GTA'!D143</f>
        <v>0</v>
      </c>
      <c r="C94" s="481" t="s">
        <v>22</v>
      </c>
      <c r="D94" s="481">
        <v>16.649999999999999</v>
      </c>
      <c r="E94" s="796">
        <f>B94*D94</f>
        <v>0</v>
      </c>
      <c r="F94" s="563" t="s">
        <v>92</v>
      </c>
    </row>
    <row r="95" spans="1:6" ht="18" customHeight="1">
      <c r="A95" s="423"/>
      <c r="B95" s="419"/>
      <c r="C95" s="419"/>
      <c r="D95" s="419"/>
      <c r="E95" s="794"/>
      <c r="F95" s="398"/>
    </row>
    <row r="96" spans="1:6" ht="18" customHeight="1">
      <c r="A96" s="414" t="s">
        <v>92</v>
      </c>
      <c r="B96" s="415">
        <f>SUM(B93:B95)</f>
        <v>0</v>
      </c>
      <c r="C96" s="415"/>
      <c r="D96" s="415"/>
      <c r="E96" s="795"/>
      <c r="F96" s="398"/>
    </row>
    <row r="97" spans="1:6" ht="18" customHeight="1">
      <c r="A97" s="394"/>
      <c r="B97" s="135"/>
      <c r="C97" s="135"/>
      <c r="D97" s="135"/>
      <c r="E97" s="793"/>
      <c r="F97" s="398"/>
    </row>
    <row r="98" spans="1:6" ht="18" customHeight="1">
      <c r="A98" s="414" t="s">
        <v>95</v>
      </c>
      <c r="B98" s="415"/>
      <c r="C98" s="415"/>
      <c r="D98" s="415"/>
      <c r="E98" s="792"/>
      <c r="F98" s="398"/>
    </row>
    <row r="99" spans="1:6" ht="18" customHeight="1">
      <c r="A99" s="601" t="s">
        <v>96</v>
      </c>
      <c r="B99" s="135">
        <f>'OUTSIDE GTA'!C53</f>
        <v>0</v>
      </c>
      <c r="C99" s="135" t="s">
        <v>22</v>
      </c>
      <c r="D99" s="135">
        <v>16.649999999999999</v>
      </c>
      <c r="E99" s="793">
        <f>B99*D99</f>
        <v>0</v>
      </c>
      <c r="F99" s="398"/>
    </row>
    <row r="100" spans="1:6" ht="18" customHeight="1">
      <c r="A100" s="601" t="s">
        <v>62</v>
      </c>
      <c r="B100" s="135">
        <f>'OUTSIDE GTA'!I53</f>
        <v>0</v>
      </c>
      <c r="C100" s="135" t="s">
        <v>22</v>
      </c>
      <c r="D100" s="135">
        <v>16.649999999999999</v>
      </c>
      <c r="E100" s="793">
        <f>B100*D100</f>
        <v>0</v>
      </c>
      <c r="F100" s="398"/>
    </row>
    <row r="101" spans="1:6" ht="18" customHeight="1">
      <c r="A101" s="601" t="s">
        <v>98</v>
      </c>
      <c r="B101" s="135">
        <f>'OUTSIDE GTA'!E53</f>
        <v>0</v>
      </c>
      <c r="C101" s="135" t="s">
        <v>22</v>
      </c>
      <c r="D101" s="135">
        <v>16.649999999999999</v>
      </c>
      <c r="E101" s="793">
        <f t="shared" ref="E101:E121" si="3">B101*D101</f>
        <v>0</v>
      </c>
      <c r="F101" s="398"/>
    </row>
    <row r="102" spans="1:6" ht="18" customHeight="1">
      <c r="A102" s="667" t="s">
        <v>99</v>
      </c>
      <c r="B102" s="135">
        <f>'OUTSIDE GTA'!G53</f>
        <v>0</v>
      </c>
      <c r="C102" s="135" t="s">
        <v>22</v>
      </c>
      <c r="D102" s="135">
        <v>16.649999999999999</v>
      </c>
      <c r="E102" s="793">
        <f t="shared" si="3"/>
        <v>0</v>
      </c>
      <c r="F102" s="398"/>
    </row>
    <row r="103" spans="1:6" ht="18" customHeight="1">
      <c r="A103" s="601" t="s">
        <v>100</v>
      </c>
      <c r="B103" s="135">
        <f>'OUTSIDE GTA'!H53</f>
        <v>0</v>
      </c>
      <c r="C103" s="135" t="s">
        <v>22</v>
      </c>
      <c r="D103" s="135">
        <v>16.649999999999999</v>
      </c>
      <c r="E103" s="793">
        <f t="shared" si="3"/>
        <v>0</v>
      </c>
      <c r="F103" s="398"/>
    </row>
    <row r="104" spans="1:6" ht="18" customHeight="1">
      <c r="A104" s="649" t="s">
        <v>101</v>
      </c>
      <c r="B104" s="135">
        <f>'OUTSIDE GTA'!N53</f>
        <v>0</v>
      </c>
      <c r="C104" s="135" t="s">
        <v>22</v>
      </c>
      <c r="D104" s="135">
        <v>16.649999999999999</v>
      </c>
      <c r="E104" s="793">
        <f t="shared" si="3"/>
        <v>0</v>
      </c>
      <c r="F104" s="398"/>
    </row>
    <row r="105" spans="1:6" ht="18" customHeight="1">
      <c r="A105" s="649" t="s">
        <v>102</v>
      </c>
      <c r="B105" s="135">
        <f>'OUTSIDE GTA'!M53</f>
        <v>0</v>
      </c>
      <c r="C105" s="135" t="s">
        <v>22</v>
      </c>
      <c r="D105" s="135">
        <v>16.649999999999999</v>
      </c>
      <c r="E105" s="793">
        <f>B105*D105</f>
        <v>0</v>
      </c>
      <c r="F105" s="398"/>
    </row>
    <row r="106" spans="1:6" ht="18" customHeight="1">
      <c r="A106" s="649" t="s">
        <v>103</v>
      </c>
      <c r="B106" s="135">
        <f>'OUTSIDE GTA'!K53</f>
        <v>0</v>
      </c>
      <c r="C106" s="135" t="s">
        <v>22</v>
      </c>
      <c r="D106" s="135">
        <v>16.649999999999999</v>
      </c>
      <c r="E106" s="793">
        <f>B106*D106</f>
        <v>0</v>
      </c>
      <c r="F106" s="398"/>
    </row>
    <row r="107" spans="1:6" ht="18" customHeight="1">
      <c r="A107" s="649" t="s">
        <v>104</v>
      </c>
      <c r="B107" s="135">
        <f>'OUTSIDE GTA'!O53</f>
        <v>0</v>
      </c>
      <c r="C107" s="135" t="s">
        <v>22</v>
      </c>
      <c r="D107" s="135">
        <v>16.649999999999999</v>
      </c>
      <c r="E107" s="793">
        <f>B107*D107</f>
        <v>0</v>
      </c>
      <c r="F107" s="398"/>
    </row>
    <row r="108" spans="1:6" ht="18" customHeight="1">
      <c r="A108" s="649" t="s">
        <v>60</v>
      </c>
      <c r="B108" s="135">
        <f>'OUTSIDE GTA'!P53</f>
        <v>0</v>
      </c>
      <c r="C108" s="135" t="s">
        <v>22</v>
      </c>
      <c r="D108" s="135">
        <v>16.649999999999999</v>
      </c>
      <c r="E108" s="793">
        <f>B108*D108</f>
        <v>0</v>
      </c>
      <c r="F108" s="398"/>
    </row>
    <row r="109" spans="1:6" ht="18" customHeight="1">
      <c r="A109" s="601" t="s">
        <v>105</v>
      </c>
      <c r="B109" s="135">
        <f>'OUTSIDE GTA'!Q53</f>
        <v>0</v>
      </c>
      <c r="C109" s="135" t="s">
        <v>22</v>
      </c>
      <c r="D109" s="135">
        <v>16.649999999999999</v>
      </c>
      <c r="E109" s="793">
        <f t="shared" si="3"/>
        <v>0</v>
      </c>
      <c r="F109" s="398"/>
    </row>
    <row r="110" spans="1:6" ht="18" customHeight="1">
      <c r="A110" s="601" t="s">
        <v>106</v>
      </c>
      <c r="B110" s="135">
        <f>'OUTSIDE GTA'!R53</f>
        <v>0</v>
      </c>
      <c r="C110" s="135" t="s">
        <v>22</v>
      </c>
      <c r="D110" s="135">
        <v>16.649999999999999</v>
      </c>
      <c r="E110" s="793">
        <f t="shared" si="3"/>
        <v>0</v>
      </c>
      <c r="F110" s="398"/>
    </row>
    <row r="111" spans="1:6" ht="18" customHeight="1">
      <c r="A111" s="601" t="s">
        <v>107</v>
      </c>
      <c r="B111" s="135">
        <f>'OUTSIDE GTA'!S53</f>
        <v>0</v>
      </c>
      <c r="C111" s="135" t="s">
        <v>22</v>
      </c>
      <c r="D111" s="135">
        <v>16.649999999999999</v>
      </c>
      <c r="E111" s="793">
        <f t="shared" si="3"/>
        <v>0</v>
      </c>
      <c r="F111" s="398"/>
    </row>
    <row r="112" spans="1:6" ht="18" customHeight="1">
      <c r="A112" s="602" t="s">
        <v>108</v>
      </c>
      <c r="B112" s="481">
        <f>'OUTSIDE GTA'!L53</f>
        <v>0</v>
      </c>
      <c r="C112" s="481" t="s">
        <v>22</v>
      </c>
      <c r="D112" s="481">
        <v>16.649999999999999</v>
      </c>
      <c r="E112" s="796">
        <f>B112*D112</f>
        <v>0</v>
      </c>
      <c r="F112" s="398"/>
    </row>
    <row r="113" spans="1:6" ht="18" customHeight="1">
      <c r="A113" s="601" t="s">
        <v>109</v>
      </c>
      <c r="B113" s="135">
        <f>'OUTSIDE GTA'!T53</f>
        <v>0</v>
      </c>
      <c r="C113" s="135" t="s">
        <v>22</v>
      </c>
      <c r="D113" s="135">
        <v>16.649999999999999</v>
      </c>
      <c r="E113" s="793">
        <f t="shared" si="3"/>
        <v>0</v>
      </c>
      <c r="F113" s="398"/>
    </row>
    <row r="114" spans="1:6" ht="18" customHeight="1">
      <c r="A114" s="649" t="s">
        <v>110</v>
      </c>
      <c r="B114" s="135">
        <f>'OUTSIDE GTA'!V53</f>
        <v>0</v>
      </c>
      <c r="C114" s="135" t="s">
        <v>22</v>
      </c>
      <c r="D114" s="135">
        <v>16.649999999999999</v>
      </c>
      <c r="E114" s="793">
        <f t="shared" si="3"/>
        <v>0</v>
      </c>
      <c r="F114" s="398"/>
    </row>
    <row r="115" spans="1:6" ht="18" customHeight="1">
      <c r="A115" s="649" t="s">
        <v>111</v>
      </c>
      <c r="B115" s="135">
        <f>'OUTSIDE GTA'!X53</f>
        <v>0</v>
      </c>
      <c r="C115" s="135" t="s">
        <v>22</v>
      </c>
      <c r="D115" s="135">
        <v>16.649999999999999</v>
      </c>
      <c r="E115" s="793">
        <f t="shared" si="3"/>
        <v>0</v>
      </c>
      <c r="F115" s="398"/>
    </row>
    <row r="116" spans="1:6" ht="18" customHeight="1">
      <c r="A116" s="650" t="s">
        <v>112</v>
      </c>
      <c r="B116" s="481">
        <f>'OUTSIDE GTA'!Y53</f>
        <v>0</v>
      </c>
      <c r="C116" s="481" t="s">
        <v>22</v>
      </c>
      <c r="D116" s="481">
        <v>16.649999999999999</v>
      </c>
      <c r="E116" s="796">
        <f t="shared" si="3"/>
        <v>0</v>
      </c>
      <c r="F116" s="398"/>
    </row>
    <row r="117" spans="1:6" ht="18" customHeight="1">
      <c r="A117" s="602" t="s">
        <v>113</v>
      </c>
      <c r="B117" s="481">
        <f>'OUTSIDE GTA'!J53</f>
        <v>0</v>
      </c>
      <c r="C117" s="481" t="s">
        <v>22</v>
      </c>
      <c r="D117" s="481">
        <v>16.649999999999999</v>
      </c>
      <c r="E117" s="796">
        <f>B117*D117</f>
        <v>0</v>
      </c>
      <c r="F117" s="398"/>
    </row>
    <row r="118" spans="1:6" ht="18" customHeight="1">
      <c r="A118" s="649" t="s">
        <v>114</v>
      </c>
      <c r="B118" s="135">
        <f>'OUTSIDE GTA'!Z53</f>
        <v>0</v>
      </c>
      <c r="C118" s="135" t="s">
        <v>22</v>
      </c>
      <c r="D118" s="135">
        <v>16.649999999999999</v>
      </c>
      <c r="E118" s="793">
        <f t="shared" si="3"/>
        <v>0</v>
      </c>
      <c r="F118" s="398"/>
    </row>
    <row r="119" spans="1:6" ht="18" customHeight="1">
      <c r="A119" s="649" t="s">
        <v>57</v>
      </c>
      <c r="B119" s="135">
        <f>'OUTSIDE GTA'!AA53</f>
        <v>0</v>
      </c>
      <c r="C119" s="135" t="s">
        <v>22</v>
      </c>
      <c r="D119" s="135">
        <v>16.649999999999999</v>
      </c>
      <c r="E119" s="793">
        <f t="shared" si="3"/>
        <v>0</v>
      </c>
      <c r="F119" s="398"/>
    </row>
    <row r="120" spans="1:6" ht="18" customHeight="1">
      <c r="A120" s="649" t="s">
        <v>118</v>
      </c>
      <c r="B120" s="135">
        <f>'OUTSIDE GTA'!AC53</f>
        <v>0</v>
      </c>
      <c r="C120" s="135" t="s">
        <v>22</v>
      </c>
      <c r="D120" s="135">
        <v>16.649999999999999</v>
      </c>
      <c r="E120" s="793">
        <f t="shared" si="3"/>
        <v>0</v>
      </c>
      <c r="F120" s="398"/>
    </row>
    <row r="121" spans="1:6" ht="18" customHeight="1">
      <c r="A121" s="601" t="s">
        <v>119</v>
      </c>
      <c r="B121" s="135">
        <f>'OUTSIDE GTA'!AB53</f>
        <v>0</v>
      </c>
      <c r="C121" s="135" t="s">
        <v>22</v>
      </c>
      <c r="D121" s="135">
        <v>16.649999999999999</v>
      </c>
      <c r="E121" s="793">
        <f t="shared" si="3"/>
        <v>0</v>
      </c>
      <c r="F121" s="398"/>
    </row>
    <row r="122" spans="1:6" ht="18" customHeight="1">
      <c r="A122" s="423"/>
      <c r="B122" s="419"/>
      <c r="C122" s="419"/>
      <c r="D122" s="419"/>
      <c r="E122" s="794"/>
      <c r="F122" s="398"/>
    </row>
    <row r="123" spans="1:6" ht="18" customHeight="1">
      <c r="A123" s="414" t="s">
        <v>120</v>
      </c>
      <c r="B123" s="415">
        <f>SUM(B98:B122)</f>
        <v>0</v>
      </c>
      <c r="C123" s="415"/>
      <c r="D123" s="415"/>
      <c r="E123" s="795"/>
      <c r="F123" s="398"/>
    </row>
    <row r="124" spans="1:6" ht="18" customHeight="1">
      <c r="A124" s="394"/>
      <c r="B124" s="135"/>
      <c r="C124" s="135"/>
      <c r="D124" s="135"/>
      <c r="E124" s="793"/>
      <c r="F124" s="398"/>
    </row>
    <row r="125" spans="1:6" ht="18" customHeight="1">
      <c r="A125" s="414" t="s">
        <v>121</v>
      </c>
      <c r="B125" s="415"/>
      <c r="C125" s="415"/>
      <c r="D125" s="415"/>
      <c r="E125" s="792"/>
      <c r="F125" s="398"/>
    </row>
    <row r="126" spans="1:6" ht="18" customHeight="1">
      <c r="A126" s="649" t="s">
        <v>122</v>
      </c>
      <c r="B126" s="135">
        <f>OTTAWA!C54</f>
        <v>0</v>
      </c>
      <c r="C126" s="135" t="s">
        <v>22</v>
      </c>
      <c r="D126" s="135">
        <v>16.649999999999999</v>
      </c>
      <c r="E126" s="793">
        <f>B126*D126</f>
        <v>0</v>
      </c>
      <c r="F126" s="398"/>
    </row>
    <row r="127" spans="1:6" ht="18" customHeight="1">
      <c r="A127" s="649" t="s">
        <v>123</v>
      </c>
      <c r="B127" s="135">
        <f>OTTAWA!D54</f>
        <v>0</v>
      </c>
      <c r="C127" s="135" t="s">
        <v>22</v>
      </c>
      <c r="D127" s="135">
        <v>16.649999999999999</v>
      </c>
      <c r="E127" s="793">
        <f>B127*D127</f>
        <v>0</v>
      </c>
      <c r="F127" s="398"/>
    </row>
    <row r="128" spans="1:6" ht="18" customHeight="1">
      <c r="A128" s="649" t="s">
        <v>124</v>
      </c>
      <c r="B128" s="135">
        <f>OTTAWA!E54</f>
        <v>0</v>
      </c>
      <c r="C128" s="135" t="s">
        <v>22</v>
      </c>
      <c r="D128" s="135">
        <v>16.649999999999999</v>
      </c>
      <c r="E128" s="793">
        <f>B128*D128</f>
        <v>0</v>
      </c>
      <c r="F128" s="398"/>
    </row>
    <row r="129" spans="1:6" ht="18" customHeight="1">
      <c r="A129" s="649" t="s">
        <v>125</v>
      </c>
      <c r="B129" s="135">
        <f>OTTAWA!F54</f>
        <v>0</v>
      </c>
      <c r="C129" s="135" t="s">
        <v>22</v>
      </c>
      <c r="D129" s="135">
        <v>20</v>
      </c>
      <c r="E129" s="793">
        <f>B129*D129</f>
        <v>0</v>
      </c>
      <c r="F129" s="398"/>
    </row>
    <row r="130" spans="1:6" ht="18" customHeight="1">
      <c r="A130" s="423"/>
      <c r="B130" s="419"/>
      <c r="C130" s="419"/>
      <c r="D130" s="419"/>
      <c r="E130" s="794"/>
      <c r="F130" s="398"/>
    </row>
    <row r="131" spans="1:6" ht="18" customHeight="1">
      <c r="A131" s="414" t="s">
        <v>121</v>
      </c>
      <c r="B131" s="415">
        <f>SUM(B125:B130)</f>
        <v>0</v>
      </c>
      <c r="C131" s="415"/>
      <c r="D131" s="415"/>
      <c r="E131" s="795"/>
      <c r="F131" s="398"/>
    </row>
    <row r="132" spans="1:6" ht="18" customHeight="1">
      <c r="A132" s="394"/>
      <c r="B132" s="135"/>
      <c r="C132" s="135"/>
      <c r="D132" s="135"/>
      <c r="E132" s="793"/>
      <c r="F132" s="398"/>
    </row>
    <row r="133" spans="1:6" ht="18" customHeight="1">
      <c r="A133" s="418" t="s">
        <v>126</v>
      </c>
      <c r="B133" s="419"/>
      <c r="C133" s="419"/>
      <c r="D133" s="419"/>
      <c r="E133" s="794"/>
      <c r="F133" s="398"/>
    </row>
    <row r="134" spans="1:6" s="529" customFormat="1" ht="18" customHeight="1">
      <c r="A134" s="395" t="s">
        <v>128</v>
      </c>
      <c r="B134" s="135">
        <f>OTTAWA!D18</f>
        <v>0</v>
      </c>
      <c r="C134" s="135" t="s">
        <v>22</v>
      </c>
      <c r="D134" s="135">
        <v>16.649999999999999</v>
      </c>
      <c r="E134" s="793">
        <f t="shared" ref="E134:E195" si="4">B134*D134</f>
        <v>0</v>
      </c>
      <c r="F134" s="563"/>
    </row>
    <row r="135" spans="1:6" ht="18" customHeight="1">
      <c r="A135" s="395" t="s">
        <v>129</v>
      </c>
      <c r="B135" s="135">
        <f>OTTAWA!C18</f>
        <v>0</v>
      </c>
      <c r="C135" s="135" t="s">
        <v>22</v>
      </c>
      <c r="D135" s="135">
        <v>16.649999999999999</v>
      </c>
      <c r="E135" s="793">
        <f t="shared" si="4"/>
        <v>0</v>
      </c>
      <c r="F135" s="398"/>
    </row>
    <row r="136" spans="1:6" s="529" customFormat="1" ht="18" customHeight="1">
      <c r="A136" s="560" t="s">
        <v>130</v>
      </c>
      <c r="B136" s="481">
        <f>OTTAWA!E18</f>
        <v>0</v>
      </c>
      <c r="C136" s="481" t="s">
        <v>22</v>
      </c>
      <c r="D136" s="481">
        <v>16.649999999999999</v>
      </c>
      <c r="E136" s="796">
        <f>B136*D136</f>
        <v>0</v>
      </c>
      <c r="F136" s="563"/>
    </row>
    <row r="137" spans="1:6" s="529" customFormat="1" ht="18" customHeight="1">
      <c r="A137" s="560" t="s">
        <v>131</v>
      </c>
      <c r="B137" s="481">
        <f>OTTAWA!F18</f>
        <v>0</v>
      </c>
      <c r="C137" s="481" t="s">
        <v>22</v>
      </c>
      <c r="D137" s="481">
        <v>16.649999999999999</v>
      </c>
      <c r="E137" s="796">
        <f t="shared" si="4"/>
        <v>0</v>
      </c>
      <c r="F137" s="563"/>
    </row>
    <row r="138" spans="1:6" s="529" customFormat="1" ht="18" customHeight="1">
      <c r="A138" s="395" t="s">
        <v>132</v>
      </c>
      <c r="B138" s="135">
        <f>OTTAWA!G18</f>
        <v>0</v>
      </c>
      <c r="C138" s="135" t="s">
        <v>22</v>
      </c>
      <c r="D138" s="135">
        <v>16.649999999999999</v>
      </c>
      <c r="E138" s="793">
        <f t="shared" si="4"/>
        <v>0</v>
      </c>
      <c r="F138" s="563"/>
    </row>
    <row r="139" spans="1:6" ht="18" customHeight="1">
      <c r="A139" s="136" t="s">
        <v>133</v>
      </c>
      <c r="B139" s="135">
        <f>OTTAWA!H18</f>
        <v>0</v>
      </c>
      <c r="C139" s="135" t="s">
        <v>22</v>
      </c>
      <c r="D139" s="135">
        <v>16.649999999999999</v>
      </c>
      <c r="E139" s="793">
        <f t="shared" si="4"/>
        <v>0</v>
      </c>
      <c r="F139" s="398"/>
    </row>
    <row r="140" spans="1:6" s="529" customFormat="1" ht="18" customHeight="1">
      <c r="A140" s="480" t="s">
        <v>134</v>
      </c>
      <c r="B140" s="481">
        <f>OTTAWA!I18</f>
        <v>0</v>
      </c>
      <c r="C140" s="481" t="s">
        <v>22</v>
      </c>
      <c r="D140" s="481">
        <v>16.649999999999999</v>
      </c>
      <c r="E140" s="796">
        <f t="shared" si="4"/>
        <v>0</v>
      </c>
      <c r="F140" s="563"/>
    </row>
    <row r="141" spans="1:6" ht="18" customHeight="1">
      <c r="A141" s="649" t="s">
        <v>135</v>
      </c>
      <c r="B141" s="135">
        <f>OTTAWA!J18</f>
        <v>0</v>
      </c>
      <c r="C141" s="135" t="s">
        <v>22</v>
      </c>
      <c r="D141" s="135">
        <v>16.649999999999999</v>
      </c>
      <c r="E141" s="793">
        <f t="shared" si="4"/>
        <v>0</v>
      </c>
      <c r="F141" s="398"/>
    </row>
    <row r="142" spans="1:6" s="529" customFormat="1" ht="18" customHeight="1">
      <c r="A142" s="396" t="s">
        <v>137</v>
      </c>
      <c r="B142" s="135">
        <f>OTTAWA!K18</f>
        <v>0</v>
      </c>
      <c r="C142" s="135" t="s">
        <v>22</v>
      </c>
      <c r="D142" s="135">
        <v>16.649999999999999</v>
      </c>
      <c r="E142" s="793">
        <f t="shared" si="4"/>
        <v>0</v>
      </c>
      <c r="F142" s="563"/>
    </row>
    <row r="143" spans="1:6" ht="18" customHeight="1">
      <c r="A143" s="395" t="s">
        <v>138</v>
      </c>
      <c r="B143" s="135">
        <f>OTTAWA!L18</f>
        <v>0</v>
      </c>
      <c r="C143" s="135" t="s">
        <v>22</v>
      </c>
      <c r="D143" s="135">
        <v>16.649999999999999</v>
      </c>
      <c r="E143" s="793">
        <f t="shared" si="4"/>
        <v>0</v>
      </c>
      <c r="F143" s="398"/>
    </row>
    <row r="144" spans="1:6" ht="18" customHeight="1">
      <c r="A144" s="395" t="s">
        <v>139</v>
      </c>
      <c r="B144" s="135">
        <f>OTTAWA!O18</f>
        <v>0</v>
      </c>
      <c r="C144" s="135" t="s">
        <v>22</v>
      </c>
      <c r="D144" s="135">
        <v>16.649999999999999</v>
      </c>
      <c r="E144" s="793">
        <f t="shared" si="4"/>
        <v>0</v>
      </c>
      <c r="F144" s="398"/>
    </row>
    <row r="145" spans="1:6" ht="18" customHeight="1">
      <c r="A145" s="397" t="s">
        <v>140</v>
      </c>
      <c r="B145" s="135">
        <f>OTTAWA!M18</f>
        <v>0</v>
      </c>
      <c r="C145" s="135" t="s">
        <v>22</v>
      </c>
      <c r="D145" s="135">
        <v>16.649999999999999</v>
      </c>
      <c r="E145" s="793">
        <f t="shared" si="4"/>
        <v>0</v>
      </c>
      <c r="F145" s="398"/>
    </row>
    <row r="146" spans="1:6" ht="18" customHeight="1">
      <c r="A146" s="136" t="s">
        <v>142</v>
      </c>
      <c r="B146" s="135">
        <f>OTTAWA!N18</f>
        <v>0</v>
      </c>
      <c r="C146" s="135" t="s">
        <v>22</v>
      </c>
      <c r="D146" s="135">
        <v>16.649999999999999</v>
      </c>
      <c r="E146" s="793">
        <f t="shared" si="4"/>
        <v>0</v>
      </c>
      <c r="F146" s="398"/>
    </row>
    <row r="147" spans="1:6" ht="18" customHeight="1">
      <c r="A147" s="136" t="s">
        <v>143</v>
      </c>
      <c r="B147" s="135">
        <f>OTTAWA!T18</f>
        <v>0</v>
      </c>
      <c r="C147" s="135" t="s">
        <v>22</v>
      </c>
      <c r="D147" s="135">
        <v>16.649999999999999</v>
      </c>
      <c r="E147" s="793">
        <f t="shared" si="4"/>
        <v>0</v>
      </c>
      <c r="F147" s="398"/>
    </row>
    <row r="148" spans="1:6" s="315" customFormat="1" ht="18" customHeight="1">
      <c r="A148" s="397" t="s">
        <v>145</v>
      </c>
      <c r="B148" s="135">
        <f>OTTAWA!Q18</f>
        <v>0</v>
      </c>
      <c r="C148" s="135" t="s">
        <v>22</v>
      </c>
      <c r="D148" s="135">
        <v>16.649999999999999</v>
      </c>
      <c r="E148" s="793">
        <f t="shared" si="4"/>
        <v>0</v>
      </c>
      <c r="F148" s="813"/>
    </row>
    <row r="149" spans="1:6" ht="18" customHeight="1">
      <c r="A149" s="517" t="s">
        <v>146</v>
      </c>
      <c r="B149" s="481">
        <f>OTTAWA!AC18</f>
        <v>0</v>
      </c>
      <c r="C149" s="481" t="s">
        <v>22</v>
      </c>
      <c r="D149" s="481">
        <v>16.649999999999999</v>
      </c>
      <c r="E149" s="796">
        <f t="shared" si="4"/>
        <v>0</v>
      </c>
      <c r="F149" s="398"/>
    </row>
    <row r="150" spans="1:6" ht="18" customHeight="1">
      <c r="A150" s="136" t="s">
        <v>147</v>
      </c>
      <c r="B150" s="135">
        <f>OTTAWA!S18</f>
        <v>0</v>
      </c>
      <c r="C150" s="135" t="s">
        <v>22</v>
      </c>
      <c r="D150" s="135">
        <v>16.649999999999999</v>
      </c>
      <c r="E150" s="793">
        <f t="shared" si="4"/>
        <v>0</v>
      </c>
      <c r="F150" s="398"/>
    </row>
    <row r="151" spans="1:6" ht="18" customHeight="1">
      <c r="A151" s="136" t="s">
        <v>148</v>
      </c>
      <c r="B151" s="135">
        <f>OTTAWA!U18</f>
        <v>0</v>
      </c>
      <c r="C151" s="135" t="s">
        <v>22</v>
      </c>
      <c r="D151" s="135">
        <v>16.649999999999999</v>
      </c>
      <c r="E151" s="793">
        <f t="shared" si="4"/>
        <v>0</v>
      </c>
      <c r="F151" s="398"/>
    </row>
    <row r="152" spans="1:6" ht="18" customHeight="1">
      <c r="A152" s="136" t="s">
        <v>149</v>
      </c>
      <c r="B152" s="135">
        <f>OTTAWA!V18</f>
        <v>0</v>
      </c>
      <c r="C152" s="135" t="s">
        <v>22</v>
      </c>
      <c r="D152" s="135">
        <v>16.649999999999999</v>
      </c>
      <c r="E152" s="793">
        <f t="shared" si="4"/>
        <v>0</v>
      </c>
      <c r="F152" s="398"/>
    </row>
    <row r="153" spans="1:6" ht="18" customHeight="1">
      <c r="A153" s="136" t="s">
        <v>150</v>
      </c>
      <c r="B153" s="135">
        <f>OTTAWA!W18</f>
        <v>0</v>
      </c>
      <c r="C153" s="135" t="s">
        <v>22</v>
      </c>
      <c r="D153" s="135">
        <v>20</v>
      </c>
      <c r="E153" s="793">
        <f t="shared" si="4"/>
        <v>0</v>
      </c>
      <c r="F153" s="398"/>
    </row>
    <row r="154" spans="1:6" ht="18" customHeight="1">
      <c r="A154" s="136" t="s">
        <v>151</v>
      </c>
      <c r="B154" s="135">
        <f>OTTAWA!R18</f>
        <v>0</v>
      </c>
      <c r="C154" s="135" t="s">
        <v>22</v>
      </c>
      <c r="D154" s="135">
        <v>20</v>
      </c>
      <c r="E154" s="793">
        <f t="shared" si="4"/>
        <v>0</v>
      </c>
      <c r="F154" s="398"/>
    </row>
    <row r="155" spans="1:6" ht="18" customHeight="1">
      <c r="A155" s="317" t="s">
        <v>152</v>
      </c>
      <c r="B155" s="135">
        <f>OTTAWA!Y18</f>
        <v>0</v>
      </c>
      <c r="C155" s="135" t="s">
        <v>22</v>
      </c>
      <c r="D155" s="135">
        <v>16.649999999999999</v>
      </c>
      <c r="E155" s="793">
        <f t="shared" si="4"/>
        <v>0</v>
      </c>
      <c r="F155" s="398"/>
    </row>
    <row r="156" spans="1:6" ht="18" customHeight="1">
      <c r="A156" s="136" t="s">
        <v>153</v>
      </c>
      <c r="B156" s="135">
        <f>OTTAWA!X18</f>
        <v>0</v>
      </c>
      <c r="C156" s="135" t="s">
        <v>22</v>
      </c>
      <c r="D156" s="135">
        <v>16.649999999999999</v>
      </c>
      <c r="E156" s="793">
        <f t="shared" si="4"/>
        <v>0</v>
      </c>
      <c r="F156" s="398"/>
    </row>
    <row r="157" spans="1:6" s="529" customFormat="1" ht="18" customHeight="1">
      <c r="A157" s="136" t="s">
        <v>155</v>
      </c>
      <c r="B157" s="135">
        <f>OTTAWA!Z18</f>
        <v>0</v>
      </c>
      <c r="C157" s="135" t="s">
        <v>22</v>
      </c>
      <c r="D157" s="135">
        <v>16.649999999999999</v>
      </c>
      <c r="E157" s="793">
        <f t="shared" si="4"/>
        <v>0</v>
      </c>
      <c r="F157" s="563"/>
    </row>
    <row r="158" spans="1:6" s="315" customFormat="1" ht="18" customHeight="1">
      <c r="A158" s="136" t="s">
        <v>156</v>
      </c>
      <c r="B158" s="135">
        <f>OTTAWA!AA18</f>
        <v>0</v>
      </c>
      <c r="C158" s="135" t="s">
        <v>22</v>
      </c>
      <c r="D158" s="135">
        <v>16.649999999999999</v>
      </c>
      <c r="E158" s="793">
        <f t="shared" si="4"/>
        <v>0</v>
      </c>
      <c r="F158" s="813"/>
    </row>
    <row r="159" spans="1:6" s="315" customFormat="1" ht="18" customHeight="1">
      <c r="A159" s="396" t="s">
        <v>158</v>
      </c>
      <c r="B159" s="135">
        <f>OTTAWA!AB18+OTTAWA!BP18</f>
        <v>0</v>
      </c>
      <c r="C159" s="135" t="s">
        <v>22</v>
      </c>
      <c r="D159" s="135">
        <v>17</v>
      </c>
      <c r="E159" s="793">
        <f t="shared" si="4"/>
        <v>0</v>
      </c>
      <c r="F159" s="813"/>
    </row>
    <row r="160" spans="1:6" s="315" customFormat="1" ht="18" customHeight="1">
      <c r="A160" s="350" t="s">
        <v>160</v>
      </c>
      <c r="B160" s="409">
        <f>OTTAWA!AH18</f>
        <v>0</v>
      </c>
      <c r="C160" s="409" t="s">
        <v>22</v>
      </c>
      <c r="D160" s="409">
        <v>16.649999999999999</v>
      </c>
      <c r="E160" s="797">
        <f t="shared" si="4"/>
        <v>0</v>
      </c>
      <c r="F160" s="813"/>
    </row>
    <row r="161" spans="1:6" s="529" customFormat="1" ht="18" customHeight="1">
      <c r="A161" s="664" t="s">
        <v>162</v>
      </c>
      <c r="B161" s="665">
        <f>OTTAWA!AM18</f>
        <v>0</v>
      </c>
      <c r="C161" s="665" t="s">
        <v>22</v>
      </c>
      <c r="D161" s="665">
        <v>16.649999999999999</v>
      </c>
      <c r="E161" s="798">
        <f>B161*D161</f>
        <v>0</v>
      </c>
      <c r="F161" s="563"/>
    </row>
    <row r="162" spans="1:6" s="315" customFormat="1" ht="18" customHeight="1">
      <c r="A162" s="397" t="s">
        <v>163</v>
      </c>
      <c r="B162" s="135">
        <f>OTTAWA!AJ18</f>
        <v>0</v>
      </c>
      <c r="C162" s="135" t="s">
        <v>22</v>
      </c>
      <c r="D162" s="135">
        <v>16.649999999999999</v>
      </c>
      <c r="E162" s="793">
        <f t="shared" si="4"/>
        <v>0</v>
      </c>
      <c r="F162" s="813"/>
    </row>
    <row r="163" spans="1:6" s="315" customFormat="1" ht="18" customHeight="1">
      <c r="A163" s="397" t="s">
        <v>164</v>
      </c>
      <c r="B163" s="135">
        <f>OTTAWA!AG18</f>
        <v>0</v>
      </c>
      <c r="C163" s="135" t="s">
        <v>22</v>
      </c>
      <c r="D163" s="135">
        <v>16.649999999999999</v>
      </c>
      <c r="E163" s="793">
        <f t="shared" si="4"/>
        <v>0</v>
      </c>
      <c r="F163" s="813"/>
    </row>
    <row r="164" spans="1:6" s="315" customFormat="1" ht="18" customHeight="1">
      <c r="A164" s="397" t="s">
        <v>165</v>
      </c>
      <c r="B164" s="135">
        <f>OTTAWA!AE18</f>
        <v>0</v>
      </c>
      <c r="C164" s="135" t="s">
        <v>22</v>
      </c>
      <c r="D164" s="135">
        <v>17</v>
      </c>
      <c r="E164" s="793">
        <f t="shared" si="4"/>
        <v>0</v>
      </c>
      <c r="F164" s="813"/>
    </row>
    <row r="165" spans="1:6" s="315" customFormat="1" ht="18" customHeight="1">
      <c r="A165" s="397" t="s">
        <v>166</v>
      </c>
      <c r="B165" s="135">
        <f>OTTAWA!AF18</f>
        <v>0</v>
      </c>
      <c r="C165" s="135" t="s">
        <v>22</v>
      </c>
      <c r="D165" s="135">
        <v>17</v>
      </c>
      <c r="E165" s="793">
        <f>B165*D165</f>
        <v>0</v>
      </c>
      <c r="F165" s="813"/>
    </row>
    <row r="166" spans="1:6" ht="18" customHeight="1">
      <c r="A166" s="136" t="s">
        <v>167</v>
      </c>
      <c r="B166" s="135">
        <f>OTTAWA!AK18</f>
        <v>0</v>
      </c>
      <c r="C166" s="135" t="s">
        <v>22</v>
      </c>
      <c r="D166" s="135">
        <v>20</v>
      </c>
      <c r="E166" s="793">
        <f t="shared" si="4"/>
        <v>0</v>
      </c>
      <c r="F166" s="398"/>
    </row>
    <row r="167" spans="1:6" ht="18" customHeight="1">
      <c r="A167" s="136" t="s">
        <v>168</v>
      </c>
      <c r="B167" s="135">
        <f>OTTAWA!AI18</f>
        <v>0</v>
      </c>
      <c r="C167" s="135" t="s">
        <v>22</v>
      </c>
      <c r="D167" s="135">
        <v>16.649999999999999</v>
      </c>
      <c r="E167" s="793">
        <f t="shared" si="4"/>
        <v>0</v>
      </c>
      <c r="F167" s="398"/>
    </row>
    <row r="168" spans="1:6" s="315" customFormat="1" ht="18" customHeight="1">
      <c r="A168" s="397" t="s">
        <v>169</v>
      </c>
      <c r="B168" s="135">
        <f>OTTAWA!AL18</f>
        <v>0</v>
      </c>
      <c r="C168" s="135" t="s">
        <v>22</v>
      </c>
      <c r="D168" s="135">
        <v>16.649999999999999</v>
      </c>
      <c r="E168" s="793">
        <f t="shared" si="4"/>
        <v>0</v>
      </c>
      <c r="F168" s="813"/>
    </row>
    <row r="169" spans="1:6" s="315" customFormat="1" ht="18" customHeight="1">
      <c r="A169" s="136" t="s">
        <v>171</v>
      </c>
      <c r="B169" s="135">
        <f>OTTAWA!AN18</f>
        <v>0</v>
      </c>
      <c r="C169" s="135" t="s">
        <v>22</v>
      </c>
      <c r="D169" s="135">
        <v>16.649999999999999</v>
      </c>
      <c r="E169" s="793">
        <f t="shared" si="4"/>
        <v>0</v>
      </c>
      <c r="F169" s="813"/>
    </row>
    <row r="170" spans="1:6" s="315" customFormat="1" ht="18" customHeight="1">
      <c r="A170" s="136" t="s">
        <v>173</v>
      </c>
      <c r="B170" s="135">
        <f>OTTAWA!AO18</f>
        <v>0</v>
      </c>
      <c r="C170" s="135" t="s">
        <v>22</v>
      </c>
      <c r="D170" s="135">
        <v>16.649999999999999</v>
      </c>
      <c r="E170" s="793">
        <f t="shared" si="4"/>
        <v>0</v>
      </c>
      <c r="F170" s="813"/>
    </row>
    <row r="171" spans="1:6" s="529" customFormat="1" ht="18" customHeight="1">
      <c r="A171" s="480" t="s">
        <v>174</v>
      </c>
      <c r="B171" s="481">
        <f>OTTAWA!AQ18</f>
        <v>0</v>
      </c>
      <c r="C171" s="481" t="s">
        <v>22</v>
      </c>
      <c r="D171" s="481">
        <v>16.649999999999999</v>
      </c>
      <c r="E171" s="796">
        <f>B171*D171</f>
        <v>0</v>
      </c>
      <c r="F171" s="563"/>
    </row>
    <row r="172" spans="1:6" ht="18" customHeight="1">
      <c r="A172" s="136" t="s">
        <v>175</v>
      </c>
      <c r="B172" s="135">
        <f>OTTAWA!AP18</f>
        <v>0</v>
      </c>
      <c r="C172" s="135" t="s">
        <v>22</v>
      </c>
      <c r="D172" s="135">
        <v>16.649999999999999</v>
      </c>
      <c r="E172" s="793">
        <f t="shared" si="4"/>
        <v>0</v>
      </c>
      <c r="F172" s="398"/>
    </row>
    <row r="173" spans="1:6" ht="18" customHeight="1">
      <c r="A173" s="136" t="s">
        <v>177</v>
      </c>
      <c r="B173" s="135">
        <f>OTTAWA!AR18</f>
        <v>0</v>
      </c>
      <c r="C173" s="135" t="s">
        <v>22</v>
      </c>
      <c r="D173" s="135">
        <v>16.649999999999999</v>
      </c>
      <c r="E173" s="793">
        <f t="shared" si="4"/>
        <v>0</v>
      </c>
      <c r="F173" s="398"/>
    </row>
    <row r="174" spans="1:6" ht="18" customHeight="1">
      <c r="A174" s="136" t="s">
        <v>179</v>
      </c>
      <c r="B174" s="135">
        <f>OTTAWA!AS18</f>
        <v>0</v>
      </c>
      <c r="C174" s="135" t="s">
        <v>22</v>
      </c>
      <c r="D174" s="135">
        <v>16.649999999999999</v>
      </c>
      <c r="E174" s="793">
        <f t="shared" si="4"/>
        <v>0</v>
      </c>
      <c r="F174" s="398"/>
    </row>
    <row r="175" spans="1:6" ht="18" customHeight="1">
      <c r="A175" s="136" t="s">
        <v>180</v>
      </c>
      <c r="B175" s="135">
        <f>OTTAWA!BH18</f>
        <v>0</v>
      </c>
      <c r="C175" s="135" t="s">
        <v>22</v>
      </c>
      <c r="D175" s="135">
        <v>16.649999999999999</v>
      </c>
      <c r="E175" s="793">
        <f t="shared" si="4"/>
        <v>0</v>
      </c>
      <c r="F175" s="398"/>
    </row>
    <row r="176" spans="1:6" s="529" customFormat="1" ht="18" customHeight="1">
      <c r="A176" s="136" t="s">
        <v>182</v>
      </c>
      <c r="B176" s="135">
        <f>OTTAWA!BK18</f>
        <v>0</v>
      </c>
      <c r="C176" s="135" t="s">
        <v>22</v>
      </c>
      <c r="D176" s="135">
        <v>16.649999999999999</v>
      </c>
      <c r="E176" s="793">
        <f t="shared" si="4"/>
        <v>0</v>
      </c>
      <c r="F176" s="563"/>
    </row>
    <row r="177" spans="1:6" ht="18" customHeight="1">
      <c r="A177" s="136" t="s">
        <v>183</v>
      </c>
      <c r="B177" s="135">
        <f>OTTAWA!AT18</f>
        <v>0</v>
      </c>
      <c r="C177" s="135" t="s">
        <v>22</v>
      </c>
      <c r="D177" s="135">
        <v>16.649999999999999</v>
      </c>
      <c r="E177" s="793">
        <f t="shared" si="4"/>
        <v>0</v>
      </c>
      <c r="F177" s="398"/>
    </row>
    <row r="178" spans="1:6" s="529" customFormat="1" ht="18" customHeight="1">
      <c r="A178" s="136" t="s">
        <v>184</v>
      </c>
      <c r="B178" s="135">
        <f>OTTAWA!AU18</f>
        <v>0</v>
      </c>
      <c r="C178" s="135" t="s">
        <v>22</v>
      </c>
      <c r="D178" s="135">
        <v>16.649999999999999</v>
      </c>
      <c r="E178" s="793">
        <f t="shared" si="4"/>
        <v>0</v>
      </c>
      <c r="F178" s="563"/>
    </row>
    <row r="179" spans="1:6" ht="18" customHeight="1">
      <c r="A179" s="136" t="s">
        <v>185</v>
      </c>
      <c r="B179" s="135">
        <f>OTTAWA!AV18</f>
        <v>0</v>
      </c>
      <c r="C179" s="135" t="s">
        <v>22</v>
      </c>
      <c r="D179" s="135">
        <v>16.649999999999999</v>
      </c>
      <c r="E179" s="793">
        <f t="shared" si="4"/>
        <v>0</v>
      </c>
      <c r="F179" s="398"/>
    </row>
    <row r="180" spans="1:6" ht="18" customHeight="1">
      <c r="A180" s="136" t="s">
        <v>186</v>
      </c>
      <c r="B180" s="135">
        <f>OTTAWA!BF18</f>
        <v>0</v>
      </c>
      <c r="C180" s="135" t="s">
        <v>22</v>
      </c>
      <c r="D180" s="135">
        <v>16.649999999999999</v>
      </c>
      <c r="E180" s="793">
        <f t="shared" si="4"/>
        <v>0</v>
      </c>
      <c r="F180" s="398"/>
    </row>
    <row r="181" spans="1:6" ht="18" customHeight="1">
      <c r="A181" s="136" t="s">
        <v>187</v>
      </c>
      <c r="B181" s="135">
        <f>OTTAWA!AW18</f>
        <v>0</v>
      </c>
      <c r="C181" s="135" t="s">
        <v>22</v>
      </c>
      <c r="D181" s="135">
        <v>16.649999999999999</v>
      </c>
      <c r="E181" s="793">
        <f>B181*D181</f>
        <v>0</v>
      </c>
      <c r="F181" s="398"/>
    </row>
    <row r="182" spans="1:6" ht="18" customHeight="1">
      <c r="A182" s="136" t="s">
        <v>188</v>
      </c>
      <c r="B182" s="135">
        <f>OTTAWA!AX18</f>
        <v>0</v>
      </c>
      <c r="C182" s="135" t="s">
        <v>22</v>
      </c>
      <c r="D182" s="135">
        <v>16.649999999999999</v>
      </c>
      <c r="E182" s="793">
        <f t="shared" si="4"/>
        <v>0</v>
      </c>
      <c r="F182" s="398"/>
    </row>
    <row r="183" spans="1:6" s="529" customFormat="1" ht="18" customHeight="1">
      <c r="A183" s="480" t="s">
        <v>189</v>
      </c>
      <c r="B183" s="481">
        <f>OTTAWA!AD18</f>
        <v>0</v>
      </c>
      <c r="C183" s="481" t="s">
        <v>22</v>
      </c>
      <c r="D183" s="481">
        <v>16.649999999999999</v>
      </c>
      <c r="E183" s="796">
        <f>B183*D183</f>
        <v>0</v>
      </c>
      <c r="F183" s="563"/>
    </row>
    <row r="184" spans="1:6" ht="18" customHeight="1">
      <c r="A184" s="136" t="s">
        <v>190</v>
      </c>
      <c r="B184" s="135">
        <f>OTTAWA!AY18</f>
        <v>0</v>
      </c>
      <c r="C184" s="135" t="s">
        <v>22</v>
      </c>
      <c r="D184" s="135">
        <v>16.649999999999999</v>
      </c>
      <c r="E184" s="793">
        <f>B184*D184</f>
        <v>0</v>
      </c>
      <c r="F184" s="398"/>
    </row>
    <row r="185" spans="1:6" s="529" customFormat="1" ht="18" customHeight="1">
      <c r="A185" s="480" t="s">
        <v>191</v>
      </c>
      <c r="B185" s="481">
        <f>OTTAWA!AZ18</f>
        <v>0</v>
      </c>
      <c r="C185" s="481" t="s">
        <v>22</v>
      </c>
      <c r="D185" s="481">
        <v>16.649999999999999</v>
      </c>
      <c r="E185" s="796">
        <f>B185*D185</f>
        <v>0</v>
      </c>
      <c r="F185" s="563"/>
    </row>
    <row r="186" spans="1:6" ht="18" customHeight="1">
      <c r="A186" s="136" t="s">
        <v>192</v>
      </c>
      <c r="B186" s="135">
        <f>OTTAWA!BB18</f>
        <v>0</v>
      </c>
      <c r="C186" s="135" t="s">
        <v>22</v>
      </c>
      <c r="D186" s="135">
        <v>16.649999999999999</v>
      </c>
      <c r="E186" s="793">
        <f t="shared" si="4"/>
        <v>0</v>
      </c>
      <c r="F186" s="398"/>
    </row>
    <row r="187" spans="1:6" ht="18" customHeight="1">
      <c r="A187" s="136" t="s">
        <v>193</v>
      </c>
      <c r="B187" s="135">
        <f>OTTAWA!BE18</f>
        <v>0</v>
      </c>
      <c r="C187" s="135" t="s">
        <v>22</v>
      </c>
      <c r="D187" s="135">
        <v>16.649999999999999</v>
      </c>
      <c r="E187" s="793">
        <f t="shared" si="4"/>
        <v>0</v>
      </c>
      <c r="F187" s="398"/>
    </row>
    <row r="188" spans="1:6" ht="18" customHeight="1">
      <c r="A188" s="136" t="s">
        <v>194</v>
      </c>
      <c r="B188" s="135">
        <f>OTTAWA!BA18</f>
        <v>0</v>
      </c>
      <c r="C188" s="135" t="s">
        <v>22</v>
      </c>
      <c r="D188" s="135">
        <v>16.649999999999999</v>
      </c>
      <c r="E188" s="793">
        <f t="shared" si="4"/>
        <v>0</v>
      </c>
      <c r="F188" s="398"/>
    </row>
    <row r="189" spans="1:6" ht="18" customHeight="1">
      <c r="A189" s="136" t="s">
        <v>195</v>
      </c>
      <c r="B189" s="135">
        <f>OTTAWA!BC18</f>
        <v>0</v>
      </c>
      <c r="C189" s="135" t="s">
        <v>22</v>
      </c>
      <c r="D189" s="135">
        <v>16.649999999999999</v>
      </c>
      <c r="E189" s="793">
        <f t="shared" si="4"/>
        <v>0</v>
      </c>
      <c r="F189" s="398"/>
    </row>
    <row r="190" spans="1:6" ht="18" customHeight="1">
      <c r="A190" s="136" t="s">
        <v>196</v>
      </c>
      <c r="B190" s="135">
        <f>OTTAWA!BG18</f>
        <v>0</v>
      </c>
      <c r="C190" s="135" t="s">
        <v>22</v>
      </c>
      <c r="D190" s="135">
        <v>16.649999999999999</v>
      </c>
      <c r="E190" s="793">
        <f t="shared" si="4"/>
        <v>0</v>
      </c>
      <c r="F190" s="398"/>
    </row>
    <row r="191" spans="1:6" ht="18" customHeight="1">
      <c r="A191" s="136" t="s">
        <v>197</v>
      </c>
      <c r="B191" s="135">
        <f>OTTAWA!BD18</f>
        <v>0</v>
      </c>
      <c r="C191" s="135" t="s">
        <v>22</v>
      </c>
      <c r="D191" s="135">
        <v>16.649999999999999</v>
      </c>
      <c r="E191" s="793">
        <f t="shared" si="4"/>
        <v>0</v>
      </c>
      <c r="F191" s="398"/>
    </row>
    <row r="192" spans="1:6" ht="18" customHeight="1">
      <c r="A192" s="396" t="s">
        <v>198</v>
      </c>
      <c r="B192" s="135">
        <f>OTTAWA!BI18</f>
        <v>0</v>
      </c>
      <c r="C192" s="135" t="s">
        <v>22</v>
      </c>
      <c r="D192" s="135">
        <v>16.649999999999999</v>
      </c>
      <c r="E192" s="793">
        <f t="shared" si="4"/>
        <v>0</v>
      </c>
      <c r="F192" s="398"/>
    </row>
    <row r="193" spans="1:6" s="529" customFormat="1" ht="18" customHeight="1">
      <c r="A193" s="517" t="s">
        <v>200</v>
      </c>
      <c r="B193" s="481">
        <f>OTTAWA!BJ18</f>
        <v>0</v>
      </c>
      <c r="C193" s="481" t="s">
        <v>22</v>
      </c>
      <c r="D193" s="481">
        <v>16.649999999999999</v>
      </c>
      <c r="E193" s="796">
        <f>B193*D193</f>
        <v>0</v>
      </c>
      <c r="F193" s="563"/>
    </row>
    <row r="194" spans="1:6" ht="18" customHeight="1">
      <c r="A194" s="396" t="s">
        <v>148</v>
      </c>
      <c r="B194" s="135">
        <f>OTTAWA!BL18</f>
        <v>0</v>
      </c>
      <c r="C194" s="135" t="s">
        <v>22</v>
      </c>
      <c r="D194" s="135">
        <v>20</v>
      </c>
      <c r="E194" s="793">
        <f t="shared" si="4"/>
        <v>0</v>
      </c>
      <c r="F194" s="398"/>
    </row>
    <row r="195" spans="1:6" ht="18" customHeight="1">
      <c r="A195" s="396" t="s">
        <v>201</v>
      </c>
      <c r="B195" s="135">
        <f>OTTAWA!P18</f>
        <v>0</v>
      </c>
      <c r="C195" s="135" t="s">
        <v>22</v>
      </c>
      <c r="D195" s="135">
        <v>16.649999999999999</v>
      </c>
      <c r="E195" s="793">
        <f t="shared" si="4"/>
        <v>0</v>
      </c>
      <c r="F195" s="398"/>
    </row>
    <row r="196" spans="1:6" ht="18" customHeight="1">
      <c r="A196" s="437"/>
      <c r="B196" s="419"/>
      <c r="C196" s="419"/>
      <c r="D196" s="419"/>
      <c r="E196" s="794"/>
      <c r="F196" s="398"/>
    </row>
    <row r="197" spans="1:6" ht="18" customHeight="1">
      <c r="A197" s="427" t="s">
        <v>203</v>
      </c>
      <c r="B197" s="415">
        <f>SUM(B133:B196)</f>
        <v>0</v>
      </c>
      <c r="C197" s="415"/>
      <c r="D197" s="415"/>
      <c r="E197" s="795"/>
      <c r="F197" s="398"/>
    </row>
    <row r="198" spans="1:6" ht="18" customHeight="1">
      <c r="A198" s="136"/>
      <c r="B198" s="135"/>
      <c r="C198" s="135"/>
      <c r="D198" s="135"/>
      <c r="E198" s="793"/>
      <c r="F198" s="398"/>
    </row>
    <row r="199" spans="1:6" ht="18" customHeight="1">
      <c r="A199" s="418" t="s">
        <v>206</v>
      </c>
      <c r="B199" s="419"/>
      <c r="C199" s="419"/>
      <c r="D199" s="419"/>
      <c r="E199" s="794"/>
      <c r="F199" s="398"/>
    </row>
    <row r="200" spans="1:6" ht="18" customHeight="1">
      <c r="A200" s="136" t="s">
        <v>207</v>
      </c>
      <c r="B200" s="135">
        <f>GTA!R129</f>
        <v>0</v>
      </c>
      <c r="C200" s="135" t="s">
        <v>22</v>
      </c>
      <c r="D200" s="135">
        <v>16.649999999999999</v>
      </c>
      <c r="E200" s="793">
        <f t="shared" ref="E200:E231" si="5">B200*D200</f>
        <v>0</v>
      </c>
      <c r="F200" s="398" t="s">
        <v>206</v>
      </c>
    </row>
    <row r="201" spans="1:6" ht="18" customHeight="1">
      <c r="A201" s="134" t="s">
        <v>462</v>
      </c>
      <c r="B201" s="135">
        <f>GTA!E129</f>
        <v>0</v>
      </c>
      <c r="C201" s="135" t="s">
        <v>22</v>
      </c>
      <c r="D201" s="135">
        <v>16.649999999999999</v>
      </c>
      <c r="E201" s="793">
        <f>B201*D201</f>
        <v>0</v>
      </c>
      <c r="F201" s="398" t="s">
        <v>206</v>
      </c>
    </row>
    <row r="202" spans="1:6" ht="18" customHeight="1">
      <c r="A202" s="136" t="s">
        <v>463</v>
      </c>
      <c r="B202" s="135">
        <f>GTA!D129</f>
        <v>0</v>
      </c>
      <c r="C202" s="135" t="s">
        <v>22</v>
      </c>
      <c r="D202" s="135">
        <v>16.649999999999999</v>
      </c>
      <c r="E202" s="793">
        <f t="shared" si="5"/>
        <v>0</v>
      </c>
      <c r="F202" s="398" t="s">
        <v>206</v>
      </c>
    </row>
    <row r="203" spans="1:6" ht="18" customHeight="1">
      <c r="A203" s="134" t="s">
        <v>215</v>
      </c>
      <c r="B203" s="135">
        <f>GTA!S129</f>
        <v>0</v>
      </c>
      <c r="C203" s="135" t="s">
        <v>22</v>
      </c>
      <c r="D203" s="135">
        <v>16.649999999999999</v>
      </c>
      <c r="E203" s="793">
        <f t="shared" si="5"/>
        <v>0</v>
      </c>
      <c r="F203" s="398" t="s">
        <v>206</v>
      </c>
    </row>
    <row r="204" spans="1:6" ht="18" customHeight="1">
      <c r="A204" s="134" t="s">
        <v>218</v>
      </c>
      <c r="B204" s="135">
        <f>GTA!T129</f>
        <v>0</v>
      </c>
      <c r="C204" s="135" t="s">
        <v>22</v>
      </c>
      <c r="D204" s="135">
        <v>16.649999999999999</v>
      </c>
      <c r="E204" s="793">
        <f t="shared" si="5"/>
        <v>0</v>
      </c>
      <c r="F204" s="398" t="s">
        <v>206</v>
      </c>
    </row>
    <row r="205" spans="1:6" ht="18" customHeight="1">
      <c r="A205" s="134" t="s">
        <v>219</v>
      </c>
      <c r="B205" s="135">
        <f>GTA!U129</f>
        <v>0</v>
      </c>
      <c r="C205" s="135" t="s">
        <v>22</v>
      </c>
      <c r="D205" s="135">
        <v>16.649999999999999</v>
      </c>
      <c r="E205" s="793">
        <f t="shared" si="5"/>
        <v>0</v>
      </c>
      <c r="F205" s="398" t="s">
        <v>206</v>
      </c>
    </row>
    <row r="206" spans="1:6" ht="18" customHeight="1">
      <c r="A206" s="134" t="s">
        <v>717</v>
      </c>
      <c r="B206" s="135">
        <f>GTA!V129</f>
        <v>0</v>
      </c>
      <c r="C206" s="135" t="s">
        <v>22</v>
      </c>
      <c r="D206" s="135">
        <v>16.649999999999999</v>
      </c>
      <c r="E206" s="793">
        <f>B206*D206</f>
        <v>0</v>
      </c>
      <c r="F206" s="398" t="s">
        <v>206</v>
      </c>
    </row>
    <row r="207" spans="1:6" ht="18" customHeight="1">
      <c r="A207" s="134" t="s">
        <v>211</v>
      </c>
      <c r="B207" s="135">
        <f>GTA!I129</f>
        <v>0</v>
      </c>
      <c r="C207" s="135" t="s">
        <v>22</v>
      </c>
      <c r="D207" s="135">
        <v>16.649999999999999</v>
      </c>
      <c r="E207" s="793">
        <f>B207*D207</f>
        <v>0</v>
      </c>
      <c r="F207" s="398" t="s">
        <v>206</v>
      </c>
    </row>
    <row r="208" spans="1:6" ht="18" customHeight="1">
      <c r="A208" s="134" t="s">
        <v>213</v>
      </c>
      <c r="B208" s="135">
        <f>GTA!M129</f>
        <v>0</v>
      </c>
      <c r="C208" s="135" t="s">
        <v>22</v>
      </c>
      <c r="D208" s="135">
        <v>16.649999999999999</v>
      </c>
      <c r="E208" s="793">
        <f>B208*D208</f>
        <v>0</v>
      </c>
      <c r="F208" s="398" t="s">
        <v>206</v>
      </c>
    </row>
    <row r="209" spans="1:6" ht="18" customHeight="1">
      <c r="A209" s="136" t="s">
        <v>222</v>
      </c>
      <c r="B209" s="135">
        <f>GTA!C129</f>
        <v>0</v>
      </c>
      <c r="C209" s="135" t="s">
        <v>22</v>
      </c>
      <c r="D209" s="135">
        <v>16.649999999999999</v>
      </c>
      <c r="E209" s="793">
        <f t="shared" si="5"/>
        <v>0</v>
      </c>
      <c r="F209" s="398" t="s">
        <v>206</v>
      </c>
    </row>
    <row r="210" spans="1:6" ht="18" customHeight="1">
      <c r="A210" s="134" t="s">
        <v>224</v>
      </c>
      <c r="B210" s="135">
        <f>GTA!X129</f>
        <v>0</v>
      </c>
      <c r="C210" s="135" t="s">
        <v>22</v>
      </c>
      <c r="D210" s="135">
        <v>16.649999999999999</v>
      </c>
      <c r="E210" s="793">
        <f t="shared" si="5"/>
        <v>0</v>
      </c>
      <c r="F210" s="398" t="s">
        <v>206</v>
      </c>
    </row>
    <row r="211" spans="1:6" ht="18" customHeight="1">
      <c r="A211" s="398" t="s">
        <v>718</v>
      </c>
      <c r="B211" s="135">
        <f>GTA!N129</f>
        <v>0</v>
      </c>
      <c r="C211" s="135" t="s">
        <v>22</v>
      </c>
      <c r="D211" s="135">
        <v>16.649999999999999</v>
      </c>
      <c r="E211" s="793">
        <f>B211*D211</f>
        <v>0</v>
      </c>
      <c r="F211" s="398" t="s">
        <v>206</v>
      </c>
    </row>
    <row r="212" spans="1:6" ht="18" customHeight="1">
      <c r="A212" s="398" t="s">
        <v>719</v>
      </c>
      <c r="B212" s="135">
        <f>GTA!O129</f>
        <v>0</v>
      </c>
      <c r="C212" s="135" t="s">
        <v>22</v>
      </c>
      <c r="D212" s="135">
        <v>16.649999999999999</v>
      </c>
      <c r="E212" s="793">
        <f>B212*D212</f>
        <v>0</v>
      </c>
      <c r="F212" s="398" t="s">
        <v>206</v>
      </c>
    </row>
    <row r="213" spans="1:6" ht="18" customHeight="1">
      <c r="A213" s="136" t="s">
        <v>225</v>
      </c>
      <c r="B213" s="135">
        <f>GTA!Y129</f>
        <v>0</v>
      </c>
      <c r="C213" s="135" t="s">
        <v>22</v>
      </c>
      <c r="D213" s="135">
        <v>16.649999999999999</v>
      </c>
      <c r="E213" s="793">
        <f t="shared" si="5"/>
        <v>0</v>
      </c>
      <c r="F213" s="398" t="s">
        <v>206</v>
      </c>
    </row>
    <row r="214" spans="1:6" ht="18" customHeight="1">
      <c r="A214" s="134" t="s">
        <v>223</v>
      </c>
      <c r="B214" s="135">
        <f>GTA!W129</f>
        <v>0</v>
      </c>
      <c r="C214" s="135" t="s">
        <v>22</v>
      </c>
      <c r="D214" s="135">
        <v>16.649999999999999</v>
      </c>
      <c r="E214" s="793">
        <f>B214*D214</f>
        <v>0</v>
      </c>
      <c r="F214" s="398" t="s">
        <v>206</v>
      </c>
    </row>
    <row r="215" spans="1:6" ht="18" customHeight="1">
      <c r="A215" s="134" t="s">
        <v>720</v>
      </c>
      <c r="B215" s="135">
        <f>GTA!K129</f>
        <v>0</v>
      </c>
      <c r="C215" s="135" t="s">
        <v>22</v>
      </c>
      <c r="D215" s="135">
        <v>16.649999999999999</v>
      </c>
      <c r="E215" s="793">
        <f>B215*D215</f>
        <v>0</v>
      </c>
      <c r="F215" s="398" t="s">
        <v>206</v>
      </c>
    </row>
    <row r="216" spans="1:6" ht="18" customHeight="1">
      <c r="A216" s="134" t="s">
        <v>721</v>
      </c>
      <c r="B216" s="135">
        <f>GTA!J129</f>
        <v>0</v>
      </c>
      <c r="C216" s="135" t="s">
        <v>22</v>
      </c>
      <c r="D216" s="135">
        <v>16.649999999999999</v>
      </c>
      <c r="E216" s="793">
        <f>B216*D216</f>
        <v>0</v>
      </c>
      <c r="F216" s="398" t="s">
        <v>206</v>
      </c>
    </row>
    <row r="217" spans="1:6" ht="18" customHeight="1">
      <c r="A217" s="134" t="s">
        <v>227</v>
      </c>
      <c r="B217" s="135">
        <f>GTA!Z129</f>
        <v>0</v>
      </c>
      <c r="C217" s="135" t="s">
        <v>22</v>
      </c>
      <c r="D217" s="135">
        <v>16.649999999999999</v>
      </c>
      <c r="E217" s="793">
        <f>B217*D217</f>
        <v>0</v>
      </c>
      <c r="F217" s="398" t="s">
        <v>206</v>
      </c>
    </row>
    <row r="218" spans="1:6" ht="18" customHeight="1">
      <c r="A218" s="134" t="s">
        <v>229</v>
      </c>
      <c r="B218" s="135">
        <f>GTA!F129</f>
        <v>0</v>
      </c>
      <c r="C218" s="135" t="s">
        <v>22</v>
      </c>
      <c r="D218" s="135">
        <v>16.649999999999999</v>
      </c>
      <c r="E218" s="793">
        <f t="shared" si="5"/>
        <v>0</v>
      </c>
      <c r="F218" s="398" t="s">
        <v>206</v>
      </c>
    </row>
    <row r="219" spans="1:6" ht="18" customHeight="1">
      <c r="A219" s="134" t="s">
        <v>231</v>
      </c>
      <c r="B219" s="135">
        <f>GTA!AA129</f>
        <v>0</v>
      </c>
      <c r="C219" s="135" t="s">
        <v>22</v>
      </c>
      <c r="D219" s="135">
        <v>16.649999999999999</v>
      </c>
      <c r="E219" s="793">
        <f t="shared" si="5"/>
        <v>0</v>
      </c>
      <c r="F219" s="398" t="s">
        <v>206</v>
      </c>
    </row>
    <row r="220" spans="1:6" ht="18" customHeight="1">
      <c r="A220" s="134" t="s">
        <v>232</v>
      </c>
      <c r="B220" s="135">
        <f>GTA!AB129</f>
        <v>0</v>
      </c>
      <c r="C220" s="135" t="s">
        <v>22</v>
      </c>
      <c r="D220" s="135">
        <v>16.649999999999999</v>
      </c>
      <c r="E220" s="793">
        <f>B220*D220</f>
        <v>0</v>
      </c>
      <c r="F220" s="398" t="s">
        <v>206</v>
      </c>
    </row>
    <row r="221" spans="1:6" ht="18" customHeight="1">
      <c r="A221" s="134" t="s">
        <v>233</v>
      </c>
      <c r="B221" s="135">
        <f>GTA!AC129</f>
        <v>0</v>
      </c>
      <c r="C221" s="135" t="s">
        <v>22</v>
      </c>
      <c r="D221" s="135">
        <v>16.649999999999999</v>
      </c>
      <c r="E221" s="793">
        <f t="shared" si="5"/>
        <v>0</v>
      </c>
      <c r="F221" s="398" t="s">
        <v>206</v>
      </c>
    </row>
    <row r="222" spans="1:6" ht="18" customHeight="1">
      <c r="A222" s="134" t="s">
        <v>447</v>
      </c>
      <c r="B222" s="135">
        <f>GTA!P129</f>
        <v>0</v>
      </c>
      <c r="C222" s="135" t="s">
        <v>22</v>
      </c>
      <c r="D222" s="135">
        <v>16.649999999999999</v>
      </c>
      <c r="E222" s="793">
        <f>B222*D222</f>
        <v>0</v>
      </c>
      <c r="F222" s="398" t="s">
        <v>206</v>
      </c>
    </row>
    <row r="223" spans="1:6" ht="18" customHeight="1">
      <c r="A223" s="134" t="s">
        <v>380</v>
      </c>
      <c r="B223" s="135">
        <f>GTA!G129</f>
        <v>0</v>
      </c>
      <c r="C223" s="135" t="s">
        <v>22</v>
      </c>
      <c r="D223" s="135">
        <v>16.649999999999999</v>
      </c>
      <c r="E223" s="793">
        <f t="shared" si="5"/>
        <v>0</v>
      </c>
      <c r="F223" s="398" t="s">
        <v>206</v>
      </c>
    </row>
    <row r="224" spans="1:6" ht="18" customHeight="1">
      <c r="A224" s="134" t="s">
        <v>210</v>
      </c>
      <c r="B224" s="135">
        <f>GTA!L129</f>
        <v>0</v>
      </c>
      <c r="C224" s="135" t="s">
        <v>22</v>
      </c>
      <c r="D224" s="135">
        <v>16.649999999999999</v>
      </c>
      <c r="E224" s="793">
        <f>B224*D224</f>
        <v>0</v>
      </c>
      <c r="F224" s="398" t="s">
        <v>206</v>
      </c>
    </row>
    <row r="225" spans="1:6" ht="18" customHeight="1">
      <c r="A225" s="270" t="s">
        <v>385</v>
      </c>
      <c r="B225" s="135">
        <f>GTA!H129</f>
        <v>0</v>
      </c>
      <c r="C225" s="135" t="s">
        <v>22</v>
      </c>
      <c r="D225" s="135">
        <v>16.649999999999999</v>
      </c>
      <c r="E225" s="793">
        <f>B225*D225</f>
        <v>0</v>
      </c>
      <c r="F225" s="398" t="s">
        <v>206</v>
      </c>
    </row>
    <row r="226" spans="1:6" ht="18" customHeight="1">
      <c r="A226" s="134" t="s">
        <v>236</v>
      </c>
      <c r="B226" s="135">
        <f>GTA!AD129</f>
        <v>0</v>
      </c>
      <c r="C226" s="135" t="s">
        <v>22</v>
      </c>
      <c r="D226" s="135">
        <v>16.649999999999999</v>
      </c>
      <c r="E226" s="793">
        <f t="shared" si="5"/>
        <v>0</v>
      </c>
      <c r="F226" s="398" t="s">
        <v>206</v>
      </c>
    </row>
    <row r="227" spans="1:6" ht="18" customHeight="1">
      <c r="A227" s="134" t="s">
        <v>237</v>
      </c>
      <c r="B227" s="135">
        <f>GTA!AE129</f>
        <v>0</v>
      </c>
      <c r="C227" s="135" t="s">
        <v>22</v>
      </c>
      <c r="D227" s="135">
        <v>16.649999999999999</v>
      </c>
      <c r="E227" s="793">
        <f t="shared" si="5"/>
        <v>0</v>
      </c>
      <c r="F227" s="398" t="s">
        <v>206</v>
      </c>
    </row>
    <row r="228" spans="1:6" ht="18" customHeight="1">
      <c r="A228" s="134" t="s">
        <v>239</v>
      </c>
      <c r="B228" s="135">
        <f>GTA!Q129</f>
        <v>0</v>
      </c>
      <c r="C228" s="135" t="s">
        <v>22</v>
      </c>
      <c r="D228" s="135">
        <v>16.649999999999999</v>
      </c>
      <c r="E228" s="793">
        <f t="shared" si="5"/>
        <v>0</v>
      </c>
      <c r="F228" s="398" t="s">
        <v>206</v>
      </c>
    </row>
    <row r="229" spans="1:6" ht="18" customHeight="1">
      <c r="A229" s="134" t="s">
        <v>240</v>
      </c>
      <c r="B229" s="135">
        <f>GTA!AF129</f>
        <v>0</v>
      </c>
      <c r="C229" s="135" t="s">
        <v>22</v>
      </c>
      <c r="D229" s="135">
        <v>16.649999999999999</v>
      </c>
      <c r="E229" s="793">
        <f t="shared" si="5"/>
        <v>0</v>
      </c>
      <c r="F229" s="398" t="s">
        <v>206</v>
      </c>
    </row>
    <row r="230" spans="1:6" ht="18" customHeight="1">
      <c r="A230" s="134" t="s">
        <v>241</v>
      </c>
      <c r="B230" s="135">
        <f>GTA!AG129</f>
        <v>0</v>
      </c>
      <c r="C230" s="135" t="s">
        <v>22</v>
      </c>
      <c r="D230" s="135">
        <v>16.649999999999999</v>
      </c>
      <c r="E230" s="793">
        <f t="shared" si="5"/>
        <v>0</v>
      </c>
      <c r="F230" s="398" t="s">
        <v>206</v>
      </c>
    </row>
    <row r="231" spans="1:6" ht="18" customHeight="1">
      <c r="A231" s="134" t="s">
        <v>242</v>
      </c>
      <c r="B231" s="135">
        <f>GTA!AH129</f>
        <v>0</v>
      </c>
      <c r="C231" s="135" t="s">
        <v>22</v>
      </c>
      <c r="D231" s="135">
        <v>16.649999999999999</v>
      </c>
      <c r="E231" s="793">
        <f t="shared" si="5"/>
        <v>0</v>
      </c>
      <c r="F231" s="398" t="s">
        <v>206</v>
      </c>
    </row>
    <row r="232" spans="1:6" ht="18" customHeight="1">
      <c r="A232" s="436"/>
      <c r="B232" s="419"/>
      <c r="C232" s="419"/>
      <c r="D232" s="419"/>
      <c r="E232" s="794"/>
      <c r="F232" s="398"/>
    </row>
    <row r="233" spans="1:6" ht="18" customHeight="1">
      <c r="A233" s="427" t="s">
        <v>243</v>
      </c>
      <c r="B233" s="415">
        <f>SUM(B199:B232)</f>
        <v>0</v>
      </c>
      <c r="C233" s="415"/>
      <c r="D233" s="415"/>
      <c r="E233" s="795"/>
      <c r="F233" s="398"/>
    </row>
    <row r="234" spans="1:6" ht="18" customHeight="1">
      <c r="A234" s="134"/>
      <c r="B234" s="135"/>
      <c r="C234" s="135"/>
      <c r="D234" s="135"/>
      <c r="E234" s="793"/>
      <c r="F234" s="398"/>
    </row>
    <row r="235" spans="1:6" ht="18" customHeight="1">
      <c r="A235" s="415" t="s">
        <v>244</v>
      </c>
      <c r="B235" s="419"/>
      <c r="C235" s="419"/>
      <c r="D235" s="419"/>
      <c r="E235" s="794"/>
      <c r="F235" s="398"/>
    </row>
    <row r="236" spans="1:6" ht="18" customHeight="1">
      <c r="A236" s="136" t="s">
        <v>245</v>
      </c>
      <c r="B236" s="135">
        <f>GTA!C147</f>
        <v>0</v>
      </c>
      <c r="C236" s="135" t="s">
        <v>22</v>
      </c>
      <c r="D236" s="135">
        <v>16.649999999999999</v>
      </c>
      <c r="E236" s="793">
        <f t="shared" ref="E236:E245" si="6">B236*D236</f>
        <v>0</v>
      </c>
      <c r="F236" s="398" t="s">
        <v>244</v>
      </c>
    </row>
    <row r="237" spans="1:6" ht="18" customHeight="1">
      <c r="A237" s="136" t="s">
        <v>246</v>
      </c>
      <c r="B237" s="135">
        <f>GTA!F147</f>
        <v>0</v>
      </c>
      <c r="C237" s="135" t="s">
        <v>22</v>
      </c>
      <c r="D237" s="135">
        <v>16.649999999999999</v>
      </c>
      <c r="E237" s="793">
        <f t="shared" si="6"/>
        <v>0</v>
      </c>
      <c r="F237" s="398" t="s">
        <v>244</v>
      </c>
    </row>
    <row r="238" spans="1:6" ht="18" customHeight="1">
      <c r="A238" s="136" t="s">
        <v>247</v>
      </c>
      <c r="B238" s="135">
        <f>GTA!E147</f>
        <v>0</v>
      </c>
      <c r="C238" s="135" t="s">
        <v>22</v>
      </c>
      <c r="D238" s="135">
        <v>16.649999999999999</v>
      </c>
      <c r="E238" s="793">
        <f>B238*D238</f>
        <v>0</v>
      </c>
      <c r="F238" s="398" t="s">
        <v>244</v>
      </c>
    </row>
    <row r="239" spans="1:6" ht="18" customHeight="1">
      <c r="A239" s="136" t="s">
        <v>248</v>
      </c>
      <c r="B239" s="135">
        <f>GTA!D147</f>
        <v>0</v>
      </c>
      <c r="C239" s="135" t="s">
        <v>22</v>
      </c>
      <c r="D239" s="135">
        <v>16.649999999999999</v>
      </c>
      <c r="E239" s="793">
        <f>B239*D239</f>
        <v>0</v>
      </c>
      <c r="F239" s="398" t="s">
        <v>244</v>
      </c>
    </row>
    <row r="240" spans="1:6" ht="18" customHeight="1">
      <c r="A240" s="401" t="s">
        <v>249</v>
      </c>
      <c r="B240" s="135">
        <f>GTA!G147</f>
        <v>0</v>
      </c>
      <c r="C240" s="135" t="s">
        <v>22</v>
      </c>
      <c r="D240" s="135">
        <v>16.649999999999999</v>
      </c>
      <c r="E240" s="793">
        <f t="shared" si="6"/>
        <v>0</v>
      </c>
      <c r="F240" s="398" t="s">
        <v>244</v>
      </c>
    </row>
    <row r="241" spans="1:6" ht="18" customHeight="1">
      <c r="A241" s="398" t="s">
        <v>250</v>
      </c>
      <c r="B241" s="135">
        <f>GTA!H147</f>
        <v>0</v>
      </c>
      <c r="C241" s="135" t="s">
        <v>22</v>
      </c>
      <c r="D241" s="135">
        <v>16.649999999999999</v>
      </c>
      <c r="E241" s="793">
        <f t="shared" si="6"/>
        <v>0</v>
      </c>
      <c r="F241" s="398" t="s">
        <v>244</v>
      </c>
    </row>
    <row r="242" spans="1:6" ht="18" customHeight="1">
      <c r="A242" s="136" t="s">
        <v>251</v>
      </c>
      <c r="B242" s="135">
        <f>GTA!J147</f>
        <v>0</v>
      </c>
      <c r="C242" s="135" t="s">
        <v>22</v>
      </c>
      <c r="D242" s="135">
        <v>16.649999999999999</v>
      </c>
      <c r="E242" s="793">
        <f t="shared" si="6"/>
        <v>0</v>
      </c>
      <c r="F242" s="398" t="s">
        <v>244</v>
      </c>
    </row>
    <row r="243" spans="1:6" ht="18" customHeight="1">
      <c r="A243" s="136" t="s">
        <v>252</v>
      </c>
      <c r="B243" s="135">
        <f>GTA!K147</f>
        <v>0</v>
      </c>
      <c r="C243" s="135" t="s">
        <v>22</v>
      </c>
      <c r="D243" s="135">
        <v>16.649999999999999</v>
      </c>
      <c r="E243" s="793">
        <f t="shared" si="6"/>
        <v>0</v>
      </c>
      <c r="F243" s="398" t="s">
        <v>244</v>
      </c>
    </row>
    <row r="244" spans="1:6" ht="18" customHeight="1">
      <c r="A244" s="136" t="s">
        <v>253</v>
      </c>
      <c r="B244" s="135">
        <f>GTA!I147</f>
        <v>0</v>
      </c>
      <c r="C244" s="135" t="s">
        <v>22</v>
      </c>
      <c r="D244" s="135">
        <v>16.649999999999999</v>
      </c>
      <c r="E244" s="793">
        <f>B244*D244</f>
        <v>0</v>
      </c>
      <c r="F244" s="398" t="s">
        <v>244</v>
      </c>
    </row>
    <row r="245" spans="1:6" ht="18" customHeight="1">
      <c r="A245" s="136" t="s">
        <v>254</v>
      </c>
      <c r="B245" s="135">
        <f>GTA!L147</f>
        <v>0</v>
      </c>
      <c r="C245" s="135" t="s">
        <v>22</v>
      </c>
      <c r="D245" s="135">
        <v>16.649999999999999</v>
      </c>
      <c r="E245" s="793">
        <f t="shared" si="6"/>
        <v>0</v>
      </c>
      <c r="F245" s="398" t="s">
        <v>244</v>
      </c>
    </row>
    <row r="246" spans="1:6" ht="18" customHeight="1">
      <c r="A246" s="134" t="s">
        <v>255</v>
      </c>
      <c r="B246" s="135">
        <f>GTA!M147</f>
        <v>0</v>
      </c>
      <c r="C246" s="135" t="s">
        <v>22</v>
      </c>
      <c r="D246" s="135">
        <v>20</v>
      </c>
      <c r="E246" s="793">
        <f>B246*D246</f>
        <v>0</v>
      </c>
      <c r="F246" s="398" t="s">
        <v>244</v>
      </c>
    </row>
    <row r="247" spans="1:6" ht="18" customHeight="1">
      <c r="A247" s="398" t="s">
        <v>256</v>
      </c>
      <c r="B247" s="135">
        <f>GTA!N147</f>
        <v>0</v>
      </c>
      <c r="C247" s="135" t="s">
        <v>22</v>
      </c>
      <c r="D247" s="135">
        <v>20</v>
      </c>
      <c r="E247" s="793">
        <f>B247*D247</f>
        <v>0</v>
      </c>
      <c r="F247" s="398" t="s">
        <v>244</v>
      </c>
    </row>
    <row r="248" spans="1:6" ht="18" customHeight="1">
      <c r="A248" s="439"/>
      <c r="B248" s="419"/>
      <c r="C248" s="419"/>
      <c r="D248" s="419"/>
      <c r="E248" s="794"/>
      <c r="F248" s="398"/>
    </row>
    <row r="249" spans="1:6" ht="18" customHeight="1">
      <c r="A249" s="415" t="s">
        <v>257</v>
      </c>
      <c r="B249" s="415">
        <f>SUM(B235:B248)</f>
        <v>0</v>
      </c>
      <c r="C249" s="417"/>
      <c r="D249" s="417"/>
      <c r="E249" s="799"/>
      <c r="F249" s="398"/>
    </row>
    <row r="250" spans="1:6" ht="18" customHeight="1">
      <c r="A250" s="136"/>
      <c r="B250" s="135"/>
      <c r="C250" s="135"/>
      <c r="D250" s="135"/>
      <c r="E250" s="793"/>
      <c r="F250" s="398"/>
    </row>
    <row r="251" spans="1:6" ht="18" customHeight="1">
      <c r="A251" s="418" t="s">
        <v>258</v>
      </c>
      <c r="B251" s="419"/>
      <c r="C251" s="419"/>
      <c r="D251" s="419"/>
      <c r="E251" s="794"/>
      <c r="F251" s="398"/>
    </row>
    <row r="252" spans="1:6" ht="18" customHeight="1">
      <c r="A252" s="136" t="s">
        <v>259</v>
      </c>
      <c r="B252" s="135">
        <f>OTTAWA!C36</f>
        <v>0</v>
      </c>
      <c r="C252" s="135" t="s">
        <v>22</v>
      </c>
      <c r="D252" s="135">
        <v>16.649999999999999</v>
      </c>
      <c r="E252" s="793">
        <f>B252*D252</f>
        <v>0</v>
      </c>
      <c r="F252" s="398"/>
    </row>
    <row r="253" spans="1:6" ht="18" customHeight="1">
      <c r="A253" s="136" t="s">
        <v>260</v>
      </c>
      <c r="B253" s="135">
        <f>OTTAWA!E36</f>
        <v>0</v>
      </c>
      <c r="C253" s="135" t="s">
        <v>22</v>
      </c>
      <c r="D253" s="135">
        <v>16.649999999999999</v>
      </c>
      <c r="E253" s="793">
        <f>B253*D253</f>
        <v>0</v>
      </c>
      <c r="F253" s="398"/>
    </row>
    <row r="254" spans="1:6" ht="18" customHeight="1">
      <c r="A254" s="136" t="s">
        <v>261</v>
      </c>
      <c r="B254" s="135">
        <f>OTTAWA!F36</f>
        <v>0</v>
      </c>
      <c r="C254" s="135" t="s">
        <v>22</v>
      </c>
      <c r="D254" s="135">
        <v>16.649999999999999</v>
      </c>
      <c r="E254" s="793">
        <f>B254*D254</f>
        <v>0</v>
      </c>
      <c r="F254" s="398"/>
    </row>
    <row r="255" spans="1:6" ht="18" customHeight="1">
      <c r="A255" s="136" t="s">
        <v>262</v>
      </c>
      <c r="B255" s="135">
        <f>OTTAWA!I36</f>
        <v>0</v>
      </c>
      <c r="C255" s="135" t="s">
        <v>22</v>
      </c>
      <c r="D255" s="135">
        <v>16.649999999999999</v>
      </c>
      <c r="E255" s="793">
        <f t="shared" ref="E255:E288" si="7">B255*D255</f>
        <v>0</v>
      </c>
      <c r="F255" s="398"/>
    </row>
    <row r="256" spans="1:6" s="529" customFormat="1" ht="18" customHeight="1">
      <c r="A256" s="480" t="s">
        <v>131</v>
      </c>
      <c r="B256" s="481">
        <f>OTTAWA!J36</f>
        <v>0</v>
      </c>
      <c r="C256" s="481" t="s">
        <v>22</v>
      </c>
      <c r="D256" s="481">
        <v>16.649999999999999</v>
      </c>
      <c r="E256" s="796">
        <f t="shared" si="7"/>
        <v>0</v>
      </c>
      <c r="F256" s="563"/>
    </row>
    <row r="257" spans="1:6" s="529" customFormat="1" ht="18" customHeight="1">
      <c r="A257" s="395" t="s">
        <v>132</v>
      </c>
      <c r="B257" s="135">
        <f>OTTAWA!K36</f>
        <v>0</v>
      </c>
      <c r="C257" s="135" t="s">
        <v>22</v>
      </c>
      <c r="D257" s="135">
        <v>16.649999999999999</v>
      </c>
      <c r="E257" s="793">
        <f t="shared" si="7"/>
        <v>0</v>
      </c>
      <c r="F257" s="563"/>
    </row>
    <row r="258" spans="1:6" ht="18" customHeight="1">
      <c r="A258" s="136" t="s">
        <v>133</v>
      </c>
      <c r="B258" s="135">
        <f>OTTAWA!L36</f>
        <v>0</v>
      </c>
      <c r="C258" s="135" t="s">
        <v>22</v>
      </c>
      <c r="D258" s="135">
        <v>16.649999999999999</v>
      </c>
      <c r="E258" s="793">
        <f t="shared" si="7"/>
        <v>0</v>
      </c>
      <c r="F258" s="398"/>
    </row>
    <row r="259" spans="1:6" s="529" customFormat="1" ht="18" customHeight="1">
      <c r="A259" s="480" t="s">
        <v>134</v>
      </c>
      <c r="B259" s="481">
        <f>OTTAWA!M36</f>
        <v>0</v>
      </c>
      <c r="C259" s="481" t="s">
        <v>22</v>
      </c>
      <c r="D259" s="481">
        <v>16.649999999999999</v>
      </c>
      <c r="E259" s="796">
        <f>B259*D259</f>
        <v>0</v>
      </c>
      <c r="F259" s="563"/>
    </row>
    <row r="260" spans="1:6" ht="18" customHeight="1">
      <c r="A260" s="396" t="s">
        <v>137</v>
      </c>
      <c r="B260" s="135">
        <f>OTTAWA!O36</f>
        <v>0</v>
      </c>
      <c r="C260" s="135" t="s">
        <v>22</v>
      </c>
      <c r="D260" s="135">
        <v>16.649999999999999</v>
      </c>
      <c r="E260" s="793">
        <f t="shared" si="7"/>
        <v>0</v>
      </c>
      <c r="F260" s="398"/>
    </row>
    <row r="261" spans="1:6" s="529" customFormat="1" ht="18" customHeight="1">
      <c r="A261" s="517" t="s">
        <v>263</v>
      </c>
      <c r="B261" s="481">
        <f>OTTAWA!P36</f>
        <v>0</v>
      </c>
      <c r="C261" s="481" t="s">
        <v>22</v>
      </c>
      <c r="D261" s="481">
        <v>16.649999999999999</v>
      </c>
      <c r="E261" s="796">
        <f>B261*D261</f>
        <v>0</v>
      </c>
      <c r="F261" s="563"/>
    </row>
    <row r="262" spans="1:6" ht="18" customHeight="1">
      <c r="A262" s="136" t="s">
        <v>264</v>
      </c>
      <c r="B262" s="135">
        <f>OTTAWA!N36</f>
        <v>0</v>
      </c>
      <c r="C262" s="135" t="s">
        <v>22</v>
      </c>
      <c r="D262" s="135">
        <v>16.649999999999999</v>
      </c>
      <c r="E262" s="793">
        <f t="shared" si="7"/>
        <v>0</v>
      </c>
      <c r="F262" s="398"/>
    </row>
    <row r="263" spans="1:6" ht="18" customHeight="1">
      <c r="A263" s="136" t="s">
        <v>142</v>
      </c>
      <c r="B263" s="135">
        <f>OTTAWA!Q36</f>
        <v>0</v>
      </c>
      <c r="C263" s="135" t="s">
        <v>22</v>
      </c>
      <c r="D263" s="135">
        <v>16.649999999999999</v>
      </c>
      <c r="E263" s="793">
        <f t="shared" si="7"/>
        <v>0</v>
      </c>
      <c r="F263" s="398"/>
    </row>
    <row r="264" spans="1:6" ht="18" customHeight="1">
      <c r="A264" s="136" t="s">
        <v>265</v>
      </c>
      <c r="B264" s="135">
        <f>OTTAWA!R36</f>
        <v>0</v>
      </c>
      <c r="C264" s="135" t="s">
        <v>22</v>
      </c>
      <c r="D264" s="135">
        <v>16.649999999999999</v>
      </c>
      <c r="E264" s="793">
        <f t="shared" si="7"/>
        <v>0</v>
      </c>
      <c r="F264" s="398"/>
    </row>
    <row r="265" spans="1:6" ht="18" customHeight="1">
      <c r="A265" s="396" t="s">
        <v>266</v>
      </c>
      <c r="B265" s="135">
        <f>OTTAWA!G36</f>
        <v>0</v>
      </c>
      <c r="C265" s="135" t="s">
        <v>22</v>
      </c>
      <c r="D265" s="135">
        <v>16.649999999999999</v>
      </c>
      <c r="E265" s="793">
        <f t="shared" si="7"/>
        <v>0</v>
      </c>
      <c r="F265" s="398"/>
    </row>
    <row r="266" spans="1:6" ht="18" customHeight="1">
      <c r="A266" s="396" t="s">
        <v>267</v>
      </c>
      <c r="B266" s="135">
        <f>OTTAWA!S36</f>
        <v>0</v>
      </c>
      <c r="C266" s="135" t="s">
        <v>22</v>
      </c>
      <c r="D266" s="135">
        <v>16.649999999999999</v>
      </c>
      <c r="E266" s="793">
        <f t="shared" si="7"/>
        <v>0</v>
      </c>
      <c r="F266" s="398"/>
    </row>
    <row r="267" spans="1:6" ht="18" customHeight="1">
      <c r="A267" s="136" t="s">
        <v>268</v>
      </c>
      <c r="B267" s="135">
        <f>OTTAWA!H36</f>
        <v>0</v>
      </c>
      <c r="C267" s="135" t="s">
        <v>22</v>
      </c>
      <c r="D267" s="135">
        <v>20</v>
      </c>
      <c r="E267" s="793">
        <f t="shared" si="7"/>
        <v>0</v>
      </c>
      <c r="F267" s="398"/>
    </row>
    <row r="268" spans="1:6" ht="18" customHeight="1">
      <c r="A268" s="136" t="s">
        <v>167</v>
      </c>
      <c r="B268" s="135">
        <f>OTTAWA!BB36</f>
        <v>0</v>
      </c>
      <c r="C268" s="135" t="s">
        <v>22</v>
      </c>
      <c r="D268" s="135">
        <v>20</v>
      </c>
      <c r="E268" s="793">
        <f t="shared" si="7"/>
        <v>0</v>
      </c>
      <c r="F268" s="398"/>
    </row>
    <row r="269" spans="1:6" ht="18" customHeight="1">
      <c r="A269" s="136" t="s">
        <v>143</v>
      </c>
      <c r="B269" s="135">
        <f>OTTAWA!T36</f>
        <v>0</v>
      </c>
      <c r="C269" s="135" t="s">
        <v>22</v>
      </c>
      <c r="D269" s="135">
        <v>16.649999999999999</v>
      </c>
      <c r="E269" s="793">
        <f t="shared" si="7"/>
        <v>0</v>
      </c>
      <c r="F269" s="398"/>
    </row>
    <row r="270" spans="1:6" ht="18" customHeight="1">
      <c r="A270" s="136" t="s">
        <v>269</v>
      </c>
      <c r="B270" s="135">
        <f>OTTAWA!V36</f>
        <v>0</v>
      </c>
      <c r="C270" s="135" t="s">
        <v>22</v>
      </c>
      <c r="D270" s="135">
        <v>16.649999999999999</v>
      </c>
      <c r="E270" s="793">
        <f t="shared" si="7"/>
        <v>0</v>
      </c>
      <c r="F270" s="398"/>
    </row>
    <row r="271" spans="1:6" s="529" customFormat="1" ht="18" customHeight="1">
      <c r="A271" s="480" t="s">
        <v>270</v>
      </c>
      <c r="B271" s="481">
        <f>OTTAWA!U36</f>
        <v>0</v>
      </c>
      <c r="C271" s="481" t="s">
        <v>22</v>
      </c>
      <c r="D271" s="481">
        <v>16.649999999999999</v>
      </c>
      <c r="E271" s="796">
        <f t="shared" si="7"/>
        <v>0</v>
      </c>
      <c r="F271" s="563"/>
    </row>
    <row r="272" spans="1:6" ht="18" customHeight="1">
      <c r="A272" s="136" t="s">
        <v>271</v>
      </c>
      <c r="B272" s="135">
        <f>OTTAWA!W36</f>
        <v>0</v>
      </c>
      <c r="C272" s="135" t="s">
        <v>22</v>
      </c>
      <c r="D272" s="135">
        <v>16.649999999999999</v>
      </c>
      <c r="E272" s="793">
        <f t="shared" si="7"/>
        <v>0</v>
      </c>
      <c r="F272" s="398"/>
    </row>
    <row r="273" spans="1:6" ht="18" customHeight="1">
      <c r="A273" s="136" t="s">
        <v>272</v>
      </c>
      <c r="B273" s="135">
        <f>OTTAWA!X36</f>
        <v>0</v>
      </c>
      <c r="C273" s="135" t="s">
        <v>22</v>
      </c>
      <c r="D273" s="135">
        <v>16.649999999999999</v>
      </c>
      <c r="E273" s="793">
        <f t="shared" si="7"/>
        <v>0</v>
      </c>
      <c r="F273" s="398"/>
    </row>
    <row r="274" spans="1:6" ht="18" customHeight="1">
      <c r="A274" s="136" t="s">
        <v>273</v>
      </c>
      <c r="B274" s="135">
        <f>OTTAWA!Y36</f>
        <v>0</v>
      </c>
      <c r="C274" s="135" t="s">
        <v>22</v>
      </c>
      <c r="D274" s="135">
        <v>16.649999999999999</v>
      </c>
      <c r="E274" s="793">
        <f t="shared" si="7"/>
        <v>0</v>
      </c>
      <c r="F274" s="398"/>
    </row>
    <row r="275" spans="1:6" ht="18" customHeight="1">
      <c r="A275" s="136" t="s">
        <v>149</v>
      </c>
      <c r="B275" s="135">
        <f>OTTAWA!Z36</f>
        <v>0</v>
      </c>
      <c r="C275" s="135" t="s">
        <v>22</v>
      </c>
      <c r="D275" s="135">
        <v>16.649999999999999</v>
      </c>
      <c r="E275" s="793">
        <f t="shared" si="7"/>
        <v>0</v>
      </c>
      <c r="F275" s="398"/>
    </row>
    <row r="276" spans="1:6" ht="18" customHeight="1">
      <c r="A276" s="136" t="s">
        <v>153</v>
      </c>
      <c r="B276" s="135">
        <f>OTTAWA!AA36</f>
        <v>0</v>
      </c>
      <c r="C276" s="135" t="s">
        <v>22</v>
      </c>
      <c r="D276" s="135">
        <v>16.649999999999999</v>
      </c>
      <c r="E276" s="793">
        <f t="shared" si="7"/>
        <v>0</v>
      </c>
      <c r="F276" s="398"/>
    </row>
    <row r="277" spans="1:6" ht="18" customHeight="1">
      <c r="A277" s="317" t="s">
        <v>274</v>
      </c>
      <c r="B277" s="135">
        <f>OTTAWA!AB36</f>
        <v>0</v>
      </c>
      <c r="C277" s="135" t="s">
        <v>22</v>
      </c>
      <c r="D277" s="135">
        <v>16.649999999999999</v>
      </c>
      <c r="E277" s="793">
        <f t="shared" si="7"/>
        <v>0</v>
      </c>
      <c r="F277" s="398"/>
    </row>
    <row r="278" spans="1:6" s="529" customFormat="1" ht="18" customHeight="1">
      <c r="A278" s="513" t="s">
        <v>155</v>
      </c>
      <c r="B278" s="481">
        <f>OTTAWA!AC36</f>
        <v>0</v>
      </c>
      <c r="C278" s="481" t="s">
        <v>22</v>
      </c>
      <c r="D278" s="481">
        <v>16.649999999999999</v>
      </c>
      <c r="E278" s="796">
        <f t="shared" si="7"/>
        <v>0</v>
      </c>
      <c r="F278" s="563"/>
    </row>
    <row r="279" spans="1:6" ht="18" customHeight="1">
      <c r="A279" s="317" t="s">
        <v>151</v>
      </c>
      <c r="B279" s="135">
        <f>OTTAWA!AE36</f>
        <v>0</v>
      </c>
      <c r="C279" s="135" t="s">
        <v>22</v>
      </c>
      <c r="D279" s="135">
        <v>16.649999999999999</v>
      </c>
      <c r="E279" s="793">
        <f t="shared" si="7"/>
        <v>0</v>
      </c>
      <c r="F279" s="398"/>
    </row>
    <row r="280" spans="1:6" ht="18" customHeight="1">
      <c r="A280" s="136" t="s">
        <v>156</v>
      </c>
      <c r="B280" s="135">
        <f>OTTAWA!AF36</f>
        <v>0</v>
      </c>
      <c r="C280" s="135" t="s">
        <v>22</v>
      </c>
      <c r="D280" s="135">
        <v>16.649999999999999</v>
      </c>
      <c r="E280" s="793">
        <f t="shared" si="7"/>
        <v>0</v>
      </c>
      <c r="F280" s="398"/>
    </row>
    <row r="281" spans="1:6" ht="18" customHeight="1">
      <c r="A281" s="136" t="s">
        <v>275</v>
      </c>
      <c r="B281" s="135">
        <f>OTTAWA!AG36</f>
        <v>0</v>
      </c>
      <c r="C281" s="135" t="s">
        <v>22</v>
      </c>
      <c r="D281" s="135">
        <v>16.649999999999999</v>
      </c>
      <c r="E281" s="793">
        <f t="shared" si="7"/>
        <v>0</v>
      </c>
      <c r="F281" s="398"/>
    </row>
    <row r="282" spans="1:6" ht="18" customHeight="1">
      <c r="A282" s="136" t="s">
        <v>160</v>
      </c>
      <c r="B282" s="135">
        <f>OTTAWA!AI36</f>
        <v>0</v>
      </c>
      <c r="C282" s="135" t="s">
        <v>22</v>
      </c>
      <c r="D282" s="135">
        <v>16.649999999999999</v>
      </c>
      <c r="E282" s="793">
        <f t="shared" si="7"/>
        <v>0</v>
      </c>
      <c r="F282" s="398"/>
    </row>
    <row r="283" spans="1:6" ht="18" customHeight="1">
      <c r="A283" s="136" t="s">
        <v>276</v>
      </c>
      <c r="B283" s="135">
        <f>OTTAWA!AJ36</f>
        <v>0</v>
      </c>
      <c r="C283" s="135" t="s">
        <v>22</v>
      </c>
      <c r="D283" s="135">
        <v>16.649999999999999</v>
      </c>
      <c r="E283" s="793">
        <f t="shared" si="7"/>
        <v>0</v>
      </c>
      <c r="F283" s="398"/>
    </row>
    <row r="284" spans="1:6" ht="18" customHeight="1">
      <c r="A284" s="136" t="s">
        <v>277</v>
      </c>
      <c r="B284" s="135">
        <f>OTTAWA!AK36</f>
        <v>0</v>
      </c>
      <c r="C284" s="135" t="s">
        <v>22</v>
      </c>
      <c r="D284" s="135">
        <v>16.649999999999999</v>
      </c>
      <c r="E284" s="793">
        <f t="shared" si="7"/>
        <v>0</v>
      </c>
      <c r="F284" s="398"/>
    </row>
    <row r="285" spans="1:6" s="529" customFormat="1" ht="18" customHeight="1">
      <c r="A285" s="480" t="s">
        <v>278</v>
      </c>
      <c r="B285" s="481">
        <f>OTTAWA!AL36</f>
        <v>0</v>
      </c>
      <c r="C285" s="481" t="s">
        <v>22</v>
      </c>
      <c r="D285" s="481">
        <v>16.649999999999999</v>
      </c>
      <c r="E285" s="796">
        <f t="shared" si="7"/>
        <v>0</v>
      </c>
      <c r="F285" s="563"/>
    </row>
    <row r="286" spans="1:6" ht="18" customHeight="1">
      <c r="A286" s="136" t="s">
        <v>279</v>
      </c>
      <c r="B286" s="135">
        <f>OTTAWA!AM36</f>
        <v>0</v>
      </c>
      <c r="C286" s="135" t="s">
        <v>22</v>
      </c>
      <c r="D286" s="135"/>
      <c r="E286" s="793">
        <f t="shared" si="7"/>
        <v>0</v>
      </c>
      <c r="F286" s="398"/>
    </row>
    <row r="287" spans="1:6" s="529" customFormat="1" ht="18" customHeight="1">
      <c r="A287" s="480" t="s">
        <v>280</v>
      </c>
      <c r="B287" s="481">
        <f>OTTAWA!AN36</f>
        <v>0</v>
      </c>
      <c r="C287" s="481" t="s">
        <v>22</v>
      </c>
      <c r="D287" s="481">
        <v>16.649999999999999</v>
      </c>
      <c r="E287" s="796">
        <f t="shared" si="7"/>
        <v>0</v>
      </c>
      <c r="F287" s="563"/>
    </row>
    <row r="288" spans="1:6" s="529" customFormat="1" ht="18" customHeight="1">
      <c r="A288" s="480" t="s">
        <v>281</v>
      </c>
      <c r="B288" s="481">
        <f>OTTAWA!AO36</f>
        <v>0</v>
      </c>
      <c r="C288" s="481" t="s">
        <v>22</v>
      </c>
      <c r="D288" s="481">
        <v>16.649999999999999</v>
      </c>
      <c r="E288" s="796">
        <f t="shared" si="7"/>
        <v>0</v>
      </c>
      <c r="F288" s="563"/>
    </row>
    <row r="289" spans="1:6" s="529" customFormat="1" ht="18" customHeight="1">
      <c r="A289" s="480" t="s">
        <v>282</v>
      </c>
      <c r="B289" s="481">
        <f>OTTAWA!AU36</f>
        <v>0</v>
      </c>
      <c r="C289" s="481" t="s">
        <v>22</v>
      </c>
      <c r="D289" s="481">
        <v>18</v>
      </c>
      <c r="E289" s="796">
        <f>B289*D289</f>
        <v>0</v>
      </c>
      <c r="F289" s="563"/>
    </row>
    <row r="290" spans="1:6" s="529" customFormat="1" ht="18" customHeight="1">
      <c r="A290" s="270" t="s">
        <v>283</v>
      </c>
      <c r="B290" s="272">
        <f>OTTAWA!AP36</f>
        <v>0</v>
      </c>
      <c r="C290" s="272" t="s">
        <v>22</v>
      </c>
      <c r="D290" s="272">
        <v>16.649999999999999</v>
      </c>
      <c r="E290" s="800">
        <f>D290*B290</f>
        <v>0</v>
      </c>
      <c r="F290" s="563"/>
    </row>
    <row r="291" spans="1:6" ht="18" customHeight="1">
      <c r="A291" s="136" t="s">
        <v>284</v>
      </c>
      <c r="B291" s="135">
        <f>OTTAWA!AQ36</f>
        <v>0</v>
      </c>
      <c r="C291" s="135" t="s">
        <v>22</v>
      </c>
      <c r="D291" s="135">
        <v>16.649999999999999</v>
      </c>
      <c r="E291" s="793">
        <f t="shared" ref="E291:E324" si="8">B291*D291</f>
        <v>0</v>
      </c>
      <c r="F291" s="398"/>
    </row>
    <row r="292" spans="1:6" s="529" customFormat="1" ht="18" customHeight="1">
      <c r="A292" s="480" t="s">
        <v>285</v>
      </c>
      <c r="B292" s="481">
        <f>OTTAWA!AT36</f>
        <v>0</v>
      </c>
      <c r="C292" s="481" t="s">
        <v>22</v>
      </c>
      <c r="D292" s="481">
        <v>16.649999999999999</v>
      </c>
      <c r="E292" s="796">
        <f t="shared" si="8"/>
        <v>0</v>
      </c>
      <c r="F292" s="563"/>
    </row>
    <row r="293" spans="1:6" ht="18" customHeight="1">
      <c r="A293" s="136" t="s">
        <v>286</v>
      </c>
      <c r="B293" s="135">
        <f>OTTAWA!AR36</f>
        <v>0</v>
      </c>
      <c r="C293" s="135" t="s">
        <v>22</v>
      </c>
      <c r="D293" s="135">
        <v>16.649999999999999</v>
      </c>
      <c r="E293" s="793">
        <f t="shared" si="8"/>
        <v>0</v>
      </c>
      <c r="F293" s="398"/>
    </row>
    <row r="294" spans="1:6" ht="18" customHeight="1">
      <c r="A294" s="136" t="s">
        <v>147</v>
      </c>
      <c r="B294" s="135">
        <f>OTTAWA!AS36</f>
        <v>0</v>
      </c>
      <c r="C294" s="135" t="s">
        <v>22</v>
      </c>
      <c r="D294" s="135">
        <v>16.649999999999999</v>
      </c>
      <c r="E294" s="793">
        <f t="shared" si="8"/>
        <v>0</v>
      </c>
      <c r="F294" s="398"/>
    </row>
    <row r="295" spans="1:6" ht="18" customHeight="1">
      <c r="A295" s="136" t="s">
        <v>171</v>
      </c>
      <c r="B295" s="135">
        <f>OTTAWA!AW36</f>
        <v>0</v>
      </c>
      <c r="C295" s="135" t="s">
        <v>22</v>
      </c>
      <c r="D295" s="135">
        <v>16.649999999999999</v>
      </c>
      <c r="E295" s="793">
        <f t="shared" si="8"/>
        <v>0</v>
      </c>
      <c r="F295" s="398"/>
    </row>
    <row r="296" spans="1:6" ht="18" customHeight="1">
      <c r="A296" s="136" t="s">
        <v>287</v>
      </c>
      <c r="B296" s="135">
        <f>OTTAWA!AV36</f>
        <v>0</v>
      </c>
      <c r="C296" s="135" t="s">
        <v>22</v>
      </c>
      <c r="D296" s="135">
        <v>16.649999999999999</v>
      </c>
      <c r="E296" s="793">
        <f t="shared" si="8"/>
        <v>0</v>
      </c>
      <c r="F296" s="398"/>
    </row>
    <row r="297" spans="1:6" ht="18" customHeight="1">
      <c r="A297" s="136" t="s">
        <v>288</v>
      </c>
      <c r="B297" s="135">
        <f>OTTAWA!AX36</f>
        <v>0</v>
      </c>
      <c r="C297" s="135" t="s">
        <v>22</v>
      </c>
      <c r="D297" s="135">
        <v>16.649999999999999</v>
      </c>
      <c r="E297" s="793">
        <f t="shared" si="8"/>
        <v>0</v>
      </c>
      <c r="F297" s="398"/>
    </row>
    <row r="298" spans="1:6" ht="18" customHeight="1">
      <c r="A298" s="396" t="s">
        <v>289</v>
      </c>
      <c r="B298" s="135">
        <f>OTTAWA!AY36</f>
        <v>0</v>
      </c>
      <c r="C298" s="135" t="s">
        <v>22</v>
      </c>
      <c r="D298" s="135">
        <v>16.649999999999999</v>
      </c>
      <c r="E298" s="793">
        <f t="shared" si="8"/>
        <v>0</v>
      </c>
      <c r="F298" s="398"/>
    </row>
    <row r="299" spans="1:6" ht="18" customHeight="1">
      <c r="A299" s="136" t="s">
        <v>290</v>
      </c>
      <c r="B299" s="135">
        <f>OTTAWA!AZ36</f>
        <v>0</v>
      </c>
      <c r="C299" s="135" t="s">
        <v>22</v>
      </c>
      <c r="D299" s="135">
        <v>16.649999999999999</v>
      </c>
      <c r="E299" s="793">
        <f t="shared" si="8"/>
        <v>0</v>
      </c>
      <c r="F299" s="398"/>
    </row>
    <row r="300" spans="1:6" ht="18" customHeight="1">
      <c r="A300" s="136" t="s">
        <v>291</v>
      </c>
      <c r="B300" s="135">
        <f>OTTAWA!BA36</f>
        <v>0</v>
      </c>
      <c r="C300" s="135" t="s">
        <v>22</v>
      </c>
      <c r="D300" s="135">
        <v>16.649999999999999</v>
      </c>
      <c r="E300" s="793">
        <f t="shared" si="8"/>
        <v>0</v>
      </c>
      <c r="F300" s="398"/>
    </row>
    <row r="301" spans="1:6" ht="18" customHeight="1">
      <c r="A301" s="136" t="s">
        <v>292</v>
      </c>
      <c r="B301" s="135">
        <f>OTTAWA!BC36</f>
        <v>0</v>
      </c>
      <c r="C301" s="135" t="s">
        <v>22</v>
      </c>
      <c r="D301" s="135">
        <v>16.649999999999999</v>
      </c>
      <c r="E301" s="793">
        <f t="shared" si="8"/>
        <v>0</v>
      </c>
      <c r="F301" s="398"/>
    </row>
    <row r="302" spans="1:6" ht="18" customHeight="1">
      <c r="A302" s="136" t="s">
        <v>293</v>
      </c>
      <c r="B302" s="135">
        <f>OTTAWA!BD36</f>
        <v>0</v>
      </c>
      <c r="C302" s="135" t="s">
        <v>22</v>
      </c>
      <c r="D302" s="135">
        <v>16.649999999999999</v>
      </c>
      <c r="E302" s="793">
        <f t="shared" si="8"/>
        <v>0</v>
      </c>
      <c r="F302" s="398"/>
    </row>
    <row r="303" spans="1:6" ht="18" customHeight="1">
      <c r="A303" s="136" t="s">
        <v>175</v>
      </c>
      <c r="B303" s="135">
        <f>OTTAWA!BE36</f>
        <v>0</v>
      </c>
      <c r="C303" s="135" t="s">
        <v>22</v>
      </c>
      <c r="D303" s="135">
        <v>16.649999999999999</v>
      </c>
      <c r="E303" s="793">
        <f t="shared" si="8"/>
        <v>0</v>
      </c>
      <c r="F303" s="398"/>
    </row>
    <row r="304" spans="1:6" ht="18" customHeight="1">
      <c r="A304" s="136" t="s">
        <v>177</v>
      </c>
      <c r="B304" s="135">
        <f>OTTAWA!BF36</f>
        <v>0</v>
      </c>
      <c r="C304" s="135" t="s">
        <v>22</v>
      </c>
      <c r="D304" s="135">
        <v>16.649999999999999</v>
      </c>
      <c r="E304" s="793">
        <f t="shared" si="8"/>
        <v>0</v>
      </c>
      <c r="F304" s="398"/>
    </row>
    <row r="305" spans="1:6" ht="18" customHeight="1">
      <c r="A305" s="136" t="s">
        <v>294</v>
      </c>
      <c r="B305" s="135">
        <f>OTTAWA!BG36</f>
        <v>0</v>
      </c>
      <c r="C305" s="135" t="s">
        <v>22</v>
      </c>
      <c r="D305" s="135">
        <v>16.649999999999999</v>
      </c>
      <c r="E305" s="793">
        <f t="shared" si="8"/>
        <v>0</v>
      </c>
      <c r="F305" s="398"/>
    </row>
    <row r="306" spans="1:6" s="529" customFormat="1" ht="18" customHeight="1">
      <c r="A306" s="480" t="s">
        <v>295</v>
      </c>
      <c r="B306" s="481">
        <f>OTTAWA!BH36</f>
        <v>0</v>
      </c>
      <c r="C306" s="481" t="s">
        <v>22</v>
      </c>
      <c r="D306" s="481">
        <v>16.649999999999999</v>
      </c>
      <c r="E306" s="796">
        <f t="shared" si="8"/>
        <v>0</v>
      </c>
      <c r="F306" s="563"/>
    </row>
    <row r="307" spans="1:6" ht="18" customHeight="1">
      <c r="A307" s="136" t="s">
        <v>296</v>
      </c>
      <c r="B307" s="135">
        <f>OTTAWA!BI36</f>
        <v>0</v>
      </c>
      <c r="C307" s="135" t="s">
        <v>22</v>
      </c>
      <c r="D307" s="135">
        <v>16.649999999999999</v>
      </c>
      <c r="E307" s="793">
        <f t="shared" si="8"/>
        <v>0</v>
      </c>
      <c r="F307" s="398"/>
    </row>
    <row r="308" spans="1:6" ht="18" customHeight="1">
      <c r="A308" s="136" t="s">
        <v>179</v>
      </c>
      <c r="B308" s="135">
        <f>OTTAWA!BJ36</f>
        <v>0</v>
      </c>
      <c r="C308" s="135" t="s">
        <v>22</v>
      </c>
      <c r="D308" s="135">
        <v>16.649999999999999</v>
      </c>
      <c r="E308" s="793">
        <f t="shared" si="8"/>
        <v>0</v>
      </c>
      <c r="F308" s="398"/>
    </row>
    <row r="309" spans="1:6" ht="18" customHeight="1">
      <c r="A309" s="136" t="s">
        <v>297</v>
      </c>
      <c r="B309" s="135">
        <f>OTTAWA!BK36</f>
        <v>0</v>
      </c>
      <c r="C309" s="135" t="s">
        <v>22</v>
      </c>
      <c r="D309" s="135">
        <v>16.649999999999999</v>
      </c>
      <c r="E309" s="793">
        <f t="shared" si="8"/>
        <v>0</v>
      </c>
      <c r="F309" s="398"/>
    </row>
    <row r="310" spans="1:6" s="529" customFormat="1" ht="18" customHeight="1">
      <c r="A310" s="480" t="s">
        <v>298</v>
      </c>
      <c r="B310" s="481">
        <f>OTTAWA!BL36</f>
        <v>0</v>
      </c>
      <c r="C310" s="481" t="s">
        <v>22</v>
      </c>
      <c r="D310" s="481">
        <v>16.649999999999999</v>
      </c>
      <c r="E310" s="796">
        <f t="shared" si="8"/>
        <v>0</v>
      </c>
      <c r="F310" s="563"/>
    </row>
    <row r="311" spans="1:6" ht="18" customHeight="1">
      <c r="A311" s="136" t="s">
        <v>168</v>
      </c>
      <c r="B311" s="135">
        <f>OTTAWA!AH36</f>
        <v>0</v>
      </c>
      <c r="C311" s="135" t="s">
        <v>22</v>
      </c>
      <c r="D311" s="135">
        <v>16.649999999999999</v>
      </c>
      <c r="E311" s="793">
        <f t="shared" si="8"/>
        <v>0</v>
      </c>
      <c r="F311" s="398"/>
    </row>
    <row r="312" spans="1:6" ht="18" customHeight="1">
      <c r="A312" s="136" t="s">
        <v>299</v>
      </c>
      <c r="B312" s="135">
        <f>OTTAWA!BM36</f>
        <v>0</v>
      </c>
      <c r="C312" s="135" t="s">
        <v>22</v>
      </c>
      <c r="D312" s="135">
        <v>16.649999999999999</v>
      </c>
      <c r="E312" s="793">
        <f t="shared" si="8"/>
        <v>0</v>
      </c>
      <c r="F312" s="398"/>
    </row>
    <row r="313" spans="1:6" ht="18" customHeight="1">
      <c r="A313" s="136" t="s">
        <v>183</v>
      </c>
      <c r="B313" s="135">
        <f>OTTAWA!BO36</f>
        <v>0</v>
      </c>
      <c r="C313" s="135" t="s">
        <v>22</v>
      </c>
      <c r="D313" s="135">
        <v>16.649999999999999</v>
      </c>
      <c r="E313" s="793">
        <f t="shared" si="8"/>
        <v>0</v>
      </c>
      <c r="F313" s="398"/>
    </row>
    <row r="314" spans="1:6" ht="18" customHeight="1">
      <c r="A314" s="136" t="s">
        <v>300</v>
      </c>
      <c r="B314" s="135">
        <f>OTTAWA!BP36</f>
        <v>0</v>
      </c>
      <c r="C314" s="135" t="s">
        <v>22</v>
      </c>
      <c r="D314" s="135"/>
      <c r="E314" s="793">
        <f t="shared" si="8"/>
        <v>0</v>
      </c>
      <c r="F314" s="398"/>
    </row>
    <row r="315" spans="1:6" ht="18" customHeight="1">
      <c r="A315" s="136" t="s">
        <v>188</v>
      </c>
      <c r="B315" s="135">
        <f>OTTAWA!BQ36</f>
        <v>0</v>
      </c>
      <c r="C315" s="135" t="s">
        <v>22</v>
      </c>
      <c r="D315" s="135">
        <v>16.649999999999999</v>
      </c>
      <c r="E315" s="793">
        <f t="shared" si="8"/>
        <v>0</v>
      </c>
      <c r="F315" s="398"/>
    </row>
    <row r="316" spans="1:6" ht="18" customHeight="1">
      <c r="A316" s="136" t="s">
        <v>186</v>
      </c>
      <c r="B316" s="135">
        <f>OTTAWA!BV36</f>
        <v>0</v>
      </c>
      <c r="C316" s="135" t="s">
        <v>22</v>
      </c>
      <c r="D316" s="135">
        <v>16.649999999999999</v>
      </c>
      <c r="E316" s="793">
        <f t="shared" si="8"/>
        <v>0</v>
      </c>
      <c r="F316" s="398"/>
    </row>
    <row r="317" spans="1:6" s="529" customFormat="1" ht="18" customHeight="1">
      <c r="A317" s="480" t="s">
        <v>301</v>
      </c>
      <c r="B317" s="481">
        <f>OTTAWA!BR36</f>
        <v>0</v>
      </c>
      <c r="C317" s="481" t="s">
        <v>22</v>
      </c>
      <c r="D317" s="481">
        <v>16.649999999999999</v>
      </c>
      <c r="E317" s="796">
        <f t="shared" si="8"/>
        <v>0</v>
      </c>
      <c r="F317" s="563"/>
    </row>
    <row r="318" spans="1:6" s="529" customFormat="1" ht="18" customHeight="1">
      <c r="A318" s="480" t="s">
        <v>302</v>
      </c>
      <c r="B318" s="481">
        <f>OTTAWA!BS36</f>
        <v>0</v>
      </c>
      <c r="C318" s="481" t="s">
        <v>22</v>
      </c>
      <c r="D318" s="481">
        <v>16.649999999999999</v>
      </c>
      <c r="E318" s="796">
        <f t="shared" si="8"/>
        <v>0</v>
      </c>
      <c r="F318" s="563"/>
    </row>
    <row r="319" spans="1:6" ht="18" customHeight="1">
      <c r="A319" s="136" t="s">
        <v>192</v>
      </c>
      <c r="B319" s="135">
        <f>OTTAWA!BT36</f>
        <v>0</v>
      </c>
      <c r="C319" s="135" t="s">
        <v>22</v>
      </c>
      <c r="D319" s="135">
        <v>16.649999999999999</v>
      </c>
      <c r="E319" s="793">
        <f t="shared" si="8"/>
        <v>0</v>
      </c>
      <c r="F319" s="398"/>
    </row>
    <row r="320" spans="1:6" ht="18" customHeight="1">
      <c r="A320" s="136" t="s">
        <v>303</v>
      </c>
      <c r="B320" s="135">
        <f>OTTAWA!AD36</f>
        <v>0</v>
      </c>
      <c r="C320" s="135" t="s">
        <v>22</v>
      </c>
      <c r="D320" s="135">
        <v>16.649999999999999</v>
      </c>
      <c r="E320" s="793">
        <f t="shared" si="8"/>
        <v>0</v>
      </c>
      <c r="F320" s="398"/>
    </row>
    <row r="321" spans="1:6" ht="18" customHeight="1">
      <c r="A321" s="396" t="s">
        <v>197</v>
      </c>
      <c r="B321" s="135">
        <f>OTTAWA!BU36</f>
        <v>0</v>
      </c>
      <c r="C321" s="135" t="s">
        <v>22</v>
      </c>
      <c r="D321" s="135">
        <v>16.649999999999999</v>
      </c>
      <c r="E321" s="793">
        <f t="shared" si="8"/>
        <v>0</v>
      </c>
      <c r="F321" s="398"/>
    </row>
    <row r="322" spans="1:6" ht="18" customHeight="1">
      <c r="A322" s="396" t="s">
        <v>304</v>
      </c>
      <c r="B322" s="135">
        <f>OTTAWA!BX36</f>
        <v>0</v>
      </c>
      <c r="C322" s="135" t="s">
        <v>22</v>
      </c>
      <c r="D322" s="135">
        <v>16.649999999999999</v>
      </c>
      <c r="E322" s="793">
        <f t="shared" si="8"/>
        <v>0</v>
      </c>
      <c r="F322" s="398"/>
    </row>
    <row r="323" spans="1:6" ht="18" customHeight="1">
      <c r="A323" s="136" t="s">
        <v>305</v>
      </c>
      <c r="B323" s="135">
        <f>OTTAWA!BW36</f>
        <v>0</v>
      </c>
      <c r="C323" s="135" t="s">
        <v>22</v>
      </c>
      <c r="D323" s="135">
        <v>17</v>
      </c>
      <c r="E323" s="793">
        <f t="shared" si="8"/>
        <v>0</v>
      </c>
      <c r="F323" s="398"/>
    </row>
    <row r="324" spans="1:6" ht="18" customHeight="1">
      <c r="A324" s="136" t="s">
        <v>306</v>
      </c>
      <c r="B324" s="135">
        <f>OTTAWA!BY36</f>
        <v>0</v>
      </c>
      <c r="C324" s="135" t="s">
        <v>22</v>
      </c>
      <c r="D324" s="135">
        <v>16.649999999999999</v>
      </c>
      <c r="E324" s="793">
        <f t="shared" si="8"/>
        <v>0</v>
      </c>
      <c r="F324" s="398"/>
    </row>
    <row r="325" spans="1:6" ht="18" customHeight="1">
      <c r="A325" s="136" t="s">
        <v>307</v>
      </c>
      <c r="B325" s="135">
        <f>OTTAWA!BZ36</f>
        <v>0</v>
      </c>
      <c r="C325" s="135" t="s">
        <v>22</v>
      </c>
      <c r="D325" s="135">
        <v>17</v>
      </c>
      <c r="E325" s="793">
        <f>(B325*D325)</f>
        <v>0</v>
      </c>
      <c r="F325" s="398"/>
    </row>
    <row r="326" spans="1:6" ht="18" customHeight="1">
      <c r="A326" s="396" t="s">
        <v>308</v>
      </c>
      <c r="B326" s="135">
        <f>OTTAWA!CA36</f>
        <v>0</v>
      </c>
      <c r="C326" s="135" t="s">
        <v>22</v>
      </c>
      <c r="D326" s="135">
        <v>16.649999999999999</v>
      </c>
      <c r="E326" s="793">
        <f t="shared" ref="E326:E342" si="9">B326*D326</f>
        <v>0</v>
      </c>
      <c r="F326" s="398"/>
    </row>
    <row r="327" spans="1:6" s="529" customFormat="1" ht="18" customHeight="1">
      <c r="A327" s="517" t="s">
        <v>124</v>
      </c>
      <c r="B327" s="481">
        <f>OTTAWA!CB36</f>
        <v>0</v>
      </c>
      <c r="C327" s="481" t="s">
        <v>22</v>
      </c>
      <c r="D327" s="481">
        <v>16.649999999999999</v>
      </c>
      <c r="E327" s="796">
        <f t="shared" si="9"/>
        <v>0</v>
      </c>
      <c r="F327" s="563"/>
    </row>
    <row r="328" spans="1:6" s="529" customFormat="1" ht="18" customHeight="1">
      <c r="A328" s="517" t="s">
        <v>309</v>
      </c>
      <c r="B328" s="481">
        <f>OTTAWA!BN36</f>
        <v>0</v>
      </c>
      <c r="C328" s="481" t="s">
        <v>22</v>
      </c>
      <c r="D328" s="481">
        <v>16.649999999999999</v>
      </c>
      <c r="E328" s="796">
        <f>B328*D328</f>
        <v>0</v>
      </c>
      <c r="F328" s="563"/>
    </row>
    <row r="329" spans="1:6" s="529" customFormat="1" ht="18" customHeight="1">
      <c r="A329" s="517" t="s">
        <v>310</v>
      </c>
      <c r="B329" s="481">
        <f>OTTAWA!D36</f>
        <v>0</v>
      </c>
      <c r="C329" s="481" t="s">
        <v>22</v>
      </c>
      <c r="D329" s="481">
        <v>16.649999999999999</v>
      </c>
      <c r="E329" s="796">
        <f>B329*D329</f>
        <v>0</v>
      </c>
      <c r="F329" s="563"/>
    </row>
    <row r="330" spans="1:6" ht="18" customHeight="1">
      <c r="A330" s="396" t="s">
        <v>182</v>
      </c>
      <c r="B330" s="135">
        <f>OTTAWA!CC36</f>
        <v>0</v>
      </c>
      <c r="C330" s="135" t="s">
        <v>22</v>
      </c>
      <c r="D330" s="135">
        <v>16.649999999999999</v>
      </c>
      <c r="E330" s="793">
        <f t="shared" si="9"/>
        <v>0</v>
      </c>
      <c r="F330" s="398"/>
    </row>
    <row r="331" spans="1:6" ht="18" customHeight="1">
      <c r="A331" s="396" t="s">
        <v>311</v>
      </c>
      <c r="B331" s="135">
        <f>OTTAWA!CD36</f>
        <v>0</v>
      </c>
      <c r="C331" s="135" t="s">
        <v>22</v>
      </c>
      <c r="D331" s="135">
        <v>16.649999999999999</v>
      </c>
      <c r="E331" s="793">
        <f t="shared" si="9"/>
        <v>0</v>
      </c>
      <c r="F331" s="398"/>
    </row>
    <row r="332" spans="1:6" ht="18" customHeight="1">
      <c r="A332" s="396" t="s">
        <v>312</v>
      </c>
      <c r="B332" s="150">
        <f>OTTAWA!CE36</f>
        <v>0</v>
      </c>
      <c r="C332" s="135" t="s">
        <v>22</v>
      </c>
      <c r="D332" s="135">
        <v>16.649999999999999</v>
      </c>
      <c r="E332" s="793">
        <f t="shared" si="9"/>
        <v>0</v>
      </c>
      <c r="F332" s="398"/>
    </row>
    <row r="333" spans="1:6" ht="18" customHeight="1">
      <c r="A333" s="396" t="s">
        <v>313</v>
      </c>
      <c r="B333" s="135">
        <f>OTTAWA!CF36</f>
        <v>0</v>
      </c>
      <c r="C333" s="135" t="s">
        <v>22</v>
      </c>
      <c r="D333" s="135">
        <v>16.649999999999999</v>
      </c>
      <c r="E333" s="793">
        <f t="shared" si="9"/>
        <v>0</v>
      </c>
      <c r="F333" s="398"/>
    </row>
    <row r="334" spans="1:6" ht="18" customHeight="1">
      <c r="A334" s="396" t="s">
        <v>314</v>
      </c>
      <c r="B334" s="135">
        <f>OTTAWA!CG36</f>
        <v>0</v>
      </c>
      <c r="C334" s="135" t="s">
        <v>22</v>
      </c>
      <c r="D334" s="135">
        <v>16.649999999999999</v>
      </c>
      <c r="E334" s="793">
        <f t="shared" si="9"/>
        <v>0</v>
      </c>
      <c r="F334" s="398"/>
    </row>
    <row r="335" spans="1:6" ht="18" customHeight="1">
      <c r="A335" s="704" t="s">
        <v>315</v>
      </c>
      <c r="B335" s="481">
        <f>OTTAWA!CH36</f>
        <v>0</v>
      </c>
      <c r="C335" s="481" t="s">
        <v>22</v>
      </c>
      <c r="D335" s="481">
        <v>18</v>
      </c>
      <c r="E335" s="796">
        <f t="shared" si="9"/>
        <v>0</v>
      </c>
      <c r="F335" s="398"/>
    </row>
    <row r="336" spans="1:6" ht="18" customHeight="1">
      <c r="A336" s="517" t="s">
        <v>316</v>
      </c>
      <c r="B336" s="481">
        <f>OTTAWA!CI36</f>
        <v>0</v>
      </c>
      <c r="C336" s="481" t="s">
        <v>22</v>
      </c>
      <c r="D336" s="481">
        <v>16.649999999999999</v>
      </c>
      <c r="E336" s="796">
        <f t="shared" si="9"/>
        <v>0</v>
      </c>
      <c r="F336" s="398"/>
    </row>
    <row r="337" spans="1:6" ht="18" customHeight="1">
      <c r="A337" s="517" t="s">
        <v>146</v>
      </c>
      <c r="B337" s="481">
        <f>OTTAWA!CJ36</f>
        <v>0</v>
      </c>
      <c r="C337" s="481" t="s">
        <v>22</v>
      </c>
      <c r="D337" s="481">
        <v>16.649999999999999</v>
      </c>
      <c r="E337" s="796">
        <f t="shared" si="9"/>
        <v>0</v>
      </c>
      <c r="F337" s="398"/>
    </row>
    <row r="338" spans="1:6" ht="18" customHeight="1">
      <c r="A338" s="517" t="s">
        <v>317</v>
      </c>
      <c r="B338" s="481">
        <f>OTTAWA!CK36</f>
        <v>0</v>
      </c>
      <c r="C338" s="481" t="s">
        <v>22</v>
      </c>
      <c r="D338" s="481">
        <v>16.649999999999999</v>
      </c>
      <c r="E338" s="796">
        <f t="shared" si="9"/>
        <v>0</v>
      </c>
      <c r="F338" s="398"/>
    </row>
    <row r="339" spans="1:6" ht="18" customHeight="1">
      <c r="A339" s="517" t="s">
        <v>113</v>
      </c>
      <c r="B339" s="481">
        <f>OTTAWA!CL36</f>
        <v>0</v>
      </c>
      <c r="C339" s="481" t="s">
        <v>22</v>
      </c>
      <c r="D339" s="481">
        <v>16.649999999999999</v>
      </c>
      <c r="E339" s="796">
        <f t="shared" si="9"/>
        <v>0</v>
      </c>
      <c r="F339" s="398"/>
    </row>
    <row r="340" spans="1:6" ht="18" customHeight="1">
      <c r="A340" s="517" t="s">
        <v>318</v>
      </c>
      <c r="B340" s="481">
        <f>OTTAWA!CM36</f>
        <v>0</v>
      </c>
      <c r="C340" s="481" t="s">
        <v>22</v>
      </c>
      <c r="D340" s="481">
        <v>16.649999999999999</v>
      </c>
      <c r="E340" s="796">
        <f t="shared" si="9"/>
        <v>0</v>
      </c>
      <c r="F340" s="398"/>
    </row>
    <row r="341" spans="1:6" ht="18" customHeight="1">
      <c r="A341" s="517" t="s">
        <v>319</v>
      </c>
      <c r="B341" s="481">
        <f>OTTAWA!CN36</f>
        <v>0</v>
      </c>
      <c r="C341" s="481" t="s">
        <v>22</v>
      </c>
      <c r="D341" s="481">
        <v>16.649999999999999</v>
      </c>
      <c r="E341" s="796">
        <f t="shared" si="9"/>
        <v>0</v>
      </c>
      <c r="F341" s="398"/>
    </row>
    <row r="342" spans="1:6" ht="18" customHeight="1">
      <c r="A342" s="517" t="s">
        <v>320</v>
      </c>
      <c r="B342" s="481">
        <f>OTTAWA!CO36</f>
        <v>0</v>
      </c>
      <c r="C342" s="481" t="s">
        <v>22</v>
      </c>
      <c r="D342" s="481">
        <v>16.649999999999999</v>
      </c>
      <c r="E342" s="796">
        <f t="shared" si="9"/>
        <v>0</v>
      </c>
      <c r="F342" s="398"/>
    </row>
    <row r="343" spans="1:6" ht="18" customHeight="1">
      <c r="A343" s="437"/>
      <c r="B343" s="419"/>
      <c r="C343" s="419"/>
      <c r="D343" s="419"/>
      <c r="E343" s="794"/>
      <c r="F343" s="398"/>
    </row>
    <row r="344" spans="1:6" ht="18" customHeight="1">
      <c r="A344" s="427" t="s">
        <v>321</v>
      </c>
      <c r="B344" s="415">
        <f>SUM(B251:B343)</f>
        <v>0</v>
      </c>
      <c r="C344" s="419"/>
      <c r="D344" s="419"/>
      <c r="E344" s="794"/>
      <c r="F344" s="398"/>
    </row>
    <row r="345" spans="1:6" ht="18" customHeight="1">
      <c r="A345" s="136"/>
      <c r="B345" s="135"/>
      <c r="C345" s="135"/>
      <c r="D345" s="135"/>
      <c r="E345" s="793"/>
      <c r="F345" s="398"/>
    </row>
    <row r="346" spans="1:6" ht="18" customHeight="1">
      <c r="A346" s="418" t="s">
        <v>322</v>
      </c>
      <c r="B346" s="419"/>
      <c r="C346" s="419"/>
      <c r="D346" s="419"/>
      <c r="E346" s="794"/>
      <c r="F346" s="398"/>
    </row>
    <row r="347" spans="1:6" ht="18" customHeight="1">
      <c r="A347" s="134" t="s">
        <v>323</v>
      </c>
      <c r="B347" s="135">
        <f>GTA!F363</f>
        <v>0</v>
      </c>
      <c r="C347" s="135" t="s">
        <v>22</v>
      </c>
      <c r="D347" s="135">
        <v>18</v>
      </c>
      <c r="E347" s="793">
        <f>B347*D347</f>
        <v>0</v>
      </c>
      <c r="F347" s="398"/>
    </row>
    <row r="348" spans="1:6" ht="18" customHeight="1">
      <c r="A348" s="134" t="s">
        <v>324</v>
      </c>
      <c r="B348" s="135">
        <f>GTA!C363</f>
        <v>0</v>
      </c>
      <c r="C348" s="135" t="s">
        <v>22</v>
      </c>
      <c r="D348" s="135">
        <v>18</v>
      </c>
      <c r="E348" s="793">
        <f t="shared" ref="E348:E357" si="10">B348*D348</f>
        <v>0</v>
      </c>
      <c r="F348" s="398"/>
    </row>
    <row r="349" spans="1:6" ht="18" customHeight="1">
      <c r="A349" s="134" t="s">
        <v>325</v>
      </c>
      <c r="B349" s="135">
        <f>GTA!D363</f>
        <v>0</v>
      </c>
      <c r="C349" s="135" t="s">
        <v>22</v>
      </c>
      <c r="D349" s="135">
        <v>18</v>
      </c>
      <c r="E349" s="793">
        <f t="shared" si="10"/>
        <v>0</v>
      </c>
      <c r="F349" s="398"/>
    </row>
    <row r="350" spans="1:6" ht="18" customHeight="1">
      <c r="A350" s="134" t="s">
        <v>245</v>
      </c>
      <c r="B350" s="135">
        <f>GTA!J363</f>
        <v>0</v>
      </c>
      <c r="C350" s="135" t="s">
        <v>22</v>
      </c>
      <c r="D350" s="135">
        <v>18</v>
      </c>
      <c r="E350" s="793">
        <f>B350*D350</f>
        <v>0</v>
      </c>
      <c r="F350" s="398"/>
    </row>
    <row r="351" spans="1:6" ht="18" customHeight="1">
      <c r="A351" s="284" t="s">
        <v>221</v>
      </c>
      <c r="B351" s="135">
        <f>GTA!E363</f>
        <v>0</v>
      </c>
      <c r="C351" s="135" t="s">
        <v>22</v>
      </c>
      <c r="D351" s="135">
        <v>18</v>
      </c>
      <c r="E351" s="793">
        <f t="shared" si="10"/>
        <v>0</v>
      </c>
      <c r="F351" s="398"/>
    </row>
    <row r="352" spans="1:6" ht="18" customHeight="1">
      <c r="A352" s="134" t="s">
        <v>326</v>
      </c>
      <c r="B352" s="135">
        <f>GTA!G363</f>
        <v>0</v>
      </c>
      <c r="C352" s="135" t="s">
        <v>22</v>
      </c>
      <c r="D352" s="135">
        <v>18</v>
      </c>
      <c r="E352" s="793">
        <f t="shared" si="10"/>
        <v>0</v>
      </c>
      <c r="F352" s="398"/>
    </row>
    <row r="353" spans="1:6" ht="18" customHeight="1">
      <c r="A353" s="134" t="s">
        <v>327</v>
      </c>
      <c r="B353" s="135">
        <f>GTA!H363</f>
        <v>0</v>
      </c>
      <c r="C353" s="135" t="s">
        <v>22</v>
      </c>
      <c r="D353" s="135">
        <v>18</v>
      </c>
      <c r="E353" s="793">
        <f t="shared" si="10"/>
        <v>0</v>
      </c>
      <c r="F353" s="398"/>
    </row>
    <row r="354" spans="1:6" ht="18" customHeight="1">
      <c r="A354" s="134" t="s">
        <v>328</v>
      </c>
      <c r="B354" s="135">
        <f>GTA!I352</f>
        <v>0</v>
      </c>
      <c r="C354" s="135" t="s">
        <v>22</v>
      </c>
      <c r="D354" s="135">
        <v>18</v>
      </c>
      <c r="E354" s="793">
        <f>B354*D354</f>
        <v>0</v>
      </c>
      <c r="F354" s="398"/>
    </row>
    <row r="355" spans="1:6" ht="18" customHeight="1">
      <c r="A355" s="284" t="s">
        <v>329</v>
      </c>
      <c r="B355" s="135">
        <f>GTA!K363</f>
        <v>0</v>
      </c>
      <c r="C355" s="135" t="s">
        <v>22</v>
      </c>
      <c r="D355" s="135">
        <v>18</v>
      </c>
      <c r="E355" s="793">
        <f t="shared" si="10"/>
        <v>0</v>
      </c>
      <c r="F355" s="398"/>
    </row>
    <row r="356" spans="1:6" ht="18" customHeight="1">
      <c r="A356" s="134" t="s">
        <v>330</v>
      </c>
      <c r="B356" s="135">
        <f>GTA!L363</f>
        <v>0</v>
      </c>
      <c r="C356" s="135" t="s">
        <v>22</v>
      </c>
      <c r="D356" s="135">
        <v>18</v>
      </c>
      <c r="E356" s="793">
        <f t="shared" si="10"/>
        <v>0</v>
      </c>
      <c r="F356" s="398"/>
    </row>
    <row r="357" spans="1:6" ht="18" customHeight="1">
      <c r="A357" s="134" t="s">
        <v>237</v>
      </c>
      <c r="B357" s="135">
        <f>GTA!M363</f>
        <v>0</v>
      </c>
      <c r="C357" s="135" t="s">
        <v>22</v>
      </c>
      <c r="D357" s="135">
        <v>18</v>
      </c>
      <c r="E357" s="793">
        <f t="shared" si="10"/>
        <v>0</v>
      </c>
      <c r="F357" s="398"/>
    </row>
    <row r="358" spans="1:6" ht="18" customHeight="1">
      <c r="A358" s="441"/>
      <c r="B358" s="432"/>
      <c r="C358" s="432"/>
      <c r="D358" s="432"/>
      <c r="E358" s="801"/>
      <c r="F358" s="398"/>
    </row>
    <row r="359" spans="1:6" ht="18" customHeight="1">
      <c r="A359" s="431" t="s">
        <v>331</v>
      </c>
      <c r="B359" s="431">
        <f>SUM(B346:B358)</f>
        <v>0</v>
      </c>
      <c r="C359" s="432"/>
      <c r="D359" s="432"/>
      <c r="E359" s="801"/>
      <c r="F359" s="398"/>
    </row>
    <row r="360" spans="1:6" ht="18" customHeight="1">
      <c r="A360" s="408"/>
      <c r="B360" s="409"/>
      <c r="C360" s="409"/>
      <c r="D360" s="409"/>
      <c r="E360" s="797"/>
      <c r="F360" s="398"/>
    </row>
    <row r="361" spans="1:6" ht="18" customHeight="1">
      <c r="A361" s="418" t="s">
        <v>332</v>
      </c>
      <c r="B361" s="419"/>
      <c r="C361" s="419"/>
      <c r="D361" s="419"/>
      <c r="E361" s="794"/>
      <c r="F361" s="398"/>
    </row>
    <row r="362" spans="1:6" ht="18" customHeight="1">
      <c r="A362" s="134" t="s">
        <v>323</v>
      </c>
      <c r="B362" s="135">
        <f>GTA!C93</f>
        <v>0</v>
      </c>
      <c r="C362" s="135" t="s">
        <v>22</v>
      </c>
      <c r="D362" s="135">
        <v>16.649999999999999</v>
      </c>
      <c r="E362" s="793">
        <f>B362*D362</f>
        <v>0</v>
      </c>
      <c r="F362" s="398"/>
    </row>
    <row r="363" spans="1:6" ht="18" customHeight="1">
      <c r="A363" s="134" t="s">
        <v>333</v>
      </c>
      <c r="B363" s="347">
        <f>GTA!D93</f>
        <v>0</v>
      </c>
      <c r="C363" s="347" t="s">
        <v>22</v>
      </c>
      <c r="D363" s="347">
        <v>16.649999999999999</v>
      </c>
      <c r="E363" s="802">
        <f>D363*B363</f>
        <v>0</v>
      </c>
      <c r="F363" s="398"/>
    </row>
    <row r="364" spans="1:6" ht="18" customHeight="1">
      <c r="A364" s="284" t="s">
        <v>334</v>
      </c>
      <c r="B364" s="347">
        <f>GTA!E93</f>
        <v>0</v>
      </c>
      <c r="C364" s="347" t="s">
        <v>22</v>
      </c>
      <c r="D364" s="347">
        <v>16.649999999999999</v>
      </c>
      <c r="E364" s="802">
        <f>D364*B364</f>
        <v>0</v>
      </c>
      <c r="F364" s="398"/>
    </row>
    <row r="365" spans="1:6" ht="18" customHeight="1">
      <c r="A365" s="284" t="s">
        <v>335</v>
      </c>
      <c r="B365" s="347">
        <f>GTA!F93</f>
        <v>0</v>
      </c>
      <c r="C365" s="347" t="s">
        <v>22</v>
      </c>
      <c r="D365" s="347">
        <v>16.649999999999999</v>
      </c>
      <c r="E365" s="802">
        <f>D365*B365</f>
        <v>0</v>
      </c>
      <c r="F365" s="398"/>
    </row>
    <row r="366" spans="1:6" ht="18" customHeight="1">
      <c r="A366" s="284" t="s">
        <v>336</v>
      </c>
      <c r="B366" s="347">
        <f>GTA!G93</f>
        <v>0</v>
      </c>
      <c r="C366" s="347" t="s">
        <v>22</v>
      </c>
      <c r="D366" s="347">
        <v>16.649999999999999</v>
      </c>
      <c r="E366" s="802">
        <f>D366*B366</f>
        <v>0</v>
      </c>
      <c r="F366" s="398"/>
    </row>
    <row r="367" spans="1:6" ht="18" customHeight="1">
      <c r="A367" s="627"/>
      <c r="B367" s="347"/>
      <c r="C367" s="347"/>
      <c r="D367" s="347"/>
      <c r="E367" s="802"/>
      <c r="F367" s="398"/>
    </row>
    <row r="368" spans="1:6" ht="18" customHeight="1">
      <c r="A368" s="441"/>
      <c r="B368" s="432"/>
      <c r="C368" s="432"/>
      <c r="D368" s="432"/>
      <c r="E368" s="801"/>
      <c r="F368" s="398"/>
    </row>
    <row r="369" spans="1:6" ht="18" customHeight="1">
      <c r="A369" s="431" t="s">
        <v>332</v>
      </c>
      <c r="B369" s="431">
        <f>SUM(B361:B368)</f>
        <v>0</v>
      </c>
      <c r="C369" s="432"/>
      <c r="D369" s="432"/>
      <c r="E369" s="801"/>
      <c r="F369" s="398"/>
    </row>
    <row r="370" spans="1:6" ht="18" customHeight="1">
      <c r="A370" s="408"/>
      <c r="B370" s="409"/>
      <c r="C370" s="409"/>
      <c r="D370" s="409"/>
      <c r="E370" s="797"/>
      <c r="F370" s="398"/>
    </row>
    <row r="371" spans="1:6" ht="18" customHeight="1">
      <c r="A371" s="136"/>
      <c r="B371" s="135"/>
      <c r="C371" s="135"/>
      <c r="D371" s="135"/>
      <c r="E371" s="793"/>
      <c r="F371" s="398"/>
    </row>
    <row r="372" spans="1:6" ht="18" customHeight="1">
      <c r="A372" s="418" t="s">
        <v>337</v>
      </c>
      <c r="B372" s="419"/>
      <c r="C372" s="419"/>
      <c r="D372" s="419"/>
      <c r="E372" s="794"/>
      <c r="F372" s="398"/>
    </row>
    <row r="373" spans="1:6" ht="18" customHeight="1">
      <c r="A373" s="134" t="s">
        <v>324</v>
      </c>
      <c r="B373" s="135">
        <f>GTA!C418</f>
        <v>0</v>
      </c>
      <c r="C373" s="135" t="s">
        <v>22</v>
      </c>
      <c r="D373" s="135">
        <v>20</v>
      </c>
      <c r="E373" s="793">
        <f>B373*D373</f>
        <v>0</v>
      </c>
      <c r="F373" s="398"/>
    </row>
    <row r="374" spans="1:6" ht="18" customHeight="1">
      <c r="A374" s="284" t="s">
        <v>338</v>
      </c>
      <c r="B374" s="347">
        <f>GTA!F418</f>
        <v>0</v>
      </c>
      <c r="C374" s="347" t="s">
        <v>22</v>
      </c>
      <c r="D374" s="347">
        <v>20</v>
      </c>
      <c r="E374" s="802">
        <f>D374*B374</f>
        <v>0</v>
      </c>
      <c r="F374" s="398"/>
    </row>
    <row r="375" spans="1:6" ht="18" customHeight="1">
      <c r="A375" s="627" t="s">
        <v>339</v>
      </c>
      <c r="B375" s="347">
        <f>GTA!E418</f>
        <v>0</v>
      </c>
      <c r="C375" s="347" t="s">
        <v>22</v>
      </c>
      <c r="D375" s="347">
        <v>20</v>
      </c>
      <c r="E375" s="802">
        <f>D375*B375</f>
        <v>0</v>
      </c>
      <c r="F375" s="398"/>
    </row>
    <row r="376" spans="1:6" ht="18" customHeight="1">
      <c r="A376" s="644" t="s">
        <v>340</v>
      </c>
      <c r="B376" s="645">
        <f>GTA!G418</f>
        <v>0</v>
      </c>
      <c r="C376" s="645" t="s">
        <v>22</v>
      </c>
      <c r="D376" s="645">
        <v>20</v>
      </c>
      <c r="E376" s="803">
        <f>D376*B376</f>
        <v>0</v>
      </c>
      <c r="F376" s="398"/>
    </row>
    <row r="377" spans="1:6" ht="18" customHeight="1">
      <c r="A377" s="441"/>
      <c r="B377" s="432"/>
      <c r="C377" s="432"/>
      <c r="D377" s="432"/>
      <c r="E377" s="801"/>
      <c r="F377" s="398"/>
    </row>
    <row r="378" spans="1:6" ht="18" customHeight="1">
      <c r="A378" s="431" t="s">
        <v>341</v>
      </c>
      <c r="B378" s="431">
        <f>SUM(B372:B377)</f>
        <v>0</v>
      </c>
      <c r="C378" s="432"/>
      <c r="D378" s="432"/>
      <c r="E378" s="801"/>
      <c r="F378" s="398"/>
    </row>
    <row r="379" spans="1:6" ht="18" customHeight="1">
      <c r="A379" s="408"/>
      <c r="B379" s="409"/>
      <c r="C379" s="409"/>
      <c r="D379" s="409"/>
      <c r="E379" s="797"/>
      <c r="F379" s="398"/>
    </row>
    <row r="380" spans="1:6" ht="18" customHeight="1">
      <c r="A380" s="557" t="s">
        <v>342</v>
      </c>
      <c r="B380" s="419"/>
      <c r="C380" s="419"/>
      <c r="D380" s="419"/>
      <c r="E380" s="794"/>
      <c r="F380" s="398"/>
    </row>
    <row r="381" spans="1:6" ht="18" customHeight="1">
      <c r="A381" s="134" t="s">
        <v>343</v>
      </c>
      <c r="B381" s="135">
        <f>GTA!C345</f>
        <v>0</v>
      </c>
      <c r="C381" s="135" t="s">
        <v>22</v>
      </c>
      <c r="D381" s="135">
        <v>17</v>
      </c>
      <c r="E381" s="793">
        <f>B381*D381</f>
        <v>0</v>
      </c>
      <c r="F381" s="398"/>
    </row>
    <row r="382" spans="1:6" ht="18" customHeight="1">
      <c r="A382" s="284"/>
      <c r="B382" s="135"/>
      <c r="C382" s="135" t="s">
        <v>22</v>
      </c>
      <c r="D382" s="135">
        <v>18</v>
      </c>
      <c r="E382" s="793">
        <f>B382*D382</f>
        <v>0</v>
      </c>
      <c r="F382" s="398"/>
    </row>
    <row r="383" spans="1:6" ht="18" customHeight="1">
      <c r="A383" s="134"/>
      <c r="B383" s="135"/>
      <c r="C383" s="135" t="s">
        <v>22</v>
      </c>
      <c r="D383" s="135">
        <v>18</v>
      </c>
      <c r="E383" s="793">
        <f>B383*D383</f>
        <v>0</v>
      </c>
      <c r="F383" s="398"/>
    </row>
    <row r="384" spans="1:6" ht="18" customHeight="1">
      <c r="A384" s="134"/>
      <c r="B384" s="135"/>
      <c r="C384" s="135" t="s">
        <v>22</v>
      </c>
      <c r="D384" s="135">
        <v>18</v>
      </c>
      <c r="E384" s="793">
        <f>B384*D384</f>
        <v>0</v>
      </c>
      <c r="F384" s="398"/>
    </row>
    <row r="385" spans="1:6" ht="18" customHeight="1">
      <c r="A385" s="441"/>
      <c r="B385" s="432"/>
      <c r="C385" s="432"/>
      <c r="D385" s="432"/>
      <c r="E385" s="801"/>
      <c r="F385" s="398"/>
    </row>
    <row r="386" spans="1:6" ht="18" customHeight="1">
      <c r="A386" s="431" t="s">
        <v>344</v>
      </c>
      <c r="B386" s="431">
        <f>SUM(B380:B385)</f>
        <v>0</v>
      </c>
      <c r="C386" s="432"/>
      <c r="D386" s="432"/>
      <c r="E386" s="801"/>
      <c r="F386" s="398"/>
    </row>
    <row r="387" spans="1:6" ht="18" customHeight="1">
      <c r="A387" s="408"/>
      <c r="B387" s="409"/>
      <c r="C387" s="409"/>
      <c r="D387" s="409"/>
      <c r="E387" s="797"/>
      <c r="F387" s="398"/>
    </row>
    <row r="388" spans="1:6" ht="18" customHeight="1">
      <c r="A388" s="421" t="s">
        <v>345</v>
      </c>
      <c r="B388" s="422"/>
      <c r="C388" s="422"/>
      <c r="D388" s="422"/>
      <c r="E388" s="804"/>
      <c r="F388" s="398"/>
    </row>
    <row r="389" spans="1:6" ht="18" customHeight="1">
      <c r="A389" s="134" t="s">
        <v>346</v>
      </c>
      <c r="B389" s="135">
        <f>GTA!C111</f>
        <v>0</v>
      </c>
      <c r="C389" s="135" t="s">
        <v>22</v>
      </c>
      <c r="D389" s="135">
        <v>18</v>
      </c>
      <c r="E389" s="793">
        <f>B389*D389</f>
        <v>0</v>
      </c>
      <c r="F389" s="398"/>
    </row>
    <row r="390" spans="1:6" ht="18" customHeight="1">
      <c r="A390" s="134" t="s">
        <v>347</v>
      </c>
      <c r="B390" s="135">
        <f>GTA!D111</f>
        <v>0</v>
      </c>
      <c r="C390" s="135" t="s">
        <v>22</v>
      </c>
      <c r="D390" s="135">
        <v>18</v>
      </c>
      <c r="E390" s="793">
        <f>B390*D390</f>
        <v>0</v>
      </c>
      <c r="F390" s="398"/>
    </row>
    <row r="391" spans="1:6" ht="18" customHeight="1">
      <c r="A391" s="134" t="s">
        <v>348</v>
      </c>
      <c r="B391" s="135">
        <f>GTA!E111</f>
        <v>0</v>
      </c>
      <c r="C391" s="135" t="s">
        <v>22</v>
      </c>
      <c r="D391" s="135">
        <v>18</v>
      </c>
      <c r="E391" s="793">
        <f>B391*D391</f>
        <v>0</v>
      </c>
      <c r="F391" s="398"/>
    </row>
    <row r="392" spans="1:6" ht="18" customHeight="1">
      <c r="A392" s="134" t="s">
        <v>349</v>
      </c>
      <c r="B392" s="135">
        <f>GTA!F111</f>
        <v>0</v>
      </c>
      <c r="C392" s="135" t="s">
        <v>22</v>
      </c>
      <c r="D392" s="135">
        <v>18</v>
      </c>
      <c r="E392" s="793">
        <f>B392*D392</f>
        <v>0</v>
      </c>
      <c r="F392" s="398"/>
    </row>
    <row r="393" spans="1:6" ht="18" customHeight="1">
      <c r="A393" s="423"/>
      <c r="B393" s="424"/>
      <c r="C393" s="424"/>
      <c r="D393" s="424"/>
      <c r="E393" s="805"/>
      <c r="F393" s="398"/>
    </row>
    <row r="394" spans="1:6" ht="18" customHeight="1">
      <c r="A394" s="414" t="s">
        <v>350</v>
      </c>
      <c r="B394" s="414">
        <f>SUM(B388:B393)</f>
        <v>0</v>
      </c>
      <c r="C394" s="414"/>
      <c r="D394" s="414"/>
      <c r="E394" s="806"/>
      <c r="F394" s="398"/>
    </row>
    <row r="395" spans="1:6" ht="18" customHeight="1">
      <c r="A395" s="394"/>
      <c r="B395" s="411"/>
      <c r="C395" s="411"/>
      <c r="D395" s="411"/>
      <c r="E395" s="807"/>
      <c r="F395" s="398"/>
    </row>
    <row r="396" spans="1:6" ht="18" customHeight="1">
      <c r="A396" s="418" t="s">
        <v>351</v>
      </c>
      <c r="B396" s="419"/>
      <c r="C396" s="419"/>
      <c r="D396" s="419"/>
      <c r="E396" s="794"/>
      <c r="F396" s="398"/>
    </row>
    <row r="397" spans="1:6" ht="18" customHeight="1">
      <c r="A397" s="396" t="s">
        <v>61</v>
      </c>
      <c r="B397" s="135">
        <f>GTA!C381</f>
        <v>0</v>
      </c>
      <c r="C397" s="135" t="s">
        <v>22</v>
      </c>
      <c r="D397" s="135">
        <v>20</v>
      </c>
      <c r="E397" s="793">
        <f>B397*D397</f>
        <v>0</v>
      </c>
      <c r="F397" s="398"/>
    </row>
    <row r="398" spans="1:6" ht="18" customHeight="1">
      <c r="A398" s="437"/>
      <c r="B398" s="419"/>
      <c r="C398" s="419"/>
      <c r="D398" s="419"/>
      <c r="E398" s="794"/>
      <c r="F398" s="398"/>
    </row>
    <row r="399" spans="1:6" ht="18" customHeight="1">
      <c r="A399" s="427" t="s">
        <v>352</v>
      </c>
      <c r="B399" s="415">
        <f>SUM(B396:B398)</f>
        <v>0</v>
      </c>
      <c r="C399" s="415"/>
      <c r="D399" s="415"/>
      <c r="E399" s="792"/>
      <c r="F399" s="398"/>
    </row>
    <row r="400" spans="1:6" ht="18" customHeight="1">
      <c r="A400" s="396"/>
      <c r="B400" s="135"/>
      <c r="C400" s="135"/>
      <c r="D400" s="135"/>
      <c r="E400" s="793"/>
      <c r="F400" s="398"/>
    </row>
    <row r="401" spans="1:6" ht="18" customHeight="1">
      <c r="A401" s="418" t="s">
        <v>353</v>
      </c>
      <c r="B401" s="419"/>
      <c r="C401" s="419"/>
      <c r="D401" s="419"/>
      <c r="E401" s="794"/>
      <c r="F401" s="398"/>
    </row>
    <row r="402" spans="1:6" ht="18" customHeight="1">
      <c r="A402" s="399" t="s">
        <v>354</v>
      </c>
      <c r="B402" s="135">
        <f>GTA!C237</f>
        <v>0</v>
      </c>
      <c r="C402" s="135" t="s">
        <v>22</v>
      </c>
      <c r="D402" s="135">
        <v>20</v>
      </c>
      <c r="E402" s="793">
        <f>B402*D402</f>
        <v>0</v>
      </c>
      <c r="F402" s="398"/>
    </row>
    <row r="403" spans="1:6" ht="18" customHeight="1">
      <c r="A403" s="435"/>
      <c r="B403" s="419"/>
      <c r="C403" s="419"/>
      <c r="D403" s="419"/>
      <c r="E403" s="794"/>
      <c r="F403" s="398"/>
    </row>
    <row r="404" spans="1:6" ht="18" customHeight="1">
      <c r="A404" s="418" t="s">
        <v>355</v>
      </c>
      <c r="B404" s="415">
        <f>SUM(B401:B403)</f>
        <v>0</v>
      </c>
      <c r="C404" s="415"/>
      <c r="D404" s="415"/>
      <c r="E404" s="792"/>
      <c r="F404" s="398"/>
    </row>
    <row r="405" spans="1:6" ht="18" customHeight="1">
      <c r="A405" s="399"/>
      <c r="B405" s="135"/>
      <c r="C405" s="135"/>
      <c r="D405" s="135"/>
      <c r="E405" s="793"/>
      <c r="F405" s="398"/>
    </row>
    <row r="406" spans="1:6" ht="18" customHeight="1">
      <c r="A406" s="418" t="s">
        <v>356</v>
      </c>
      <c r="B406" s="419"/>
      <c r="C406" s="419"/>
      <c r="D406" s="419"/>
      <c r="E406" s="794"/>
      <c r="F406" s="398"/>
    </row>
    <row r="407" spans="1:6" ht="18" customHeight="1">
      <c r="A407" s="397" t="s">
        <v>357</v>
      </c>
      <c r="B407" s="135">
        <f>'OUTSIDE GTA'!C233+'OUTSIDE GTA'!AD233</f>
        <v>0</v>
      </c>
      <c r="C407" s="135" t="s">
        <v>22</v>
      </c>
      <c r="D407" s="135">
        <v>16.649999999999999</v>
      </c>
      <c r="E407" s="793">
        <f t="shared" ref="E407:E423" si="11">B407*D407</f>
        <v>0</v>
      </c>
      <c r="F407" s="398"/>
    </row>
    <row r="408" spans="1:6" ht="18" customHeight="1">
      <c r="A408" s="397" t="s">
        <v>358</v>
      </c>
      <c r="B408" s="135">
        <f>'OUTSIDE GTA'!D233</f>
        <v>0</v>
      </c>
      <c r="C408" s="135" t="s">
        <v>22</v>
      </c>
      <c r="D408" s="135">
        <v>16.649999999999999</v>
      </c>
      <c r="E408" s="793">
        <f t="shared" si="11"/>
        <v>0</v>
      </c>
      <c r="F408" s="398"/>
    </row>
    <row r="409" spans="1:6" ht="18" customHeight="1">
      <c r="A409" s="397" t="s">
        <v>359</v>
      </c>
      <c r="B409" s="135">
        <f>'OUTSIDE GTA'!V233</f>
        <v>0</v>
      </c>
      <c r="C409" s="135" t="s">
        <v>22</v>
      </c>
      <c r="D409" s="135">
        <v>16.649999999999999</v>
      </c>
      <c r="E409" s="793">
        <f>B409*D409</f>
        <v>0</v>
      </c>
      <c r="F409" s="398"/>
    </row>
    <row r="410" spans="1:6" ht="18" customHeight="1">
      <c r="A410" s="134" t="s">
        <v>360</v>
      </c>
      <c r="B410" s="135">
        <f>'OUTSIDE GTA'!E233</f>
        <v>0</v>
      </c>
      <c r="C410" s="135" t="s">
        <v>22</v>
      </c>
      <c r="D410" s="135">
        <v>16.649999999999999</v>
      </c>
      <c r="E410" s="793">
        <f t="shared" si="11"/>
        <v>0</v>
      </c>
      <c r="F410" s="398"/>
    </row>
    <row r="411" spans="1:6" ht="18" customHeight="1">
      <c r="A411" s="400" t="s">
        <v>361</v>
      </c>
      <c r="B411" s="135">
        <f>'OUTSIDE GTA'!F233</f>
        <v>0</v>
      </c>
      <c r="C411" s="135" t="s">
        <v>22</v>
      </c>
      <c r="D411" s="135">
        <v>16.649999999999999</v>
      </c>
      <c r="E411" s="793">
        <f t="shared" si="11"/>
        <v>0</v>
      </c>
      <c r="F411" s="398"/>
    </row>
    <row r="412" spans="1:6" ht="18" customHeight="1">
      <c r="A412" s="400" t="s">
        <v>362</v>
      </c>
      <c r="B412" s="135">
        <f>'OUTSIDE GTA'!H233</f>
        <v>0</v>
      </c>
      <c r="C412" s="135" t="s">
        <v>22</v>
      </c>
      <c r="D412" s="135">
        <v>16.649999999999999</v>
      </c>
      <c r="E412" s="793">
        <f>B412*D412</f>
        <v>0</v>
      </c>
      <c r="F412" s="398"/>
    </row>
    <row r="413" spans="1:6" ht="18" customHeight="1">
      <c r="A413" s="400" t="s">
        <v>363</v>
      </c>
      <c r="B413" s="135">
        <f>'OUTSIDE GTA'!G233</f>
        <v>0</v>
      </c>
      <c r="C413" s="135" t="s">
        <v>22</v>
      </c>
      <c r="D413" s="135">
        <v>16.649999999999999</v>
      </c>
      <c r="E413" s="793">
        <f>B413*D413</f>
        <v>0</v>
      </c>
      <c r="F413" s="398"/>
    </row>
    <row r="414" spans="1:6" ht="18" customHeight="1">
      <c r="A414" s="400" t="s">
        <v>364</v>
      </c>
      <c r="B414" s="135">
        <f>'OUTSIDE GTA'!I233</f>
        <v>0</v>
      </c>
      <c r="C414" s="135" t="s">
        <v>22</v>
      </c>
      <c r="D414" s="135">
        <v>16.649999999999999</v>
      </c>
      <c r="E414" s="793">
        <f t="shared" si="11"/>
        <v>0</v>
      </c>
      <c r="F414" s="398"/>
    </row>
    <row r="415" spans="1:6" ht="18" customHeight="1">
      <c r="A415" s="397" t="s">
        <v>365</v>
      </c>
      <c r="B415" s="135">
        <f>'OUTSIDE GTA'!J233</f>
        <v>0</v>
      </c>
      <c r="C415" s="135" t="s">
        <v>22</v>
      </c>
      <c r="D415" s="135">
        <v>16.649999999999999</v>
      </c>
      <c r="E415" s="793">
        <f t="shared" si="11"/>
        <v>0</v>
      </c>
      <c r="F415" s="398"/>
    </row>
    <row r="416" spans="1:6" ht="18" customHeight="1">
      <c r="A416" s="397" t="s">
        <v>366</v>
      </c>
      <c r="B416" s="135">
        <f>'OUTSIDE GTA'!K233</f>
        <v>0</v>
      </c>
      <c r="C416" s="135" t="s">
        <v>22</v>
      </c>
      <c r="D416" s="135">
        <v>16.649999999999999</v>
      </c>
      <c r="E416" s="793">
        <f t="shared" si="11"/>
        <v>0</v>
      </c>
      <c r="F416" s="398"/>
    </row>
    <row r="417" spans="1:6" ht="18" customHeight="1">
      <c r="A417" s="284" t="s">
        <v>367</v>
      </c>
      <c r="B417" s="135">
        <f>'OUTSIDE GTA'!L233+'OUTSIDE GTA'!AE233</f>
        <v>0</v>
      </c>
      <c r="C417" s="135" t="s">
        <v>22</v>
      </c>
      <c r="D417" s="135">
        <v>16.649999999999999</v>
      </c>
      <c r="E417" s="793">
        <f t="shared" si="11"/>
        <v>0</v>
      </c>
      <c r="F417" s="398"/>
    </row>
    <row r="418" spans="1:6" ht="18" customHeight="1">
      <c r="A418" s="397" t="s">
        <v>368</v>
      </c>
      <c r="B418" s="135">
        <f>'OUTSIDE GTA'!M233</f>
        <v>0</v>
      </c>
      <c r="C418" s="135" t="s">
        <v>22</v>
      </c>
      <c r="D418" s="135">
        <v>16.649999999999999</v>
      </c>
      <c r="E418" s="793">
        <f t="shared" si="11"/>
        <v>0</v>
      </c>
      <c r="F418" s="398"/>
    </row>
    <row r="419" spans="1:6" ht="18" customHeight="1">
      <c r="A419" s="397" t="s">
        <v>236</v>
      </c>
      <c r="B419" s="135">
        <f>'OUTSIDE GTA'!Q233</f>
        <v>0</v>
      </c>
      <c r="C419" s="135" t="s">
        <v>22</v>
      </c>
      <c r="D419" s="135">
        <v>16.649999999999999</v>
      </c>
      <c r="E419" s="793">
        <f>B419*D419</f>
        <v>0</v>
      </c>
      <c r="F419" s="398"/>
    </row>
    <row r="420" spans="1:6" ht="18" customHeight="1">
      <c r="A420" s="134" t="s">
        <v>369</v>
      </c>
      <c r="B420" s="135">
        <f>'OUTSIDE GTA'!O233</f>
        <v>0</v>
      </c>
      <c r="C420" s="135" t="s">
        <v>22</v>
      </c>
      <c r="D420" s="135">
        <v>16.649999999999999</v>
      </c>
      <c r="E420" s="793">
        <f t="shared" si="11"/>
        <v>0</v>
      </c>
      <c r="F420" s="398"/>
    </row>
    <row r="421" spans="1:6" ht="18" customHeight="1">
      <c r="A421" s="134" t="s">
        <v>370</v>
      </c>
      <c r="B421" s="135">
        <f>'OUTSIDE GTA'!P233</f>
        <v>0</v>
      </c>
      <c r="C421" s="135" t="s">
        <v>22</v>
      </c>
      <c r="D421" s="135">
        <v>16.649999999999999</v>
      </c>
      <c r="E421" s="793">
        <f t="shared" si="11"/>
        <v>0</v>
      </c>
      <c r="F421" s="398"/>
    </row>
    <row r="422" spans="1:6" ht="18" customHeight="1">
      <c r="A422" s="134" t="s">
        <v>371</v>
      </c>
      <c r="B422" s="135">
        <f>'OUTSIDE GTA'!R233</f>
        <v>0</v>
      </c>
      <c r="C422" s="135" t="s">
        <v>22</v>
      </c>
      <c r="D422" s="135">
        <v>16.649999999999999</v>
      </c>
      <c r="E422" s="793">
        <f>B422*D422</f>
        <v>0</v>
      </c>
      <c r="F422" s="398"/>
    </row>
    <row r="423" spans="1:6" ht="18" customHeight="1">
      <c r="A423" s="136" t="s">
        <v>372</v>
      </c>
      <c r="B423" s="135">
        <f>'OUTSIDE GTA'!S233</f>
        <v>0</v>
      </c>
      <c r="C423" s="135" t="s">
        <v>22</v>
      </c>
      <c r="D423" s="135">
        <v>16.649999999999999</v>
      </c>
      <c r="E423" s="793">
        <f t="shared" si="11"/>
        <v>0</v>
      </c>
      <c r="F423" s="398"/>
    </row>
    <row r="424" spans="1:6" ht="18" customHeight="1">
      <c r="A424" s="136" t="s">
        <v>373</v>
      </c>
      <c r="B424" s="135">
        <f>'OUTSIDE GTA'!T233</f>
        <v>0</v>
      </c>
      <c r="C424" s="135" t="s">
        <v>22</v>
      </c>
      <c r="D424" s="135">
        <v>16.649999999999999</v>
      </c>
      <c r="E424" s="793">
        <f>B424*D424</f>
        <v>0</v>
      </c>
      <c r="F424" s="398"/>
    </row>
    <row r="425" spans="1:6" ht="18" customHeight="1">
      <c r="A425" s="136" t="s">
        <v>374</v>
      </c>
      <c r="B425" s="135">
        <f>'OUTSIDE GTA'!U233</f>
        <v>0</v>
      </c>
      <c r="C425" s="135" t="s">
        <v>22</v>
      </c>
      <c r="D425" s="135">
        <v>16.649999999999999</v>
      </c>
      <c r="E425" s="793">
        <f>B425*D425</f>
        <v>0</v>
      </c>
      <c r="F425" s="398"/>
    </row>
    <row r="426" spans="1:6" ht="18" customHeight="1">
      <c r="A426" s="136" t="s">
        <v>375</v>
      </c>
      <c r="B426" s="135">
        <f>'OUTSIDE GTA'!N233+'OUTSIDE GTA'!AI233</f>
        <v>0</v>
      </c>
      <c r="C426" s="135" t="s">
        <v>22</v>
      </c>
      <c r="D426" s="135">
        <v>16.649999999999999</v>
      </c>
      <c r="E426" s="793">
        <f>B426*D426</f>
        <v>0</v>
      </c>
      <c r="F426" s="398"/>
    </row>
    <row r="427" spans="1:6" ht="18" customHeight="1">
      <c r="A427" s="439"/>
      <c r="B427" s="419"/>
      <c r="C427" s="419"/>
      <c r="D427" s="419"/>
      <c r="E427" s="794"/>
      <c r="F427" s="398"/>
    </row>
    <row r="428" spans="1:6" ht="18" customHeight="1">
      <c r="A428" s="418" t="s">
        <v>376</v>
      </c>
      <c r="B428" s="415">
        <f>SUM(B406:B427)</f>
        <v>0</v>
      </c>
      <c r="C428" s="415"/>
      <c r="D428" s="415"/>
      <c r="E428" s="792"/>
      <c r="F428" s="398"/>
    </row>
    <row r="429" spans="1:6" ht="18" customHeight="1">
      <c r="A429" s="397"/>
      <c r="B429" s="135"/>
      <c r="C429" s="135"/>
      <c r="D429" s="135"/>
      <c r="E429" s="793"/>
      <c r="F429" s="398"/>
    </row>
    <row r="430" spans="1:6" ht="18" customHeight="1">
      <c r="A430" s="429" t="s">
        <v>377</v>
      </c>
      <c r="B430" s="419"/>
      <c r="C430" s="419"/>
      <c r="D430" s="419"/>
      <c r="E430" s="794"/>
      <c r="F430" s="398"/>
    </row>
    <row r="431" spans="1:6" ht="18" customHeight="1">
      <c r="A431" s="396" t="s">
        <v>324</v>
      </c>
      <c r="B431" s="135">
        <f>GTA!C255</f>
        <v>0</v>
      </c>
      <c r="C431" s="135" t="s">
        <v>22</v>
      </c>
      <c r="D431" s="135">
        <v>16.649999999999999</v>
      </c>
      <c r="E431" s="793">
        <f t="shared" ref="E431:E464" si="12">B431*D431</f>
        <v>0</v>
      </c>
      <c r="F431" s="398"/>
    </row>
    <row r="432" spans="1:6" s="529" customFormat="1" ht="18" customHeight="1">
      <c r="A432" s="517" t="s">
        <v>378</v>
      </c>
      <c r="B432" s="481">
        <f>GTA!D255</f>
        <v>0</v>
      </c>
      <c r="C432" s="481" t="s">
        <v>22</v>
      </c>
      <c r="D432" s="481">
        <v>16.649999999999999</v>
      </c>
      <c r="E432" s="796">
        <f>B432*D432</f>
        <v>0</v>
      </c>
      <c r="F432" s="563"/>
    </row>
    <row r="433" spans="1:6" ht="18" customHeight="1">
      <c r="A433" s="396" t="s">
        <v>323</v>
      </c>
      <c r="B433" s="135">
        <f>GTA!N255</f>
        <v>0</v>
      </c>
      <c r="C433" s="135" t="s">
        <v>22</v>
      </c>
      <c r="D433" s="135">
        <v>16.649999999999999</v>
      </c>
      <c r="E433" s="793">
        <f>B433*D433</f>
        <v>0</v>
      </c>
      <c r="F433" s="398"/>
    </row>
    <row r="434" spans="1:6" ht="18" customHeight="1">
      <c r="A434" s="396" t="s">
        <v>389</v>
      </c>
      <c r="B434" s="135">
        <f>GTA!O255</f>
        <v>0</v>
      </c>
      <c r="C434" s="135" t="s">
        <v>22</v>
      </c>
      <c r="D434" s="135">
        <v>16.649999999999999</v>
      </c>
      <c r="E434" s="793">
        <f>B434*D434</f>
        <v>0</v>
      </c>
      <c r="F434" s="398"/>
    </row>
    <row r="435" spans="1:6" ht="18" customHeight="1">
      <c r="A435" s="396" t="s">
        <v>388</v>
      </c>
      <c r="B435" s="135">
        <f>GTA!P255</f>
        <v>0</v>
      </c>
      <c r="C435" s="135" t="s">
        <v>22</v>
      </c>
      <c r="D435" s="135">
        <v>16.649999999999999</v>
      </c>
      <c r="E435" s="793">
        <f>B435*D435</f>
        <v>0</v>
      </c>
      <c r="F435" s="398"/>
    </row>
    <row r="436" spans="1:6" ht="18" customHeight="1">
      <c r="A436" s="134" t="s">
        <v>379</v>
      </c>
      <c r="B436" s="135">
        <f>GTA!E255</f>
        <v>0</v>
      </c>
      <c r="C436" s="135" t="s">
        <v>22</v>
      </c>
      <c r="D436" s="135">
        <v>16.649999999999999</v>
      </c>
      <c r="E436" s="793">
        <f t="shared" si="12"/>
        <v>0</v>
      </c>
      <c r="F436" s="398"/>
    </row>
    <row r="437" spans="1:6" ht="18" customHeight="1">
      <c r="A437" s="270" t="s">
        <v>210</v>
      </c>
      <c r="B437" s="135">
        <f>GTA!F255</f>
        <v>0</v>
      </c>
      <c r="C437" s="135" t="s">
        <v>22</v>
      </c>
      <c r="D437" s="135">
        <v>16.649999999999999</v>
      </c>
      <c r="E437" s="793">
        <f t="shared" si="12"/>
        <v>0</v>
      </c>
      <c r="F437" s="398"/>
    </row>
    <row r="438" spans="1:6" ht="18" customHeight="1">
      <c r="A438" s="134" t="s">
        <v>323</v>
      </c>
      <c r="B438" s="135">
        <f>GTA!L255</f>
        <v>0</v>
      </c>
      <c r="C438" s="135" t="s">
        <v>22</v>
      </c>
      <c r="D438" s="135">
        <v>16.649999999999999</v>
      </c>
      <c r="E438" s="793">
        <f t="shared" si="12"/>
        <v>0</v>
      </c>
      <c r="F438" s="398"/>
    </row>
    <row r="439" spans="1:6" s="529" customFormat="1" ht="18" customHeight="1">
      <c r="A439" s="512" t="s">
        <v>391</v>
      </c>
      <c r="B439" s="481">
        <f>GTA!G255</f>
        <v>0</v>
      </c>
      <c r="C439" s="481" t="s">
        <v>22</v>
      </c>
      <c r="D439" s="481">
        <v>16.649999999999999</v>
      </c>
      <c r="E439" s="796">
        <f>B439*D439</f>
        <v>0</v>
      </c>
      <c r="F439" s="563"/>
    </row>
    <row r="440" spans="1:6" ht="18" customHeight="1">
      <c r="A440" s="270" t="s">
        <v>383</v>
      </c>
      <c r="B440" s="135">
        <f>GTA!I255</f>
        <v>0</v>
      </c>
      <c r="C440" s="135" t="s">
        <v>22</v>
      </c>
      <c r="D440" s="135">
        <v>16.649999999999999</v>
      </c>
      <c r="E440" s="793">
        <f>B440*D440</f>
        <v>0</v>
      </c>
      <c r="F440" s="398"/>
    </row>
    <row r="441" spans="1:6" ht="18" customHeight="1">
      <c r="A441" s="134" t="s">
        <v>245</v>
      </c>
      <c r="B441" s="135">
        <f>GTA!Q255</f>
        <v>0</v>
      </c>
      <c r="C441" s="135" t="s">
        <v>22</v>
      </c>
      <c r="D441" s="135">
        <v>16.649999999999999</v>
      </c>
      <c r="E441" s="793">
        <f t="shared" si="12"/>
        <v>0</v>
      </c>
      <c r="F441" s="398"/>
    </row>
    <row r="442" spans="1:6" ht="18" customHeight="1">
      <c r="A442" s="134" t="s">
        <v>399</v>
      </c>
      <c r="B442" s="135">
        <f>GTA!H255</f>
        <v>0</v>
      </c>
      <c r="C442" s="135" t="s">
        <v>22</v>
      </c>
      <c r="D442" s="135">
        <v>16.649999999999999</v>
      </c>
      <c r="E442" s="793">
        <f>B442*D442</f>
        <v>0</v>
      </c>
      <c r="F442" s="398"/>
    </row>
    <row r="443" spans="1:6" ht="18" customHeight="1">
      <c r="A443" s="134" t="s">
        <v>221</v>
      </c>
      <c r="B443" s="135">
        <f>GTA!M255</f>
        <v>0</v>
      </c>
      <c r="C443" s="135" t="s">
        <v>22</v>
      </c>
      <c r="D443" s="135">
        <v>16.649999999999999</v>
      </c>
      <c r="E443" s="793">
        <f t="shared" si="12"/>
        <v>0</v>
      </c>
      <c r="F443" s="398"/>
    </row>
    <row r="444" spans="1:6" ht="18" customHeight="1">
      <c r="A444" s="134" t="s">
        <v>382</v>
      </c>
      <c r="B444" s="135">
        <f>GTA!J255</f>
        <v>0</v>
      </c>
      <c r="C444" s="135" t="s">
        <v>22</v>
      </c>
      <c r="D444" s="135">
        <v>16.649999999999999</v>
      </c>
      <c r="E444" s="793">
        <f>B444*D444</f>
        <v>0</v>
      </c>
      <c r="F444" s="398"/>
    </row>
    <row r="445" spans="1:6" s="529" customFormat="1" ht="18" customHeight="1">
      <c r="A445" s="512" t="s">
        <v>381</v>
      </c>
      <c r="B445" s="481">
        <f>GTA!K255</f>
        <v>0</v>
      </c>
      <c r="C445" s="481" t="s">
        <v>22</v>
      </c>
      <c r="D445" s="481">
        <v>16.649999999999999</v>
      </c>
      <c r="E445" s="796">
        <f>B445*D445</f>
        <v>0</v>
      </c>
      <c r="F445" s="563"/>
    </row>
    <row r="446" spans="1:6" ht="18" customHeight="1">
      <c r="A446" s="270" t="s">
        <v>384</v>
      </c>
      <c r="B446" s="135">
        <f>GTA!R255</f>
        <v>0</v>
      </c>
      <c r="C446" s="135" t="s">
        <v>22</v>
      </c>
      <c r="D446" s="135">
        <v>16.649999999999999</v>
      </c>
      <c r="E446" s="793">
        <f t="shared" si="12"/>
        <v>0</v>
      </c>
      <c r="F446" s="398"/>
    </row>
    <row r="447" spans="1:6" ht="18" customHeight="1">
      <c r="A447" s="270" t="s">
        <v>385</v>
      </c>
      <c r="B447" s="135">
        <f>GTA!S255</f>
        <v>0</v>
      </c>
      <c r="C447" s="135" t="s">
        <v>22</v>
      </c>
      <c r="D447" s="135">
        <v>16.649999999999999</v>
      </c>
      <c r="E447" s="793">
        <f t="shared" si="12"/>
        <v>0</v>
      </c>
      <c r="F447" s="398"/>
    </row>
    <row r="448" spans="1:6" s="529" customFormat="1" ht="18" customHeight="1">
      <c r="A448" s="768" t="s">
        <v>397</v>
      </c>
      <c r="B448" s="481">
        <f>GTA!W255</f>
        <v>0</v>
      </c>
      <c r="C448" s="481" t="s">
        <v>22</v>
      </c>
      <c r="D448" s="481">
        <v>16.649999999999999</v>
      </c>
      <c r="E448" s="796">
        <f>B448*D448</f>
        <v>0</v>
      </c>
      <c r="F448" s="563"/>
    </row>
    <row r="449" spans="1:6" s="529" customFormat="1" ht="18" customHeight="1">
      <c r="A449" s="512" t="s">
        <v>392</v>
      </c>
      <c r="B449" s="481">
        <f>GTA!U255</f>
        <v>0</v>
      </c>
      <c r="C449" s="481" t="s">
        <v>22</v>
      </c>
      <c r="D449" s="481">
        <v>16.649999999999999</v>
      </c>
      <c r="E449" s="796">
        <f>B449*D449</f>
        <v>0</v>
      </c>
      <c r="F449" s="563"/>
    </row>
    <row r="450" spans="1:6" ht="18" customHeight="1">
      <c r="A450" s="270" t="s">
        <v>387</v>
      </c>
      <c r="B450" s="135">
        <f>GTA!X255</f>
        <v>0</v>
      </c>
      <c r="C450" s="135" t="s">
        <v>22</v>
      </c>
      <c r="D450" s="135">
        <v>16.649999999999999</v>
      </c>
      <c r="E450" s="793">
        <f>B450*D450</f>
        <v>0</v>
      </c>
      <c r="F450" s="398"/>
    </row>
    <row r="451" spans="1:6" ht="18" customHeight="1">
      <c r="A451" s="134" t="s">
        <v>329</v>
      </c>
      <c r="B451" s="135">
        <f>GTA!T255</f>
        <v>0</v>
      </c>
      <c r="C451" s="135" t="s">
        <v>22</v>
      </c>
      <c r="D451" s="135">
        <v>16.649999999999999</v>
      </c>
      <c r="E451" s="793">
        <f t="shared" si="12"/>
        <v>0</v>
      </c>
      <c r="F451" s="398"/>
    </row>
    <row r="452" spans="1:6" ht="18" customHeight="1">
      <c r="A452" s="134" t="s">
        <v>246</v>
      </c>
      <c r="B452" s="135">
        <f>GTA!Y255</f>
        <v>0</v>
      </c>
      <c r="C452" s="135" t="s">
        <v>22</v>
      </c>
      <c r="D452" s="135">
        <v>16.649999999999999</v>
      </c>
      <c r="E452" s="793">
        <f t="shared" si="12"/>
        <v>0</v>
      </c>
      <c r="F452" s="398"/>
    </row>
    <row r="453" spans="1:6" ht="18" customHeight="1">
      <c r="A453" s="134" t="s">
        <v>390</v>
      </c>
      <c r="B453" s="135">
        <f>GTA!Z255</f>
        <v>0</v>
      </c>
      <c r="C453" s="135" t="s">
        <v>22</v>
      </c>
      <c r="D453" s="135">
        <v>16.649999999999999</v>
      </c>
      <c r="E453" s="793">
        <f>B453*D453</f>
        <v>0</v>
      </c>
      <c r="F453" s="398"/>
    </row>
    <row r="454" spans="1:6" ht="18" customHeight="1">
      <c r="A454" s="134" t="s">
        <v>393</v>
      </c>
      <c r="B454" s="135">
        <f>GTA!AB255</f>
        <v>0</v>
      </c>
      <c r="C454" s="135" t="s">
        <v>22</v>
      </c>
      <c r="D454" s="135">
        <v>16.649999999999999</v>
      </c>
      <c r="E454" s="793">
        <f>B454*D454</f>
        <v>0</v>
      </c>
      <c r="F454" s="398"/>
    </row>
    <row r="455" spans="1:6" ht="18" customHeight="1">
      <c r="A455" s="138" t="s">
        <v>394</v>
      </c>
      <c r="B455" s="135">
        <f>GTA!AC255</f>
        <v>0</v>
      </c>
      <c r="C455" s="135" t="s">
        <v>22</v>
      </c>
      <c r="D455" s="135">
        <v>16.649999999999999</v>
      </c>
      <c r="E455" s="793">
        <f t="shared" si="12"/>
        <v>0</v>
      </c>
      <c r="F455" s="398"/>
    </row>
    <row r="456" spans="1:6" ht="18" customHeight="1">
      <c r="A456" s="270" t="s">
        <v>210</v>
      </c>
      <c r="B456" s="135">
        <f>GTA!AD255</f>
        <v>0</v>
      </c>
      <c r="C456" s="135" t="s">
        <v>22</v>
      </c>
      <c r="D456" s="135">
        <v>16.649999999999999</v>
      </c>
      <c r="E456" s="793">
        <f t="shared" si="12"/>
        <v>0</v>
      </c>
      <c r="F456" s="398"/>
    </row>
    <row r="457" spans="1:6" ht="18" customHeight="1">
      <c r="A457" s="138" t="s">
        <v>338</v>
      </c>
      <c r="B457" s="135">
        <f>GTA!AE255</f>
        <v>0</v>
      </c>
      <c r="C457" s="135" t="s">
        <v>22</v>
      </c>
      <c r="D457" s="135">
        <v>16.649999999999999</v>
      </c>
      <c r="E457" s="793">
        <f t="shared" si="12"/>
        <v>0</v>
      </c>
      <c r="F457" s="398"/>
    </row>
    <row r="458" spans="1:6" ht="18" customHeight="1">
      <c r="A458" s="134" t="s">
        <v>21</v>
      </c>
      <c r="B458" s="135">
        <f>GTA!AF255</f>
        <v>0</v>
      </c>
      <c r="C458" s="135" t="s">
        <v>22</v>
      </c>
      <c r="D458" s="135">
        <v>16.649999999999999</v>
      </c>
      <c r="E458" s="793">
        <f t="shared" si="12"/>
        <v>0</v>
      </c>
      <c r="F458" s="398"/>
    </row>
    <row r="459" spans="1:6" s="529" customFormat="1" ht="18" customHeight="1">
      <c r="A459" s="512" t="s">
        <v>395</v>
      </c>
      <c r="B459" s="481">
        <f>GTA!AG255</f>
        <v>0</v>
      </c>
      <c r="C459" s="481" t="s">
        <v>22</v>
      </c>
      <c r="D459" s="481">
        <v>16.649999999999999</v>
      </c>
      <c r="E459" s="796">
        <f>B459*D459</f>
        <v>0</v>
      </c>
      <c r="F459" s="563"/>
    </row>
    <row r="460" spans="1:6" ht="18" customHeight="1">
      <c r="A460" s="134" t="s">
        <v>237</v>
      </c>
      <c r="B460" s="135">
        <f>GTA!AH255</f>
        <v>0</v>
      </c>
      <c r="C460" s="135" t="s">
        <v>22</v>
      </c>
      <c r="D460" s="135">
        <v>16.649999999999999</v>
      </c>
      <c r="E460" s="793">
        <f t="shared" si="12"/>
        <v>0</v>
      </c>
      <c r="F460" s="398"/>
    </row>
    <row r="461" spans="1:6" s="529" customFormat="1" ht="18" customHeight="1">
      <c r="A461" s="512" t="s">
        <v>398</v>
      </c>
      <c r="B461" s="481">
        <f>GTA!AJ255</f>
        <v>0</v>
      </c>
      <c r="C461" s="481" t="s">
        <v>22</v>
      </c>
      <c r="D461" s="481">
        <v>16.649999999999999</v>
      </c>
      <c r="E461" s="796">
        <f>B461*D461</f>
        <v>0</v>
      </c>
      <c r="F461" s="563"/>
    </row>
    <row r="462" spans="1:6" ht="18" customHeight="1">
      <c r="A462" s="134" t="s">
        <v>401</v>
      </c>
      <c r="B462" s="135">
        <f>GTA!AM255</f>
        <v>0</v>
      </c>
      <c r="C462" s="135" t="s">
        <v>22</v>
      </c>
      <c r="D462" s="135">
        <v>16.649999999999999</v>
      </c>
      <c r="E462" s="793">
        <f>B462*D462</f>
        <v>0</v>
      </c>
      <c r="F462" s="398"/>
    </row>
    <row r="463" spans="1:6" ht="18" customHeight="1">
      <c r="A463" s="134" t="s">
        <v>333</v>
      </c>
      <c r="B463" s="135">
        <f>GTA!AK255</f>
        <v>0</v>
      </c>
      <c r="C463" s="135" t="s">
        <v>22</v>
      </c>
      <c r="D463" s="135">
        <v>16.649999999999999</v>
      </c>
      <c r="E463" s="793">
        <f>B463*D463</f>
        <v>0</v>
      </c>
      <c r="F463" s="398"/>
    </row>
    <row r="464" spans="1:6" ht="18" customHeight="1">
      <c r="A464" s="270" t="s">
        <v>400</v>
      </c>
      <c r="B464" s="135">
        <f>GTA!AL255</f>
        <v>0</v>
      </c>
      <c r="C464" s="135" t="s">
        <v>22</v>
      </c>
      <c r="D464" s="135">
        <v>16.649999999999999</v>
      </c>
      <c r="E464" s="793">
        <f t="shared" si="12"/>
        <v>0</v>
      </c>
      <c r="F464" s="398"/>
    </row>
    <row r="465" spans="1:6" ht="18" customHeight="1">
      <c r="A465" s="401" t="s">
        <v>254</v>
      </c>
      <c r="B465" s="135">
        <f>(GTA!AI255)</f>
        <v>0</v>
      </c>
      <c r="C465" s="135" t="s">
        <v>22</v>
      </c>
      <c r="D465" s="135">
        <v>16.649999999999999</v>
      </c>
      <c r="E465" s="793">
        <f>(B465*D465)</f>
        <v>0</v>
      </c>
      <c r="F465" s="398"/>
    </row>
    <row r="466" spans="1:6" ht="18" customHeight="1">
      <c r="A466" s="401" t="s">
        <v>249</v>
      </c>
      <c r="B466" s="135">
        <f>GTA!AA255</f>
        <v>0</v>
      </c>
      <c r="C466" s="135" t="s">
        <v>22</v>
      </c>
      <c r="D466" s="135">
        <v>16.649999999999999</v>
      </c>
      <c r="E466" s="793">
        <f>B466*D466</f>
        <v>0</v>
      </c>
      <c r="F466" s="398"/>
    </row>
    <row r="467" spans="1:6" ht="18" customHeight="1">
      <c r="A467" s="401" t="s">
        <v>403</v>
      </c>
      <c r="B467" s="135">
        <f>GTA!AN255</f>
        <v>0</v>
      </c>
      <c r="C467" s="135" t="s">
        <v>22</v>
      </c>
      <c r="D467" s="135">
        <v>16.649999999999999</v>
      </c>
      <c r="E467" s="793">
        <f>B467*D467</f>
        <v>0</v>
      </c>
      <c r="F467" s="398"/>
    </row>
    <row r="468" spans="1:6" ht="18" customHeight="1">
      <c r="A468" s="440"/>
      <c r="B468" s="419"/>
      <c r="C468" s="419"/>
      <c r="D468" s="419"/>
      <c r="E468" s="794"/>
      <c r="F468" s="398"/>
    </row>
    <row r="469" spans="1:6" ht="18" customHeight="1">
      <c r="A469" s="429" t="s">
        <v>404</v>
      </c>
      <c r="B469" s="415">
        <f>SUM(B430:B468)</f>
        <v>0</v>
      </c>
      <c r="C469" s="419"/>
      <c r="D469" s="419"/>
      <c r="E469" s="794"/>
      <c r="F469" s="398"/>
    </row>
    <row r="470" spans="1:6" ht="18" customHeight="1">
      <c r="A470" s="134"/>
      <c r="B470" s="135"/>
      <c r="C470" s="135"/>
      <c r="D470" s="135"/>
      <c r="E470" s="793"/>
      <c r="F470" s="398"/>
    </row>
    <row r="471" spans="1:6" ht="18" customHeight="1">
      <c r="A471" s="428" t="s">
        <v>405</v>
      </c>
      <c r="B471" s="419"/>
      <c r="C471" s="419"/>
      <c r="D471" s="419"/>
      <c r="E471" s="794"/>
      <c r="F471" s="398"/>
    </row>
    <row r="472" spans="1:6" ht="18" customHeight="1">
      <c r="A472" s="284" t="s">
        <v>357</v>
      </c>
      <c r="B472" s="135">
        <f>GTA!C273</f>
        <v>14</v>
      </c>
      <c r="C472" s="135" t="s">
        <v>22</v>
      </c>
      <c r="D472" s="135">
        <v>16.649999999999999</v>
      </c>
      <c r="E472" s="793">
        <f t="shared" ref="E472:E526" si="13">B472*D472</f>
        <v>233.09999999999997</v>
      </c>
      <c r="F472" s="398"/>
    </row>
    <row r="473" spans="1:6" ht="18" customHeight="1">
      <c r="A473" s="284" t="s">
        <v>325</v>
      </c>
      <c r="B473" s="135">
        <f>GTA!D273</f>
        <v>6.5</v>
      </c>
      <c r="C473" s="135" t="s">
        <v>22</v>
      </c>
      <c r="D473" s="135">
        <v>16.649999999999999</v>
      </c>
      <c r="E473" s="793">
        <f t="shared" si="13"/>
        <v>108.22499999999999</v>
      </c>
      <c r="F473" s="398"/>
    </row>
    <row r="474" spans="1:6" ht="18" customHeight="1">
      <c r="A474" s="284" t="s">
        <v>358</v>
      </c>
      <c r="B474" s="135">
        <f>GTA!M273</f>
        <v>0</v>
      </c>
      <c r="C474" s="135" t="s">
        <v>22</v>
      </c>
      <c r="D474" s="135">
        <v>16.649999999999999</v>
      </c>
      <c r="E474" s="793">
        <f t="shared" si="13"/>
        <v>0</v>
      </c>
      <c r="F474" s="398"/>
    </row>
    <row r="475" spans="1:6" ht="18" customHeight="1">
      <c r="A475" s="284" t="s">
        <v>407</v>
      </c>
      <c r="B475" s="135">
        <f>GTA!N273</f>
        <v>0</v>
      </c>
      <c r="C475" s="135" t="s">
        <v>22</v>
      </c>
      <c r="D475" s="135">
        <v>16.649999999999999</v>
      </c>
      <c r="E475" s="793">
        <f t="shared" si="13"/>
        <v>0</v>
      </c>
      <c r="F475" s="398"/>
    </row>
    <row r="476" spans="1:6" s="529" customFormat="1" ht="18" customHeight="1">
      <c r="A476" s="284" t="s">
        <v>722</v>
      </c>
      <c r="B476" s="135">
        <f>GTA!G273</f>
        <v>0</v>
      </c>
      <c r="C476" s="135" t="s">
        <v>22</v>
      </c>
      <c r="D476" s="135">
        <v>16.649999999999999</v>
      </c>
      <c r="E476" s="793">
        <f>B476*D476</f>
        <v>0</v>
      </c>
      <c r="F476" s="563"/>
    </row>
    <row r="477" spans="1:6" ht="18" customHeight="1">
      <c r="A477" s="284" t="s">
        <v>239</v>
      </c>
      <c r="B477" s="135">
        <f>GTA!H273</f>
        <v>0</v>
      </c>
      <c r="C477" s="135" t="s">
        <v>22</v>
      </c>
      <c r="D477" s="135">
        <v>16.649999999999999</v>
      </c>
      <c r="E477" s="793">
        <f>B477*D477</f>
        <v>0</v>
      </c>
      <c r="F477" s="398"/>
    </row>
    <row r="478" spans="1:6" ht="18" customHeight="1">
      <c r="A478" s="558" t="s">
        <v>412</v>
      </c>
      <c r="B478" s="481">
        <f>GTA!L273</f>
        <v>0</v>
      </c>
      <c r="C478" s="481" t="s">
        <v>22</v>
      </c>
      <c r="D478" s="481">
        <v>16.649999999999999</v>
      </c>
      <c r="E478" s="796">
        <f>B478*D478</f>
        <v>0</v>
      </c>
      <c r="F478" s="398"/>
    </row>
    <row r="479" spans="1:6" ht="18" customHeight="1">
      <c r="A479" s="284" t="s">
        <v>399</v>
      </c>
      <c r="B479" s="135">
        <f>GTA!I273</f>
        <v>0</v>
      </c>
      <c r="C479" s="135" t="s">
        <v>22</v>
      </c>
      <c r="D479" s="135">
        <v>16.649999999999999</v>
      </c>
      <c r="E479" s="793">
        <f>B479*D479</f>
        <v>0</v>
      </c>
      <c r="F479" s="398"/>
    </row>
    <row r="480" spans="1:6" ht="18" customHeight="1">
      <c r="A480" s="284" t="s">
        <v>210</v>
      </c>
      <c r="B480" s="135">
        <f>GTA!O273</f>
        <v>0</v>
      </c>
      <c r="C480" s="135" t="s">
        <v>22</v>
      </c>
      <c r="D480" s="135">
        <v>16.649999999999999</v>
      </c>
      <c r="E480" s="793">
        <f t="shared" si="13"/>
        <v>0</v>
      </c>
      <c r="F480" s="398"/>
    </row>
    <row r="481" spans="1:6" ht="18" customHeight="1">
      <c r="A481" s="284" t="s">
        <v>408</v>
      </c>
      <c r="B481" s="135">
        <f>GTA!P273</f>
        <v>0</v>
      </c>
      <c r="C481" s="135" t="s">
        <v>22</v>
      </c>
      <c r="D481" s="135">
        <v>16.649999999999999</v>
      </c>
      <c r="E481" s="793">
        <f t="shared" si="13"/>
        <v>0</v>
      </c>
      <c r="F481" s="398"/>
    </row>
    <row r="482" spans="1:6" ht="18" customHeight="1">
      <c r="A482" s="284" t="s">
        <v>463</v>
      </c>
      <c r="B482" s="135">
        <f>GTA!AH273</f>
        <v>0</v>
      </c>
      <c r="C482" s="135" t="s">
        <v>22</v>
      </c>
      <c r="D482" s="135">
        <v>16.649999999999999</v>
      </c>
      <c r="E482" s="793">
        <f>B482*D482</f>
        <v>0</v>
      </c>
      <c r="F482" s="398"/>
    </row>
    <row r="483" spans="1:6" ht="18" customHeight="1">
      <c r="A483" s="284" t="s">
        <v>723</v>
      </c>
      <c r="B483" s="135">
        <f>GTA!Q273</f>
        <v>0</v>
      </c>
      <c r="C483" s="135" t="s">
        <v>22</v>
      </c>
      <c r="D483" s="135">
        <v>16.649999999999999</v>
      </c>
      <c r="E483" s="793">
        <f>B483*D483</f>
        <v>0</v>
      </c>
      <c r="F483" s="398"/>
    </row>
    <row r="484" spans="1:6" ht="18" customHeight="1">
      <c r="A484" s="518" t="s">
        <v>724</v>
      </c>
      <c r="B484" s="519">
        <f>GTA!R273</f>
        <v>0</v>
      </c>
      <c r="C484" s="519" t="s">
        <v>22</v>
      </c>
      <c r="D484" s="519">
        <v>20</v>
      </c>
      <c r="E484" s="808">
        <f>B484*D484</f>
        <v>0</v>
      </c>
      <c r="F484" s="398"/>
    </row>
    <row r="485" spans="1:6" ht="18" customHeight="1">
      <c r="A485" s="398" t="s">
        <v>360</v>
      </c>
      <c r="B485" s="135">
        <f>GTA!S273</f>
        <v>0</v>
      </c>
      <c r="C485" s="135" t="s">
        <v>22</v>
      </c>
      <c r="D485" s="135">
        <v>16.649999999999999</v>
      </c>
      <c r="E485" s="793">
        <f t="shared" si="13"/>
        <v>0</v>
      </c>
      <c r="F485" s="398"/>
    </row>
    <row r="486" spans="1:6" ht="18" customHeight="1">
      <c r="A486" s="398" t="s">
        <v>719</v>
      </c>
      <c r="B486" s="135">
        <f>GTA!T273</f>
        <v>0</v>
      </c>
      <c r="C486" s="135" t="s">
        <v>22</v>
      </c>
      <c r="D486" s="135">
        <v>16.649999999999999</v>
      </c>
      <c r="E486" s="793">
        <f t="shared" si="13"/>
        <v>0</v>
      </c>
      <c r="F486" s="398"/>
    </row>
    <row r="487" spans="1:6" ht="18" customHeight="1">
      <c r="A487" s="398" t="s">
        <v>640</v>
      </c>
      <c r="B487" s="135">
        <f>GTA!U273</f>
        <v>0</v>
      </c>
      <c r="C487" s="135" t="s">
        <v>22</v>
      </c>
      <c r="D487" s="135">
        <v>16.649999999999999</v>
      </c>
      <c r="E487" s="793">
        <f>B487*D487</f>
        <v>0</v>
      </c>
      <c r="F487" s="398"/>
    </row>
    <row r="488" spans="1:6" ht="18" customHeight="1">
      <c r="A488" s="136" t="s">
        <v>222</v>
      </c>
      <c r="B488" s="135">
        <f>GTA!V273</f>
        <v>0</v>
      </c>
      <c r="C488" s="135" t="s">
        <v>22</v>
      </c>
      <c r="D488" s="135">
        <v>16.649999999999999</v>
      </c>
      <c r="E488" s="793">
        <f t="shared" si="13"/>
        <v>0</v>
      </c>
      <c r="F488" s="398"/>
    </row>
    <row r="489" spans="1:6" ht="18" customHeight="1">
      <c r="A489" s="134" t="s">
        <v>413</v>
      </c>
      <c r="B489" s="135">
        <f>GTA!X273</f>
        <v>0</v>
      </c>
      <c r="C489" s="135" t="s">
        <v>22</v>
      </c>
      <c r="D489" s="135">
        <v>16.649999999999999</v>
      </c>
      <c r="E489" s="793">
        <f t="shared" si="13"/>
        <v>0</v>
      </c>
      <c r="F489" s="398"/>
    </row>
    <row r="490" spans="1:6" ht="18" customHeight="1">
      <c r="A490" s="284" t="s">
        <v>326</v>
      </c>
      <c r="B490" s="135">
        <f>GTA!Y273</f>
        <v>0</v>
      </c>
      <c r="C490" s="135" t="s">
        <v>22</v>
      </c>
      <c r="D490" s="135">
        <v>16.649999999999999</v>
      </c>
      <c r="E490" s="793">
        <f t="shared" si="13"/>
        <v>0</v>
      </c>
      <c r="F490" s="398"/>
    </row>
    <row r="491" spans="1:6" ht="18" customHeight="1">
      <c r="A491" s="284" t="s">
        <v>361</v>
      </c>
      <c r="B491" s="135">
        <f>GTA!Z273</f>
        <v>0</v>
      </c>
      <c r="C491" s="135" t="s">
        <v>22</v>
      </c>
      <c r="D491" s="135">
        <v>16.649999999999999</v>
      </c>
      <c r="E491" s="793">
        <f t="shared" si="13"/>
        <v>0</v>
      </c>
      <c r="F491" s="398"/>
    </row>
    <row r="492" spans="1:6" ht="18" customHeight="1">
      <c r="A492" s="284" t="s">
        <v>384</v>
      </c>
      <c r="B492" s="135">
        <f>GTA!AA273</f>
        <v>0</v>
      </c>
      <c r="C492" s="135" t="s">
        <v>22</v>
      </c>
      <c r="D492" s="135">
        <v>16.649999999999999</v>
      </c>
      <c r="E492" s="793">
        <f t="shared" si="13"/>
        <v>0</v>
      </c>
      <c r="F492" s="398"/>
    </row>
    <row r="493" spans="1:6" ht="18" customHeight="1">
      <c r="A493" s="284" t="s">
        <v>415</v>
      </c>
      <c r="B493" s="135">
        <f>GTA!AC273</f>
        <v>0</v>
      </c>
      <c r="C493" s="135" t="s">
        <v>22</v>
      </c>
      <c r="D493" s="135">
        <v>18</v>
      </c>
      <c r="E493" s="793">
        <f t="shared" si="13"/>
        <v>0</v>
      </c>
      <c r="F493" s="398"/>
    </row>
    <row r="494" spans="1:6" ht="18" customHeight="1">
      <c r="A494" s="284" t="s">
        <v>416</v>
      </c>
      <c r="B494" s="135">
        <f>GTA!AD273</f>
        <v>0</v>
      </c>
      <c r="C494" s="135" t="s">
        <v>22</v>
      </c>
      <c r="D494" s="135">
        <v>16.649999999999999</v>
      </c>
      <c r="E494" s="793">
        <f t="shared" si="13"/>
        <v>0</v>
      </c>
      <c r="F494" s="398"/>
    </row>
    <row r="495" spans="1:6" ht="18" customHeight="1">
      <c r="A495" s="284" t="s">
        <v>385</v>
      </c>
      <c r="B495" s="135">
        <f>GTA!AE273</f>
        <v>0</v>
      </c>
      <c r="C495" s="135" t="s">
        <v>22</v>
      </c>
      <c r="D495" s="135">
        <v>16.649999999999999</v>
      </c>
      <c r="E495" s="793">
        <f t="shared" si="13"/>
        <v>0</v>
      </c>
      <c r="F495" s="398"/>
    </row>
    <row r="496" spans="1:6" ht="18" customHeight="1">
      <c r="A496" s="284" t="s">
        <v>229</v>
      </c>
      <c r="B496" s="135">
        <f>GTA!AF273</f>
        <v>0</v>
      </c>
      <c r="C496" s="135" t="s">
        <v>22</v>
      </c>
      <c r="D496" s="135">
        <v>16.649999999999999</v>
      </c>
      <c r="E496" s="793">
        <f t="shared" si="13"/>
        <v>0</v>
      </c>
      <c r="F496" s="398"/>
    </row>
    <row r="497" spans="1:6" s="529" customFormat="1" ht="18" customHeight="1">
      <c r="A497" s="284" t="s">
        <v>418</v>
      </c>
      <c r="B497" s="135">
        <f>GTA!AG273</f>
        <v>0</v>
      </c>
      <c r="C497" s="135" t="s">
        <v>22</v>
      </c>
      <c r="D497" s="135">
        <v>16.649999999999999</v>
      </c>
      <c r="E497" s="793">
        <f>B497*D497</f>
        <v>0</v>
      </c>
      <c r="F497" s="563"/>
    </row>
    <row r="498" spans="1:6" ht="18" customHeight="1">
      <c r="A498" s="136" t="s">
        <v>365</v>
      </c>
      <c r="B498" s="135">
        <f>GTA!AI273</f>
        <v>0</v>
      </c>
      <c r="C498" s="135" t="s">
        <v>22</v>
      </c>
      <c r="D498" s="135">
        <v>16.649999999999999</v>
      </c>
      <c r="E498" s="793">
        <f t="shared" si="13"/>
        <v>0</v>
      </c>
      <c r="F498" s="398"/>
    </row>
    <row r="499" spans="1:6" ht="18" customHeight="1">
      <c r="A499" s="480" t="s">
        <v>419</v>
      </c>
      <c r="B499" s="481">
        <f>GTA!AJ273</f>
        <v>0</v>
      </c>
      <c r="C499" s="481" t="s">
        <v>22</v>
      </c>
      <c r="D499" s="481">
        <v>16.649999999999999</v>
      </c>
      <c r="E499" s="796">
        <f>B499*D499</f>
        <v>0</v>
      </c>
      <c r="F499" s="398"/>
    </row>
    <row r="500" spans="1:6" ht="18" customHeight="1">
      <c r="A500" s="136" t="s">
        <v>420</v>
      </c>
      <c r="B500" s="135">
        <f>GTA!AK273</f>
        <v>0</v>
      </c>
      <c r="C500" s="135" t="s">
        <v>22</v>
      </c>
      <c r="D500" s="135">
        <v>16.649999999999999</v>
      </c>
      <c r="E500" s="793">
        <f t="shared" si="13"/>
        <v>0</v>
      </c>
      <c r="F500" s="398"/>
    </row>
    <row r="501" spans="1:6" ht="18" customHeight="1">
      <c r="A501" s="284" t="s">
        <v>366</v>
      </c>
      <c r="B501" s="135">
        <f>GTA!AL273</f>
        <v>0</v>
      </c>
      <c r="C501" s="135" t="s">
        <v>22</v>
      </c>
      <c r="D501" s="135">
        <v>16.649999999999999</v>
      </c>
      <c r="E501" s="793">
        <f t="shared" si="13"/>
        <v>0</v>
      </c>
      <c r="F501" s="398"/>
    </row>
    <row r="502" spans="1:6" ht="18" customHeight="1">
      <c r="A502" s="284" t="s">
        <v>367</v>
      </c>
      <c r="B502" s="135">
        <f>GTA!AM273</f>
        <v>0</v>
      </c>
      <c r="C502" s="135" t="s">
        <v>22</v>
      </c>
      <c r="D502" s="135">
        <v>16.649999999999999</v>
      </c>
      <c r="E502" s="793">
        <f t="shared" si="13"/>
        <v>0</v>
      </c>
      <c r="F502" s="398"/>
    </row>
    <row r="503" spans="1:6" ht="18" customHeight="1">
      <c r="A503" s="284" t="s">
        <v>421</v>
      </c>
      <c r="B503" s="135">
        <f>GTA!AN273</f>
        <v>0</v>
      </c>
      <c r="C503" s="135" t="s">
        <v>22</v>
      </c>
      <c r="D503" s="135">
        <v>16.649999999999999</v>
      </c>
      <c r="E503" s="793">
        <f t="shared" si="13"/>
        <v>0</v>
      </c>
      <c r="F503" s="398"/>
    </row>
    <row r="504" spans="1:6" ht="18" customHeight="1">
      <c r="A504" s="284" t="s">
        <v>210</v>
      </c>
      <c r="B504" s="135">
        <f>GTA!AO273</f>
        <v>0</v>
      </c>
      <c r="C504" s="135" t="s">
        <v>22</v>
      </c>
      <c r="D504" s="135">
        <v>16.649999999999999</v>
      </c>
      <c r="E504" s="793">
        <f t="shared" si="13"/>
        <v>0</v>
      </c>
      <c r="F504" s="398"/>
    </row>
    <row r="505" spans="1:6" ht="18" customHeight="1">
      <c r="A505" s="284" t="s">
        <v>725</v>
      </c>
      <c r="B505" s="135">
        <f>GTA!F273</f>
        <v>0</v>
      </c>
      <c r="C505" s="135" t="s">
        <v>22</v>
      </c>
      <c r="D505" s="135">
        <v>16.649999999999999</v>
      </c>
      <c r="E505" s="793">
        <f>B505*D505</f>
        <v>0</v>
      </c>
      <c r="F505" s="398"/>
    </row>
    <row r="506" spans="1:6" ht="18" customHeight="1">
      <c r="A506" s="136" t="s">
        <v>368</v>
      </c>
      <c r="B506" s="135">
        <f>GTA!AP273</f>
        <v>0</v>
      </c>
      <c r="C506" s="135" t="s">
        <v>22</v>
      </c>
      <c r="D506" s="135">
        <v>16.649999999999999</v>
      </c>
      <c r="E506" s="793">
        <f t="shared" si="13"/>
        <v>0</v>
      </c>
      <c r="F506" s="398"/>
    </row>
    <row r="507" spans="1:6" ht="18" customHeight="1">
      <c r="A507" s="284" t="s">
        <v>330</v>
      </c>
      <c r="B507" s="135">
        <f>GTA!AQ273</f>
        <v>0</v>
      </c>
      <c r="C507" s="135" t="s">
        <v>22</v>
      </c>
      <c r="D507" s="135">
        <v>16.649999999999999</v>
      </c>
      <c r="E507" s="793">
        <f t="shared" si="13"/>
        <v>0</v>
      </c>
      <c r="F507" s="398"/>
    </row>
    <row r="508" spans="1:6" ht="18" customHeight="1">
      <c r="A508" s="398" t="s">
        <v>422</v>
      </c>
      <c r="B508" s="135">
        <f>GTA!AR273</f>
        <v>0</v>
      </c>
      <c r="C508" s="135" t="s">
        <v>22</v>
      </c>
      <c r="D508" s="135">
        <v>16.649999999999999</v>
      </c>
      <c r="E508" s="793">
        <f t="shared" si="13"/>
        <v>0</v>
      </c>
      <c r="F508" s="398"/>
    </row>
    <row r="509" spans="1:6" ht="18" customHeight="1">
      <c r="A509" s="284" t="s">
        <v>423</v>
      </c>
      <c r="B509" s="135">
        <f>GTA!AS273</f>
        <v>0</v>
      </c>
      <c r="C509" s="135" t="s">
        <v>22</v>
      </c>
      <c r="D509" s="135">
        <v>16.649999999999999</v>
      </c>
      <c r="E509" s="793">
        <f t="shared" si="13"/>
        <v>0</v>
      </c>
      <c r="F509" s="398"/>
    </row>
    <row r="510" spans="1:6" ht="18" customHeight="1">
      <c r="A510" s="284" t="s">
        <v>424</v>
      </c>
      <c r="B510" s="135">
        <f>GTA!AT273</f>
        <v>0</v>
      </c>
      <c r="C510" s="135" t="s">
        <v>22</v>
      </c>
      <c r="D510" s="135">
        <v>16.649999999999999</v>
      </c>
      <c r="E510" s="793">
        <f t="shared" si="13"/>
        <v>0</v>
      </c>
      <c r="F510" s="398"/>
    </row>
    <row r="511" spans="1:6" ht="18" customHeight="1">
      <c r="A511" s="134" t="s">
        <v>236</v>
      </c>
      <c r="B511" s="135">
        <f>GTA!AU273</f>
        <v>0</v>
      </c>
      <c r="C511" s="135" t="s">
        <v>22</v>
      </c>
      <c r="D511" s="135">
        <v>16.649999999999999</v>
      </c>
      <c r="E511" s="793">
        <f t="shared" si="13"/>
        <v>0</v>
      </c>
      <c r="F511" s="398"/>
    </row>
    <row r="512" spans="1:6" ht="18" customHeight="1">
      <c r="A512" s="398" t="s">
        <v>369</v>
      </c>
      <c r="B512" s="135">
        <f>GTA!AV273</f>
        <v>0</v>
      </c>
      <c r="C512" s="135" t="s">
        <v>22</v>
      </c>
      <c r="D512" s="135">
        <v>16.649999999999999</v>
      </c>
      <c r="E512" s="793">
        <f t="shared" si="13"/>
        <v>0</v>
      </c>
      <c r="F512" s="398"/>
    </row>
    <row r="513" spans="1:6" ht="18" customHeight="1">
      <c r="A513" s="398" t="s">
        <v>370</v>
      </c>
      <c r="B513" s="135">
        <f>GTA!AW273</f>
        <v>0</v>
      </c>
      <c r="C513" s="135" t="s">
        <v>22</v>
      </c>
      <c r="D513" s="135">
        <v>16.649999999999999</v>
      </c>
      <c r="E513" s="793">
        <f>B513*D513</f>
        <v>0</v>
      </c>
      <c r="F513" s="398"/>
    </row>
    <row r="514" spans="1:6" ht="18" customHeight="1">
      <c r="A514" s="136" t="s">
        <v>372</v>
      </c>
      <c r="B514" s="135">
        <f>GTA!AX273</f>
        <v>0</v>
      </c>
      <c r="C514" s="135" t="s">
        <v>22</v>
      </c>
      <c r="D514" s="135">
        <v>16.649999999999999</v>
      </c>
      <c r="E514" s="793">
        <f t="shared" si="13"/>
        <v>0</v>
      </c>
      <c r="F514" s="398"/>
    </row>
    <row r="515" spans="1:6" ht="18" customHeight="1">
      <c r="A515" s="136" t="s">
        <v>425</v>
      </c>
      <c r="B515" s="135">
        <f>GTA!AY273</f>
        <v>0</v>
      </c>
      <c r="C515" s="135" t="s">
        <v>22</v>
      </c>
      <c r="D515" s="135">
        <v>16.649999999999999</v>
      </c>
      <c r="E515" s="793">
        <f t="shared" si="13"/>
        <v>0</v>
      </c>
      <c r="F515" s="398"/>
    </row>
    <row r="516" spans="1:6" ht="18" customHeight="1">
      <c r="A516" s="136" t="s">
        <v>726</v>
      </c>
      <c r="B516" s="135">
        <f>GTA!BA273</f>
        <v>0</v>
      </c>
      <c r="C516" s="135" t="s">
        <v>22</v>
      </c>
      <c r="D516" s="135">
        <v>16.649999999999999</v>
      </c>
      <c r="E516" s="793">
        <f>B516*D516</f>
        <v>0</v>
      </c>
      <c r="F516" s="398"/>
    </row>
    <row r="517" spans="1:6" ht="18" customHeight="1">
      <c r="A517" s="136" t="s">
        <v>727</v>
      </c>
      <c r="B517" s="135">
        <f>GTA!BC273</f>
        <v>0</v>
      </c>
      <c r="C517" s="135" t="s">
        <v>22</v>
      </c>
      <c r="D517" s="135">
        <v>16.649999999999999</v>
      </c>
      <c r="E517" s="793">
        <f>B517*D517</f>
        <v>0</v>
      </c>
      <c r="F517" s="398"/>
    </row>
    <row r="518" spans="1:6" s="529" customFormat="1" ht="18" customHeight="1">
      <c r="A518" s="284" t="s">
        <v>426</v>
      </c>
      <c r="B518" s="135">
        <f>GTA!BD273</f>
        <v>0</v>
      </c>
      <c r="C518" s="135" t="s">
        <v>22</v>
      </c>
      <c r="D518" s="135">
        <v>16.649999999999999</v>
      </c>
      <c r="E518" s="793">
        <f t="shared" si="13"/>
        <v>0</v>
      </c>
      <c r="F518" s="563"/>
    </row>
    <row r="519" spans="1:6" ht="18" customHeight="1">
      <c r="A519" s="284" t="s">
        <v>728</v>
      </c>
      <c r="B519" s="135">
        <f>GTA!BE273</f>
        <v>0</v>
      </c>
      <c r="C519" s="135" t="s">
        <v>22</v>
      </c>
      <c r="D519" s="135">
        <v>16.649999999999999</v>
      </c>
      <c r="E519" s="793">
        <f>B519*D519</f>
        <v>0</v>
      </c>
      <c r="F519" s="398"/>
    </row>
    <row r="520" spans="1:6" ht="18" customHeight="1">
      <c r="A520" s="558" t="s">
        <v>551</v>
      </c>
      <c r="B520" s="481">
        <f>GTA!BF273</f>
        <v>0</v>
      </c>
      <c r="C520" s="481" t="s">
        <v>22</v>
      </c>
      <c r="D520" s="481">
        <v>16.649999999999999</v>
      </c>
      <c r="E520" s="796">
        <f>B520*D520</f>
        <v>0</v>
      </c>
      <c r="F520" s="398"/>
    </row>
    <row r="521" spans="1:6" ht="18" customHeight="1">
      <c r="A521" s="284" t="s">
        <v>429</v>
      </c>
      <c r="B521" s="135">
        <f>GTA!BG273</f>
        <v>0</v>
      </c>
      <c r="C521" s="135" t="s">
        <v>22</v>
      </c>
      <c r="D521" s="135">
        <v>16.649999999999999</v>
      </c>
      <c r="E521" s="793">
        <f t="shared" si="13"/>
        <v>0</v>
      </c>
      <c r="F521" s="398"/>
    </row>
    <row r="522" spans="1:6" ht="18" customHeight="1">
      <c r="A522" s="134" t="s">
        <v>374</v>
      </c>
      <c r="B522" s="135">
        <f>GTA!BH273</f>
        <v>0</v>
      </c>
      <c r="C522" s="135" t="s">
        <v>22</v>
      </c>
      <c r="D522" s="135">
        <v>16.649999999999999</v>
      </c>
      <c r="E522" s="793">
        <f t="shared" si="13"/>
        <v>0</v>
      </c>
      <c r="F522" s="398"/>
    </row>
    <row r="523" spans="1:6" s="529" customFormat="1" ht="18" customHeight="1">
      <c r="A523" s="284" t="s">
        <v>430</v>
      </c>
      <c r="B523" s="135">
        <f>GTA!BI273</f>
        <v>0</v>
      </c>
      <c r="C523" s="135" t="s">
        <v>22</v>
      </c>
      <c r="D523" s="135">
        <v>16.649999999999999</v>
      </c>
      <c r="E523" s="793">
        <f t="shared" si="13"/>
        <v>0</v>
      </c>
      <c r="F523" s="563"/>
    </row>
    <row r="524" spans="1:6" ht="18" customHeight="1">
      <c r="A524" s="284" t="s">
        <v>431</v>
      </c>
      <c r="B524" s="135">
        <f>GTA!BK273</f>
        <v>0</v>
      </c>
      <c r="C524" s="135" t="s">
        <v>22</v>
      </c>
      <c r="D524" s="135">
        <v>16.649999999999999</v>
      </c>
      <c r="E524" s="793">
        <f>B524*D524</f>
        <v>0</v>
      </c>
      <c r="F524" s="398"/>
    </row>
    <row r="525" spans="1:6" ht="18" customHeight="1">
      <c r="A525" s="558" t="s">
        <v>729</v>
      </c>
      <c r="B525" s="481">
        <f>GTA!BL273</f>
        <v>0</v>
      </c>
      <c r="C525" s="481" t="s">
        <v>22</v>
      </c>
      <c r="D525" s="481">
        <v>16.649999999999999</v>
      </c>
      <c r="E525" s="796">
        <f>B525*D525</f>
        <v>0</v>
      </c>
      <c r="F525" s="398"/>
    </row>
    <row r="526" spans="1:6" ht="18" customHeight="1">
      <c r="A526" s="284" t="s">
        <v>433</v>
      </c>
      <c r="B526" s="135">
        <f>GTA!BM273</f>
        <v>0</v>
      </c>
      <c r="C526" s="135" t="s">
        <v>22</v>
      </c>
      <c r="D526" s="135">
        <v>16.649999999999999</v>
      </c>
      <c r="E526" s="793">
        <f t="shared" si="13"/>
        <v>0</v>
      </c>
      <c r="F526" s="398"/>
    </row>
    <row r="527" spans="1:6" ht="18" customHeight="1">
      <c r="A527" s="438"/>
      <c r="B527" s="419"/>
      <c r="C527" s="419"/>
      <c r="D527" s="419"/>
      <c r="E527" s="794"/>
      <c r="F527" s="398"/>
    </row>
    <row r="528" spans="1:6" ht="18" customHeight="1">
      <c r="A528" s="428" t="s">
        <v>434</v>
      </c>
      <c r="B528" s="415">
        <f>SUM(B471:B527)</f>
        <v>20.5</v>
      </c>
      <c r="C528" s="419"/>
      <c r="D528" s="419"/>
      <c r="E528" s="794"/>
      <c r="F528" s="398"/>
    </row>
    <row r="529" spans="1:6" ht="18" customHeight="1">
      <c r="A529" s="284"/>
      <c r="B529" s="135"/>
      <c r="C529" s="135"/>
      <c r="D529" s="135"/>
      <c r="E529" s="793"/>
      <c r="F529" s="398"/>
    </row>
    <row r="530" spans="1:6" ht="18" customHeight="1">
      <c r="A530" s="428" t="s">
        <v>435</v>
      </c>
      <c r="B530" s="419"/>
      <c r="C530" s="419"/>
      <c r="D530" s="419"/>
      <c r="E530" s="794"/>
      <c r="F530" s="398"/>
    </row>
    <row r="531" spans="1:6" ht="18" customHeight="1">
      <c r="A531" s="284" t="s">
        <v>386</v>
      </c>
      <c r="B531" s="135">
        <f>GTA!C291</f>
        <v>0</v>
      </c>
      <c r="C531" s="135" t="s">
        <v>22</v>
      </c>
      <c r="D531" s="135">
        <v>16.649999999999999</v>
      </c>
      <c r="E531" s="793">
        <f>B531*D531</f>
        <v>0</v>
      </c>
      <c r="F531" s="398"/>
    </row>
    <row r="532" spans="1:6" ht="18" customHeight="1">
      <c r="A532" s="284" t="s">
        <v>393</v>
      </c>
      <c r="B532" s="135">
        <f>GTA!E291</f>
        <v>0</v>
      </c>
      <c r="C532" s="135" t="s">
        <v>22</v>
      </c>
      <c r="D532" s="135">
        <v>16.649999999999999</v>
      </c>
      <c r="E532" s="793">
        <f>B532*D532</f>
        <v>0</v>
      </c>
      <c r="F532" s="398"/>
    </row>
    <row r="533" spans="1:6" ht="18" customHeight="1">
      <c r="A533" s="284" t="s">
        <v>437</v>
      </c>
      <c r="B533" s="135">
        <f>GTA!F291</f>
        <v>0</v>
      </c>
      <c r="C533" s="135" t="s">
        <v>22</v>
      </c>
      <c r="D533" s="135">
        <v>16.649999999999999</v>
      </c>
      <c r="E533" s="793">
        <f>B533*D533</f>
        <v>0</v>
      </c>
      <c r="F533" s="398"/>
    </row>
    <row r="534" spans="1:6" ht="18" customHeight="1">
      <c r="A534" s="284" t="s">
        <v>431</v>
      </c>
      <c r="B534" s="135">
        <f>GTA!G291</f>
        <v>0</v>
      </c>
      <c r="C534" s="135" t="s">
        <v>22</v>
      </c>
      <c r="D534" s="135">
        <v>16.649999999999999</v>
      </c>
      <c r="E534" s="793">
        <f>B534*D534</f>
        <v>0</v>
      </c>
      <c r="F534" s="398"/>
    </row>
    <row r="535" spans="1:6" ht="18" customHeight="1">
      <c r="A535" s="438"/>
      <c r="B535" s="419"/>
      <c r="C535" s="419"/>
      <c r="D535" s="419"/>
      <c r="E535" s="794"/>
      <c r="F535" s="398"/>
    </row>
    <row r="536" spans="1:6" ht="18" customHeight="1">
      <c r="A536" s="428" t="s">
        <v>435</v>
      </c>
      <c r="B536" s="415">
        <f>SUM(B530:B535)</f>
        <v>0</v>
      </c>
      <c r="C536" s="419"/>
      <c r="D536" s="419"/>
      <c r="E536" s="794"/>
      <c r="F536" s="398"/>
    </row>
    <row r="537" spans="1:6" ht="18" customHeight="1">
      <c r="A537" s="284"/>
      <c r="B537" s="135"/>
      <c r="C537" s="135"/>
      <c r="D537" s="135"/>
      <c r="E537" s="793"/>
      <c r="F537" s="398"/>
    </row>
    <row r="538" spans="1:6" ht="18" customHeight="1">
      <c r="A538" s="428" t="s">
        <v>438</v>
      </c>
      <c r="B538" s="419"/>
      <c r="C538" s="419"/>
      <c r="D538" s="419"/>
      <c r="E538" s="794"/>
      <c r="F538" s="398"/>
    </row>
    <row r="539" spans="1:6" ht="18" customHeight="1">
      <c r="A539" s="284" t="s">
        <v>439</v>
      </c>
      <c r="B539" s="135">
        <f>'OUTSIDE GTA'!C215</f>
        <v>0</v>
      </c>
      <c r="C539" s="135" t="s">
        <v>22</v>
      </c>
      <c r="D539" s="135">
        <v>18</v>
      </c>
      <c r="E539" s="793">
        <f>B539*D539</f>
        <v>0</v>
      </c>
      <c r="F539" s="398"/>
    </row>
    <row r="540" spans="1:6" ht="18" customHeight="1">
      <c r="A540" s="438"/>
      <c r="B540" s="419"/>
      <c r="C540" s="419"/>
      <c r="D540" s="419"/>
      <c r="E540" s="794"/>
      <c r="F540" s="398"/>
    </row>
    <row r="541" spans="1:6" ht="18" customHeight="1">
      <c r="A541" s="428" t="s">
        <v>438</v>
      </c>
      <c r="B541" s="415">
        <f>SUM(B538:B540)</f>
        <v>0</v>
      </c>
      <c r="C541" s="419"/>
      <c r="D541" s="419"/>
      <c r="E541" s="794"/>
      <c r="F541" s="398"/>
    </row>
    <row r="542" spans="1:6" ht="18" customHeight="1">
      <c r="A542" s="284"/>
      <c r="B542" s="135"/>
      <c r="C542" s="135"/>
      <c r="D542" s="135"/>
      <c r="E542" s="793"/>
      <c r="F542" s="398"/>
    </row>
    <row r="543" spans="1:6" ht="18" customHeight="1">
      <c r="A543" s="418" t="s">
        <v>440</v>
      </c>
      <c r="B543" s="419"/>
      <c r="C543" s="419"/>
      <c r="D543" s="419"/>
      <c r="E543" s="794"/>
      <c r="F543" s="398"/>
    </row>
    <row r="544" spans="1:6" ht="18" customHeight="1">
      <c r="A544" s="134" t="s">
        <v>323</v>
      </c>
      <c r="B544" s="135">
        <f>GTA!O39</f>
        <v>0</v>
      </c>
      <c r="C544" s="135" t="s">
        <v>22</v>
      </c>
      <c r="D544" s="135">
        <v>16.649999999999999</v>
      </c>
      <c r="E544" s="793">
        <f t="shared" ref="E544:E558" si="14">B544*D544</f>
        <v>0</v>
      </c>
      <c r="F544" s="398" t="s">
        <v>440</v>
      </c>
    </row>
    <row r="545" spans="1:6" ht="18" customHeight="1">
      <c r="A545" s="134" t="s">
        <v>324</v>
      </c>
      <c r="B545" s="135">
        <f>GTA!P39</f>
        <v>0</v>
      </c>
      <c r="C545" s="135" t="s">
        <v>22</v>
      </c>
      <c r="D545" s="135">
        <v>16.649999999999999</v>
      </c>
      <c r="E545" s="793">
        <f t="shared" si="14"/>
        <v>0</v>
      </c>
      <c r="F545" s="398" t="s">
        <v>440</v>
      </c>
    </row>
    <row r="546" spans="1:6" ht="18" customHeight="1">
      <c r="A546" s="136" t="s">
        <v>441</v>
      </c>
      <c r="B546" s="135">
        <f>GTA!E39</f>
        <v>0</v>
      </c>
      <c r="C546" s="135" t="s">
        <v>22</v>
      </c>
      <c r="D546" s="135">
        <v>16.649999999999999</v>
      </c>
      <c r="E546" s="793">
        <f t="shared" si="14"/>
        <v>0</v>
      </c>
      <c r="F546" s="398" t="s">
        <v>440</v>
      </c>
    </row>
    <row r="547" spans="1:6" s="529" customFormat="1" ht="18" customHeight="1">
      <c r="A547" s="480" t="s">
        <v>442</v>
      </c>
      <c r="B547" s="481">
        <f>GTA!H39</f>
        <v>0</v>
      </c>
      <c r="C547" s="481" t="s">
        <v>22</v>
      </c>
      <c r="D547" s="481">
        <v>16.649999999999999</v>
      </c>
      <c r="E547" s="796">
        <f>B547*D547</f>
        <v>0</v>
      </c>
      <c r="F547" s="563" t="s">
        <v>440</v>
      </c>
    </row>
    <row r="548" spans="1:6" ht="18" customHeight="1">
      <c r="A548" s="134" t="s">
        <v>443</v>
      </c>
      <c r="B548" s="135">
        <f>GTA!C39</f>
        <v>82</v>
      </c>
      <c r="C548" s="135" t="s">
        <v>22</v>
      </c>
      <c r="D548" s="135">
        <v>16.649999999999999</v>
      </c>
      <c r="E548" s="793">
        <f t="shared" si="14"/>
        <v>1365.3</v>
      </c>
      <c r="F548" s="398" t="s">
        <v>440</v>
      </c>
    </row>
    <row r="549" spans="1:6" ht="18" customHeight="1">
      <c r="A549" s="134" t="s">
        <v>444</v>
      </c>
      <c r="B549" s="135">
        <f>GTA!K39</f>
        <v>0</v>
      </c>
      <c r="C549" s="135" t="s">
        <v>22</v>
      </c>
      <c r="D549" s="135">
        <v>16.649999999999999</v>
      </c>
      <c r="E549" s="793">
        <f>B549*D549</f>
        <v>0</v>
      </c>
      <c r="F549" s="398" t="s">
        <v>440</v>
      </c>
    </row>
    <row r="550" spans="1:6" ht="18" customHeight="1">
      <c r="A550" s="134" t="s">
        <v>445</v>
      </c>
      <c r="B550" s="135">
        <f>GTA!L39</f>
        <v>0</v>
      </c>
      <c r="C550" s="135" t="s">
        <v>22</v>
      </c>
      <c r="D550" s="135">
        <v>16.649999999999999</v>
      </c>
      <c r="E550" s="793">
        <f>B550*D550</f>
        <v>0</v>
      </c>
      <c r="F550" s="398" t="s">
        <v>440</v>
      </c>
    </row>
    <row r="551" spans="1:6" ht="18" customHeight="1">
      <c r="A551" s="284" t="s">
        <v>334</v>
      </c>
      <c r="B551" s="347">
        <f>GTA!J39</f>
        <v>0</v>
      </c>
      <c r="C551" s="347" t="s">
        <v>22</v>
      </c>
      <c r="D551" s="347">
        <v>16.649999999999999</v>
      </c>
      <c r="E551" s="802">
        <f>D551*B551</f>
        <v>0</v>
      </c>
      <c r="F551" s="398" t="s">
        <v>440</v>
      </c>
    </row>
    <row r="552" spans="1:6" ht="18" customHeight="1">
      <c r="A552" s="401" t="s">
        <v>446</v>
      </c>
      <c r="B552" s="135">
        <f>GTA!N39</f>
        <v>0</v>
      </c>
      <c r="C552" s="135" t="s">
        <v>22</v>
      </c>
      <c r="D552" s="135">
        <v>16.649999999999999</v>
      </c>
      <c r="E552" s="793">
        <f t="shared" si="14"/>
        <v>0</v>
      </c>
      <c r="F552" s="398" t="s">
        <v>440</v>
      </c>
    </row>
    <row r="553" spans="1:6" ht="18" customHeight="1">
      <c r="A553" s="134" t="s">
        <v>389</v>
      </c>
      <c r="B553" s="135">
        <f>GTA!D39</f>
        <v>78.5</v>
      </c>
      <c r="C553" s="135" t="s">
        <v>22</v>
      </c>
      <c r="D553" s="135">
        <v>16.649999999999999</v>
      </c>
      <c r="E553" s="793">
        <f t="shared" si="14"/>
        <v>1307.0249999999999</v>
      </c>
      <c r="F553" s="398" t="s">
        <v>440</v>
      </c>
    </row>
    <row r="554" spans="1:6" ht="18" customHeight="1">
      <c r="A554" s="134" t="s">
        <v>447</v>
      </c>
      <c r="B554" s="135">
        <f>GTA!Q39</f>
        <v>0</v>
      </c>
      <c r="C554" s="135" t="s">
        <v>22</v>
      </c>
      <c r="D554" s="135">
        <v>16.649999999999999</v>
      </c>
      <c r="E554" s="793">
        <f t="shared" si="14"/>
        <v>0</v>
      </c>
      <c r="F554" s="398" t="s">
        <v>440</v>
      </c>
    </row>
    <row r="555" spans="1:6" ht="18" customHeight="1">
      <c r="A555" s="134" t="s">
        <v>210</v>
      </c>
      <c r="B555" s="135">
        <f>GTA!R39</f>
        <v>0</v>
      </c>
      <c r="C555" s="135" t="s">
        <v>22</v>
      </c>
      <c r="D555" s="135">
        <v>16.649999999999999</v>
      </c>
      <c r="E555" s="793">
        <f t="shared" si="14"/>
        <v>0</v>
      </c>
      <c r="F555" s="398" t="s">
        <v>440</v>
      </c>
    </row>
    <row r="556" spans="1:6" s="529" customFormat="1" ht="18" customHeight="1">
      <c r="A556" s="134" t="s">
        <v>448</v>
      </c>
      <c r="B556" s="135">
        <f>GTA!G39</f>
        <v>0</v>
      </c>
      <c r="C556" s="135" t="s">
        <v>22</v>
      </c>
      <c r="D556" s="135">
        <v>16.649999999999999</v>
      </c>
      <c r="E556" s="793">
        <f>B556*D556</f>
        <v>0</v>
      </c>
      <c r="F556" s="563" t="s">
        <v>440</v>
      </c>
    </row>
    <row r="557" spans="1:6" ht="18" customHeight="1">
      <c r="A557" s="134" t="s">
        <v>338</v>
      </c>
      <c r="B557" s="135">
        <f>GTA!F39</f>
        <v>0</v>
      </c>
      <c r="C557" s="135" t="s">
        <v>22</v>
      </c>
      <c r="D557" s="135">
        <v>16.649999999999999</v>
      </c>
      <c r="E557" s="793">
        <f t="shared" si="14"/>
        <v>0</v>
      </c>
      <c r="F557" s="398" t="s">
        <v>440</v>
      </c>
    </row>
    <row r="558" spans="1:6" ht="18" customHeight="1">
      <c r="A558" s="512" t="s">
        <v>449</v>
      </c>
      <c r="B558" s="481">
        <f>GTA!M39</f>
        <v>0</v>
      </c>
      <c r="C558" s="481" t="s">
        <v>22</v>
      </c>
      <c r="D558" s="481">
        <v>16.649999999999999</v>
      </c>
      <c r="E558" s="796">
        <f t="shared" si="14"/>
        <v>0</v>
      </c>
      <c r="F558" s="398"/>
    </row>
    <row r="559" spans="1:6" ht="18" customHeight="1">
      <c r="A559" s="436"/>
      <c r="B559" s="419"/>
      <c r="C559" s="419"/>
      <c r="D559" s="419"/>
      <c r="E559" s="794"/>
      <c r="F559" s="398"/>
    </row>
    <row r="560" spans="1:6" ht="18" customHeight="1">
      <c r="A560" s="418" t="s">
        <v>450</v>
      </c>
      <c r="B560" s="415">
        <f>SUM(B543:B559)</f>
        <v>160.5</v>
      </c>
      <c r="C560" s="419"/>
      <c r="D560" s="419"/>
      <c r="E560" s="794"/>
      <c r="F560" s="398"/>
    </row>
    <row r="561" spans="1:6" ht="18" customHeight="1">
      <c r="A561" s="134"/>
      <c r="B561" s="135"/>
      <c r="C561" s="135"/>
      <c r="D561" s="135"/>
      <c r="E561" s="793"/>
      <c r="F561" s="398"/>
    </row>
    <row r="562" spans="1:6" ht="18" customHeight="1">
      <c r="A562" s="418" t="s">
        <v>451</v>
      </c>
      <c r="B562" s="419"/>
      <c r="C562" s="419"/>
      <c r="D562" s="419"/>
      <c r="E562" s="794"/>
      <c r="F562" s="398"/>
    </row>
    <row r="563" spans="1:6" ht="18" customHeight="1">
      <c r="A563" s="134" t="s">
        <v>452</v>
      </c>
      <c r="B563" s="135">
        <f>'OUTSIDE GTA'!C306</f>
        <v>0</v>
      </c>
      <c r="C563" s="135" t="s">
        <v>22</v>
      </c>
      <c r="D563" s="135">
        <v>16.649999999999999</v>
      </c>
      <c r="E563" s="793">
        <f>B563*D563</f>
        <v>0</v>
      </c>
      <c r="F563" s="398"/>
    </row>
    <row r="564" spans="1:6" ht="18" customHeight="1">
      <c r="A564" s="436"/>
      <c r="B564" s="419"/>
      <c r="C564" s="419"/>
      <c r="D564" s="419"/>
      <c r="E564" s="794"/>
      <c r="F564" s="398"/>
    </row>
    <row r="565" spans="1:6" ht="18" customHeight="1">
      <c r="A565" s="418" t="s">
        <v>451</v>
      </c>
      <c r="B565" s="415">
        <f>SUM(B562:B564)</f>
        <v>0</v>
      </c>
      <c r="C565" s="419"/>
      <c r="D565" s="419"/>
      <c r="E565" s="794"/>
      <c r="F565" s="398"/>
    </row>
    <row r="566" spans="1:6" ht="18" customHeight="1">
      <c r="A566" s="134"/>
      <c r="B566" s="135"/>
      <c r="C566" s="135"/>
      <c r="D566" s="135"/>
      <c r="E566" s="793"/>
      <c r="F566" s="398"/>
    </row>
    <row r="567" spans="1:6" s="529" customFormat="1" ht="18" customHeight="1">
      <c r="A567" s="284"/>
      <c r="B567" s="135"/>
      <c r="C567" s="135"/>
      <c r="D567" s="135"/>
      <c r="E567" s="793"/>
      <c r="F567" s="563"/>
    </row>
    <row r="568" spans="1:6" ht="18" customHeight="1">
      <c r="A568" s="418" t="s">
        <v>453</v>
      </c>
      <c r="B568" s="419"/>
      <c r="C568" s="419"/>
      <c r="D568" s="419"/>
      <c r="E568" s="794"/>
      <c r="F568" s="398"/>
    </row>
    <row r="569" spans="1:6" ht="18" customHeight="1">
      <c r="A569" s="134" t="s">
        <v>454</v>
      </c>
      <c r="B569" s="135">
        <f>GTA!D165</f>
        <v>0</v>
      </c>
      <c r="C569" s="135" t="s">
        <v>22</v>
      </c>
      <c r="D569" s="135">
        <v>16.649999999999999</v>
      </c>
      <c r="E569" s="793">
        <f>B569*D569</f>
        <v>0</v>
      </c>
      <c r="F569" s="398" t="s">
        <v>453</v>
      </c>
    </row>
    <row r="570" spans="1:6" s="529" customFormat="1" ht="18" customHeight="1">
      <c r="A570" s="512" t="s">
        <v>393</v>
      </c>
      <c r="B570" s="481">
        <f>GTA!G165</f>
        <v>0</v>
      </c>
      <c r="C570" s="481" t="s">
        <v>22</v>
      </c>
      <c r="D570" s="481">
        <v>16.649999999999999</v>
      </c>
      <c r="E570" s="796">
        <f>B570*D570</f>
        <v>0</v>
      </c>
      <c r="F570" s="563" t="s">
        <v>453</v>
      </c>
    </row>
    <row r="571" spans="1:6" ht="18" customHeight="1">
      <c r="A571" s="134" t="s">
        <v>455</v>
      </c>
      <c r="B571" s="135">
        <f>GTA!E165</f>
        <v>0</v>
      </c>
      <c r="C571" s="135" t="s">
        <v>22</v>
      </c>
      <c r="D571" s="135">
        <v>16.649999999999999</v>
      </c>
      <c r="E571" s="793">
        <f>B571*D571</f>
        <v>0</v>
      </c>
      <c r="F571" s="398" t="s">
        <v>453</v>
      </c>
    </row>
    <row r="572" spans="1:6" ht="18" customHeight="1">
      <c r="A572" s="134" t="s">
        <v>456</v>
      </c>
      <c r="B572" s="135">
        <f>GTA!F165</f>
        <v>0</v>
      </c>
      <c r="C572" s="135" t="s">
        <v>22</v>
      </c>
      <c r="D572" s="135">
        <v>16.649999999999999</v>
      </c>
      <c r="E572" s="793">
        <f>B572*D572</f>
        <v>0</v>
      </c>
      <c r="F572" s="398" t="s">
        <v>453</v>
      </c>
    </row>
    <row r="573" spans="1:6" ht="18" customHeight="1">
      <c r="A573" s="436"/>
      <c r="B573" s="419"/>
      <c r="C573" s="419"/>
      <c r="D573" s="419"/>
      <c r="E573" s="794"/>
      <c r="F573" s="398"/>
    </row>
    <row r="574" spans="1:6" ht="18" customHeight="1">
      <c r="A574" s="418" t="s">
        <v>453</v>
      </c>
      <c r="B574" s="415">
        <f>SUM(B568:B573)</f>
        <v>0</v>
      </c>
      <c r="C574" s="419"/>
      <c r="D574" s="419"/>
      <c r="E574" s="794"/>
      <c r="F574" s="398"/>
    </row>
    <row r="575" spans="1:6" ht="18" customHeight="1">
      <c r="A575" s="134"/>
      <c r="B575" s="135"/>
      <c r="C575" s="135"/>
      <c r="D575" s="135"/>
      <c r="E575" s="793"/>
      <c r="F575" s="398"/>
    </row>
    <row r="576" spans="1:6" ht="18" customHeight="1">
      <c r="A576" s="418" t="s">
        <v>457</v>
      </c>
      <c r="B576" s="419"/>
      <c r="C576" s="419"/>
      <c r="D576" s="419"/>
      <c r="E576" s="794"/>
      <c r="F576" s="398"/>
    </row>
    <row r="577" spans="1:6" ht="18" customHeight="1">
      <c r="A577" s="134" t="s">
        <v>379</v>
      </c>
      <c r="B577" s="135">
        <f>GTA!C57</f>
        <v>0</v>
      </c>
      <c r="C577" s="135" t="s">
        <v>22</v>
      </c>
      <c r="D577" s="135">
        <v>16.649999999999999</v>
      </c>
      <c r="E577" s="793">
        <f t="shared" ref="E577:E619" si="15">B577*D577</f>
        <v>0</v>
      </c>
      <c r="F577" s="398"/>
    </row>
    <row r="578" spans="1:6" ht="18" customHeight="1">
      <c r="A578" s="134" t="s">
        <v>458</v>
      </c>
      <c r="B578" s="135">
        <f>GTA!U57</f>
        <v>0</v>
      </c>
      <c r="C578" s="135" t="s">
        <v>22</v>
      </c>
      <c r="D578" s="135">
        <v>16.649999999999999</v>
      </c>
      <c r="E578" s="793">
        <f>B578*D578</f>
        <v>0</v>
      </c>
      <c r="F578" s="398"/>
    </row>
    <row r="579" spans="1:6" ht="18" customHeight="1">
      <c r="A579" s="134" t="s">
        <v>459</v>
      </c>
      <c r="B579" s="135">
        <f>GTA!F57</f>
        <v>0</v>
      </c>
      <c r="C579" s="135" t="s">
        <v>22</v>
      </c>
      <c r="D579" s="135">
        <v>16.649999999999999</v>
      </c>
      <c r="E579" s="793">
        <f>B579*D579</f>
        <v>0</v>
      </c>
      <c r="F579" s="398"/>
    </row>
    <row r="580" spans="1:6" ht="18" customHeight="1">
      <c r="A580" s="134" t="s">
        <v>460</v>
      </c>
      <c r="B580" s="135">
        <f>GTA!E57</f>
        <v>0</v>
      </c>
      <c r="C580" s="135" t="s">
        <v>22</v>
      </c>
      <c r="D580" s="135">
        <v>16.649999999999999</v>
      </c>
      <c r="E580" s="793">
        <f t="shared" si="15"/>
        <v>0</v>
      </c>
      <c r="F580" s="398"/>
    </row>
    <row r="581" spans="1:6" ht="18" customHeight="1">
      <c r="A581" s="134" t="s">
        <v>324</v>
      </c>
      <c r="B581" s="135">
        <f>GTA!G57</f>
        <v>0</v>
      </c>
      <c r="C581" s="135" t="s">
        <v>22</v>
      </c>
      <c r="D581" s="135">
        <v>16.649999999999999</v>
      </c>
      <c r="E581" s="793">
        <f t="shared" si="15"/>
        <v>0</v>
      </c>
      <c r="F581" s="398"/>
    </row>
    <row r="582" spans="1:6" ht="18" customHeight="1">
      <c r="A582" s="134" t="s">
        <v>461</v>
      </c>
      <c r="B582" s="135">
        <f>GTA!V57</f>
        <v>0</v>
      </c>
      <c r="C582" s="135" t="s">
        <v>22</v>
      </c>
      <c r="D582" s="135">
        <v>16.649999999999999</v>
      </c>
      <c r="E582" s="793">
        <f t="shared" si="15"/>
        <v>0</v>
      </c>
      <c r="F582" s="398"/>
    </row>
    <row r="583" spans="1:6" ht="18" customHeight="1">
      <c r="A583" s="134" t="s">
        <v>442</v>
      </c>
      <c r="B583" s="135">
        <f>GTA!I57</f>
        <v>0</v>
      </c>
      <c r="C583" s="135" t="s">
        <v>22</v>
      </c>
      <c r="D583" s="135">
        <v>16.649999999999999</v>
      </c>
      <c r="E583" s="793">
        <f>B583*D583</f>
        <v>0</v>
      </c>
      <c r="F583" s="398"/>
    </row>
    <row r="584" spans="1:6" ht="18" customHeight="1">
      <c r="A584" s="134" t="s">
        <v>462</v>
      </c>
      <c r="B584" s="135">
        <f>GTA!H57</f>
        <v>0</v>
      </c>
      <c r="C584" s="135" t="s">
        <v>22</v>
      </c>
      <c r="D584" s="135">
        <v>16.649999999999999</v>
      </c>
      <c r="E584" s="793">
        <f t="shared" si="15"/>
        <v>0</v>
      </c>
      <c r="F584" s="398"/>
    </row>
    <row r="585" spans="1:6" ht="18" customHeight="1">
      <c r="A585" s="134" t="s">
        <v>211</v>
      </c>
      <c r="B585" s="135">
        <f>GTA!Y57</f>
        <v>0</v>
      </c>
      <c r="C585" s="135" t="s">
        <v>22</v>
      </c>
      <c r="D585" s="135">
        <v>16.649999999999999</v>
      </c>
      <c r="E585" s="793">
        <f>B585*D585</f>
        <v>0</v>
      </c>
      <c r="F585" s="398"/>
    </row>
    <row r="586" spans="1:6" ht="18" customHeight="1">
      <c r="A586" s="134" t="s">
        <v>213</v>
      </c>
      <c r="B586" s="135">
        <f>GTA!AS57</f>
        <v>0</v>
      </c>
      <c r="C586" s="135" t="s">
        <v>22</v>
      </c>
      <c r="D586" s="135">
        <v>16.649999999999999</v>
      </c>
      <c r="E586" s="793">
        <f t="shared" si="15"/>
        <v>0</v>
      </c>
      <c r="F586" s="398"/>
    </row>
    <row r="587" spans="1:6" ht="18" customHeight="1">
      <c r="A587" s="134" t="s">
        <v>463</v>
      </c>
      <c r="B587" s="135">
        <f>GTA!K57</f>
        <v>0</v>
      </c>
      <c r="C587" s="135" t="s">
        <v>22</v>
      </c>
      <c r="D587" s="135">
        <v>16.649999999999999</v>
      </c>
      <c r="E587" s="793">
        <f t="shared" si="15"/>
        <v>0</v>
      </c>
      <c r="F587" s="398"/>
    </row>
    <row r="588" spans="1:6" ht="18" customHeight="1">
      <c r="A588" s="134" t="s">
        <v>464</v>
      </c>
      <c r="B588" s="135">
        <f>GTA!L57</f>
        <v>0</v>
      </c>
      <c r="C588" s="135" t="s">
        <v>22</v>
      </c>
      <c r="D588" s="135">
        <v>16.649999999999999</v>
      </c>
      <c r="E588" s="793">
        <f>B588*D588</f>
        <v>0</v>
      </c>
      <c r="F588" s="398"/>
    </row>
    <row r="589" spans="1:6" s="529" customFormat="1" ht="18" customHeight="1">
      <c r="A589" s="512" t="s">
        <v>465</v>
      </c>
      <c r="B589" s="481">
        <f>GTA!Q57</f>
        <v>0</v>
      </c>
      <c r="C589" s="481" t="s">
        <v>22</v>
      </c>
      <c r="D589" s="481">
        <v>16.649999999999999</v>
      </c>
      <c r="E589" s="796">
        <f>B589*D589</f>
        <v>0</v>
      </c>
      <c r="F589" s="563"/>
    </row>
    <row r="590" spans="1:6" ht="18" customHeight="1">
      <c r="A590" s="134" t="s">
        <v>222</v>
      </c>
      <c r="B590" s="135">
        <f>GTA!AD57</f>
        <v>0</v>
      </c>
      <c r="C590" s="135" t="s">
        <v>22</v>
      </c>
      <c r="D590" s="135">
        <v>16.649999999999999</v>
      </c>
      <c r="E590" s="793">
        <f t="shared" si="15"/>
        <v>0</v>
      </c>
      <c r="F590" s="398"/>
    </row>
    <row r="591" spans="1:6" ht="18" customHeight="1">
      <c r="A591" s="134" t="s">
        <v>466</v>
      </c>
      <c r="B591" s="135">
        <f>GTA!AE57</f>
        <v>0</v>
      </c>
      <c r="C591" s="135" t="s">
        <v>22</v>
      </c>
      <c r="D591" s="135">
        <v>16.649999999999999</v>
      </c>
      <c r="E591" s="793">
        <f>B591*D591</f>
        <v>0</v>
      </c>
      <c r="F591" s="398"/>
    </row>
    <row r="592" spans="1:6" ht="18" customHeight="1">
      <c r="A592" s="134" t="s">
        <v>221</v>
      </c>
      <c r="B592" s="135">
        <f>GTA!AB57</f>
        <v>0</v>
      </c>
      <c r="C592" s="135" t="s">
        <v>22</v>
      </c>
      <c r="D592" s="135">
        <v>16.649999999999999</v>
      </c>
      <c r="E592" s="793">
        <f t="shared" si="15"/>
        <v>0</v>
      </c>
      <c r="F592" s="398"/>
    </row>
    <row r="593" spans="1:6" ht="18" customHeight="1">
      <c r="A593" s="134" t="s">
        <v>467</v>
      </c>
      <c r="B593" s="135">
        <f>GTA!AC57</f>
        <v>0</v>
      </c>
      <c r="C593" s="135" t="s">
        <v>22</v>
      </c>
      <c r="D593" s="135">
        <v>16.649999999999999</v>
      </c>
      <c r="E593" s="793">
        <f t="shared" si="15"/>
        <v>0</v>
      </c>
      <c r="F593" s="398"/>
    </row>
    <row r="594" spans="1:6" ht="18" customHeight="1">
      <c r="A594" s="134" t="s">
        <v>336</v>
      </c>
      <c r="B594" s="135">
        <f>GTA!AG57</f>
        <v>0</v>
      </c>
      <c r="C594" s="135" t="s">
        <v>22</v>
      </c>
      <c r="D594" s="135">
        <v>16.649999999999999</v>
      </c>
      <c r="E594" s="793">
        <f>B594*D594</f>
        <v>0</v>
      </c>
      <c r="F594" s="398"/>
    </row>
    <row r="595" spans="1:6" ht="18" customHeight="1">
      <c r="A595" s="134" t="s">
        <v>468</v>
      </c>
      <c r="B595" s="135">
        <f>GTA!AF57</f>
        <v>0</v>
      </c>
      <c r="C595" s="135" t="s">
        <v>22</v>
      </c>
      <c r="D595" s="135">
        <v>16.649999999999999</v>
      </c>
      <c r="E595" s="793">
        <f t="shared" si="15"/>
        <v>0</v>
      </c>
      <c r="F595" s="398"/>
    </row>
    <row r="596" spans="1:6" ht="18" customHeight="1">
      <c r="A596" s="134" t="s">
        <v>210</v>
      </c>
      <c r="B596" s="135">
        <f>GTA!W57</f>
        <v>0</v>
      </c>
      <c r="C596" s="135" t="s">
        <v>22</v>
      </c>
      <c r="D596" s="135">
        <v>16.649999999999999</v>
      </c>
      <c r="E596" s="793">
        <f t="shared" si="15"/>
        <v>0</v>
      </c>
      <c r="F596" s="398"/>
    </row>
    <row r="597" spans="1:6" ht="18" customHeight="1">
      <c r="A597" s="134" t="s">
        <v>239</v>
      </c>
      <c r="B597" s="135">
        <f>GTA!AL57</f>
        <v>0</v>
      </c>
      <c r="C597" s="135" t="s">
        <v>22</v>
      </c>
      <c r="D597" s="135">
        <v>16.649999999999999</v>
      </c>
      <c r="E597" s="793">
        <f t="shared" si="15"/>
        <v>0</v>
      </c>
      <c r="F597" s="398"/>
    </row>
    <row r="598" spans="1:6" ht="18" customHeight="1">
      <c r="A598" s="134" t="s">
        <v>237</v>
      </c>
      <c r="B598" s="135">
        <f>GTA!S57</f>
        <v>0</v>
      </c>
      <c r="C598" s="135" t="s">
        <v>22</v>
      </c>
      <c r="D598" s="135">
        <v>16.649999999999999</v>
      </c>
      <c r="E598" s="793">
        <f t="shared" si="15"/>
        <v>0</v>
      </c>
      <c r="F598" s="398"/>
    </row>
    <row r="599" spans="1:6" ht="18" customHeight="1">
      <c r="A599" s="134" t="s">
        <v>385</v>
      </c>
      <c r="B599" s="135">
        <f>GTA!D57</f>
        <v>0</v>
      </c>
      <c r="C599" s="135" t="s">
        <v>22</v>
      </c>
      <c r="D599" s="135">
        <v>16.649999999999999</v>
      </c>
      <c r="E599" s="793">
        <f t="shared" si="15"/>
        <v>0</v>
      </c>
      <c r="F599" s="398"/>
    </row>
    <row r="600" spans="1:6" ht="18" customHeight="1">
      <c r="A600" s="134" t="s">
        <v>469</v>
      </c>
      <c r="B600" s="135">
        <f>GTA!AN57</f>
        <v>0</v>
      </c>
      <c r="C600" s="135" t="s">
        <v>22</v>
      </c>
      <c r="D600" s="135">
        <v>16.649999999999999</v>
      </c>
      <c r="E600" s="793">
        <f t="shared" si="15"/>
        <v>0</v>
      </c>
      <c r="F600" s="398"/>
    </row>
    <row r="601" spans="1:6" s="529" customFormat="1" ht="18" customHeight="1">
      <c r="A601" s="134" t="s">
        <v>470</v>
      </c>
      <c r="B601" s="135">
        <f>GTA!AH57</f>
        <v>0</v>
      </c>
      <c r="C601" s="135" t="s">
        <v>22</v>
      </c>
      <c r="D601" s="135">
        <v>16.649999999999999</v>
      </c>
      <c r="E601" s="793">
        <f t="shared" si="15"/>
        <v>0</v>
      </c>
      <c r="F601" s="563"/>
    </row>
    <row r="602" spans="1:6" s="529" customFormat="1" ht="18" customHeight="1">
      <c r="A602" s="134" t="s">
        <v>231</v>
      </c>
      <c r="B602" s="135">
        <f>GTA!M57</f>
        <v>0</v>
      </c>
      <c r="C602" s="135" t="s">
        <v>22</v>
      </c>
      <c r="D602" s="135">
        <v>16.649999999999999</v>
      </c>
      <c r="E602" s="793">
        <f t="shared" si="15"/>
        <v>0</v>
      </c>
      <c r="F602" s="563"/>
    </row>
    <row r="603" spans="1:6" s="529" customFormat="1" ht="18" customHeight="1">
      <c r="A603" s="134" t="s">
        <v>471</v>
      </c>
      <c r="B603" s="135">
        <f>GTA!R57</f>
        <v>0</v>
      </c>
      <c r="C603" s="135" t="s">
        <v>22</v>
      </c>
      <c r="D603" s="135">
        <v>16.649999999999999</v>
      </c>
      <c r="E603" s="793">
        <f>B603*D603</f>
        <v>0</v>
      </c>
      <c r="F603" s="563"/>
    </row>
    <row r="604" spans="1:6" s="529" customFormat="1" ht="18" customHeight="1">
      <c r="A604" s="134" t="s">
        <v>472</v>
      </c>
      <c r="B604" s="135">
        <f>GTA!AI57</f>
        <v>0</v>
      </c>
      <c r="C604" s="135" t="s">
        <v>22</v>
      </c>
      <c r="D604" s="135">
        <v>16.649999999999999</v>
      </c>
      <c r="E604" s="793">
        <f t="shared" si="15"/>
        <v>0</v>
      </c>
      <c r="F604" s="563"/>
    </row>
    <row r="605" spans="1:6" s="529" customFormat="1" ht="18" customHeight="1">
      <c r="A605" s="512" t="s">
        <v>473</v>
      </c>
      <c r="B605" s="481">
        <f>GTA!AO57</f>
        <v>0</v>
      </c>
      <c r="C605" s="481" t="s">
        <v>22</v>
      </c>
      <c r="D605" s="481">
        <v>16.649999999999999</v>
      </c>
      <c r="E605" s="796">
        <f t="shared" si="15"/>
        <v>0</v>
      </c>
      <c r="F605" s="563"/>
    </row>
    <row r="606" spans="1:6" s="529" customFormat="1" ht="18" customHeight="1">
      <c r="A606" s="134" t="s">
        <v>474</v>
      </c>
      <c r="B606" s="135">
        <f>GTA!N57</f>
        <v>0</v>
      </c>
      <c r="C606" s="135" t="s">
        <v>22</v>
      </c>
      <c r="D606" s="135">
        <v>17</v>
      </c>
      <c r="E606" s="793">
        <f t="shared" si="15"/>
        <v>0</v>
      </c>
      <c r="F606" s="563"/>
    </row>
    <row r="607" spans="1:6" s="529" customFormat="1" ht="18" customHeight="1">
      <c r="A607" s="134" t="s">
        <v>475</v>
      </c>
      <c r="B607" s="135">
        <f>GTA!AJ57</f>
        <v>0</v>
      </c>
      <c r="C607" s="135" t="s">
        <v>22</v>
      </c>
      <c r="D607" s="135">
        <v>17</v>
      </c>
      <c r="E607" s="793">
        <f t="shared" si="15"/>
        <v>0</v>
      </c>
      <c r="F607" s="563"/>
    </row>
    <row r="608" spans="1:6" s="529" customFormat="1" ht="18" customHeight="1">
      <c r="A608" s="134" t="s">
        <v>476</v>
      </c>
      <c r="B608" s="135">
        <f>GTA!AK57</f>
        <v>0</v>
      </c>
      <c r="C608" s="135" t="s">
        <v>22</v>
      </c>
      <c r="D608" s="135">
        <v>17</v>
      </c>
      <c r="E608" s="793">
        <f t="shared" si="15"/>
        <v>0</v>
      </c>
      <c r="F608" s="563"/>
    </row>
    <row r="609" spans="1:6" ht="18" customHeight="1">
      <c r="A609" s="134" t="s">
        <v>477</v>
      </c>
      <c r="B609" s="135">
        <f>GTA!AQ57</f>
        <v>0</v>
      </c>
      <c r="C609" s="135" t="s">
        <v>22</v>
      </c>
      <c r="D609" s="135">
        <v>16.649999999999999</v>
      </c>
      <c r="E609" s="793">
        <f t="shared" si="15"/>
        <v>0</v>
      </c>
      <c r="F609" s="398"/>
    </row>
    <row r="610" spans="1:6" s="529" customFormat="1" ht="18" customHeight="1">
      <c r="A610" s="512" t="s">
        <v>393</v>
      </c>
      <c r="B610" s="481">
        <f>GTA!O57</f>
        <v>0</v>
      </c>
      <c r="C610" s="481" t="s">
        <v>22</v>
      </c>
      <c r="D610" s="481">
        <v>16.649999999999999</v>
      </c>
      <c r="E610" s="796">
        <f>B610*D610</f>
        <v>0</v>
      </c>
      <c r="F610" s="563"/>
    </row>
    <row r="611" spans="1:6" s="529" customFormat="1" ht="18" customHeight="1">
      <c r="A611" s="512" t="s">
        <v>478</v>
      </c>
      <c r="B611" s="481">
        <f>GTA!T57</f>
        <v>0</v>
      </c>
      <c r="C611" s="481" t="s">
        <v>22</v>
      </c>
      <c r="D611" s="481">
        <v>16.649999999999999</v>
      </c>
      <c r="E611" s="796">
        <f>B611*D611</f>
        <v>0</v>
      </c>
      <c r="F611" s="563"/>
    </row>
    <row r="612" spans="1:6" ht="18" customHeight="1">
      <c r="A612" s="134" t="s">
        <v>479</v>
      </c>
      <c r="B612" s="135">
        <f>GTA!P57</f>
        <v>0</v>
      </c>
      <c r="C612" s="135" t="s">
        <v>22</v>
      </c>
      <c r="D612" s="135">
        <v>16.649999999999999</v>
      </c>
      <c r="E612" s="793">
        <f t="shared" si="15"/>
        <v>0</v>
      </c>
      <c r="F612" s="398"/>
    </row>
    <row r="613" spans="1:6" s="529" customFormat="1" ht="18" customHeight="1">
      <c r="A613" s="512" t="s">
        <v>395</v>
      </c>
      <c r="B613" s="481">
        <f>GTA!J57</f>
        <v>0</v>
      </c>
      <c r="C613" s="481" t="s">
        <v>22</v>
      </c>
      <c r="D613" s="481">
        <v>16.649999999999999</v>
      </c>
      <c r="E613" s="796">
        <f>B613*D613</f>
        <v>0</v>
      </c>
      <c r="F613" s="563"/>
    </row>
    <row r="614" spans="1:6" ht="18" customHeight="1">
      <c r="A614" s="134" t="s">
        <v>480</v>
      </c>
      <c r="B614" s="135">
        <f>GTA!AM57</f>
        <v>0</v>
      </c>
      <c r="C614" s="135" t="s">
        <v>22</v>
      </c>
      <c r="D614" s="135">
        <v>16.649999999999999</v>
      </c>
      <c r="E614" s="793">
        <f>B614*D614</f>
        <v>0</v>
      </c>
      <c r="F614" s="398"/>
    </row>
    <row r="615" spans="1:6" ht="18" customHeight="1">
      <c r="A615" s="134" t="s">
        <v>399</v>
      </c>
      <c r="B615" s="135">
        <f>GTA!Z57</f>
        <v>0</v>
      </c>
      <c r="C615" s="135" t="s">
        <v>22</v>
      </c>
      <c r="D615" s="135">
        <v>16.649999999999999</v>
      </c>
      <c r="E615" s="793">
        <f>B615*D615</f>
        <v>0</v>
      </c>
      <c r="F615" s="398"/>
    </row>
    <row r="616" spans="1:6" ht="18" customHeight="1">
      <c r="A616" s="134" t="s">
        <v>481</v>
      </c>
      <c r="B616" s="135">
        <f>GTA!AA57</f>
        <v>0</v>
      </c>
      <c r="C616" s="135" t="s">
        <v>22</v>
      </c>
      <c r="D616" s="135">
        <v>16.649999999999999</v>
      </c>
      <c r="E616" s="793">
        <f t="shared" si="15"/>
        <v>0</v>
      </c>
      <c r="F616" s="398"/>
    </row>
    <row r="617" spans="1:6" ht="18" customHeight="1">
      <c r="A617" s="134" t="s">
        <v>210</v>
      </c>
      <c r="B617" s="135">
        <f>GTA!X57</f>
        <v>0</v>
      </c>
      <c r="C617" s="135" t="s">
        <v>22</v>
      </c>
      <c r="D617" s="135">
        <v>16.649999999999999</v>
      </c>
      <c r="E617" s="793">
        <f t="shared" si="15"/>
        <v>0</v>
      </c>
      <c r="F617" s="398"/>
    </row>
    <row r="618" spans="1:6" ht="18" customHeight="1">
      <c r="A618" s="134" t="s">
        <v>447</v>
      </c>
      <c r="B618" s="135">
        <f>GTA!AP57</f>
        <v>0</v>
      </c>
      <c r="C618" s="135" t="s">
        <v>22</v>
      </c>
      <c r="D618" s="135">
        <v>16.649999999999999</v>
      </c>
      <c r="E618" s="793">
        <f t="shared" si="15"/>
        <v>0</v>
      </c>
      <c r="F618" s="398"/>
    </row>
    <row r="619" spans="1:6" ht="18" customHeight="1">
      <c r="A619" s="134" t="s">
        <v>430</v>
      </c>
      <c r="B619" s="135">
        <f>GTA!AR57</f>
        <v>0</v>
      </c>
      <c r="C619" s="135" t="s">
        <v>22</v>
      </c>
      <c r="D619" s="135">
        <v>16.649999999999999</v>
      </c>
      <c r="E619" s="793">
        <f t="shared" si="15"/>
        <v>0</v>
      </c>
      <c r="F619" s="398"/>
    </row>
    <row r="620" spans="1:6" ht="18" customHeight="1">
      <c r="A620" s="134" t="s">
        <v>403</v>
      </c>
      <c r="B620" s="135">
        <f>GTA!AT57</f>
        <v>0</v>
      </c>
      <c r="C620" s="135" t="s">
        <v>22</v>
      </c>
      <c r="D620" s="135">
        <v>16.649999999999999</v>
      </c>
      <c r="E620" s="793">
        <f>B620*D620</f>
        <v>0</v>
      </c>
      <c r="F620" s="398"/>
    </row>
    <row r="621" spans="1:6" ht="18" customHeight="1">
      <c r="A621" s="436"/>
      <c r="B621" s="419"/>
      <c r="C621" s="419"/>
      <c r="D621" s="419"/>
      <c r="E621" s="794"/>
      <c r="F621" s="398"/>
    </row>
    <row r="622" spans="1:6" ht="18" customHeight="1">
      <c r="A622" s="418" t="s">
        <v>482</v>
      </c>
      <c r="B622" s="415">
        <f>SUM(B576:B621)</f>
        <v>0</v>
      </c>
      <c r="C622" s="419"/>
      <c r="D622" s="419"/>
      <c r="E622" s="794"/>
      <c r="F622" s="398"/>
    </row>
    <row r="623" spans="1:6" ht="18" customHeight="1">
      <c r="A623" s="136"/>
      <c r="B623" s="135"/>
      <c r="C623" s="135"/>
      <c r="D623" s="135"/>
      <c r="E623" s="793"/>
      <c r="F623" s="398"/>
    </row>
    <row r="624" spans="1:6" ht="18" customHeight="1">
      <c r="A624" s="434" t="s">
        <v>483</v>
      </c>
      <c r="B624" s="415"/>
      <c r="C624" s="419"/>
      <c r="D624" s="419"/>
      <c r="E624" s="794"/>
      <c r="F624" s="398"/>
    </row>
    <row r="625" spans="1:6" ht="18" customHeight="1">
      <c r="A625" s="136" t="s">
        <v>323</v>
      </c>
      <c r="B625" s="135">
        <f>GTA!F399</f>
        <v>0</v>
      </c>
      <c r="C625" s="135" t="s">
        <v>22</v>
      </c>
      <c r="D625" s="135">
        <v>18</v>
      </c>
      <c r="E625" s="793">
        <f>B625*D625</f>
        <v>0</v>
      </c>
      <c r="F625" s="398"/>
    </row>
    <row r="626" spans="1:6" ht="18" customHeight="1">
      <c r="A626" s="136" t="s">
        <v>484</v>
      </c>
      <c r="B626" s="135">
        <f>GTA!C399</f>
        <v>0</v>
      </c>
      <c r="C626" s="135" t="s">
        <v>22</v>
      </c>
      <c r="D626" s="135">
        <v>18</v>
      </c>
      <c r="E626" s="793">
        <f>B626*D626</f>
        <v>0</v>
      </c>
      <c r="F626" s="398"/>
    </row>
    <row r="627" spans="1:6" ht="18" customHeight="1">
      <c r="A627" s="136" t="s">
        <v>485</v>
      </c>
      <c r="B627" s="135">
        <f>GTA!D399</f>
        <v>0</v>
      </c>
      <c r="C627" s="135" t="s">
        <v>22</v>
      </c>
      <c r="D627" s="135">
        <v>18</v>
      </c>
      <c r="E627" s="793">
        <f>B627*D627</f>
        <v>0</v>
      </c>
      <c r="F627" s="398"/>
    </row>
    <row r="628" spans="1:6" ht="18" customHeight="1">
      <c r="A628" s="136" t="s">
        <v>486</v>
      </c>
      <c r="B628" s="135">
        <f>GTA!E399</f>
        <v>0</v>
      </c>
      <c r="C628" s="135" t="s">
        <v>22</v>
      </c>
      <c r="D628" s="135">
        <v>18</v>
      </c>
      <c r="E628" s="793">
        <f>B628*D628</f>
        <v>0</v>
      </c>
      <c r="F628" s="398"/>
    </row>
    <row r="629" spans="1:6" ht="18" customHeight="1">
      <c r="A629" s="439"/>
      <c r="B629" s="419"/>
      <c r="C629" s="419"/>
      <c r="D629" s="419"/>
      <c r="E629" s="794"/>
      <c r="F629" s="398"/>
    </row>
    <row r="630" spans="1:6" ht="18" customHeight="1">
      <c r="A630" s="434" t="s">
        <v>487</v>
      </c>
      <c r="B630" s="415">
        <f>SUM(B624:B629)</f>
        <v>0</v>
      </c>
      <c r="C630" s="419"/>
      <c r="D630" s="419"/>
      <c r="E630" s="794"/>
      <c r="F630" s="398"/>
    </row>
    <row r="631" spans="1:6" ht="18" customHeight="1">
      <c r="A631" s="136"/>
      <c r="B631" s="135"/>
      <c r="C631" s="135"/>
      <c r="D631" s="135"/>
      <c r="E631" s="793"/>
      <c r="F631" s="398"/>
    </row>
    <row r="632" spans="1:6" ht="18" customHeight="1">
      <c r="A632" s="434" t="s">
        <v>488</v>
      </c>
      <c r="B632" s="415"/>
      <c r="C632" s="419"/>
      <c r="D632" s="419"/>
      <c r="E632" s="794"/>
      <c r="F632" s="398"/>
    </row>
    <row r="633" spans="1:6" ht="18" customHeight="1">
      <c r="A633" s="394" t="s">
        <v>489</v>
      </c>
      <c r="B633" s="135">
        <f>'OUTSIDE GTA'!C252</f>
        <v>0</v>
      </c>
      <c r="C633" s="135" t="s">
        <v>22</v>
      </c>
      <c r="D633" s="135">
        <v>16.649999999999999</v>
      </c>
      <c r="E633" s="793">
        <f>B633*D633</f>
        <v>0</v>
      </c>
      <c r="F633" s="398"/>
    </row>
    <row r="634" spans="1:6" ht="18" customHeight="1">
      <c r="A634" s="395" t="s">
        <v>490</v>
      </c>
      <c r="B634" s="135">
        <f>'OUTSIDE GTA'!E252</f>
        <v>0</v>
      </c>
      <c r="C634" s="135" t="s">
        <v>22</v>
      </c>
      <c r="D634" s="135">
        <v>16.649999999999999</v>
      </c>
      <c r="E634" s="793">
        <f>B634*D634</f>
        <v>0</v>
      </c>
      <c r="F634" s="398"/>
    </row>
    <row r="635" spans="1:6" ht="18" customHeight="1">
      <c r="A635" s="751" t="s">
        <v>491</v>
      </c>
      <c r="B635" s="135">
        <f>'OUTSIDE GTA'!F252</f>
        <v>0</v>
      </c>
      <c r="C635" s="135" t="s">
        <v>22</v>
      </c>
      <c r="D635" s="135">
        <v>16.649999999999999</v>
      </c>
      <c r="E635" s="793">
        <f>B635*D635</f>
        <v>0</v>
      </c>
      <c r="F635" s="398"/>
    </row>
    <row r="636" spans="1:6" ht="18" customHeight="1">
      <c r="A636" s="395" t="s">
        <v>492</v>
      </c>
      <c r="B636" s="135">
        <f>'OUTSIDE GTA'!G252</f>
        <v>0</v>
      </c>
      <c r="C636" s="135" t="s">
        <v>22</v>
      </c>
      <c r="D636" s="135">
        <v>16.649999999999999</v>
      </c>
      <c r="E636" s="793">
        <f>B636*D636</f>
        <v>0</v>
      </c>
      <c r="F636" s="398"/>
    </row>
    <row r="637" spans="1:6" ht="18" customHeight="1">
      <c r="A637" s="752" t="s">
        <v>493</v>
      </c>
      <c r="B637" s="135">
        <f>'OUTSIDE GTA'!H252</f>
        <v>0</v>
      </c>
      <c r="C637" s="135" t="s">
        <v>22</v>
      </c>
      <c r="D637" s="135">
        <v>16.649999999999999</v>
      </c>
      <c r="E637" s="793">
        <f>B637*D637</f>
        <v>0</v>
      </c>
      <c r="F637" s="398"/>
    </row>
    <row r="638" spans="1:6" ht="18" customHeight="1">
      <c r="A638" s="439"/>
      <c r="B638" s="419"/>
      <c r="C638" s="419"/>
      <c r="D638" s="419"/>
      <c r="E638" s="794"/>
      <c r="F638" s="398"/>
    </row>
    <row r="639" spans="1:6" ht="18" customHeight="1">
      <c r="A639" s="434" t="s">
        <v>488</v>
      </c>
      <c r="B639" s="415">
        <f>SUM(B632:B638)</f>
        <v>0</v>
      </c>
      <c r="C639" s="419"/>
      <c r="D639" s="419"/>
      <c r="E639" s="794"/>
      <c r="F639" s="398"/>
    </row>
    <row r="640" spans="1:6" ht="18" customHeight="1">
      <c r="A640" s="136"/>
      <c r="B640" s="135"/>
      <c r="C640" s="135"/>
      <c r="D640" s="135"/>
      <c r="E640" s="793"/>
      <c r="F640" s="398"/>
    </row>
    <row r="641" spans="1:6" ht="18" customHeight="1">
      <c r="A641" s="418" t="s">
        <v>494</v>
      </c>
      <c r="B641" s="415"/>
      <c r="C641" s="419"/>
      <c r="D641" s="419"/>
      <c r="E641" s="794"/>
      <c r="F641" s="398"/>
    </row>
    <row r="642" spans="1:6" ht="18" customHeight="1">
      <c r="A642" s="134" t="s">
        <v>324</v>
      </c>
      <c r="B642" s="135">
        <f>GTA!C21</f>
        <v>7</v>
      </c>
      <c r="C642" s="135" t="s">
        <v>22</v>
      </c>
      <c r="D642" s="135">
        <v>16.649999999999999</v>
      </c>
      <c r="E642" s="793">
        <f>B642*D642</f>
        <v>116.54999999999998</v>
      </c>
      <c r="F642" s="398" t="s">
        <v>494</v>
      </c>
    </row>
    <row r="643" spans="1:6" ht="18" customHeight="1">
      <c r="A643" s="134" t="s">
        <v>730</v>
      </c>
      <c r="B643" s="135">
        <f>GTA!D21</f>
        <v>0</v>
      </c>
      <c r="C643" s="135" t="s">
        <v>22</v>
      </c>
      <c r="D643" s="135">
        <v>16.649999999999999</v>
      </c>
      <c r="E643" s="793">
        <f>(B643*D643)</f>
        <v>0</v>
      </c>
      <c r="F643" s="398" t="s">
        <v>494</v>
      </c>
    </row>
    <row r="644" spans="1:6" s="529" customFormat="1" ht="18" customHeight="1">
      <c r="A644" s="134" t="s">
        <v>496</v>
      </c>
      <c r="B644" s="481">
        <f>GTA!K21</f>
        <v>0</v>
      </c>
      <c r="C644" s="481" t="s">
        <v>22</v>
      </c>
      <c r="D644" s="481">
        <v>16.649999999999999</v>
      </c>
      <c r="E644" s="796">
        <f>(B644*D644)</f>
        <v>0</v>
      </c>
      <c r="F644" s="563" t="s">
        <v>494</v>
      </c>
    </row>
    <row r="645" spans="1:6" ht="18" customHeight="1">
      <c r="A645" s="134" t="s">
        <v>378</v>
      </c>
      <c r="B645" s="135">
        <f>GTA!G21</f>
        <v>0</v>
      </c>
      <c r="C645" s="135" t="s">
        <v>22</v>
      </c>
      <c r="D645" s="135">
        <v>16.649999999999999</v>
      </c>
      <c r="E645" s="793">
        <f>(B645*D645)</f>
        <v>0</v>
      </c>
      <c r="F645" s="398" t="s">
        <v>494</v>
      </c>
    </row>
    <row r="646" spans="1:6" ht="18" customHeight="1">
      <c r="A646" s="134" t="s">
        <v>460</v>
      </c>
      <c r="B646" s="135">
        <f>GTA!H21</f>
        <v>0</v>
      </c>
      <c r="C646" s="135" t="s">
        <v>22</v>
      </c>
      <c r="D646" s="135">
        <v>16.649999999999999</v>
      </c>
      <c r="E646" s="793">
        <f t="shared" ref="E646:E709" si="16">B646*D646</f>
        <v>0</v>
      </c>
      <c r="F646" s="398" t="s">
        <v>494</v>
      </c>
    </row>
    <row r="647" spans="1:6" ht="18" customHeight="1">
      <c r="A647" s="134" t="s">
        <v>495</v>
      </c>
      <c r="B647" s="135">
        <f>GTA!I21</f>
        <v>0</v>
      </c>
      <c r="C647" s="135" t="s">
        <v>22</v>
      </c>
      <c r="D647" s="135">
        <v>16.649999999999999</v>
      </c>
      <c r="E647" s="793">
        <f t="shared" si="16"/>
        <v>0</v>
      </c>
      <c r="F647" s="398" t="s">
        <v>494</v>
      </c>
    </row>
    <row r="648" spans="1:6" s="529" customFormat="1" ht="18" customHeight="1">
      <c r="A648" s="512" t="s">
        <v>130</v>
      </c>
      <c r="B648" s="481">
        <f>GTA!P21</f>
        <v>0</v>
      </c>
      <c r="C648" s="481" t="s">
        <v>22</v>
      </c>
      <c r="D648" s="481">
        <v>16.649999999999999</v>
      </c>
      <c r="E648" s="796">
        <f t="shared" si="16"/>
        <v>0</v>
      </c>
      <c r="F648" s="563" t="s">
        <v>494</v>
      </c>
    </row>
    <row r="649" spans="1:6" ht="18" customHeight="1">
      <c r="A649" s="134" t="s">
        <v>725</v>
      </c>
      <c r="B649" s="135">
        <f>GTA!L21</f>
        <v>0</v>
      </c>
      <c r="C649" s="135" t="s">
        <v>22</v>
      </c>
      <c r="D649" s="135">
        <v>16.649999999999999</v>
      </c>
      <c r="E649" s="793">
        <f t="shared" si="16"/>
        <v>0</v>
      </c>
      <c r="F649" s="398" t="s">
        <v>494</v>
      </c>
    </row>
    <row r="650" spans="1:6" ht="18" customHeight="1">
      <c r="A650" s="134" t="s">
        <v>325</v>
      </c>
      <c r="B650" s="135">
        <f>GTA!N21</f>
        <v>0</v>
      </c>
      <c r="C650" s="135" t="s">
        <v>22</v>
      </c>
      <c r="D650" s="135">
        <v>16.649999999999999</v>
      </c>
      <c r="E650" s="793">
        <f t="shared" si="16"/>
        <v>0</v>
      </c>
      <c r="F650" s="398" t="s">
        <v>494</v>
      </c>
    </row>
    <row r="651" spans="1:6" ht="18" customHeight="1">
      <c r="A651" s="134" t="s">
        <v>498</v>
      </c>
      <c r="B651" s="135">
        <f>GTA!O21</f>
        <v>0</v>
      </c>
      <c r="C651" s="135" t="s">
        <v>22</v>
      </c>
      <c r="D651" s="135">
        <v>16.649999999999999</v>
      </c>
      <c r="E651" s="793">
        <f t="shared" si="16"/>
        <v>0</v>
      </c>
      <c r="F651" s="398" t="s">
        <v>494</v>
      </c>
    </row>
    <row r="652" spans="1:6" ht="18" customHeight="1">
      <c r="A652" s="134" t="s">
        <v>210</v>
      </c>
      <c r="B652" s="135">
        <f>GTA!Q21</f>
        <v>0</v>
      </c>
      <c r="C652" s="135" t="s">
        <v>22</v>
      </c>
      <c r="D652" s="135">
        <v>16.649999999999999</v>
      </c>
      <c r="E652" s="793">
        <f t="shared" si="16"/>
        <v>0</v>
      </c>
      <c r="F652" s="398" t="s">
        <v>494</v>
      </c>
    </row>
    <row r="653" spans="1:6" ht="18" customHeight="1">
      <c r="A653" s="134" t="s">
        <v>408</v>
      </c>
      <c r="B653" s="135">
        <f>GTA!R21</f>
        <v>0</v>
      </c>
      <c r="C653" s="135" t="s">
        <v>22</v>
      </c>
      <c r="D653" s="135">
        <v>16.649999999999999</v>
      </c>
      <c r="E653" s="793">
        <f t="shared" si="16"/>
        <v>0</v>
      </c>
      <c r="F653" s="398" t="s">
        <v>494</v>
      </c>
    </row>
    <row r="654" spans="1:6" ht="18" customHeight="1">
      <c r="A654" s="134" t="s">
        <v>255</v>
      </c>
      <c r="B654" s="135">
        <f>GTA!EA21</f>
        <v>0</v>
      </c>
      <c r="C654" s="135" t="s">
        <v>22</v>
      </c>
      <c r="D654" s="135">
        <v>20</v>
      </c>
      <c r="E654" s="793">
        <f t="shared" si="16"/>
        <v>0</v>
      </c>
      <c r="F654" s="398" t="s">
        <v>494</v>
      </c>
    </row>
    <row r="655" spans="1:6" ht="18" customHeight="1">
      <c r="A655" s="134" t="s">
        <v>501</v>
      </c>
      <c r="B655" s="135">
        <f>GTA!S21</f>
        <v>0</v>
      </c>
      <c r="C655" s="135" t="s">
        <v>22</v>
      </c>
      <c r="D655" s="135">
        <v>16.649999999999999</v>
      </c>
      <c r="E655" s="793">
        <f t="shared" si="16"/>
        <v>0</v>
      </c>
      <c r="F655" s="398" t="s">
        <v>494</v>
      </c>
    </row>
    <row r="656" spans="1:6" ht="18" customHeight="1">
      <c r="A656" s="134" t="s">
        <v>466</v>
      </c>
      <c r="B656" s="135">
        <f>GTA!AK21</f>
        <v>0</v>
      </c>
      <c r="C656" s="135" t="s">
        <v>22</v>
      </c>
      <c r="D656" s="135">
        <v>16.649999999999999</v>
      </c>
      <c r="E656" s="793">
        <f t="shared" si="16"/>
        <v>0</v>
      </c>
      <c r="F656" s="398" t="s">
        <v>494</v>
      </c>
    </row>
    <row r="657" spans="1:6" s="529" customFormat="1" ht="18" customHeight="1">
      <c r="A657" s="512" t="s">
        <v>502</v>
      </c>
      <c r="B657" s="481">
        <f>GTA!T21</f>
        <v>0</v>
      </c>
      <c r="C657" s="481" t="s">
        <v>22</v>
      </c>
      <c r="D657" s="481">
        <v>16.649999999999999</v>
      </c>
      <c r="E657" s="796">
        <f t="shared" si="16"/>
        <v>0</v>
      </c>
      <c r="F657" s="563" t="s">
        <v>494</v>
      </c>
    </row>
    <row r="658" spans="1:6" s="529" customFormat="1" ht="18" customHeight="1">
      <c r="A658" s="512" t="s">
        <v>731</v>
      </c>
      <c r="B658" s="481">
        <f>GTA!Y21</f>
        <v>0</v>
      </c>
      <c r="C658" s="481" t="s">
        <v>22</v>
      </c>
      <c r="D658" s="481">
        <v>16.649999999999999</v>
      </c>
      <c r="E658" s="796">
        <f t="shared" si="16"/>
        <v>0</v>
      </c>
      <c r="F658" s="563" t="s">
        <v>494</v>
      </c>
    </row>
    <row r="659" spans="1:6" s="529" customFormat="1" ht="18" customHeight="1">
      <c r="A659" s="512" t="s">
        <v>464</v>
      </c>
      <c r="B659" s="481">
        <f>GTA!W21</f>
        <v>0</v>
      </c>
      <c r="C659" s="481" t="s">
        <v>22</v>
      </c>
      <c r="D659" s="481">
        <v>16.649999999999999</v>
      </c>
      <c r="E659" s="796">
        <f t="shared" si="16"/>
        <v>0</v>
      </c>
      <c r="F659" s="563" t="s">
        <v>494</v>
      </c>
    </row>
    <row r="660" spans="1:6" ht="18" customHeight="1">
      <c r="A660" s="398" t="s">
        <v>732</v>
      </c>
      <c r="B660" s="135">
        <f>GTA!EL21</f>
        <v>0</v>
      </c>
      <c r="C660" s="135" t="s">
        <v>22</v>
      </c>
      <c r="D660" s="135">
        <v>20</v>
      </c>
      <c r="E660" s="793">
        <f t="shared" si="16"/>
        <v>0</v>
      </c>
      <c r="F660" s="398" t="s">
        <v>494</v>
      </c>
    </row>
    <row r="661" spans="1:6" ht="18" customHeight="1">
      <c r="A661" s="134" t="s">
        <v>360</v>
      </c>
      <c r="B661" s="135">
        <f>GTA!U21</f>
        <v>0</v>
      </c>
      <c r="C661" s="135" t="s">
        <v>22</v>
      </c>
      <c r="D661" s="135">
        <v>16.649999999999999</v>
      </c>
      <c r="E661" s="793">
        <f t="shared" si="16"/>
        <v>0</v>
      </c>
      <c r="F661" s="398" t="s">
        <v>494</v>
      </c>
    </row>
    <row r="662" spans="1:6" ht="18" customHeight="1">
      <c r="A662" s="134" t="s">
        <v>505</v>
      </c>
      <c r="B662" s="135">
        <f>GTA!AA21</f>
        <v>0</v>
      </c>
      <c r="C662" s="135" t="s">
        <v>22</v>
      </c>
      <c r="D662" s="135">
        <v>16.649999999999999</v>
      </c>
      <c r="E662" s="793">
        <f t="shared" si="16"/>
        <v>0</v>
      </c>
      <c r="F662" s="398" t="s">
        <v>494</v>
      </c>
    </row>
    <row r="663" spans="1:6" ht="18" customHeight="1">
      <c r="A663" s="134" t="s">
        <v>506</v>
      </c>
      <c r="B663" s="135">
        <f>GTA!AB21</f>
        <v>0</v>
      </c>
      <c r="C663" s="135" t="s">
        <v>22</v>
      </c>
      <c r="D663" s="135">
        <v>16.649999999999999</v>
      </c>
      <c r="E663" s="793">
        <f t="shared" si="16"/>
        <v>0</v>
      </c>
      <c r="F663" s="398" t="s">
        <v>494</v>
      </c>
    </row>
    <row r="664" spans="1:6" ht="18" customHeight="1">
      <c r="A664" s="402" t="s">
        <v>640</v>
      </c>
      <c r="B664" s="135">
        <f>GTA!AC21</f>
        <v>0</v>
      </c>
      <c r="C664" s="135" t="s">
        <v>22</v>
      </c>
      <c r="D664" s="135">
        <v>16.649999999999999</v>
      </c>
      <c r="E664" s="793">
        <f t="shared" si="16"/>
        <v>0</v>
      </c>
      <c r="F664" s="398" t="s">
        <v>494</v>
      </c>
    </row>
    <row r="665" spans="1:6" s="529" customFormat="1" ht="18" customHeight="1">
      <c r="A665" s="707" t="s">
        <v>336</v>
      </c>
      <c r="B665" s="481">
        <f>GTA!BI21</f>
        <v>0</v>
      </c>
      <c r="C665" s="481" t="s">
        <v>22</v>
      </c>
      <c r="D665" s="481">
        <v>16.649999999999999</v>
      </c>
      <c r="E665" s="796">
        <f t="shared" si="16"/>
        <v>0</v>
      </c>
      <c r="F665" s="563" t="s">
        <v>494</v>
      </c>
    </row>
    <row r="666" spans="1:6" s="529" customFormat="1" ht="18" customHeight="1">
      <c r="A666" s="707" t="s">
        <v>532</v>
      </c>
      <c r="B666" s="481">
        <f>GTA!BO21</f>
        <v>0</v>
      </c>
      <c r="C666" s="481" t="s">
        <v>22</v>
      </c>
      <c r="D666" s="481">
        <v>16.649999999999999</v>
      </c>
      <c r="E666" s="796">
        <f t="shared" si="16"/>
        <v>0</v>
      </c>
      <c r="F666" s="563" t="s">
        <v>494</v>
      </c>
    </row>
    <row r="667" spans="1:6" s="529" customFormat="1" ht="18" customHeight="1">
      <c r="A667" s="707" t="s">
        <v>529</v>
      </c>
      <c r="B667" s="481">
        <f>GTA!BK21</f>
        <v>0</v>
      </c>
      <c r="C667" s="481" t="s">
        <v>22</v>
      </c>
      <c r="D667" s="481">
        <v>16.649999999999999</v>
      </c>
      <c r="E667" s="796">
        <f t="shared" si="16"/>
        <v>0</v>
      </c>
      <c r="F667" s="563" t="s">
        <v>494</v>
      </c>
    </row>
    <row r="668" spans="1:6" s="529" customFormat="1" ht="18" customHeight="1">
      <c r="A668" s="707" t="s">
        <v>535</v>
      </c>
      <c r="B668" s="481">
        <f>GTA!BP21</f>
        <v>0</v>
      </c>
      <c r="C668" s="481" t="s">
        <v>22</v>
      </c>
      <c r="D668" s="481">
        <v>16.649999999999999</v>
      </c>
      <c r="E668" s="796">
        <f t="shared" si="16"/>
        <v>0</v>
      </c>
      <c r="F668" s="563" t="s">
        <v>494</v>
      </c>
    </row>
    <row r="669" spans="1:6" s="529" customFormat="1" ht="18" customHeight="1">
      <c r="A669" s="707" t="s">
        <v>540</v>
      </c>
      <c r="B669" s="481">
        <f>GTA!BW21</f>
        <v>0</v>
      </c>
      <c r="C669" s="481" t="s">
        <v>22</v>
      </c>
      <c r="D669" s="481">
        <v>16.649999999999999</v>
      </c>
      <c r="E669" s="796">
        <f t="shared" si="16"/>
        <v>0</v>
      </c>
      <c r="F669" s="563" t="s">
        <v>494</v>
      </c>
    </row>
    <row r="670" spans="1:6" s="529" customFormat="1" ht="18" customHeight="1">
      <c r="A670" s="707" t="s">
        <v>541</v>
      </c>
      <c r="B670" s="481">
        <f>GTA!V21</f>
        <v>0</v>
      </c>
      <c r="C670" s="481" t="s">
        <v>22</v>
      </c>
      <c r="D670" s="481">
        <v>16.649999999999999</v>
      </c>
      <c r="E670" s="796">
        <f t="shared" si="16"/>
        <v>0</v>
      </c>
      <c r="F670" s="563" t="s">
        <v>494</v>
      </c>
    </row>
    <row r="671" spans="1:6" ht="18" customHeight="1">
      <c r="A671" s="398" t="s">
        <v>733</v>
      </c>
      <c r="B671" s="135">
        <f>GTA!EN21</f>
        <v>0</v>
      </c>
      <c r="C671" s="135" t="s">
        <v>22</v>
      </c>
      <c r="D671" s="135">
        <v>20</v>
      </c>
      <c r="E671" s="793">
        <f t="shared" si="16"/>
        <v>0</v>
      </c>
      <c r="F671" s="398" t="s">
        <v>494</v>
      </c>
    </row>
    <row r="672" spans="1:6" ht="18" customHeight="1">
      <c r="A672" s="398" t="s">
        <v>734</v>
      </c>
      <c r="B672" s="135">
        <f>GTA!EM21</f>
        <v>0</v>
      </c>
      <c r="C672" s="135" t="s">
        <v>22</v>
      </c>
      <c r="D672" s="135">
        <v>20</v>
      </c>
      <c r="E672" s="793">
        <f t="shared" si="16"/>
        <v>0</v>
      </c>
      <c r="F672" s="398" t="s">
        <v>494</v>
      </c>
    </row>
    <row r="673" spans="1:6" ht="18" customHeight="1">
      <c r="A673" s="398" t="s">
        <v>735</v>
      </c>
      <c r="B673" s="135">
        <f>GTA!EO21</f>
        <v>0</v>
      </c>
      <c r="C673" s="135" t="s">
        <v>22</v>
      </c>
      <c r="D673" s="135">
        <v>20</v>
      </c>
      <c r="E673" s="793">
        <f t="shared" si="16"/>
        <v>0</v>
      </c>
      <c r="F673" s="398" t="s">
        <v>494</v>
      </c>
    </row>
    <row r="674" spans="1:6" ht="18" customHeight="1">
      <c r="A674" s="136" t="s">
        <v>481</v>
      </c>
      <c r="B674" s="135">
        <f>GTA!AE21</f>
        <v>0</v>
      </c>
      <c r="C674" s="135" t="s">
        <v>22</v>
      </c>
      <c r="D674" s="135">
        <v>16.649999999999999</v>
      </c>
      <c r="E674" s="793">
        <f t="shared" si="16"/>
        <v>0</v>
      </c>
      <c r="F674" s="398" t="s">
        <v>494</v>
      </c>
    </row>
    <row r="675" spans="1:6" ht="18" customHeight="1">
      <c r="A675" s="398" t="s">
        <v>736</v>
      </c>
      <c r="B675" s="135">
        <f>GTA!AF21</f>
        <v>0</v>
      </c>
      <c r="C675" s="135" t="s">
        <v>22</v>
      </c>
      <c r="D675" s="135">
        <v>16.649999999999999</v>
      </c>
      <c r="E675" s="793">
        <f t="shared" si="16"/>
        <v>0</v>
      </c>
      <c r="F675" s="398" t="s">
        <v>494</v>
      </c>
    </row>
    <row r="676" spans="1:6" ht="18" customHeight="1">
      <c r="A676" s="398" t="s">
        <v>737</v>
      </c>
      <c r="B676" s="135">
        <f>GTA!AD21</f>
        <v>0</v>
      </c>
      <c r="C676" s="135" t="s">
        <v>22</v>
      </c>
      <c r="D676" s="135">
        <v>16.649999999999999</v>
      </c>
      <c r="E676" s="793">
        <f t="shared" si="16"/>
        <v>0</v>
      </c>
      <c r="F676" s="398" t="s">
        <v>494</v>
      </c>
    </row>
    <row r="677" spans="1:6" ht="18" customHeight="1">
      <c r="A677" s="398" t="s">
        <v>536</v>
      </c>
      <c r="B677" s="135">
        <f>GTA!CO21</f>
        <v>0</v>
      </c>
      <c r="C677" s="135" t="s">
        <v>22</v>
      </c>
      <c r="D677" s="135">
        <v>16.649999999999999</v>
      </c>
      <c r="E677" s="793">
        <f t="shared" si="16"/>
        <v>0</v>
      </c>
      <c r="F677" s="398" t="s">
        <v>494</v>
      </c>
    </row>
    <row r="678" spans="1:6" s="529" customFormat="1" ht="18" customHeight="1">
      <c r="A678" s="563" t="s">
        <v>510</v>
      </c>
      <c r="B678" s="481">
        <f>GTA!AO21</f>
        <v>0</v>
      </c>
      <c r="C678" s="481" t="s">
        <v>22</v>
      </c>
      <c r="D678" s="481">
        <v>16.649999999999999</v>
      </c>
      <c r="E678" s="796">
        <f t="shared" si="16"/>
        <v>0</v>
      </c>
      <c r="F678" s="563" t="s">
        <v>494</v>
      </c>
    </row>
    <row r="679" spans="1:6" s="529" customFormat="1" ht="18" customHeight="1">
      <c r="A679" s="563" t="s">
        <v>738</v>
      </c>
      <c r="B679" s="481">
        <f>GTA!AI21</f>
        <v>0</v>
      </c>
      <c r="C679" s="481" t="s">
        <v>22</v>
      </c>
      <c r="D679" s="481">
        <v>16.649999999999999</v>
      </c>
      <c r="E679" s="796">
        <f t="shared" si="16"/>
        <v>0</v>
      </c>
      <c r="F679" s="563" t="s">
        <v>494</v>
      </c>
    </row>
    <row r="680" spans="1:6" ht="18" customHeight="1">
      <c r="A680" s="398" t="s">
        <v>227</v>
      </c>
      <c r="B680" s="135">
        <f>GTA!BC21</f>
        <v>0</v>
      </c>
      <c r="C680" s="135" t="s">
        <v>22</v>
      </c>
      <c r="D680" s="135">
        <v>16.649999999999999</v>
      </c>
      <c r="E680" s="793">
        <f t="shared" si="16"/>
        <v>0</v>
      </c>
      <c r="F680" s="398" t="s">
        <v>494</v>
      </c>
    </row>
    <row r="681" spans="1:6" ht="18" customHeight="1">
      <c r="A681" s="398" t="s">
        <v>393</v>
      </c>
      <c r="B681" s="135">
        <f>GTA!CS21</f>
        <v>0</v>
      </c>
      <c r="C681" s="135" t="s">
        <v>22</v>
      </c>
      <c r="D681" s="135">
        <v>16.649999999999999</v>
      </c>
      <c r="E681" s="793">
        <f t="shared" si="16"/>
        <v>0</v>
      </c>
      <c r="F681" s="398" t="s">
        <v>494</v>
      </c>
    </row>
    <row r="682" spans="1:6" ht="18" customHeight="1">
      <c r="A682" s="398" t="s">
        <v>221</v>
      </c>
      <c r="B682" s="135">
        <f>GTA!AH21</f>
        <v>0</v>
      </c>
      <c r="C682" s="135" t="s">
        <v>22</v>
      </c>
      <c r="D682" s="135">
        <v>16.649999999999999</v>
      </c>
      <c r="E682" s="793">
        <f t="shared" si="16"/>
        <v>0</v>
      </c>
      <c r="F682" s="398" t="s">
        <v>494</v>
      </c>
    </row>
    <row r="683" spans="1:6" ht="18" customHeight="1">
      <c r="A683" s="134" t="s">
        <v>222</v>
      </c>
      <c r="B683" s="135">
        <f>GTA!AJ21</f>
        <v>0</v>
      </c>
      <c r="C683" s="135" t="s">
        <v>22</v>
      </c>
      <c r="D683" s="135">
        <v>16.649999999999999</v>
      </c>
      <c r="E683" s="793">
        <f t="shared" si="16"/>
        <v>0</v>
      </c>
      <c r="F683" s="398" t="s">
        <v>494</v>
      </c>
    </row>
    <row r="684" spans="1:6" ht="18" customHeight="1">
      <c r="A684" s="134" t="s">
        <v>413</v>
      </c>
      <c r="B684" s="135">
        <f>GTA!AL21</f>
        <v>0</v>
      </c>
      <c r="C684" s="135" t="s">
        <v>22</v>
      </c>
      <c r="D684" s="135">
        <v>16.649999999999999</v>
      </c>
      <c r="E684" s="793">
        <f t="shared" si="16"/>
        <v>0</v>
      </c>
      <c r="F684" s="398" t="s">
        <v>494</v>
      </c>
    </row>
    <row r="685" spans="1:6" ht="18" customHeight="1">
      <c r="A685" s="134" t="s">
        <v>508</v>
      </c>
      <c r="B685" s="135">
        <f>GTA!AM21</f>
        <v>0</v>
      </c>
      <c r="C685" s="135" t="s">
        <v>22</v>
      </c>
      <c r="D685" s="135">
        <v>16.649999999999999</v>
      </c>
      <c r="E685" s="793">
        <f t="shared" si="16"/>
        <v>0</v>
      </c>
      <c r="F685" s="398" t="s">
        <v>494</v>
      </c>
    </row>
    <row r="686" spans="1:6" ht="18" customHeight="1">
      <c r="A686" s="134" t="s">
        <v>509</v>
      </c>
      <c r="B686" s="135">
        <f>GTA!AN21</f>
        <v>0</v>
      </c>
      <c r="C686" s="135" t="s">
        <v>22</v>
      </c>
      <c r="D686" s="135">
        <v>16.649999999999999</v>
      </c>
      <c r="E686" s="793">
        <f t="shared" si="16"/>
        <v>0</v>
      </c>
      <c r="F686" s="398" t="s">
        <v>494</v>
      </c>
    </row>
    <row r="687" spans="1:6" ht="18" customHeight="1">
      <c r="A687" s="134" t="s">
        <v>326</v>
      </c>
      <c r="B687" s="135">
        <f>GTA!AP21</f>
        <v>0</v>
      </c>
      <c r="C687" s="135" t="s">
        <v>22</v>
      </c>
      <c r="D687" s="135">
        <v>16.649999999999999</v>
      </c>
      <c r="E687" s="793">
        <f t="shared" si="16"/>
        <v>0</v>
      </c>
      <c r="F687" s="398" t="s">
        <v>494</v>
      </c>
    </row>
    <row r="688" spans="1:6" ht="18" customHeight="1">
      <c r="A688" s="134" t="s">
        <v>511</v>
      </c>
      <c r="B688" s="135">
        <f>GTA!AQ21</f>
        <v>0</v>
      </c>
      <c r="C688" s="135" t="s">
        <v>22</v>
      </c>
      <c r="D688" s="135">
        <v>16.649999999999999</v>
      </c>
      <c r="E688" s="793">
        <f t="shared" si="16"/>
        <v>0</v>
      </c>
      <c r="F688" s="398" t="s">
        <v>494</v>
      </c>
    </row>
    <row r="689" spans="1:6" s="529" customFormat="1" ht="18" customHeight="1">
      <c r="A689" s="578" t="s">
        <v>739</v>
      </c>
      <c r="B689" s="481">
        <f>GTA!BM21</f>
        <v>0</v>
      </c>
      <c r="C689" s="481" t="s">
        <v>22</v>
      </c>
      <c r="D689" s="481">
        <v>16.649999999999999</v>
      </c>
      <c r="E689" s="796">
        <f t="shared" si="16"/>
        <v>0</v>
      </c>
      <c r="F689" s="563" t="s">
        <v>494</v>
      </c>
    </row>
    <row r="690" spans="1:6" ht="18" customHeight="1">
      <c r="A690" s="603" t="s">
        <v>399</v>
      </c>
      <c r="B690" s="135">
        <f>GTA!BN21</f>
        <v>0</v>
      </c>
      <c r="C690" s="135" t="s">
        <v>22</v>
      </c>
      <c r="D690" s="135">
        <v>16.649999999999999</v>
      </c>
      <c r="E690" s="793">
        <f>B690*D690</f>
        <v>0</v>
      </c>
      <c r="F690" s="398" t="s">
        <v>494</v>
      </c>
    </row>
    <row r="691" spans="1:6" s="529" customFormat="1" ht="18" customHeight="1">
      <c r="A691" s="578" t="s">
        <v>525</v>
      </c>
      <c r="B691" s="481">
        <f>GTA!BR21</f>
        <v>0</v>
      </c>
      <c r="C691" s="481" t="s">
        <v>22</v>
      </c>
      <c r="D691" s="481">
        <v>16.649999999999999</v>
      </c>
      <c r="E691" s="796">
        <f t="shared" si="16"/>
        <v>0</v>
      </c>
      <c r="F691" s="563" t="s">
        <v>494</v>
      </c>
    </row>
    <row r="692" spans="1:6" s="529" customFormat="1" ht="18" customHeight="1">
      <c r="A692" s="578" t="s">
        <v>740</v>
      </c>
      <c r="B692" s="481">
        <f>GTA!F21</f>
        <v>0</v>
      </c>
      <c r="C692" s="481" t="s">
        <v>22</v>
      </c>
      <c r="D692" s="481">
        <v>16.649999999999999</v>
      </c>
      <c r="E692" s="796">
        <f t="shared" si="16"/>
        <v>0</v>
      </c>
      <c r="F692" s="563" t="s">
        <v>494</v>
      </c>
    </row>
    <row r="693" spans="1:6" s="529" customFormat="1" ht="18" customHeight="1">
      <c r="A693" s="578" t="s">
        <v>388</v>
      </c>
      <c r="B693" s="481">
        <f>GTA!BS21</f>
        <v>0</v>
      </c>
      <c r="C693" s="481" t="s">
        <v>22</v>
      </c>
      <c r="D693" s="481">
        <v>16.649999999999999</v>
      </c>
      <c r="E693" s="796">
        <f t="shared" si="16"/>
        <v>0</v>
      </c>
      <c r="F693" s="563" t="s">
        <v>494</v>
      </c>
    </row>
    <row r="694" spans="1:6" s="529" customFormat="1" ht="18" customHeight="1">
      <c r="A694" s="578" t="s">
        <v>530</v>
      </c>
      <c r="B694" s="481">
        <f>GTA!BT21</f>
        <v>0</v>
      </c>
      <c r="C694" s="481" t="s">
        <v>22</v>
      </c>
      <c r="D694" s="481">
        <v>20</v>
      </c>
      <c r="E694" s="796">
        <f t="shared" si="16"/>
        <v>0</v>
      </c>
      <c r="F694" s="563" t="s">
        <v>494</v>
      </c>
    </row>
    <row r="695" spans="1:6" s="529" customFormat="1" ht="18" customHeight="1">
      <c r="A695" s="578" t="s">
        <v>531</v>
      </c>
      <c r="B695" s="481">
        <f>GTA!BU21</f>
        <v>0</v>
      </c>
      <c r="C695" s="481" t="s">
        <v>22</v>
      </c>
      <c r="D695" s="481">
        <v>16.649999999999999</v>
      </c>
      <c r="E695" s="796">
        <f>B695*D695</f>
        <v>0</v>
      </c>
      <c r="F695" s="563" t="s">
        <v>494</v>
      </c>
    </row>
    <row r="696" spans="1:6" s="529" customFormat="1" ht="18" customHeight="1">
      <c r="A696" s="578" t="s">
        <v>533</v>
      </c>
      <c r="B696" s="481">
        <f>GTA!BQ21</f>
        <v>0</v>
      </c>
      <c r="C696" s="481" t="s">
        <v>22</v>
      </c>
      <c r="D696" s="481">
        <v>16.649999999999999</v>
      </c>
      <c r="E696" s="796">
        <f>B696*D696</f>
        <v>0</v>
      </c>
      <c r="F696" s="563" t="s">
        <v>494</v>
      </c>
    </row>
    <row r="697" spans="1:6" s="529" customFormat="1" ht="18" customHeight="1">
      <c r="A697" s="578" t="s">
        <v>419</v>
      </c>
      <c r="B697" s="481">
        <f>GTA!BV21</f>
        <v>0</v>
      </c>
      <c r="C697" s="481" t="s">
        <v>22</v>
      </c>
      <c r="D697" s="481">
        <v>16.649999999999999</v>
      </c>
      <c r="E697" s="796">
        <f t="shared" si="16"/>
        <v>0</v>
      </c>
      <c r="F697" s="563" t="s">
        <v>494</v>
      </c>
    </row>
    <row r="698" spans="1:6" s="529" customFormat="1" ht="18" customHeight="1">
      <c r="A698" s="578" t="s">
        <v>539</v>
      </c>
      <c r="B698" s="481">
        <f>GTA!CQ21</f>
        <v>0</v>
      </c>
      <c r="C698" s="481" t="s">
        <v>22</v>
      </c>
      <c r="D698" s="481">
        <v>16.649999999999999</v>
      </c>
      <c r="E698" s="796">
        <f t="shared" si="16"/>
        <v>0</v>
      </c>
      <c r="F698" s="563" t="s">
        <v>494</v>
      </c>
    </row>
    <row r="699" spans="1:6" s="529" customFormat="1" ht="18" customHeight="1">
      <c r="A699" s="578" t="s">
        <v>427</v>
      </c>
      <c r="B699" s="481">
        <f>GTA!BX21</f>
        <v>0</v>
      </c>
      <c r="C699" s="481" t="s">
        <v>22</v>
      </c>
      <c r="D699" s="481">
        <v>16.649999999999999</v>
      </c>
      <c r="E699" s="796">
        <f t="shared" si="16"/>
        <v>0</v>
      </c>
      <c r="F699" s="563" t="s">
        <v>494</v>
      </c>
    </row>
    <row r="700" spans="1:6" s="529" customFormat="1" ht="18" customHeight="1">
      <c r="A700" s="578" t="s">
        <v>741</v>
      </c>
      <c r="B700" s="481">
        <f>GTA!CV21</f>
        <v>0</v>
      </c>
      <c r="C700" s="481" t="s">
        <v>22</v>
      </c>
      <c r="D700" s="481">
        <v>16.649999999999999</v>
      </c>
      <c r="E700" s="796">
        <f t="shared" si="16"/>
        <v>0</v>
      </c>
      <c r="F700" s="563" t="s">
        <v>494</v>
      </c>
    </row>
    <row r="701" spans="1:6" s="529" customFormat="1" ht="18" customHeight="1">
      <c r="A701" s="512" t="s">
        <v>556</v>
      </c>
      <c r="B701" s="481">
        <f>GTA!DY21</f>
        <v>0</v>
      </c>
      <c r="C701" s="481" t="s">
        <v>22</v>
      </c>
      <c r="D701" s="481">
        <v>16.649999999999999</v>
      </c>
      <c r="E701" s="796">
        <f t="shared" si="16"/>
        <v>0</v>
      </c>
      <c r="F701" s="563" t="s">
        <v>494</v>
      </c>
    </row>
    <row r="702" spans="1:6" s="529" customFormat="1" ht="18" customHeight="1">
      <c r="A702" s="512" t="s">
        <v>480</v>
      </c>
      <c r="B702" s="481">
        <f>GTA!DP21</f>
        <v>0</v>
      </c>
      <c r="C702" s="481" t="s">
        <v>22</v>
      </c>
      <c r="D702" s="481">
        <v>16.649999999999999</v>
      </c>
      <c r="E702" s="796">
        <f t="shared" si="16"/>
        <v>0</v>
      </c>
      <c r="F702" s="563" t="s">
        <v>494</v>
      </c>
    </row>
    <row r="703" spans="1:6" s="529" customFormat="1" ht="18" customHeight="1">
      <c r="A703" s="558" t="s">
        <v>551</v>
      </c>
      <c r="B703" s="481">
        <f>GTA!DN21</f>
        <v>0</v>
      </c>
      <c r="C703" s="481" t="s">
        <v>22</v>
      </c>
      <c r="D703" s="481">
        <v>16.649999999999999</v>
      </c>
      <c r="E703" s="796">
        <f t="shared" si="16"/>
        <v>0</v>
      </c>
      <c r="F703" s="563" t="s">
        <v>494</v>
      </c>
    </row>
    <row r="704" spans="1:6" ht="18" customHeight="1">
      <c r="A704" s="134" t="s">
        <v>512</v>
      </c>
      <c r="B704" s="135">
        <f>GTA!AR21</f>
        <v>0</v>
      </c>
      <c r="C704" s="135" t="s">
        <v>22</v>
      </c>
      <c r="D704" s="135">
        <v>16.649999999999999</v>
      </c>
      <c r="E704" s="793">
        <f t="shared" si="16"/>
        <v>0</v>
      </c>
      <c r="F704" s="398" t="s">
        <v>494</v>
      </c>
    </row>
    <row r="705" spans="1:6" ht="18" customHeight="1">
      <c r="A705" s="134" t="s">
        <v>513</v>
      </c>
      <c r="B705" s="135">
        <f>GTA!AS21</f>
        <v>0</v>
      </c>
      <c r="C705" s="135" t="s">
        <v>22</v>
      </c>
      <c r="D705" s="135">
        <v>16.649999999999999</v>
      </c>
      <c r="E705" s="793">
        <f t="shared" si="16"/>
        <v>0</v>
      </c>
      <c r="F705" s="398" t="s">
        <v>494</v>
      </c>
    </row>
    <row r="706" spans="1:6" ht="18" customHeight="1">
      <c r="A706" s="134" t="s">
        <v>514</v>
      </c>
      <c r="B706" s="135">
        <f>GTA!AT21</f>
        <v>0</v>
      </c>
      <c r="C706" s="135" t="s">
        <v>22</v>
      </c>
      <c r="D706" s="135">
        <v>16.649999999999999</v>
      </c>
      <c r="E706" s="793">
        <f t="shared" si="16"/>
        <v>0</v>
      </c>
      <c r="F706" s="398" t="s">
        <v>494</v>
      </c>
    </row>
    <row r="707" spans="1:6" ht="18" customHeight="1">
      <c r="A707" s="134" t="s">
        <v>515</v>
      </c>
      <c r="B707" s="135">
        <f>GTA!AU21</f>
        <v>0</v>
      </c>
      <c r="C707" s="135" t="s">
        <v>22</v>
      </c>
      <c r="D707" s="135">
        <v>16.649999999999999</v>
      </c>
      <c r="E707" s="793">
        <f t="shared" si="16"/>
        <v>0</v>
      </c>
      <c r="F707" s="398" t="s">
        <v>494</v>
      </c>
    </row>
    <row r="708" spans="1:6" ht="18" customHeight="1">
      <c r="A708" s="134" t="s">
        <v>516</v>
      </c>
      <c r="B708" s="135">
        <f>GTA!AV21</f>
        <v>0</v>
      </c>
      <c r="C708" s="135" t="s">
        <v>22</v>
      </c>
      <c r="D708" s="135">
        <v>16.649999999999999</v>
      </c>
      <c r="E708" s="793">
        <f t="shared" si="16"/>
        <v>0</v>
      </c>
      <c r="F708" s="398" t="s">
        <v>494</v>
      </c>
    </row>
    <row r="709" spans="1:6" ht="18" customHeight="1">
      <c r="A709" s="134" t="s">
        <v>517</v>
      </c>
      <c r="B709" s="135">
        <f>GTA!AW21</f>
        <v>0</v>
      </c>
      <c r="C709" s="135" t="s">
        <v>22</v>
      </c>
      <c r="D709" s="135">
        <v>16.649999999999999</v>
      </c>
      <c r="E709" s="793">
        <f t="shared" si="16"/>
        <v>0</v>
      </c>
      <c r="F709" s="398" t="s">
        <v>494</v>
      </c>
    </row>
    <row r="710" spans="1:6" ht="18" customHeight="1">
      <c r="A710" s="134" t="s">
        <v>518</v>
      </c>
      <c r="B710" s="135">
        <f>GTA!AX21</f>
        <v>0</v>
      </c>
      <c r="C710" s="135" t="s">
        <v>22</v>
      </c>
      <c r="D710" s="135">
        <v>16.649999999999999</v>
      </c>
      <c r="E710" s="793">
        <f t="shared" ref="E710:E771" si="17">B710*D710</f>
        <v>0</v>
      </c>
      <c r="F710" s="398" t="s">
        <v>494</v>
      </c>
    </row>
    <row r="711" spans="1:6" ht="18" customHeight="1">
      <c r="A711" s="403" t="s">
        <v>519</v>
      </c>
      <c r="B711" s="135">
        <f>GTA!AY21</f>
        <v>0</v>
      </c>
      <c r="C711" s="135" t="s">
        <v>22</v>
      </c>
      <c r="D711" s="135">
        <v>16.649999999999999</v>
      </c>
      <c r="E711" s="793">
        <f t="shared" si="17"/>
        <v>0</v>
      </c>
      <c r="F711" s="398" t="s">
        <v>494</v>
      </c>
    </row>
    <row r="712" spans="1:6" ht="18" customHeight="1">
      <c r="A712" s="134" t="s">
        <v>327</v>
      </c>
      <c r="B712" s="135">
        <f>GTA!AZ21</f>
        <v>0</v>
      </c>
      <c r="C712" s="135" t="s">
        <v>22</v>
      </c>
      <c r="D712" s="135">
        <v>16.649999999999999</v>
      </c>
      <c r="E712" s="793">
        <f t="shared" si="17"/>
        <v>0</v>
      </c>
      <c r="F712" s="398" t="s">
        <v>494</v>
      </c>
    </row>
    <row r="713" spans="1:6" ht="18" customHeight="1">
      <c r="A713" s="134" t="s">
        <v>520</v>
      </c>
      <c r="B713" s="135">
        <f>GTA!BA21</f>
        <v>0</v>
      </c>
      <c r="C713" s="135" t="s">
        <v>22</v>
      </c>
      <c r="D713" s="135">
        <v>16.649999999999999</v>
      </c>
      <c r="E713" s="793">
        <f t="shared" si="17"/>
        <v>0</v>
      </c>
      <c r="F713" s="398" t="s">
        <v>494</v>
      </c>
    </row>
    <row r="714" spans="1:6" ht="18" customHeight="1">
      <c r="A714" s="398" t="s">
        <v>225</v>
      </c>
      <c r="B714" s="135">
        <f>GTA!BB21</f>
        <v>0</v>
      </c>
      <c r="C714" s="135" t="s">
        <v>22</v>
      </c>
      <c r="D714" s="135">
        <v>16.649999999999999</v>
      </c>
      <c r="E714" s="793">
        <f t="shared" si="17"/>
        <v>0</v>
      </c>
      <c r="F714" s="398" t="s">
        <v>494</v>
      </c>
    </row>
    <row r="715" spans="1:6" ht="18" customHeight="1">
      <c r="A715" s="134" t="s">
        <v>558</v>
      </c>
      <c r="B715" s="135">
        <f>GTA!ED21</f>
        <v>0</v>
      </c>
      <c r="C715" s="135" t="s">
        <v>22</v>
      </c>
      <c r="D715" s="135">
        <v>20</v>
      </c>
      <c r="E715" s="793">
        <f t="shared" si="17"/>
        <v>0</v>
      </c>
      <c r="F715" s="398" t="s">
        <v>494</v>
      </c>
    </row>
    <row r="716" spans="1:6" ht="18" customHeight="1">
      <c r="A716" s="134" t="s">
        <v>522</v>
      </c>
      <c r="B716" s="135">
        <f>GTA!BD21</f>
        <v>0</v>
      </c>
      <c r="C716" s="135" t="s">
        <v>22</v>
      </c>
      <c r="D716" s="135">
        <v>16.649999999999999</v>
      </c>
      <c r="E716" s="793">
        <f t="shared" si="17"/>
        <v>0</v>
      </c>
      <c r="F716" s="398" t="s">
        <v>494</v>
      </c>
    </row>
    <row r="717" spans="1:6" ht="18" customHeight="1">
      <c r="A717" s="134" t="s">
        <v>524</v>
      </c>
      <c r="B717" s="135">
        <f>GTA!BE21</f>
        <v>0</v>
      </c>
      <c r="C717" s="135" t="s">
        <v>22</v>
      </c>
      <c r="D717" s="135">
        <v>16.649999999999999</v>
      </c>
      <c r="E717" s="793">
        <f t="shared" si="17"/>
        <v>0</v>
      </c>
      <c r="F717" s="398" t="s">
        <v>494</v>
      </c>
    </row>
    <row r="718" spans="1:6" ht="18" customHeight="1">
      <c r="A718" s="134" t="s">
        <v>384</v>
      </c>
      <c r="B718" s="135">
        <f>GTA!BF21</f>
        <v>0</v>
      </c>
      <c r="C718" s="135" t="s">
        <v>22</v>
      </c>
      <c r="D718" s="135">
        <v>16.649999999999999</v>
      </c>
      <c r="E718" s="793">
        <f t="shared" si="17"/>
        <v>0</v>
      </c>
      <c r="F718" s="398" t="s">
        <v>494</v>
      </c>
    </row>
    <row r="719" spans="1:6" ht="18" customHeight="1">
      <c r="A719" s="134" t="s">
        <v>416</v>
      </c>
      <c r="B719" s="135">
        <f>GTA!BH21</f>
        <v>0</v>
      </c>
      <c r="C719" s="135" t="s">
        <v>22</v>
      </c>
      <c r="D719" s="135">
        <v>16.649999999999999</v>
      </c>
      <c r="E719" s="793">
        <f t="shared" si="17"/>
        <v>0</v>
      </c>
      <c r="F719" s="398" t="s">
        <v>494</v>
      </c>
    </row>
    <row r="720" spans="1:6" ht="18" customHeight="1">
      <c r="A720" s="134" t="s">
        <v>385</v>
      </c>
      <c r="B720" s="135">
        <f>GTA!BL21</f>
        <v>0</v>
      </c>
      <c r="C720" s="135" t="s">
        <v>22</v>
      </c>
      <c r="D720" s="135">
        <v>16.649999999999999</v>
      </c>
      <c r="E720" s="793">
        <f t="shared" si="17"/>
        <v>0</v>
      </c>
      <c r="F720" s="398" t="s">
        <v>494</v>
      </c>
    </row>
    <row r="721" spans="1:6" ht="18" customHeight="1">
      <c r="A721" s="134" t="s">
        <v>742</v>
      </c>
      <c r="B721" s="135">
        <f>GTA!CL21</f>
        <v>0</v>
      </c>
      <c r="C721" s="135" t="s">
        <v>22</v>
      </c>
      <c r="D721" s="135">
        <v>16.649999999999999</v>
      </c>
      <c r="E721" s="793">
        <f t="shared" si="17"/>
        <v>0</v>
      </c>
      <c r="F721" s="398" t="s">
        <v>494</v>
      </c>
    </row>
    <row r="722" spans="1:6" ht="18" customHeight="1">
      <c r="A722" s="134" t="s">
        <v>743</v>
      </c>
      <c r="B722" s="135">
        <f>GTA!CM21</f>
        <v>0</v>
      </c>
      <c r="C722" s="135" t="s">
        <v>22</v>
      </c>
      <c r="D722" s="135">
        <v>16.649999999999999</v>
      </c>
      <c r="E722" s="793">
        <f t="shared" si="17"/>
        <v>0</v>
      </c>
      <c r="F722" s="398" t="s">
        <v>494</v>
      </c>
    </row>
    <row r="723" spans="1:6" ht="18" customHeight="1">
      <c r="A723" s="134" t="s">
        <v>744</v>
      </c>
      <c r="B723" s="135">
        <f>GTA!BY21</f>
        <v>0</v>
      </c>
      <c r="C723" s="135" t="s">
        <v>22</v>
      </c>
      <c r="D723" s="135">
        <v>16.649999999999999</v>
      </c>
      <c r="E723" s="793">
        <f t="shared" si="17"/>
        <v>0</v>
      </c>
      <c r="F723" s="398" t="s">
        <v>494</v>
      </c>
    </row>
    <row r="724" spans="1:6" ht="18" customHeight="1">
      <c r="A724" s="398" t="s">
        <v>256</v>
      </c>
      <c r="B724" s="135">
        <f>GTA!EE21</f>
        <v>0</v>
      </c>
      <c r="C724" s="135" t="s">
        <v>22</v>
      </c>
      <c r="D724" s="135">
        <v>20</v>
      </c>
      <c r="E724" s="793">
        <f t="shared" si="17"/>
        <v>0</v>
      </c>
      <c r="F724" s="398" t="s">
        <v>494</v>
      </c>
    </row>
    <row r="725" spans="1:6" ht="18" customHeight="1">
      <c r="A725" s="398" t="s">
        <v>745</v>
      </c>
      <c r="B725" s="135">
        <f>GTA!DU21</f>
        <v>0</v>
      </c>
      <c r="C725" s="135" t="s">
        <v>22</v>
      </c>
      <c r="D725" s="135">
        <v>16.649999999999999</v>
      </c>
      <c r="E725" s="793">
        <f t="shared" si="17"/>
        <v>0</v>
      </c>
      <c r="F725" s="398" t="s">
        <v>494</v>
      </c>
    </row>
    <row r="726" spans="1:6" ht="18" customHeight="1">
      <c r="A726" s="398" t="s">
        <v>746</v>
      </c>
      <c r="B726" s="135">
        <f>GTA!CA21</f>
        <v>0</v>
      </c>
      <c r="C726" s="135" t="s">
        <v>22</v>
      </c>
      <c r="D726" s="135">
        <v>16.649999999999999</v>
      </c>
      <c r="E726" s="793">
        <f t="shared" si="17"/>
        <v>0</v>
      </c>
      <c r="F726" s="398" t="s">
        <v>494</v>
      </c>
    </row>
    <row r="727" spans="1:6" ht="18" customHeight="1">
      <c r="A727" s="134" t="s">
        <v>229</v>
      </c>
      <c r="B727" s="135">
        <f>GTA!CB21</f>
        <v>0</v>
      </c>
      <c r="C727" s="135" t="s">
        <v>22</v>
      </c>
      <c r="D727" s="135">
        <v>16.649999999999999</v>
      </c>
      <c r="E727" s="793">
        <f t="shared" si="17"/>
        <v>0</v>
      </c>
      <c r="F727" s="398" t="s">
        <v>494</v>
      </c>
    </row>
    <row r="728" spans="1:6" ht="18" customHeight="1">
      <c r="A728" s="134" t="s">
        <v>470</v>
      </c>
      <c r="B728" s="135">
        <f>GTA!CD21</f>
        <v>0</v>
      </c>
      <c r="C728" s="135" t="s">
        <v>22</v>
      </c>
      <c r="D728" s="135">
        <v>16.649999999999999</v>
      </c>
      <c r="E728" s="793">
        <f t="shared" si="17"/>
        <v>0</v>
      </c>
      <c r="F728" s="398" t="s">
        <v>494</v>
      </c>
    </row>
    <row r="729" spans="1:6" ht="18" customHeight="1">
      <c r="A729" s="512" t="s">
        <v>526</v>
      </c>
      <c r="B729" s="135">
        <f>GTA!CE21</f>
        <v>0</v>
      </c>
      <c r="C729" s="135" t="s">
        <v>22</v>
      </c>
      <c r="D729" s="135">
        <v>16.649999999999999</v>
      </c>
      <c r="E729" s="793">
        <f t="shared" si="17"/>
        <v>0</v>
      </c>
      <c r="F729" s="398" t="s">
        <v>494</v>
      </c>
    </row>
    <row r="730" spans="1:6" ht="18" customHeight="1">
      <c r="A730" s="134" t="s">
        <v>528</v>
      </c>
      <c r="B730" s="135">
        <f>GTA!CF21</f>
        <v>0</v>
      </c>
      <c r="C730" s="135" t="s">
        <v>22</v>
      </c>
      <c r="D730" s="135">
        <v>16.649999999999999</v>
      </c>
      <c r="E730" s="793">
        <f t="shared" si="17"/>
        <v>0</v>
      </c>
      <c r="F730" s="398" t="s">
        <v>494</v>
      </c>
    </row>
    <row r="731" spans="1:6" ht="18" customHeight="1">
      <c r="A731" s="134" t="s">
        <v>386</v>
      </c>
      <c r="B731" s="135">
        <f>GTA!CH21</f>
        <v>0</v>
      </c>
      <c r="C731" s="135" t="s">
        <v>22</v>
      </c>
      <c r="D731" s="135">
        <v>16.649999999999999</v>
      </c>
      <c r="E731" s="793">
        <f t="shared" si="17"/>
        <v>0</v>
      </c>
      <c r="F731" s="398" t="s">
        <v>494</v>
      </c>
    </row>
    <row r="732" spans="1:6" ht="18" customHeight="1">
      <c r="A732" s="134" t="s">
        <v>463</v>
      </c>
      <c r="B732" s="135">
        <f>GTA!CG21</f>
        <v>0</v>
      </c>
      <c r="C732" s="135" t="s">
        <v>22</v>
      </c>
      <c r="D732" s="135">
        <v>16.649999999999999</v>
      </c>
      <c r="E732" s="793">
        <f t="shared" si="17"/>
        <v>0</v>
      </c>
      <c r="F732" s="398" t="s">
        <v>494</v>
      </c>
    </row>
    <row r="733" spans="1:6" ht="18" customHeight="1">
      <c r="A733" s="134" t="s">
        <v>329</v>
      </c>
      <c r="B733" s="135">
        <f>GTA!CI21</f>
        <v>0</v>
      </c>
      <c r="C733" s="135" t="s">
        <v>22</v>
      </c>
      <c r="D733" s="135">
        <v>16.649999999999999</v>
      </c>
      <c r="E733" s="793">
        <f t="shared" si="17"/>
        <v>0</v>
      </c>
      <c r="F733" s="398" t="s">
        <v>494</v>
      </c>
    </row>
    <row r="734" spans="1:6" ht="18" customHeight="1">
      <c r="A734" s="134" t="s">
        <v>389</v>
      </c>
      <c r="B734" s="135">
        <f>GTA!CJ21</f>
        <v>0</v>
      </c>
      <c r="C734" s="135" t="s">
        <v>22</v>
      </c>
      <c r="D734" s="135">
        <v>16.649999999999999</v>
      </c>
      <c r="E734" s="793">
        <f t="shared" si="17"/>
        <v>0</v>
      </c>
      <c r="F734" s="398" t="s">
        <v>494</v>
      </c>
    </row>
    <row r="735" spans="1:6" ht="18" customHeight="1">
      <c r="A735" s="134" t="s">
        <v>747</v>
      </c>
      <c r="B735" s="135">
        <f>GTA!CK21</f>
        <v>0</v>
      </c>
      <c r="C735" s="135" t="s">
        <v>22</v>
      </c>
      <c r="D735" s="135">
        <v>16.649999999999999</v>
      </c>
      <c r="E735" s="793">
        <f t="shared" si="17"/>
        <v>0</v>
      </c>
      <c r="F735" s="398" t="s">
        <v>494</v>
      </c>
    </row>
    <row r="736" spans="1:6" ht="18" customHeight="1">
      <c r="A736" s="134" t="s">
        <v>478</v>
      </c>
      <c r="B736" s="135">
        <f>GTA!CU21</f>
        <v>0</v>
      </c>
      <c r="C736" s="135" t="s">
        <v>22</v>
      </c>
      <c r="D736" s="135">
        <v>16.649999999999999</v>
      </c>
      <c r="E736" s="793">
        <f t="shared" si="17"/>
        <v>0</v>
      </c>
      <c r="F736" s="398" t="s">
        <v>494</v>
      </c>
    </row>
    <row r="737" spans="1:6" ht="18" customHeight="1">
      <c r="A737" s="136" t="s">
        <v>748</v>
      </c>
      <c r="B737" s="135">
        <f>GTA!CN21</f>
        <v>0</v>
      </c>
      <c r="C737" s="135" t="s">
        <v>22</v>
      </c>
      <c r="D737" s="135">
        <v>16.649999999999999</v>
      </c>
      <c r="E737" s="793">
        <f t="shared" si="17"/>
        <v>0</v>
      </c>
      <c r="F737" s="398" t="s">
        <v>494</v>
      </c>
    </row>
    <row r="738" spans="1:6" ht="18" customHeight="1">
      <c r="A738" s="136" t="s">
        <v>538</v>
      </c>
      <c r="B738" s="135">
        <f>GTA!CP21</f>
        <v>0</v>
      </c>
      <c r="C738" s="135" t="s">
        <v>22</v>
      </c>
      <c r="D738" s="135">
        <v>16.649999999999999</v>
      </c>
      <c r="E738" s="793">
        <f t="shared" si="17"/>
        <v>0</v>
      </c>
      <c r="F738" s="398" t="s">
        <v>494</v>
      </c>
    </row>
    <row r="739" spans="1:6" ht="18" customHeight="1">
      <c r="A739" s="134" t="s">
        <v>542</v>
      </c>
      <c r="B739" s="135">
        <f>GTA!CR21</f>
        <v>0</v>
      </c>
      <c r="C739" s="135" t="s">
        <v>22</v>
      </c>
      <c r="D739" s="135">
        <v>16.649999999999999</v>
      </c>
      <c r="E739" s="793">
        <f t="shared" si="17"/>
        <v>0</v>
      </c>
      <c r="F739" s="398" t="s">
        <v>494</v>
      </c>
    </row>
    <row r="740" spans="1:6" ht="18" customHeight="1">
      <c r="A740" s="134" t="s">
        <v>210</v>
      </c>
      <c r="B740" s="135">
        <f>GTA!CT21</f>
        <v>0</v>
      </c>
      <c r="C740" s="135" t="s">
        <v>22</v>
      </c>
      <c r="D740" s="135">
        <v>16.649999999999999</v>
      </c>
      <c r="E740" s="793">
        <f t="shared" si="17"/>
        <v>0</v>
      </c>
      <c r="F740" s="398" t="s">
        <v>494</v>
      </c>
    </row>
    <row r="741" spans="1:6" ht="18" customHeight="1">
      <c r="A741" s="134" t="s">
        <v>550</v>
      </c>
      <c r="B741" s="135">
        <f>GTA!DK21</f>
        <v>0</v>
      </c>
      <c r="C741" s="135" t="s">
        <v>22</v>
      </c>
      <c r="D741" s="135">
        <v>16.649999999999999</v>
      </c>
      <c r="E741" s="793">
        <f>B741*D741</f>
        <v>0</v>
      </c>
      <c r="F741" s="398" t="s">
        <v>494</v>
      </c>
    </row>
    <row r="742" spans="1:6" s="529" customFormat="1" ht="18" customHeight="1">
      <c r="A742" s="512" t="s">
        <v>485</v>
      </c>
      <c r="B742" s="481">
        <f>GTA!DR21</f>
        <v>0</v>
      </c>
      <c r="C742" s="481" t="s">
        <v>22</v>
      </c>
      <c r="D742" s="481">
        <v>16.649999999999999</v>
      </c>
      <c r="E742" s="796">
        <f t="shared" si="17"/>
        <v>0</v>
      </c>
      <c r="F742" s="563" t="s">
        <v>494</v>
      </c>
    </row>
    <row r="743" spans="1:6" ht="18" customHeight="1">
      <c r="A743" s="134" t="s">
        <v>479</v>
      </c>
      <c r="B743" s="135">
        <f>GTA!CX21</f>
        <v>0</v>
      </c>
      <c r="C743" s="135" t="s">
        <v>22</v>
      </c>
      <c r="D743" s="135">
        <v>16.649999999999999</v>
      </c>
      <c r="E743" s="793">
        <f t="shared" si="17"/>
        <v>0</v>
      </c>
      <c r="F743" s="398" t="s">
        <v>494</v>
      </c>
    </row>
    <row r="744" spans="1:6" ht="18" customHeight="1">
      <c r="A744" s="134" t="s">
        <v>330</v>
      </c>
      <c r="B744" s="135">
        <f>GTA!CY21</f>
        <v>0</v>
      </c>
      <c r="C744" s="135" t="s">
        <v>22</v>
      </c>
      <c r="D744" s="135">
        <v>16.649999999999999</v>
      </c>
      <c r="E744" s="793">
        <f t="shared" si="17"/>
        <v>0</v>
      </c>
      <c r="F744" s="398" t="s">
        <v>494</v>
      </c>
    </row>
    <row r="745" spans="1:6" ht="18" customHeight="1">
      <c r="A745" s="134" t="s">
        <v>544</v>
      </c>
      <c r="B745" s="135">
        <f>GTA!DA21</f>
        <v>0</v>
      </c>
      <c r="C745" s="135" t="s">
        <v>22</v>
      </c>
      <c r="D745" s="135">
        <v>16.649999999999999</v>
      </c>
      <c r="E745" s="793">
        <f t="shared" si="17"/>
        <v>0</v>
      </c>
      <c r="F745" s="398" t="s">
        <v>494</v>
      </c>
    </row>
    <row r="746" spans="1:6" ht="18" customHeight="1">
      <c r="A746" s="134" t="s">
        <v>338</v>
      </c>
      <c r="B746" s="135">
        <f>GTA!DB21</f>
        <v>0</v>
      </c>
      <c r="C746" s="135" t="s">
        <v>22</v>
      </c>
      <c r="D746" s="135">
        <v>16.649999999999999</v>
      </c>
      <c r="E746" s="793">
        <f t="shared" si="17"/>
        <v>0</v>
      </c>
      <c r="F746" s="398" t="s">
        <v>494</v>
      </c>
    </row>
    <row r="747" spans="1:6" ht="18" customHeight="1">
      <c r="A747" s="134" t="s">
        <v>749</v>
      </c>
      <c r="B747" s="135">
        <f>GTA!BG21</f>
        <v>0</v>
      </c>
      <c r="C747" s="135" t="s">
        <v>22</v>
      </c>
      <c r="D747" s="135">
        <v>16.649999999999999</v>
      </c>
      <c r="E747" s="793">
        <f t="shared" si="17"/>
        <v>0</v>
      </c>
      <c r="F747" s="398" t="s">
        <v>494</v>
      </c>
    </row>
    <row r="748" spans="1:6" s="529" customFormat="1" ht="18" customHeight="1">
      <c r="A748" s="512" t="s">
        <v>750</v>
      </c>
      <c r="B748" s="481">
        <f>GTA!DD21</f>
        <v>0</v>
      </c>
      <c r="C748" s="481" t="s">
        <v>22</v>
      </c>
      <c r="D748" s="481">
        <v>16.649999999999999</v>
      </c>
      <c r="E748" s="796">
        <f t="shared" si="17"/>
        <v>0</v>
      </c>
      <c r="F748" s="563" t="s">
        <v>494</v>
      </c>
    </row>
    <row r="749" spans="1:6" ht="18" customHeight="1">
      <c r="A749" s="134" t="s">
        <v>751</v>
      </c>
      <c r="B749" s="135">
        <f>GTA!DC21</f>
        <v>0</v>
      </c>
      <c r="C749" s="135" t="s">
        <v>22</v>
      </c>
      <c r="D749" s="135">
        <v>16.649999999999999</v>
      </c>
      <c r="E749" s="793">
        <f t="shared" si="17"/>
        <v>0</v>
      </c>
      <c r="F749" s="398" t="s">
        <v>494</v>
      </c>
    </row>
    <row r="750" spans="1:6" ht="18" customHeight="1">
      <c r="A750" s="134" t="s">
        <v>752</v>
      </c>
      <c r="B750" s="135">
        <f>GTA!DE21</f>
        <v>0</v>
      </c>
      <c r="C750" s="135" t="s">
        <v>22</v>
      </c>
      <c r="D750" s="135">
        <v>16.649999999999999</v>
      </c>
      <c r="E750" s="793">
        <f t="shared" si="17"/>
        <v>0</v>
      </c>
      <c r="F750" s="398" t="s">
        <v>494</v>
      </c>
    </row>
    <row r="751" spans="1:6" ht="18" customHeight="1">
      <c r="A751" s="134" t="s">
        <v>237</v>
      </c>
      <c r="B751" s="135">
        <f>GTA!DF21</f>
        <v>0</v>
      </c>
      <c r="C751" s="135" t="s">
        <v>22</v>
      </c>
      <c r="D751" s="135">
        <v>16.649999999999999</v>
      </c>
      <c r="E751" s="793">
        <f t="shared" si="17"/>
        <v>0</v>
      </c>
      <c r="F751" s="398" t="s">
        <v>494</v>
      </c>
    </row>
    <row r="752" spans="1:6" ht="18" customHeight="1">
      <c r="A752" s="134" t="s">
        <v>545</v>
      </c>
      <c r="B752" s="135">
        <f>GTA!DG21</f>
        <v>0</v>
      </c>
      <c r="C752" s="135" t="s">
        <v>22</v>
      </c>
      <c r="D752" s="135">
        <v>16.649999999999999</v>
      </c>
      <c r="E752" s="793">
        <f t="shared" si="17"/>
        <v>0</v>
      </c>
      <c r="F752" s="398" t="s">
        <v>494</v>
      </c>
    </row>
    <row r="753" spans="1:6" ht="18" customHeight="1">
      <c r="A753" s="398" t="s">
        <v>559</v>
      </c>
      <c r="B753" s="135">
        <f>GTA!EF21</f>
        <v>0</v>
      </c>
      <c r="C753" s="135" t="s">
        <v>22</v>
      </c>
      <c r="D753" s="135">
        <v>20</v>
      </c>
      <c r="E753" s="793">
        <f t="shared" si="17"/>
        <v>0</v>
      </c>
      <c r="F753" s="398" t="s">
        <v>494</v>
      </c>
    </row>
    <row r="754" spans="1:6" ht="18" customHeight="1">
      <c r="A754" s="398" t="s">
        <v>546</v>
      </c>
      <c r="B754" s="135">
        <f>GTA!DH21</f>
        <v>0</v>
      </c>
      <c r="C754" s="135" t="s">
        <v>22</v>
      </c>
      <c r="D754" s="135">
        <v>16.649999999999999</v>
      </c>
      <c r="E754" s="793">
        <f t="shared" si="17"/>
        <v>0</v>
      </c>
      <c r="F754" s="398" t="s">
        <v>494</v>
      </c>
    </row>
    <row r="755" spans="1:6" s="529" customFormat="1" ht="18" customHeight="1">
      <c r="A755" s="563" t="s">
        <v>547</v>
      </c>
      <c r="B755" s="481">
        <f>GTA!DI21</f>
        <v>0</v>
      </c>
      <c r="C755" s="481" t="s">
        <v>22</v>
      </c>
      <c r="D755" s="481">
        <v>16.649999999999999</v>
      </c>
      <c r="E755" s="796">
        <f t="shared" si="17"/>
        <v>0</v>
      </c>
      <c r="F755" s="563" t="s">
        <v>494</v>
      </c>
    </row>
    <row r="756" spans="1:6" ht="18" customHeight="1">
      <c r="A756" s="398" t="s">
        <v>560</v>
      </c>
      <c r="B756" s="135">
        <f>GTA!EG21</f>
        <v>0</v>
      </c>
      <c r="C756" s="135" t="s">
        <v>22</v>
      </c>
      <c r="D756" s="135">
        <v>20</v>
      </c>
      <c r="E756" s="793">
        <f t="shared" si="17"/>
        <v>0</v>
      </c>
      <c r="F756" s="398" t="s">
        <v>494</v>
      </c>
    </row>
    <row r="757" spans="1:6" s="529" customFormat="1" ht="18" customHeight="1">
      <c r="A757" s="512" t="s">
        <v>549</v>
      </c>
      <c r="B757" s="481">
        <f>GTA!DJ21</f>
        <v>0</v>
      </c>
      <c r="C757" s="481" t="s">
        <v>22</v>
      </c>
      <c r="D757" s="481">
        <v>16.649999999999999</v>
      </c>
      <c r="E757" s="796">
        <f>B757*D757</f>
        <v>0</v>
      </c>
      <c r="F757" s="563" t="s">
        <v>494</v>
      </c>
    </row>
    <row r="758" spans="1:6" ht="18" customHeight="1">
      <c r="A758" s="398" t="s">
        <v>753</v>
      </c>
      <c r="B758" s="135">
        <f>GTA!EB21</f>
        <v>0</v>
      </c>
      <c r="C758" s="135" t="s">
        <v>22</v>
      </c>
      <c r="D758" s="135">
        <v>20</v>
      </c>
      <c r="E758" s="793">
        <f t="shared" si="17"/>
        <v>0</v>
      </c>
      <c r="F758" s="398" t="s">
        <v>494</v>
      </c>
    </row>
    <row r="759" spans="1:6" ht="18" customHeight="1">
      <c r="A759" s="398" t="s">
        <v>718</v>
      </c>
      <c r="B759" s="135">
        <f>GTA!Z21</f>
        <v>0</v>
      </c>
      <c r="C759" s="135" t="s">
        <v>22</v>
      </c>
      <c r="D759" s="135">
        <v>16.649999999999999</v>
      </c>
      <c r="E759" s="793">
        <f t="shared" si="17"/>
        <v>0</v>
      </c>
      <c r="F759" s="398" t="s">
        <v>494</v>
      </c>
    </row>
    <row r="760" spans="1:6" ht="18" customHeight="1">
      <c r="A760" s="398" t="s">
        <v>754</v>
      </c>
      <c r="B760" s="135">
        <f>GTA!EC21</f>
        <v>0</v>
      </c>
      <c r="C760" s="135" t="s">
        <v>22</v>
      </c>
      <c r="D760" s="135">
        <v>20</v>
      </c>
      <c r="E760" s="793">
        <f>(B760*D760)</f>
        <v>0</v>
      </c>
      <c r="F760" s="398" t="s">
        <v>494</v>
      </c>
    </row>
    <row r="761" spans="1:6" ht="18" customHeight="1">
      <c r="A761" s="398" t="s">
        <v>755</v>
      </c>
      <c r="B761" s="135">
        <f>GTA!X21</f>
        <v>0</v>
      </c>
      <c r="C761" s="135" t="s">
        <v>22</v>
      </c>
      <c r="D761" s="135">
        <v>16.649999999999999</v>
      </c>
      <c r="E761" s="793">
        <f t="shared" si="17"/>
        <v>0</v>
      </c>
      <c r="F761" s="398" t="s">
        <v>494</v>
      </c>
    </row>
    <row r="762" spans="1:6" s="529" customFormat="1" ht="18" customHeight="1">
      <c r="A762" s="563" t="s">
        <v>543</v>
      </c>
      <c r="B762" s="481">
        <f>GTA!CZ21</f>
        <v>0</v>
      </c>
      <c r="C762" s="481" t="s">
        <v>22</v>
      </c>
      <c r="D762" s="481">
        <v>16.649999999999999</v>
      </c>
      <c r="E762" s="796">
        <f>B762*D762</f>
        <v>0</v>
      </c>
      <c r="F762" s="563" t="s">
        <v>494</v>
      </c>
    </row>
    <row r="763" spans="1:6" s="529" customFormat="1" ht="18" customHeight="1">
      <c r="A763" s="512" t="s">
        <v>449</v>
      </c>
      <c r="B763" s="481">
        <f>GTA!DL21</f>
        <v>0</v>
      </c>
      <c r="C763" s="481" t="s">
        <v>22</v>
      </c>
      <c r="D763" s="481">
        <v>16.649999999999999</v>
      </c>
      <c r="E763" s="796">
        <f t="shared" si="17"/>
        <v>0</v>
      </c>
      <c r="F763" s="563" t="s">
        <v>494</v>
      </c>
    </row>
    <row r="764" spans="1:6" ht="18" customHeight="1">
      <c r="A764" s="136" t="s">
        <v>239</v>
      </c>
      <c r="B764" s="135">
        <f>GTA!DM21</f>
        <v>0</v>
      </c>
      <c r="C764" s="135" t="s">
        <v>22</v>
      </c>
      <c r="D764" s="135">
        <v>16.649999999999999</v>
      </c>
      <c r="E764" s="793">
        <f t="shared" si="17"/>
        <v>0</v>
      </c>
      <c r="F764" s="398" t="s">
        <v>494</v>
      </c>
    </row>
    <row r="765" spans="1:6" ht="18" customHeight="1">
      <c r="A765" s="134" t="s">
        <v>374</v>
      </c>
      <c r="B765" s="135">
        <f>GTA!DO21</f>
        <v>0</v>
      </c>
      <c r="C765" s="135" t="s">
        <v>22</v>
      </c>
      <c r="D765" s="135">
        <v>16.649999999999999</v>
      </c>
      <c r="E765" s="793">
        <f t="shared" si="17"/>
        <v>0</v>
      </c>
      <c r="F765" s="398" t="s">
        <v>494</v>
      </c>
    </row>
    <row r="766" spans="1:6" ht="18" customHeight="1">
      <c r="A766" s="134" t="s">
        <v>756</v>
      </c>
      <c r="B766" s="135">
        <f>GTA!DS21</f>
        <v>0</v>
      </c>
      <c r="C766" s="135" t="s">
        <v>22</v>
      </c>
      <c r="D766" s="135">
        <v>16.649999999999999</v>
      </c>
      <c r="E766" s="793">
        <f t="shared" si="17"/>
        <v>0</v>
      </c>
      <c r="F766" s="398" t="s">
        <v>494</v>
      </c>
    </row>
    <row r="767" spans="1:6" ht="18" customHeight="1">
      <c r="A767" s="134" t="s">
        <v>430</v>
      </c>
      <c r="B767" s="135">
        <f>GTA!DT21</f>
        <v>0</v>
      </c>
      <c r="C767" s="135" t="s">
        <v>22</v>
      </c>
      <c r="D767" s="135">
        <v>16.649999999999999</v>
      </c>
      <c r="E767" s="793">
        <f t="shared" si="17"/>
        <v>0</v>
      </c>
      <c r="F767" s="398" t="s">
        <v>494</v>
      </c>
    </row>
    <row r="768" spans="1:6" s="529" customFormat="1" ht="18" customHeight="1">
      <c r="A768" s="512" t="s">
        <v>757</v>
      </c>
      <c r="B768" s="481">
        <f>GTA!DV21</f>
        <v>0</v>
      </c>
      <c r="C768" s="481" t="s">
        <v>22</v>
      </c>
      <c r="D768" s="481">
        <v>16.649999999999999</v>
      </c>
      <c r="E768" s="796">
        <f t="shared" si="17"/>
        <v>0</v>
      </c>
      <c r="F768" s="563" t="s">
        <v>494</v>
      </c>
    </row>
    <row r="769" spans="1:6" s="529" customFormat="1" ht="18" customHeight="1">
      <c r="A769" s="512" t="s">
        <v>561</v>
      </c>
      <c r="B769" s="481">
        <f>GTA!EI21</f>
        <v>0</v>
      </c>
      <c r="C769" s="481" t="s">
        <v>22</v>
      </c>
      <c r="D769" s="481">
        <v>20</v>
      </c>
      <c r="E769" s="796">
        <f t="shared" si="17"/>
        <v>0</v>
      </c>
      <c r="F769" s="563" t="s">
        <v>494</v>
      </c>
    </row>
    <row r="770" spans="1:6" ht="18" customHeight="1">
      <c r="A770" s="134" t="s">
        <v>758</v>
      </c>
      <c r="B770" s="135">
        <f>GTA!DX21</f>
        <v>0</v>
      </c>
      <c r="C770" s="135" t="s">
        <v>22</v>
      </c>
      <c r="D770" s="135">
        <v>16.649999999999999</v>
      </c>
      <c r="E770" s="793">
        <f t="shared" si="17"/>
        <v>0</v>
      </c>
      <c r="F770" s="398" t="s">
        <v>494</v>
      </c>
    </row>
    <row r="771" spans="1:6" ht="18" customHeight="1">
      <c r="A771" s="134" t="s">
        <v>759</v>
      </c>
      <c r="B771" s="135">
        <f>GTA!EH21</f>
        <v>0</v>
      </c>
      <c r="C771" s="135" t="s">
        <v>22</v>
      </c>
      <c r="D771" s="135">
        <v>20</v>
      </c>
      <c r="E771" s="793">
        <f t="shared" si="17"/>
        <v>0</v>
      </c>
      <c r="F771" s="398" t="s">
        <v>494</v>
      </c>
    </row>
    <row r="772" spans="1:6" ht="18" customHeight="1">
      <c r="A772" s="134" t="s">
        <v>403</v>
      </c>
      <c r="B772" s="135">
        <f>GTA!EJ21</f>
        <v>0</v>
      </c>
      <c r="C772" s="135" t="s">
        <v>22</v>
      </c>
      <c r="D772" s="135">
        <v>16.649999999999999</v>
      </c>
      <c r="E772" s="793">
        <f>B772*D772</f>
        <v>0</v>
      </c>
      <c r="F772" s="398" t="s">
        <v>494</v>
      </c>
    </row>
    <row r="773" spans="1:6" s="529" customFormat="1" ht="18" customHeight="1">
      <c r="A773" s="512" t="s">
        <v>555</v>
      </c>
      <c r="B773" s="481">
        <f>GTA!EK21</f>
        <v>0</v>
      </c>
      <c r="C773" s="481" t="s">
        <v>22</v>
      </c>
      <c r="D773" s="481">
        <v>16.649999999999999</v>
      </c>
      <c r="E773" s="796">
        <f>B773*D773</f>
        <v>0</v>
      </c>
      <c r="F773" s="563" t="s">
        <v>494</v>
      </c>
    </row>
    <row r="774" spans="1:6" ht="18" customHeight="1">
      <c r="A774" s="134" t="s">
        <v>557</v>
      </c>
      <c r="B774" s="135">
        <f>GTA!DZ21</f>
        <v>0</v>
      </c>
      <c r="C774" s="135" t="s">
        <v>22</v>
      </c>
      <c r="D774" s="135">
        <v>16.649999999999999</v>
      </c>
      <c r="E774" s="793">
        <f t="shared" ref="E774" si="18">B774*D774</f>
        <v>0</v>
      </c>
      <c r="F774" s="398" t="s">
        <v>494</v>
      </c>
    </row>
    <row r="775" spans="1:6" ht="18" customHeight="1">
      <c r="A775" s="436"/>
      <c r="B775" s="419"/>
      <c r="C775" s="419"/>
      <c r="D775" s="419"/>
      <c r="E775" s="794"/>
      <c r="F775" s="398"/>
    </row>
    <row r="776" spans="1:6" ht="18" customHeight="1">
      <c r="A776" s="418" t="s">
        <v>562</v>
      </c>
      <c r="B776" s="415">
        <f>SUM(B641:B775)</f>
        <v>7</v>
      </c>
      <c r="C776" s="419"/>
      <c r="D776" s="419"/>
      <c r="E776" s="794"/>
      <c r="F776" s="398"/>
    </row>
    <row r="777" spans="1:6" ht="18" customHeight="1">
      <c r="A777" s="134"/>
      <c r="B777" s="135"/>
      <c r="C777" s="135"/>
      <c r="D777" s="135"/>
      <c r="E777" s="793"/>
      <c r="F777" s="398"/>
    </row>
    <row r="778" spans="1:6" ht="18" customHeight="1">
      <c r="A778" s="429" t="s">
        <v>563</v>
      </c>
      <c r="B778" s="415"/>
      <c r="C778" s="419"/>
      <c r="D778" s="419"/>
      <c r="E778" s="794"/>
      <c r="F778" s="398"/>
    </row>
    <row r="779" spans="1:6" ht="18" customHeight="1">
      <c r="A779" s="396" t="s">
        <v>324</v>
      </c>
      <c r="B779" s="135">
        <f>GTA!C475</f>
        <v>0</v>
      </c>
      <c r="C779" s="135" t="s">
        <v>22</v>
      </c>
      <c r="D779" s="135">
        <v>18</v>
      </c>
      <c r="E779" s="793">
        <f t="shared" ref="E779:E786" si="19">B779*D779</f>
        <v>0</v>
      </c>
      <c r="F779" s="398"/>
    </row>
    <row r="780" spans="1:6" ht="18" customHeight="1">
      <c r="A780" s="138" t="s">
        <v>379</v>
      </c>
      <c r="B780" s="135">
        <f>GTA!D475</f>
        <v>0</v>
      </c>
      <c r="C780" s="135" t="s">
        <v>22</v>
      </c>
      <c r="D780" s="135">
        <v>18</v>
      </c>
      <c r="E780" s="793">
        <f t="shared" si="19"/>
        <v>0</v>
      </c>
      <c r="F780" s="398"/>
    </row>
    <row r="781" spans="1:6" ht="18" customHeight="1">
      <c r="A781" s="404" t="s">
        <v>245</v>
      </c>
      <c r="B781" s="135">
        <f>GTA!E475</f>
        <v>0</v>
      </c>
      <c r="C781" s="135" t="s">
        <v>22</v>
      </c>
      <c r="D781" s="135">
        <v>18</v>
      </c>
      <c r="E781" s="793">
        <f t="shared" si="19"/>
        <v>0</v>
      </c>
      <c r="F781" s="398"/>
    </row>
    <row r="782" spans="1:6" ht="18" customHeight="1">
      <c r="A782" s="284" t="s">
        <v>221</v>
      </c>
      <c r="B782" s="135">
        <f>GTA!F475</f>
        <v>0</v>
      </c>
      <c r="C782" s="135" t="s">
        <v>22</v>
      </c>
      <c r="D782" s="135">
        <v>18</v>
      </c>
      <c r="E782" s="793">
        <f t="shared" si="19"/>
        <v>0</v>
      </c>
      <c r="F782" s="398"/>
    </row>
    <row r="783" spans="1:6" ht="18" customHeight="1">
      <c r="A783" s="284" t="s">
        <v>323</v>
      </c>
      <c r="B783" s="135">
        <f>GTA!G475</f>
        <v>0</v>
      </c>
      <c r="C783" s="135" t="s">
        <v>22</v>
      </c>
      <c r="D783" s="135">
        <v>18</v>
      </c>
      <c r="E783" s="793">
        <f>B783*D783</f>
        <v>0</v>
      </c>
      <c r="F783" s="398"/>
    </row>
    <row r="784" spans="1:6" ht="18" customHeight="1">
      <c r="A784" s="284" t="s">
        <v>237</v>
      </c>
      <c r="B784" s="135">
        <f>GTA!J475</f>
        <v>0</v>
      </c>
      <c r="C784" s="135" t="s">
        <v>22</v>
      </c>
      <c r="D784" s="135">
        <v>18</v>
      </c>
      <c r="E784" s="793">
        <f>B784*D784</f>
        <v>0</v>
      </c>
      <c r="F784" s="398"/>
    </row>
    <row r="785" spans="1:6" ht="18" customHeight="1">
      <c r="A785" s="134" t="s">
        <v>538</v>
      </c>
      <c r="B785" s="135">
        <f>GTA!H475</f>
        <v>0</v>
      </c>
      <c r="C785" s="135" t="s">
        <v>22</v>
      </c>
      <c r="D785" s="135">
        <v>18</v>
      </c>
      <c r="E785" s="793">
        <f t="shared" si="19"/>
        <v>0</v>
      </c>
      <c r="F785" s="398"/>
    </row>
    <row r="786" spans="1:6" ht="18" customHeight="1">
      <c r="A786" s="134" t="s">
        <v>394</v>
      </c>
      <c r="B786" s="135">
        <f>GTA!I475</f>
        <v>0</v>
      </c>
      <c r="C786" s="135" t="s">
        <v>22</v>
      </c>
      <c r="D786" s="135">
        <v>18</v>
      </c>
      <c r="E786" s="793">
        <f t="shared" si="19"/>
        <v>0</v>
      </c>
      <c r="F786" s="398"/>
    </row>
    <row r="787" spans="1:6" ht="18" customHeight="1">
      <c r="A787" s="436"/>
      <c r="B787" s="419"/>
      <c r="C787" s="419"/>
      <c r="D787" s="419"/>
      <c r="E787" s="794"/>
      <c r="F787" s="398"/>
    </row>
    <row r="788" spans="1:6" ht="18" customHeight="1">
      <c r="A788" s="418" t="s">
        <v>564</v>
      </c>
      <c r="B788" s="415">
        <f>SUM(B778:B787)</f>
        <v>0</v>
      </c>
      <c r="C788" s="419"/>
      <c r="D788" s="419"/>
      <c r="E788" s="794"/>
      <c r="F788" s="398"/>
    </row>
    <row r="789" spans="1:6" ht="18" customHeight="1">
      <c r="A789" s="134"/>
      <c r="B789" s="135"/>
      <c r="C789" s="135"/>
      <c r="D789" s="135"/>
      <c r="E789" s="793"/>
      <c r="F789" s="398"/>
    </row>
    <row r="790" spans="1:6" ht="18" customHeight="1">
      <c r="A790" s="429" t="s">
        <v>565</v>
      </c>
      <c r="B790" s="415"/>
      <c r="C790" s="419"/>
      <c r="D790" s="419"/>
      <c r="E790" s="794"/>
      <c r="F790" s="398"/>
    </row>
    <row r="791" spans="1:6" ht="18" customHeight="1">
      <c r="A791" s="284" t="s">
        <v>566</v>
      </c>
      <c r="B791" s="135">
        <f>GTA!J472</f>
        <v>0</v>
      </c>
      <c r="C791" s="135" t="s">
        <v>22</v>
      </c>
      <c r="D791" s="135">
        <v>16.649999999999999</v>
      </c>
      <c r="E791" s="793">
        <f>B791*D791</f>
        <v>0</v>
      </c>
      <c r="F791" s="398"/>
    </row>
    <row r="792" spans="1:6" ht="18" customHeight="1">
      <c r="A792" s="134" t="s">
        <v>760</v>
      </c>
      <c r="B792" s="135">
        <f>GTA!H472</f>
        <v>0</v>
      </c>
      <c r="C792" s="135" t="s">
        <v>22</v>
      </c>
      <c r="D792" s="135">
        <v>16.649999999999999</v>
      </c>
      <c r="E792" s="793">
        <f t="shared" ref="E792:E793" si="20">B792*D792</f>
        <v>0</v>
      </c>
      <c r="F792" s="398"/>
    </row>
    <row r="793" spans="1:6" ht="18" customHeight="1">
      <c r="A793" s="138" t="s">
        <v>568</v>
      </c>
      <c r="B793" s="135">
        <f>GTA!D478</f>
        <v>0</v>
      </c>
      <c r="C793" s="135" t="s">
        <v>22</v>
      </c>
      <c r="D793" s="135">
        <v>16.649999999999999</v>
      </c>
      <c r="E793" s="793">
        <f t="shared" si="20"/>
        <v>0</v>
      </c>
      <c r="F793" s="398"/>
    </row>
    <row r="794" spans="1:6" ht="18" customHeight="1">
      <c r="A794" s="284" t="s">
        <v>569</v>
      </c>
      <c r="B794" s="135">
        <f>GTA!J475</f>
        <v>0</v>
      </c>
      <c r="C794" s="135" t="s">
        <v>22</v>
      </c>
      <c r="D794" s="135">
        <v>16.649999999999999</v>
      </c>
      <c r="E794" s="793">
        <f>B794*D794</f>
        <v>0</v>
      </c>
      <c r="F794" s="398"/>
    </row>
    <row r="795" spans="1:6" ht="18" customHeight="1">
      <c r="A795" s="134" t="s">
        <v>466</v>
      </c>
      <c r="B795" s="135">
        <f>GTA!H475</f>
        <v>0</v>
      </c>
      <c r="C795" s="135" t="s">
        <v>22</v>
      </c>
      <c r="D795" s="135">
        <v>16.649999999999999</v>
      </c>
      <c r="E795" s="793">
        <f t="shared" ref="E795:E798" si="21">B795*D795</f>
        <v>0</v>
      </c>
      <c r="F795" s="398"/>
    </row>
    <row r="796" spans="1:6" ht="18" customHeight="1">
      <c r="A796" s="138" t="s">
        <v>417</v>
      </c>
      <c r="B796" s="135">
        <f>GTA!D481</f>
        <v>0</v>
      </c>
      <c r="C796" s="135" t="s">
        <v>22</v>
      </c>
      <c r="D796" s="135">
        <v>16.649999999999999</v>
      </c>
      <c r="E796" s="793">
        <f t="shared" si="21"/>
        <v>0</v>
      </c>
      <c r="F796" s="398"/>
    </row>
    <row r="797" spans="1:6" ht="18" customHeight="1">
      <c r="A797" s="404" t="s">
        <v>761</v>
      </c>
      <c r="B797" s="135">
        <f>GTA!E481</f>
        <v>0</v>
      </c>
      <c r="C797" s="135" t="s">
        <v>22</v>
      </c>
      <c r="D797" s="135">
        <v>16.649999999999999</v>
      </c>
      <c r="E797" s="793">
        <f t="shared" si="21"/>
        <v>0</v>
      </c>
      <c r="F797" s="398"/>
    </row>
    <row r="798" spans="1:6" ht="18" customHeight="1">
      <c r="A798" s="284" t="s">
        <v>231</v>
      </c>
      <c r="B798" s="135">
        <f>GTA!F481</f>
        <v>0</v>
      </c>
      <c r="C798" s="135" t="s">
        <v>22</v>
      </c>
      <c r="D798" s="135">
        <v>16.649999999999999</v>
      </c>
      <c r="E798" s="793">
        <f t="shared" si="21"/>
        <v>0</v>
      </c>
      <c r="F798" s="398"/>
    </row>
    <row r="799" spans="1:6" ht="18" customHeight="1">
      <c r="A799" s="284" t="s">
        <v>762</v>
      </c>
      <c r="B799" s="135">
        <f>GTA!G481</f>
        <v>0</v>
      </c>
      <c r="C799" s="135" t="s">
        <v>22</v>
      </c>
      <c r="D799" s="135">
        <v>16.649999999999999</v>
      </c>
      <c r="E799" s="793">
        <f>B799*D799</f>
        <v>0</v>
      </c>
      <c r="F799" s="398"/>
    </row>
    <row r="800" spans="1:6" ht="18" customHeight="1">
      <c r="A800" s="284" t="s">
        <v>573</v>
      </c>
      <c r="B800" s="135">
        <f>GTA!J481</f>
        <v>0</v>
      </c>
      <c r="C800" s="135" t="s">
        <v>22</v>
      </c>
      <c r="D800" s="135">
        <v>16.649999999999999</v>
      </c>
      <c r="E800" s="793">
        <f>B800*D800</f>
        <v>0</v>
      </c>
      <c r="F800" s="398"/>
    </row>
    <row r="801" spans="1:6" ht="18" customHeight="1">
      <c r="A801" s="134" t="s">
        <v>396</v>
      </c>
      <c r="B801" s="135">
        <f>GTA!H481</f>
        <v>0</v>
      </c>
      <c r="C801" s="135" t="s">
        <v>22</v>
      </c>
      <c r="D801" s="135">
        <v>16.649999999999999</v>
      </c>
      <c r="E801" s="793">
        <f t="shared" ref="E801:E804" si="22">B801*D801</f>
        <v>0</v>
      </c>
      <c r="F801" s="398"/>
    </row>
    <row r="802" spans="1:6" ht="18" customHeight="1">
      <c r="A802" s="138" t="s">
        <v>574</v>
      </c>
      <c r="B802" s="135">
        <f>GTA!D487</f>
        <v>0</v>
      </c>
      <c r="C802" s="135" t="s">
        <v>22</v>
      </c>
      <c r="D802" s="135">
        <v>16.649999999999999</v>
      </c>
      <c r="E802" s="793">
        <f t="shared" si="22"/>
        <v>0</v>
      </c>
      <c r="F802" s="398"/>
    </row>
    <row r="803" spans="1:6" ht="18" customHeight="1">
      <c r="A803" s="404" t="s">
        <v>575</v>
      </c>
      <c r="B803" s="135">
        <f>GTA!E487</f>
        <v>0</v>
      </c>
      <c r="C803" s="135" t="s">
        <v>22</v>
      </c>
      <c r="D803" s="135">
        <v>16.649999999999999</v>
      </c>
      <c r="E803" s="793">
        <f t="shared" si="22"/>
        <v>0</v>
      </c>
      <c r="F803" s="398"/>
    </row>
    <row r="804" spans="1:6" ht="18" customHeight="1">
      <c r="A804" s="284" t="s">
        <v>576</v>
      </c>
      <c r="B804" s="135">
        <f>GTA!F487</f>
        <v>0</v>
      </c>
      <c r="C804" s="135" t="s">
        <v>22</v>
      </c>
      <c r="D804" s="135">
        <v>16.649999999999999</v>
      </c>
      <c r="E804" s="793">
        <f t="shared" si="22"/>
        <v>0</v>
      </c>
      <c r="F804" s="398"/>
    </row>
    <row r="805" spans="1:6" ht="18" customHeight="1">
      <c r="A805" s="284" t="s">
        <v>577</v>
      </c>
      <c r="B805" s="135">
        <f>GTA!G487</f>
        <v>0</v>
      </c>
      <c r="C805" s="135" t="s">
        <v>22</v>
      </c>
      <c r="D805" s="135">
        <v>16.649999999999999</v>
      </c>
      <c r="E805" s="793">
        <f>B805*D805</f>
        <v>0</v>
      </c>
      <c r="F805" s="398"/>
    </row>
    <row r="806" spans="1:6" ht="18" customHeight="1">
      <c r="A806" s="284" t="s">
        <v>578</v>
      </c>
      <c r="B806" s="135">
        <f>GTA!J487</f>
        <v>0</v>
      </c>
      <c r="C806" s="135" t="s">
        <v>22</v>
      </c>
      <c r="D806" s="135">
        <v>16.649999999999999</v>
      </c>
      <c r="E806" s="793">
        <f>B806*D806</f>
        <v>0</v>
      </c>
      <c r="F806" s="398"/>
    </row>
    <row r="807" spans="1:6" ht="18" customHeight="1">
      <c r="A807" s="134" t="s">
        <v>763</v>
      </c>
      <c r="B807" s="135">
        <f>GTA!H487</f>
        <v>0</v>
      </c>
      <c r="C807" s="135" t="s">
        <v>22</v>
      </c>
      <c r="D807" s="135">
        <v>16.649999999999999</v>
      </c>
      <c r="E807" s="793">
        <f t="shared" ref="E807" si="23">B807*D807</f>
        <v>0</v>
      </c>
      <c r="F807" s="398"/>
    </row>
    <row r="808" spans="1:6" ht="18" customHeight="1">
      <c r="A808" s="436"/>
      <c r="B808" s="419"/>
      <c r="C808" s="419"/>
      <c r="D808" s="419"/>
      <c r="E808" s="794"/>
      <c r="F808" s="398"/>
    </row>
    <row r="809" spans="1:6" ht="18" customHeight="1">
      <c r="A809" s="429" t="s">
        <v>565</v>
      </c>
      <c r="B809" s="415">
        <f>SUM(B790:B808)</f>
        <v>0</v>
      </c>
      <c r="C809" s="419"/>
      <c r="D809" s="419"/>
      <c r="E809" s="794"/>
      <c r="F809" s="398"/>
    </row>
    <row r="810" spans="1:6" ht="18" customHeight="1">
      <c r="A810" s="134"/>
      <c r="B810" s="135"/>
      <c r="C810" s="135"/>
      <c r="D810" s="135"/>
      <c r="E810" s="793"/>
      <c r="F810" s="398"/>
    </row>
    <row r="811" spans="1:6" ht="18" customHeight="1">
      <c r="A811" s="418" t="s">
        <v>580</v>
      </c>
      <c r="B811" s="419"/>
      <c r="C811" s="419"/>
      <c r="D811" s="419"/>
      <c r="E811" s="794"/>
      <c r="F811" s="398"/>
    </row>
    <row r="812" spans="1:6" ht="18" customHeight="1">
      <c r="A812" s="396" t="s">
        <v>484</v>
      </c>
      <c r="B812" s="135">
        <f>GTA!C75</f>
        <v>0</v>
      </c>
      <c r="C812" s="135" t="s">
        <v>22</v>
      </c>
      <c r="D812" s="135">
        <v>18</v>
      </c>
      <c r="E812" s="793">
        <f t="shared" ref="E812:E818" si="24">B812*D812</f>
        <v>0</v>
      </c>
      <c r="F812" s="398"/>
    </row>
    <row r="813" spans="1:6" ht="18" customHeight="1">
      <c r="A813" s="396" t="s">
        <v>581</v>
      </c>
      <c r="B813" s="135">
        <f>GTA!D75</f>
        <v>0</v>
      </c>
      <c r="C813" s="135" t="s">
        <v>22</v>
      </c>
      <c r="D813" s="135">
        <v>18</v>
      </c>
      <c r="E813" s="793">
        <f t="shared" si="24"/>
        <v>0</v>
      </c>
      <c r="F813" s="398"/>
    </row>
    <row r="814" spans="1:6" ht="18" customHeight="1">
      <c r="A814" s="396" t="s">
        <v>582</v>
      </c>
      <c r="B814" s="135">
        <f>GTA!J75</f>
        <v>0</v>
      </c>
      <c r="C814" s="135" t="s">
        <v>22</v>
      </c>
      <c r="D814" s="135">
        <v>18</v>
      </c>
      <c r="E814" s="793">
        <f t="shared" si="24"/>
        <v>0</v>
      </c>
      <c r="F814" s="398"/>
    </row>
    <row r="815" spans="1:6" ht="18" customHeight="1">
      <c r="A815" s="396" t="s">
        <v>583</v>
      </c>
      <c r="B815" s="135">
        <f>GTA!E75</f>
        <v>0</v>
      </c>
      <c r="C815" s="135" t="s">
        <v>22</v>
      </c>
      <c r="D815" s="135">
        <v>20</v>
      </c>
      <c r="E815" s="793">
        <f t="shared" si="24"/>
        <v>0</v>
      </c>
      <c r="F815" s="398"/>
    </row>
    <row r="816" spans="1:6" ht="18" customHeight="1">
      <c r="A816" s="396" t="s">
        <v>584</v>
      </c>
      <c r="B816" s="405">
        <f>GTA!F75</f>
        <v>0</v>
      </c>
      <c r="C816" s="135" t="s">
        <v>22</v>
      </c>
      <c r="D816" s="135">
        <v>18</v>
      </c>
      <c r="E816" s="793">
        <f t="shared" si="24"/>
        <v>0</v>
      </c>
      <c r="F816" s="398"/>
    </row>
    <row r="817" spans="1:6" ht="18" customHeight="1">
      <c r="A817" s="396" t="s">
        <v>585</v>
      </c>
      <c r="B817" s="135">
        <f>GTA!G75</f>
        <v>0</v>
      </c>
      <c r="C817" s="135" t="s">
        <v>22</v>
      </c>
      <c r="D817" s="135">
        <v>18</v>
      </c>
      <c r="E817" s="793">
        <f t="shared" si="24"/>
        <v>0</v>
      </c>
      <c r="F817" s="398"/>
    </row>
    <row r="818" spans="1:6" ht="18" customHeight="1">
      <c r="A818" s="396" t="s">
        <v>239</v>
      </c>
      <c r="B818" s="135">
        <f>GTA!H75</f>
        <v>0</v>
      </c>
      <c r="C818" s="135" t="s">
        <v>22</v>
      </c>
      <c r="D818" s="135">
        <v>18</v>
      </c>
      <c r="E818" s="793">
        <f t="shared" si="24"/>
        <v>0</v>
      </c>
      <c r="F818" s="398"/>
    </row>
    <row r="819" spans="1:6" ht="18" customHeight="1">
      <c r="A819" s="437"/>
      <c r="B819" s="419"/>
      <c r="C819" s="419"/>
      <c r="D819" s="419"/>
      <c r="E819" s="794"/>
      <c r="F819" s="398"/>
    </row>
    <row r="820" spans="1:6" ht="18" customHeight="1">
      <c r="A820" s="418" t="s">
        <v>586</v>
      </c>
      <c r="B820" s="415">
        <f>SUM(B811:B819)</f>
        <v>0</v>
      </c>
      <c r="C820" s="419"/>
      <c r="D820" s="419"/>
      <c r="E820" s="794"/>
      <c r="F820" s="398"/>
    </row>
    <row r="821" spans="1:6" ht="18" customHeight="1">
      <c r="A821" s="396"/>
      <c r="B821" s="135"/>
      <c r="C821" s="135"/>
      <c r="D821" s="135"/>
      <c r="E821" s="793"/>
      <c r="F821" s="398"/>
    </row>
    <row r="822" spans="1:6" ht="18" customHeight="1">
      <c r="A822" s="429" t="s">
        <v>587</v>
      </c>
      <c r="B822" s="419"/>
      <c r="C822" s="419"/>
      <c r="D822" s="419"/>
      <c r="E822" s="794"/>
      <c r="F822" s="398"/>
    </row>
    <row r="823" spans="1:6" ht="18" customHeight="1">
      <c r="A823" s="396" t="s">
        <v>588</v>
      </c>
      <c r="B823" s="135">
        <f>'OUTSIDE GTA'!N179</f>
        <v>0</v>
      </c>
      <c r="C823" s="135" t="s">
        <v>22</v>
      </c>
      <c r="D823" s="135">
        <v>18</v>
      </c>
      <c r="E823" s="793">
        <f>B823*D823</f>
        <v>0</v>
      </c>
      <c r="F823" s="398"/>
    </row>
    <row r="824" spans="1:6" ht="18" customHeight="1">
      <c r="A824" s="396" t="s">
        <v>323</v>
      </c>
      <c r="B824" s="135">
        <f>'OUTSIDE GTA'!C179</f>
        <v>34</v>
      </c>
      <c r="C824" s="135" t="s">
        <v>22</v>
      </c>
      <c r="D824" s="135">
        <v>18</v>
      </c>
      <c r="E824" s="793">
        <f>B824*D824</f>
        <v>612</v>
      </c>
      <c r="F824" s="398"/>
    </row>
    <row r="825" spans="1:6" ht="18" customHeight="1">
      <c r="A825" s="437"/>
      <c r="B825" s="419"/>
      <c r="C825" s="419"/>
      <c r="D825" s="419"/>
      <c r="E825" s="794"/>
      <c r="F825" s="398"/>
    </row>
    <row r="826" spans="1:6" ht="18" customHeight="1">
      <c r="A826" s="429" t="s">
        <v>589</v>
      </c>
      <c r="B826" s="415">
        <f>SUM(B822:B825)</f>
        <v>34</v>
      </c>
      <c r="C826" s="419"/>
      <c r="D826" s="419"/>
      <c r="E826" s="794"/>
      <c r="F826" s="398"/>
    </row>
    <row r="827" spans="1:6" ht="18" customHeight="1">
      <c r="A827" s="396"/>
      <c r="B827" s="135"/>
      <c r="C827" s="135"/>
      <c r="D827" s="135"/>
      <c r="E827" s="793"/>
      <c r="F827" s="398"/>
    </row>
    <row r="828" spans="1:6" ht="18" customHeight="1">
      <c r="A828" s="429" t="s">
        <v>590</v>
      </c>
      <c r="B828" s="419"/>
      <c r="C828" s="419"/>
      <c r="D828" s="419"/>
      <c r="E828" s="794"/>
      <c r="F828" s="398"/>
    </row>
    <row r="829" spans="1:6" ht="18" customHeight="1">
      <c r="A829" s="320" t="s">
        <v>591</v>
      </c>
      <c r="B829" s="135">
        <f>'OUTSIDE GTA'!C325</f>
        <v>0</v>
      </c>
      <c r="C829" s="135" t="s">
        <v>22</v>
      </c>
      <c r="D829" s="135">
        <v>20</v>
      </c>
      <c r="E829" s="793">
        <f>B829*D829</f>
        <v>0</v>
      </c>
      <c r="F829" s="398"/>
    </row>
    <row r="830" spans="1:6" ht="18" customHeight="1">
      <c r="A830" s="396"/>
      <c r="B830" s="135"/>
      <c r="C830" s="135"/>
      <c r="D830" s="135"/>
      <c r="E830" s="793"/>
      <c r="F830" s="398"/>
    </row>
    <row r="831" spans="1:6" ht="18" customHeight="1">
      <c r="A831" s="437"/>
      <c r="B831" s="419"/>
      <c r="C831" s="419"/>
      <c r="D831" s="419"/>
      <c r="E831" s="794"/>
      <c r="F831" s="398"/>
    </row>
    <row r="832" spans="1:6" ht="18" customHeight="1">
      <c r="A832" s="429" t="s">
        <v>590</v>
      </c>
      <c r="B832" s="415">
        <f>SUM(B828:B831)</f>
        <v>0</v>
      </c>
      <c r="C832" s="419"/>
      <c r="D832" s="419"/>
      <c r="E832" s="794"/>
      <c r="F832" s="398"/>
    </row>
    <row r="833" spans="1:6" ht="18" customHeight="1">
      <c r="A833" s="396"/>
      <c r="B833" s="135"/>
      <c r="C833" s="135"/>
      <c r="D833" s="135"/>
      <c r="E833" s="793"/>
      <c r="F833" s="398"/>
    </row>
    <row r="834" spans="1:6" ht="18" customHeight="1">
      <c r="A834" s="429" t="s">
        <v>592</v>
      </c>
      <c r="B834" s="419"/>
      <c r="C834" s="419"/>
      <c r="D834" s="419"/>
      <c r="E834" s="794"/>
      <c r="F834" s="398"/>
    </row>
    <row r="835" spans="1:6" ht="18" customHeight="1">
      <c r="A835" s="396" t="s">
        <v>593</v>
      </c>
      <c r="B835" s="135">
        <f>'OUTSIDE GTA'!C343</f>
        <v>0</v>
      </c>
      <c r="C835" s="135" t="s">
        <v>22</v>
      </c>
      <c r="D835" s="135">
        <v>16.649999999999999</v>
      </c>
      <c r="E835" s="793">
        <f>B835*D835</f>
        <v>0</v>
      </c>
      <c r="F835" s="398"/>
    </row>
    <row r="836" spans="1:6" ht="18" customHeight="1">
      <c r="A836" s="396"/>
      <c r="B836" s="135">
        <f>'OUTSIDE GTA'!C331</f>
        <v>0</v>
      </c>
      <c r="C836" s="135" t="s">
        <v>22</v>
      </c>
      <c r="D836" s="135">
        <v>18</v>
      </c>
      <c r="E836" s="793">
        <f>B836*D836</f>
        <v>0</v>
      </c>
      <c r="F836" s="398"/>
    </row>
    <row r="837" spans="1:6" ht="18" customHeight="1">
      <c r="A837" s="437"/>
      <c r="B837" s="419"/>
      <c r="C837" s="419"/>
      <c r="D837" s="419"/>
      <c r="E837" s="794"/>
      <c r="F837" s="398"/>
    </row>
    <row r="838" spans="1:6" ht="18" customHeight="1">
      <c r="A838" s="429" t="s">
        <v>592</v>
      </c>
      <c r="B838" s="415">
        <f>SUM(B834:B837)</f>
        <v>0</v>
      </c>
      <c r="C838" s="419"/>
      <c r="D838" s="419"/>
      <c r="E838" s="794"/>
      <c r="F838" s="398"/>
    </row>
    <row r="839" spans="1:6" ht="18" customHeight="1">
      <c r="A839" s="396"/>
      <c r="B839" s="135"/>
      <c r="C839" s="135"/>
      <c r="D839" s="135"/>
      <c r="E839" s="793"/>
      <c r="F839" s="398"/>
    </row>
    <row r="840" spans="1:6" ht="18" customHeight="1">
      <c r="A840" s="429" t="s">
        <v>594</v>
      </c>
      <c r="B840" s="419"/>
      <c r="C840" s="419"/>
      <c r="D840" s="419"/>
      <c r="E840" s="794"/>
      <c r="F840" s="398"/>
    </row>
    <row r="841" spans="1:6" ht="18" customHeight="1">
      <c r="A841" s="517" t="s">
        <v>595</v>
      </c>
      <c r="B841" s="135">
        <f>'OUTSIDE GTA'!C161</f>
        <v>0</v>
      </c>
      <c r="C841" s="135" t="s">
        <v>22</v>
      </c>
      <c r="D841" s="135">
        <v>16.649999999999999</v>
      </c>
      <c r="E841" s="793">
        <f t="shared" ref="E841:E853" si="25">B841*D841</f>
        <v>0</v>
      </c>
      <c r="F841" s="398"/>
    </row>
    <row r="842" spans="1:6" ht="18" customHeight="1">
      <c r="A842" s="517" t="s">
        <v>596</v>
      </c>
      <c r="B842" s="135">
        <f>'OUTSIDE GTA'!N161</f>
        <v>0</v>
      </c>
      <c r="C842" s="135" t="s">
        <v>22</v>
      </c>
      <c r="D842" s="135">
        <v>16.649999999999999</v>
      </c>
      <c r="E842" s="793">
        <f>B842*D842</f>
        <v>0</v>
      </c>
      <c r="F842" s="398"/>
    </row>
    <row r="843" spans="1:6" ht="18" customHeight="1">
      <c r="A843" s="517" t="s">
        <v>598</v>
      </c>
      <c r="B843" s="135">
        <f>'OUTSIDE GTA'!D161</f>
        <v>0</v>
      </c>
      <c r="C843" s="135" t="s">
        <v>22</v>
      </c>
      <c r="D843" s="135">
        <v>16.649999999999999</v>
      </c>
      <c r="E843" s="793">
        <f t="shared" si="25"/>
        <v>0</v>
      </c>
      <c r="F843" s="398"/>
    </row>
    <row r="844" spans="1:6" ht="18" customHeight="1">
      <c r="A844" s="517" t="s">
        <v>599</v>
      </c>
      <c r="B844" s="135">
        <f>'OUTSIDE GTA'!E161</f>
        <v>0</v>
      </c>
      <c r="C844" s="135" t="s">
        <v>22</v>
      </c>
      <c r="D844" s="135">
        <v>16.649999999999999</v>
      </c>
      <c r="E844" s="793">
        <f t="shared" si="25"/>
        <v>0</v>
      </c>
      <c r="F844" s="398"/>
    </row>
    <row r="845" spans="1:6" ht="18" customHeight="1">
      <c r="A845" s="517" t="s">
        <v>600</v>
      </c>
      <c r="B845" s="135">
        <f>'OUTSIDE GTA'!F161</f>
        <v>0</v>
      </c>
      <c r="C845" s="135" t="s">
        <v>22</v>
      </c>
      <c r="D845" s="135">
        <v>16.649999999999999</v>
      </c>
      <c r="E845" s="793">
        <f t="shared" si="25"/>
        <v>0</v>
      </c>
      <c r="F845" s="398"/>
    </row>
    <row r="846" spans="1:6" ht="18" customHeight="1">
      <c r="A846" s="517" t="s">
        <v>601</v>
      </c>
      <c r="B846" s="135">
        <f>'OUTSIDE GTA'!G161</f>
        <v>0</v>
      </c>
      <c r="C846" s="135" t="s">
        <v>22</v>
      </c>
      <c r="D846" s="135">
        <v>16.649999999999999</v>
      </c>
      <c r="E846" s="793">
        <f t="shared" si="25"/>
        <v>0</v>
      </c>
      <c r="F846" s="398"/>
    </row>
    <row r="847" spans="1:6" ht="18" customHeight="1">
      <c r="A847" s="517" t="s">
        <v>602</v>
      </c>
      <c r="B847" s="135">
        <f>'OUTSIDE GTA'!H161</f>
        <v>0</v>
      </c>
      <c r="C847" s="135" t="s">
        <v>22</v>
      </c>
      <c r="D847" s="135">
        <v>16.649999999999999</v>
      </c>
      <c r="E847" s="793">
        <f t="shared" si="25"/>
        <v>0</v>
      </c>
      <c r="F847" s="398"/>
    </row>
    <row r="848" spans="1:6" ht="18" customHeight="1">
      <c r="A848" s="517" t="s">
        <v>603</v>
      </c>
      <c r="B848" s="135">
        <f>'OUTSIDE GTA'!I161</f>
        <v>0</v>
      </c>
      <c r="C848" s="135" t="s">
        <v>22</v>
      </c>
      <c r="D848" s="135">
        <v>16.649999999999999</v>
      </c>
      <c r="E848" s="793">
        <f t="shared" si="25"/>
        <v>0</v>
      </c>
      <c r="F848" s="398"/>
    </row>
    <row r="849" spans="1:6" ht="18" customHeight="1">
      <c r="A849" s="517" t="s">
        <v>604</v>
      </c>
      <c r="B849" s="135">
        <f>'OUTSIDE GTA'!J161</f>
        <v>0</v>
      </c>
      <c r="C849" s="135" t="s">
        <v>22</v>
      </c>
      <c r="D849" s="135">
        <v>16.649999999999999</v>
      </c>
      <c r="E849" s="793">
        <f t="shared" si="25"/>
        <v>0</v>
      </c>
      <c r="F849" s="398"/>
    </row>
    <row r="850" spans="1:6" ht="18" customHeight="1">
      <c r="A850" s="517" t="s">
        <v>605</v>
      </c>
      <c r="B850" s="135">
        <f>'OUTSIDE GTA'!K161</f>
        <v>0</v>
      </c>
      <c r="C850" s="135" t="s">
        <v>22</v>
      </c>
      <c r="D850" s="135">
        <v>16.649999999999999</v>
      </c>
      <c r="E850" s="793">
        <f t="shared" si="25"/>
        <v>0</v>
      </c>
      <c r="F850" s="398"/>
    </row>
    <row r="851" spans="1:6" ht="18" customHeight="1">
      <c r="A851" s="517" t="s">
        <v>606</v>
      </c>
      <c r="B851" s="135">
        <f>'OUTSIDE GTA'!L161</f>
        <v>0</v>
      </c>
      <c r="C851" s="135" t="s">
        <v>22</v>
      </c>
      <c r="D851" s="135">
        <v>16.649999999999999</v>
      </c>
      <c r="E851" s="793">
        <f t="shared" si="25"/>
        <v>0</v>
      </c>
      <c r="F851" s="398"/>
    </row>
    <row r="852" spans="1:6" ht="18" customHeight="1">
      <c r="A852" s="517" t="s">
        <v>607</v>
      </c>
      <c r="B852" s="135">
        <f>'OUTSIDE GTA'!M161</f>
        <v>0</v>
      </c>
      <c r="C852" s="135" t="s">
        <v>22</v>
      </c>
      <c r="D852" s="135">
        <v>16.649999999999999</v>
      </c>
      <c r="E852" s="793">
        <f t="shared" si="25"/>
        <v>0</v>
      </c>
      <c r="F852" s="398"/>
    </row>
    <row r="853" spans="1:6" ht="18" customHeight="1">
      <c r="A853" s="517" t="s">
        <v>608</v>
      </c>
      <c r="B853" s="135">
        <f>'OUTSIDE GTA'!O161</f>
        <v>0</v>
      </c>
      <c r="C853" s="135" t="s">
        <v>22</v>
      </c>
      <c r="D853" s="135">
        <v>16.649999999999999</v>
      </c>
      <c r="E853" s="793">
        <f t="shared" si="25"/>
        <v>0</v>
      </c>
      <c r="F853" s="398"/>
    </row>
    <row r="854" spans="1:6" ht="18" customHeight="1">
      <c r="A854" s="437"/>
      <c r="B854" s="419"/>
      <c r="C854" s="419"/>
      <c r="D854" s="419"/>
      <c r="E854" s="794"/>
      <c r="F854" s="398"/>
    </row>
    <row r="855" spans="1:6" ht="18" customHeight="1">
      <c r="A855" s="429" t="s">
        <v>609</v>
      </c>
      <c r="B855" s="415">
        <f>SUM(B840:B854)</f>
        <v>0</v>
      </c>
      <c r="C855" s="419"/>
      <c r="D855" s="419"/>
      <c r="E855" s="794"/>
      <c r="F855" s="398"/>
    </row>
    <row r="856" spans="1:6" ht="18" customHeight="1">
      <c r="A856" s="396"/>
      <c r="B856" s="135"/>
      <c r="C856" s="135"/>
      <c r="D856" s="135"/>
      <c r="E856" s="793"/>
      <c r="F856" s="398"/>
    </row>
    <row r="857" spans="1:6" ht="18" customHeight="1">
      <c r="A857" s="429" t="s">
        <v>610</v>
      </c>
      <c r="B857" s="419"/>
      <c r="C857" s="419"/>
      <c r="D857" s="419"/>
      <c r="E857" s="794"/>
      <c r="F857" s="398"/>
    </row>
    <row r="858" spans="1:6" ht="18" customHeight="1">
      <c r="A858" s="134" t="s">
        <v>611</v>
      </c>
      <c r="B858" s="135">
        <f>'OUTSIDE GTA'!C89</f>
        <v>0</v>
      </c>
      <c r="C858" s="135" t="s">
        <v>22</v>
      </c>
      <c r="D858" s="135">
        <v>16.649999999999999</v>
      </c>
      <c r="E858" s="793">
        <f>B858*D858</f>
        <v>0</v>
      </c>
      <c r="F858" s="398"/>
    </row>
    <row r="859" spans="1:6" ht="18" customHeight="1">
      <c r="A859" s="134" t="s">
        <v>612</v>
      </c>
      <c r="B859" s="135">
        <f>'OUTSIDE GTA'!D89</f>
        <v>0</v>
      </c>
      <c r="C859" s="135" t="s">
        <v>22</v>
      </c>
      <c r="D859" s="135">
        <v>16.649999999999999</v>
      </c>
      <c r="E859" s="793">
        <f>B859*D859</f>
        <v>0</v>
      </c>
      <c r="F859" s="398"/>
    </row>
    <row r="860" spans="1:6" ht="18" customHeight="1">
      <c r="A860" s="134" t="s">
        <v>613</v>
      </c>
      <c r="B860" s="135">
        <f>'OUTSIDE GTA'!E89</f>
        <v>0</v>
      </c>
      <c r="C860" s="135" t="s">
        <v>22</v>
      </c>
      <c r="D860" s="135">
        <v>16.649999999999999</v>
      </c>
      <c r="E860" s="793">
        <f t="shared" ref="E860:E877" si="26">B860*D860</f>
        <v>0</v>
      </c>
      <c r="F860" s="398"/>
    </row>
    <row r="861" spans="1:6" ht="18" customHeight="1">
      <c r="A861" s="134" t="s">
        <v>614</v>
      </c>
      <c r="B861" s="135">
        <f>'OUTSIDE GTA'!F89</f>
        <v>0</v>
      </c>
      <c r="C861" s="135" t="s">
        <v>22</v>
      </c>
      <c r="D861" s="135">
        <v>16.649999999999999</v>
      </c>
      <c r="E861" s="793">
        <f t="shared" si="26"/>
        <v>0</v>
      </c>
      <c r="F861" s="398"/>
    </row>
    <row r="862" spans="1:6" ht="18" customHeight="1">
      <c r="A862" s="134" t="s">
        <v>615</v>
      </c>
      <c r="B862" s="135">
        <f>'OUTSIDE GTA'!G89</f>
        <v>0</v>
      </c>
      <c r="C862" s="135" t="s">
        <v>22</v>
      </c>
      <c r="D862" s="135">
        <v>16.649999999999999</v>
      </c>
      <c r="E862" s="793">
        <f t="shared" si="26"/>
        <v>0</v>
      </c>
      <c r="F862" s="398"/>
    </row>
    <row r="863" spans="1:6" ht="18" customHeight="1">
      <c r="A863" s="134" t="s">
        <v>616</v>
      </c>
      <c r="B863" s="135">
        <f>'OUTSIDE GTA'!H89</f>
        <v>0</v>
      </c>
      <c r="C863" s="135" t="s">
        <v>22</v>
      </c>
      <c r="D863" s="135">
        <v>16.649999999999999</v>
      </c>
      <c r="E863" s="793">
        <f t="shared" si="26"/>
        <v>0</v>
      </c>
      <c r="F863" s="398"/>
    </row>
    <row r="864" spans="1:6" ht="18" customHeight="1">
      <c r="A864" s="134" t="s">
        <v>617</v>
      </c>
      <c r="B864" s="135">
        <f>'OUTSIDE GTA'!I89</f>
        <v>0</v>
      </c>
      <c r="C864" s="135" t="s">
        <v>22</v>
      </c>
      <c r="D864" s="135">
        <v>16.649999999999999</v>
      </c>
      <c r="E864" s="793">
        <f>B864*D864</f>
        <v>0</v>
      </c>
      <c r="F864" s="398"/>
    </row>
    <row r="865" spans="1:6" ht="18" customHeight="1">
      <c r="A865" s="134" t="s">
        <v>618</v>
      </c>
      <c r="B865" s="135">
        <f>'OUTSIDE GTA'!J89</f>
        <v>0</v>
      </c>
      <c r="C865" s="135" t="s">
        <v>22</v>
      </c>
      <c r="D865" s="135">
        <v>16.649999999999999</v>
      </c>
      <c r="E865" s="793">
        <f t="shared" si="26"/>
        <v>0</v>
      </c>
      <c r="F865" s="398"/>
    </row>
    <row r="866" spans="1:6" ht="18" customHeight="1">
      <c r="A866" s="134" t="s">
        <v>619</v>
      </c>
      <c r="B866" s="135">
        <f>'OUTSIDE GTA'!K89</f>
        <v>0</v>
      </c>
      <c r="C866" s="135" t="s">
        <v>22</v>
      </c>
      <c r="D866" s="135">
        <v>16.649999999999999</v>
      </c>
      <c r="E866" s="793">
        <f t="shared" si="26"/>
        <v>0</v>
      </c>
      <c r="F866" s="398"/>
    </row>
    <row r="867" spans="1:6" ht="18" customHeight="1">
      <c r="A867" s="134" t="s">
        <v>620</v>
      </c>
      <c r="B867" s="135">
        <f>'OUTSIDE GTA'!L89</f>
        <v>0</v>
      </c>
      <c r="C867" s="135" t="s">
        <v>22</v>
      </c>
      <c r="D867" s="135">
        <v>16.649999999999999</v>
      </c>
      <c r="E867" s="793">
        <f t="shared" si="26"/>
        <v>0</v>
      </c>
      <c r="F867" s="398"/>
    </row>
    <row r="868" spans="1:6" ht="18" customHeight="1">
      <c r="A868" s="134" t="s">
        <v>621</v>
      </c>
      <c r="B868" s="135">
        <f>'OUTSIDE GTA'!M89</f>
        <v>0</v>
      </c>
      <c r="C868" s="135" t="s">
        <v>22</v>
      </c>
      <c r="D868" s="135">
        <v>16.649999999999999</v>
      </c>
      <c r="E868" s="793">
        <f t="shared" si="26"/>
        <v>0</v>
      </c>
      <c r="F868" s="398"/>
    </row>
    <row r="869" spans="1:6" ht="18" customHeight="1">
      <c r="A869" s="134" t="s">
        <v>622</v>
      </c>
      <c r="B869" s="135">
        <f>'OUTSIDE GTA'!N89</f>
        <v>0</v>
      </c>
      <c r="C869" s="135" t="s">
        <v>22</v>
      </c>
      <c r="D869" s="135">
        <v>16.649999999999999</v>
      </c>
      <c r="E869" s="793">
        <f t="shared" si="26"/>
        <v>0</v>
      </c>
      <c r="F869" s="398"/>
    </row>
    <row r="870" spans="1:6" ht="18" customHeight="1">
      <c r="A870" s="134" t="s">
        <v>623</v>
      </c>
      <c r="B870" s="135">
        <f>'OUTSIDE GTA'!O89</f>
        <v>0</v>
      </c>
      <c r="C870" s="135" t="s">
        <v>22</v>
      </c>
      <c r="D870" s="135">
        <v>16.649999999999999</v>
      </c>
      <c r="E870" s="793">
        <f t="shared" si="26"/>
        <v>0</v>
      </c>
      <c r="F870" s="398"/>
    </row>
    <row r="871" spans="1:6" ht="18" customHeight="1">
      <c r="A871" s="134" t="s">
        <v>624</v>
      </c>
      <c r="B871" s="135">
        <f>'OUTSIDE GTA'!Q89</f>
        <v>0</v>
      </c>
      <c r="C871" s="135" t="s">
        <v>22</v>
      </c>
      <c r="D871" s="135">
        <v>16.649999999999999</v>
      </c>
      <c r="E871" s="793">
        <f t="shared" si="26"/>
        <v>0</v>
      </c>
      <c r="F871" s="398"/>
    </row>
    <row r="872" spans="1:6" ht="18" customHeight="1">
      <c r="A872" s="134" t="s">
        <v>625</v>
      </c>
      <c r="B872" s="135">
        <f>'OUTSIDE GTA'!P89</f>
        <v>0</v>
      </c>
      <c r="C872" s="135" t="s">
        <v>22</v>
      </c>
      <c r="D872" s="135">
        <v>16.649999999999999</v>
      </c>
      <c r="E872" s="793">
        <f>B872*D872</f>
        <v>0</v>
      </c>
      <c r="F872" s="398"/>
    </row>
    <row r="873" spans="1:6" ht="18" customHeight="1">
      <c r="A873" s="134" t="s">
        <v>626</v>
      </c>
      <c r="B873" s="135">
        <f>'OUTSIDE GTA'!R89</f>
        <v>0</v>
      </c>
      <c r="C873" s="135" t="s">
        <v>22</v>
      </c>
      <c r="D873" s="135">
        <v>16.649999999999999</v>
      </c>
      <c r="E873" s="793">
        <f t="shared" si="26"/>
        <v>0</v>
      </c>
      <c r="F873" s="398"/>
    </row>
    <row r="874" spans="1:6" ht="18" customHeight="1">
      <c r="A874" s="134" t="s">
        <v>627</v>
      </c>
      <c r="B874" s="135">
        <f>'OUTSIDE GTA'!S89+'OUTSIDE GTA'!Y89</f>
        <v>0</v>
      </c>
      <c r="C874" s="135" t="s">
        <v>22</v>
      </c>
      <c r="D874" s="135">
        <v>16.649999999999999</v>
      </c>
      <c r="E874" s="793">
        <f t="shared" si="26"/>
        <v>0</v>
      </c>
      <c r="F874" s="398"/>
    </row>
    <row r="875" spans="1:6" ht="18" customHeight="1">
      <c r="A875" s="134" t="s">
        <v>628</v>
      </c>
      <c r="B875" s="135">
        <f>'OUTSIDE GTA'!T89</f>
        <v>0</v>
      </c>
      <c r="C875" s="135" t="s">
        <v>22</v>
      </c>
      <c r="D875" s="135">
        <v>16.649999999999999</v>
      </c>
      <c r="E875" s="793">
        <f t="shared" si="26"/>
        <v>0</v>
      </c>
      <c r="F875" s="398"/>
    </row>
    <row r="876" spans="1:6" ht="18" customHeight="1">
      <c r="A876" s="134" t="s">
        <v>629</v>
      </c>
      <c r="B876" s="135">
        <f>'OUTSIDE GTA'!U89</f>
        <v>0</v>
      </c>
      <c r="C876" s="135" t="s">
        <v>22</v>
      </c>
      <c r="D876" s="135">
        <v>16.649999999999999</v>
      </c>
      <c r="E876" s="793">
        <f t="shared" si="26"/>
        <v>0</v>
      </c>
      <c r="F876" s="398"/>
    </row>
    <row r="877" spans="1:6" ht="18" customHeight="1">
      <c r="A877" s="134" t="s">
        <v>630</v>
      </c>
      <c r="B877" s="135">
        <f>'OUTSIDE GTA'!V89</f>
        <v>0</v>
      </c>
      <c r="C877" s="135" t="s">
        <v>22</v>
      </c>
      <c r="D877" s="135">
        <v>16.649999999999999</v>
      </c>
      <c r="E877" s="793">
        <f t="shared" si="26"/>
        <v>0</v>
      </c>
      <c r="F877" s="398"/>
    </row>
    <row r="878" spans="1:6" ht="18" customHeight="1">
      <c r="A878" s="134"/>
      <c r="B878" s="135"/>
      <c r="C878" s="135"/>
      <c r="D878" s="135"/>
      <c r="E878" s="793"/>
      <c r="F878" s="398"/>
    </row>
    <row r="879" spans="1:6" ht="18" customHeight="1">
      <c r="A879" s="436"/>
      <c r="B879" s="419"/>
      <c r="C879" s="419"/>
      <c r="D879" s="419"/>
      <c r="E879" s="794"/>
      <c r="F879" s="398"/>
    </row>
    <row r="880" spans="1:6" ht="18" customHeight="1">
      <c r="A880" s="429" t="s">
        <v>631</v>
      </c>
      <c r="B880" s="415">
        <f>SUM(B857:B879)</f>
        <v>0</v>
      </c>
      <c r="C880" s="419"/>
      <c r="D880" s="419"/>
      <c r="E880" s="794"/>
      <c r="F880" s="398"/>
    </row>
    <row r="881" spans="1:6" ht="18" customHeight="1">
      <c r="A881" s="134"/>
      <c r="B881" s="135"/>
      <c r="C881" s="135"/>
      <c r="D881" s="135"/>
      <c r="E881" s="793"/>
      <c r="F881" s="398"/>
    </row>
    <row r="882" spans="1:6" ht="18" customHeight="1">
      <c r="A882" s="430" t="s">
        <v>632</v>
      </c>
      <c r="B882" s="419"/>
      <c r="C882" s="419"/>
      <c r="D882" s="419"/>
      <c r="E882" s="794"/>
      <c r="F882" s="398"/>
    </row>
    <row r="883" spans="1:6" ht="18" customHeight="1">
      <c r="A883" s="399" t="s">
        <v>486</v>
      </c>
      <c r="B883" s="135">
        <f>GTA!C183</f>
        <v>0</v>
      </c>
      <c r="C883" s="135" t="s">
        <v>22</v>
      </c>
      <c r="D883" s="135">
        <v>18</v>
      </c>
      <c r="E883" s="793">
        <f>B883*D883</f>
        <v>0</v>
      </c>
      <c r="F883" s="398"/>
    </row>
    <row r="884" spans="1:6" ht="18" customHeight="1">
      <c r="A884" s="399" t="s">
        <v>325</v>
      </c>
      <c r="B884" s="135">
        <f>GTA!D183</f>
        <v>0</v>
      </c>
      <c r="C884" s="135" t="s">
        <v>22</v>
      </c>
      <c r="D884" s="135">
        <v>18</v>
      </c>
      <c r="E884" s="793">
        <f t="shared" ref="E884:E896" si="27">B884*D884</f>
        <v>0</v>
      </c>
      <c r="F884" s="398"/>
    </row>
    <row r="885" spans="1:6" ht="18" customHeight="1">
      <c r="A885" s="399" t="s">
        <v>441</v>
      </c>
      <c r="B885" s="135">
        <f>GTA!E183</f>
        <v>0</v>
      </c>
      <c r="C885" s="135" t="s">
        <v>22</v>
      </c>
      <c r="D885" s="135">
        <v>18</v>
      </c>
      <c r="E885" s="793">
        <f>B885*D885</f>
        <v>0</v>
      </c>
      <c r="F885" s="398"/>
    </row>
    <row r="886" spans="1:6" ht="18" customHeight="1">
      <c r="A886" s="399" t="s">
        <v>210</v>
      </c>
      <c r="B886" s="135">
        <f>GTA!F183</f>
        <v>0</v>
      </c>
      <c r="C886" s="135" t="s">
        <v>22</v>
      </c>
      <c r="D886" s="135">
        <v>18</v>
      </c>
      <c r="E886" s="793">
        <f>B886*D886</f>
        <v>0</v>
      </c>
      <c r="F886" s="398"/>
    </row>
    <row r="887" spans="1:6" ht="18" customHeight="1">
      <c r="A887" s="399" t="s">
        <v>633</v>
      </c>
      <c r="B887" s="135">
        <f>GTA!O183</f>
        <v>0</v>
      </c>
      <c r="C887" s="135" t="s">
        <v>22</v>
      </c>
      <c r="D887" s="135">
        <v>18</v>
      </c>
      <c r="E887" s="793">
        <f>B887*D887</f>
        <v>0</v>
      </c>
      <c r="F887" s="398"/>
    </row>
    <row r="888" spans="1:6" ht="18" customHeight="1">
      <c r="A888" s="399" t="s">
        <v>221</v>
      </c>
      <c r="B888" s="135">
        <f>GTA!G183</f>
        <v>0</v>
      </c>
      <c r="C888" s="135" t="s">
        <v>22</v>
      </c>
      <c r="D888" s="135">
        <v>18</v>
      </c>
      <c r="E888" s="793">
        <f t="shared" si="27"/>
        <v>0</v>
      </c>
      <c r="F888" s="398"/>
    </row>
    <row r="889" spans="1:6" ht="18" customHeight="1">
      <c r="A889" s="399" t="s">
        <v>327</v>
      </c>
      <c r="B889" s="135">
        <f>GTA!H183</f>
        <v>0</v>
      </c>
      <c r="C889" s="135" t="s">
        <v>22</v>
      </c>
      <c r="D889" s="135">
        <v>20</v>
      </c>
      <c r="E889" s="793">
        <f t="shared" si="27"/>
        <v>0</v>
      </c>
      <c r="F889" s="398"/>
    </row>
    <row r="890" spans="1:6" ht="18" customHeight="1">
      <c r="A890" s="399" t="s">
        <v>634</v>
      </c>
      <c r="B890" s="135">
        <f>GTA!I183</f>
        <v>0</v>
      </c>
      <c r="C890" s="135" t="s">
        <v>22</v>
      </c>
      <c r="D890" s="135">
        <v>20</v>
      </c>
      <c r="E890" s="793">
        <f t="shared" si="27"/>
        <v>0</v>
      </c>
      <c r="F890" s="398"/>
    </row>
    <row r="891" spans="1:6" ht="18" customHeight="1">
      <c r="A891" s="399" t="s">
        <v>584</v>
      </c>
      <c r="B891" s="135">
        <f>GTA!P183</f>
        <v>0</v>
      </c>
      <c r="C891" s="135" t="s">
        <v>22</v>
      </c>
      <c r="D891" s="135">
        <v>18</v>
      </c>
      <c r="E891" s="793">
        <f>B891*D891</f>
        <v>0</v>
      </c>
      <c r="F891" s="398"/>
    </row>
    <row r="892" spans="1:6" ht="18" customHeight="1">
      <c r="A892" s="399" t="s">
        <v>635</v>
      </c>
      <c r="B892" s="135">
        <f>GTA!J183</f>
        <v>0</v>
      </c>
      <c r="C892" s="135" t="s">
        <v>22</v>
      </c>
      <c r="D892" s="135">
        <v>20</v>
      </c>
      <c r="E892" s="793">
        <f t="shared" si="27"/>
        <v>0</v>
      </c>
      <c r="F892" s="398"/>
    </row>
    <row r="893" spans="1:6" ht="18" customHeight="1">
      <c r="A893" s="399" t="s">
        <v>479</v>
      </c>
      <c r="B893" s="135">
        <f>GTA!K183</f>
        <v>0</v>
      </c>
      <c r="C893" s="135" t="s">
        <v>22</v>
      </c>
      <c r="D893" s="135">
        <v>18</v>
      </c>
      <c r="E893" s="793">
        <f t="shared" si="27"/>
        <v>0</v>
      </c>
      <c r="F893" s="398"/>
    </row>
    <row r="894" spans="1:6" ht="18" customHeight="1">
      <c r="A894" s="399" t="s">
        <v>237</v>
      </c>
      <c r="B894" s="135">
        <f>GTA!L183</f>
        <v>0</v>
      </c>
      <c r="C894" s="135" t="s">
        <v>22</v>
      </c>
      <c r="D894" s="135">
        <v>18</v>
      </c>
      <c r="E894" s="793">
        <f>B894*D894</f>
        <v>0</v>
      </c>
      <c r="F894" s="398"/>
    </row>
    <row r="895" spans="1:6" ht="18" customHeight="1">
      <c r="A895" s="399" t="s">
        <v>354</v>
      </c>
      <c r="B895" s="135">
        <f>GTA!M183</f>
        <v>0</v>
      </c>
      <c r="C895" s="135" t="s">
        <v>22</v>
      </c>
      <c r="D895" s="135">
        <v>20</v>
      </c>
      <c r="E895" s="793">
        <f t="shared" si="27"/>
        <v>0</v>
      </c>
      <c r="F895" s="398"/>
    </row>
    <row r="896" spans="1:6" ht="18" customHeight="1">
      <c r="A896" s="399" t="s">
        <v>636</v>
      </c>
      <c r="B896" s="135">
        <f>GTA!N183</f>
        <v>0</v>
      </c>
      <c r="C896" s="135" t="s">
        <v>22</v>
      </c>
      <c r="D896" s="135">
        <v>18</v>
      </c>
      <c r="E896" s="793">
        <f t="shared" si="27"/>
        <v>0</v>
      </c>
      <c r="F896" s="398"/>
    </row>
    <row r="897" spans="1:6" ht="18" customHeight="1">
      <c r="A897" s="399" t="s">
        <v>403</v>
      </c>
      <c r="B897" s="135">
        <f>GTA!Q183</f>
        <v>0</v>
      </c>
      <c r="C897" s="135" t="s">
        <v>22</v>
      </c>
      <c r="D897" s="135">
        <v>18</v>
      </c>
      <c r="E897" s="793">
        <f>B897*D897</f>
        <v>0</v>
      </c>
      <c r="F897" s="398"/>
    </row>
    <row r="898" spans="1:6" ht="18" customHeight="1">
      <c r="A898" s="399" t="s">
        <v>637</v>
      </c>
      <c r="B898" s="135">
        <f>GTA!R183</f>
        <v>0</v>
      </c>
      <c r="C898" s="135" t="s">
        <v>22</v>
      </c>
      <c r="D898" s="135">
        <v>18</v>
      </c>
      <c r="E898" s="793">
        <f>B898*D898</f>
        <v>0</v>
      </c>
      <c r="F898" s="398"/>
    </row>
    <row r="899" spans="1:6" ht="18" customHeight="1">
      <c r="A899" s="435"/>
      <c r="B899" s="419"/>
      <c r="C899" s="419"/>
      <c r="D899" s="419"/>
      <c r="E899" s="794"/>
      <c r="F899" s="398"/>
    </row>
    <row r="900" spans="1:6" ht="18" customHeight="1">
      <c r="A900" s="430" t="s">
        <v>638</v>
      </c>
      <c r="B900" s="415">
        <f>SUM(B882:B899)</f>
        <v>0</v>
      </c>
      <c r="C900" s="419"/>
      <c r="D900" s="419"/>
      <c r="E900" s="794"/>
      <c r="F900" s="398"/>
    </row>
    <row r="901" spans="1:6" ht="18" customHeight="1">
      <c r="A901" s="136"/>
      <c r="B901" s="135"/>
      <c r="C901" s="135"/>
      <c r="D901" s="135"/>
      <c r="E901" s="793"/>
      <c r="F901" s="398"/>
    </row>
    <row r="902" spans="1:6" ht="18" customHeight="1">
      <c r="A902" s="415" t="s">
        <v>639</v>
      </c>
      <c r="B902" s="419"/>
      <c r="C902" s="419"/>
      <c r="D902" s="419"/>
      <c r="E902" s="794"/>
      <c r="F902" s="398"/>
    </row>
    <row r="903" spans="1:6" ht="18" customHeight="1">
      <c r="A903" s="134" t="s">
        <v>416</v>
      </c>
      <c r="B903" s="135">
        <f>GTA!D674</f>
        <v>0</v>
      </c>
      <c r="C903" s="135" t="s">
        <v>22</v>
      </c>
      <c r="D903" s="135">
        <v>18</v>
      </c>
      <c r="E903" s="793">
        <f>B903*D903</f>
        <v>0</v>
      </c>
      <c r="F903" s="398"/>
    </row>
    <row r="904" spans="1:6" ht="18" customHeight="1">
      <c r="A904" s="134" t="s">
        <v>385</v>
      </c>
      <c r="B904" s="135">
        <f>GTA!E674</f>
        <v>0</v>
      </c>
      <c r="C904" s="135" t="s">
        <v>22</v>
      </c>
      <c r="D904" s="135">
        <v>18</v>
      </c>
      <c r="E904" s="793">
        <f>B904*D904</f>
        <v>0</v>
      </c>
      <c r="F904" s="398"/>
    </row>
    <row r="905" spans="1:6" ht="18" customHeight="1">
      <c r="A905" s="134" t="s">
        <v>640</v>
      </c>
      <c r="B905" s="135">
        <f>GTA!F674</f>
        <v>0</v>
      </c>
      <c r="C905" s="135" t="s">
        <v>22</v>
      </c>
      <c r="D905" s="135">
        <v>16.649999999999999</v>
      </c>
      <c r="E905" s="793">
        <f>B905*D905</f>
        <v>0</v>
      </c>
      <c r="F905" s="398"/>
    </row>
    <row r="906" spans="1:6" ht="18" customHeight="1">
      <c r="A906" s="436"/>
      <c r="B906" s="419"/>
      <c r="C906" s="419"/>
      <c r="D906" s="419"/>
      <c r="E906" s="794"/>
      <c r="F906" s="398"/>
    </row>
    <row r="907" spans="1:6" ht="18" customHeight="1">
      <c r="A907" s="415" t="s">
        <v>639</v>
      </c>
      <c r="B907" s="415">
        <f>SUM(B902:B906)</f>
        <v>0</v>
      </c>
      <c r="C907" s="419"/>
      <c r="D907" s="419"/>
      <c r="E907" s="794"/>
      <c r="F907" s="398"/>
    </row>
    <row r="908" spans="1:6" ht="18" customHeight="1">
      <c r="A908" s="132"/>
      <c r="B908" s="135"/>
      <c r="C908" s="135"/>
      <c r="D908" s="135"/>
      <c r="E908" s="793"/>
      <c r="F908" s="398"/>
    </row>
    <row r="909" spans="1:6" ht="18" customHeight="1">
      <c r="A909" s="134"/>
      <c r="B909" s="135"/>
      <c r="C909" s="135"/>
      <c r="D909" s="135"/>
      <c r="E909" s="793"/>
      <c r="F909" s="398"/>
    </row>
    <row r="910" spans="1:6" ht="18" customHeight="1">
      <c r="A910" s="415" t="s">
        <v>641</v>
      </c>
      <c r="B910" s="419"/>
      <c r="C910" s="419"/>
      <c r="D910" s="419"/>
      <c r="E910" s="794"/>
      <c r="F910" s="398"/>
    </row>
    <row r="911" spans="1:6" ht="18" customHeight="1">
      <c r="A911" s="134" t="s">
        <v>416</v>
      </c>
      <c r="B911" s="135">
        <f>GTA!D219</f>
        <v>0</v>
      </c>
      <c r="C911" s="135" t="s">
        <v>22</v>
      </c>
      <c r="D911" s="135">
        <v>18</v>
      </c>
      <c r="E911" s="793">
        <f>B911*D911</f>
        <v>0</v>
      </c>
      <c r="F911" s="398"/>
    </row>
    <row r="912" spans="1:6" ht="18" customHeight="1">
      <c r="A912" s="134" t="s">
        <v>385</v>
      </c>
      <c r="B912" s="135">
        <f>GTA!E219</f>
        <v>0</v>
      </c>
      <c r="C912" s="135" t="s">
        <v>22</v>
      </c>
      <c r="D912" s="135">
        <v>18</v>
      </c>
      <c r="E912" s="793">
        <f>B912*D912</f>
        <v>0</v>
      </c>
      <c r="F912" s="398"/>
    </row>
    <row r="913" spans="1:6" ht="18" customHeight="1">
      <c r="A913" s="134" t="s">
        <v>384</v>
      </c>
      <c r="B913" s="135">
        <f>GTA!F219</f>
        <v>0</v>
      </c>
      <c r="C913" s="135" t="s">
        <v>22</v>
      </c>
      <c r="D913" s="135">
        <v>18</v>
      </c>
      <c r="E913" s="793">
        <f>B913*D913</f>
        <v>0</v>
      </c>
      <c r="F913" s="398"/>
    </row>
    <row r="914" spans="1:6" ht="18" customHeight="1">
      <c r="A914" s="134" t="s">
        <v>218</v>
      </c>
      <c r="B914" s="135">
        <f>GTA!G219</f>
        <v>0</v>
      </c>
      <c r="C914" s="135" t="s">
        <v>22</v>
      </c>
      <c r="D914" s="135">
        <v>16.649999999999999</v>
      </c>
      <c r="E914" s="793">
        <f>B914*D914</f>
        <v>0</v>
      </c>
      <c r="F914" s="398"/>
    </row>
    <row r="915" spans="1:6" ht="18" customHeight="1">
      <c r="A915" s="436"/>
      <c r="B915" s="419"/>
      <c r="C915" s="419"/>
      <c r="D915" s="419"/>
      <c r="E915" s="794"/>
      <c r="F915" s="398"/>
    </row>
    <row r="916" spans="1:6" ht="18" customHeight="1">
      <c r="A916" s="415" t="s">
        <v>641</v>
      </c>
      <c r="B916" s="415">
        <f>SUM(B910:B915)</f>
        <v>0</v>
      </c>
      <c r="C916" s="419"/>
      <c r="D916" s="419"/>
      <c r="E916" s="794"/>
      <c r="F916" s="398"/>
    </row>
    <row r="917" spans="1:6" ht="18" customHeight="1">
      <c r="A917" s="132"/>
      <c r="B917" s="135"/>
      <c r="C917" s="135"/>
      <c r="D917" s="135"/>
      <c r="E917" s="793"/>
      <c r="F917" s="398"/>
    </row>
    <row r="918" spans="1:6" ht="18" customHeight="1">
      <c r="A918" s="134"/>
      <c r="B918" s="135"/>
      <c r="C918" s="135"/>
      <c r="D918" s="135"/>
      <c r="E918" s="793"/>
      <c r="F918" s="398"/>
    </row>
    <row r="919" spans="1:6" ht="18" customHeight="1">
      <c r="A919" s="415" t="s">
        <v>642</v>
      </c>
      <c r="B919" s="419"/>
      <c r="C919" s="419"/>
      <c r="D919" s="419"/>
      <c r="E919" s="794"/>
      <c r="F919" s="398"/>
    </row>
    <row r="920" spans="1:6" ht="18" customHeight="1">
      <c r="A920" s="134" t="s">
        <v>643</v>
      </c>
      <c r="B920" s="135">
        <f>GTA!C548</f>
        <v>0</v>
      </c>
      <c r="C920" s="135" t="s">
        <v>22</v>
      </c>
      <c r="D920" s="135">
        <v>16.649999999999999</v>
      </c>
      <c r="E920" s="793">
        <f>B920*D920</f>
        <v>0</v>
      </c>
      <c r="F920" s="398"/>
    </row>
    <row r="921" spans="1:6" ht="18" customHeight="1">
      <c r="A921" s="134" t="s">
        <v>644</v>
      </c>
      <c r="B921" s="135">
        <f>GTA!D548</f>
        <v>0</v>
      </c>
      <c r="C921" s="135" t="s">
        <v>22</v>
      </c>
      <c r="D921" s="135">
        <v>18</v>
      </c>
      <c r="E921" s="793">
        <f>B921*D921</f>
        <v>0</v>
      </c>
      <c r="F921" s="398"/>
    </row>
    <row r="922" spans="1:6" ht="18" customHeight="1">
      <c r="A922" s="134" t="s">
        <v>210</v>
      </c>
      <c r="B922" s="135">
        <f>GTA!E548</f>
        <v>0</v>
      </c>
      <c r="C922" s="135" t="s">
        <v>22</v>
      </c>
      <c r="D922" s="135">
        <v>16.649999999999999</v>
      </c>
      <c r="E922" s="793">
        <f>B922*D922</f>
        <v>0</v>
      </c>
      <c r="F922" s="398"/>
    </row>
    <row r="923" spans="1:6" ht="18" customHeight="1">
      <c r="A923" s="134" t="s">
        <v>403</v>
      </c>
      <c r="B923" s="135">
        <f>GTA!F548</f>
        <v>0</v>
      </c>
      <c r="C923" s="135" t="s">
        <v>22</v>
      </c>
      <c r="D923" s="135">
        <v>16.649999999999999</v>
      </c>
      <c r="E923" s="793">
        <f>B923*D923</f>
        <v>0</v>
      </c>
      <c r="F923" s="398"/>
    </row>
    <row r="924" spans="1:6" ht="18" customHeight="1">
      <c r="A924" s="436"/>
      <c r="B924" s="419"/>
      <c r="C924" s="419"/>
      <c r="D924" s="419"/>
      <c r="E924" s="794"/>
      <c r="F924" s="398"/>
    </row>
    <row r="925" spans="1:6" ht="18" customHeight="1">
      <c r="A925" s="415" t="s">
        <v>642</v>
      </c>
      <c r="B925" s="415">
        <f>SUM(B919:B924)</f>
        <v>0</v>
      </c>
      <c r="C925" s="419"/>
      <c r="D925" s="419"/>
      <c r="E925" s="794"/>
      <c r="F925" s="398"/>
    </row>
    <row r="926" spans="1:6" ht="18" customHeight="1">
      <c r="A926" s="134"/>
      <c r="B926" s="135"/>
      <c r="C926" s="135"/>
      <c r="D926" s="135"/>
      <c r="E926" s="793"/>
      <c r="F926" s="398"/>
    </row>
    <row r="927" spans="1:6" ht="18" customHeight="1">
      <c r="A927" s="330" t="s">
        <v>645</v>
      </c>
      <c r="B927" s="331"/>
      <c r="C927" s="331"/>
      <c r="D927" s="331"/>
      <c r="E927" s="809"/>
      <c r="F927" s="398"/>
    </row>
    <row r="928" spans="1:6" ht="18" customHeight="1">
      <c r="A928" s="333" t="s">
        <v>646</v>
      </c>
      <c r="B928" s="334">
        <f>GTA!C436</f>
        <v>0</v>
      </c>
      <c r="C928" s="331" t="s">
        <v>22</v>
      </c>
      <c r="D928" s="331">
        <v>20</v>
      </c>
      <c r="E928" s="809">
        <f>B928*D928</f>
        <v>0</v>
      </c>
      <c r="F928" s="398"/>
    </row>
    <row r="929" spans="1:6" ht="18" customHeight="1">
      <c r="A929" s="136"/>
      <c r="B929" s="135"/>
      <c r="C929" s="135"/>
      <c r="D929" s="135"/>
      <c r="E929" s="793"/>
      <c r="F929" s="398"/>
    </row>
    <row r="930" spans="1:6" ht="18" customHeight="1">
      <c r="A930" s="294" t="s">
        <v>11</v>
      </c>
      <c r="B930" s="295"/>
      <c r="C930" s="295"/>
      <c r="D930" s="295"/>
      <c r="E930" s="810"/>
      <c r="F930" s="398"/>
    </row>
    <row r="931" spans="1:6" ht="18" customHeight="1">
      <c r="A931" s="336" t="s">
        <v>646</v>
      </c>
      <c r="B931" s="337">
        <f>GTA!C309</f>
        <v>80</v>
      </c>
      <c r="C931" s="295" t="s">
        <v>22</v>
      </c>
      <c r="D931" s="295">
        <v>16</v>
      </c>
      <c r="E931" s="810">
        <f>D931*B931</f>
        <v>1280</v>
      </c>
      <c r="F931" s="398"/>
    </row>
    <row r="932" spans="1:6" ht="18" customHeight="1">
      <c r="A932" s="136"/>
      <c r="B932" s="135"/>
      <c r="C932" s="135"/>
      <c r="D932" s="135"/>
      <c r="E932" s="793"/>
      <c r="F932" s="398"/>
    </row>
    <row r="933" spans="1:6" ht="18" customHeight="1">
      <c r="A933" s="133" t="s">
        <v>647</v>
      </c>
      <c r="B933" s="135"/>
      <c r="C933" s="135"/>
      <c r="D933" s="135"/>
      <c r="E933" s="793"/>
      <c r="F933" s="398"/>
    </row>
    <row r="934" spans="1:6" ht="18" customHeight="1">
      <c r="A934" s="134" t="s">
        <v>646</v>
      </c>
      <c r="B934" s="527">
        <v>14.5</v>
      </c>
      <c r="C934" s="135" t="s">
        <v>22</v>
      </c>
      <c r="D934" s="135">
        <v>17.2</v>
      </c>
      <c r="E934" s="793">
        <f>B934*D934</f>
        <v>249.39999999999998</v>
      </c>
      <c r="F934" s="398"/>
    </row>
    <row r="935" spans="1:6" ht="18" customHeight="1">
      <c r="A935" s="134"/>
      <c r="B935" s="150"/>
      <c r="C935" s="135"/>
      <c r="D935" s="135"/>
      <c r="E935" s="793"/>
      <c r="F935" s="398"/>
    </row>
    <row r="936" spans="1:6" ht="18" customHeight="1">
      <c r="A936" s="313"/>
      <c r="B936" s="313"/>
      <c r="C936" s="313"/>
      <c r="D936" s="313"/>
      <c r="E936" s="313"/>
      <c r="F936" s="398"/>
    </row>
    <row r="937" spans="1:6" ht="18" customHeight="1">
      <c r="A937" s="130" t="s">
        <v>11</v>
      </c>
      <c r="B937" s="126"/>
      <c r="C937" s="126"/>
      <c r="D937" s="126"/>
      <c r="E937" s="811"/>
      <c r="F937" s="398"/>
    </row>
    <row r="938" spans="1:6" ht="18" customHeight="1">
      <c r="A938" s="909" t="s">
        <v>13</v>
      </c>
      <c r="B938" s="355">
        <v>60</v>
      </c>
      <c r="C938" s="126" t="s">
        <v>14</v>
      </c>
      <c r="D938" s="126">
        <v>17.2</v>
      </c>
      <c r="E938" s="811"/>
      <c r="F938" s="130" t="s">
        <v>11</v>
      </c>
    </row>
    <row r="939" spans="1:6" ht="18" customHeight="1">
      <c r="A939" s="909"/>
      <c r="B939" s="126"/>
      <c r="C939" s="126"/>
      <c r="D939" s="126"/>
      <c r="E939" s="811"/>
      <c r="F939" s="398"/>
    </row>
    <row r="940" spans="1:6" ht="18" customHeight="1">
      <c r="A940" s="144" t="s">
        <v>15</v>
      </c>
      <c r="B940" s="142"/>
      <c r="C940" s="142"/>
      <c r="D940" s="914"/>
      <c r="E940" s="812"/>
      <c r="F940" s="398"/>
    </row>
    <row r="941" spans="1:6" ht="18" customHeight="1">
      <c r="A941" s="146" t="s">
        <v>16</v>
      </c>
      <c r="B941" s="905">
        <v>32</v>
      </c>
      <c r="C941" s="142" t="s">
        <v>14</v>
      </c>
      <c r="D941" s="914">
        <v>17.649999999999999</v>
      </c>
      <c r="E941" s="812"/>
      <c r="F941" s="144" t="s">
        <v>15</v>
      </c>
    </row>
    <row r="942" spans="1:6" ht="18" customHeight="1">
      <c r="A942" s="915"/>
      <c r="B942" s="142"/>
      <c r="C942" s="142"/>
      <c r="D942" s="914"/>
      <c r="E942" s="811"/>
      <c r="F942" s="398"/>
    </row>
  </sheetData>
  <autoFilter ref="A12:E19" xr:uid="{178AB4C8-0DBF-4E2C-8164-67C7C8BB594B}">
    <sortState xmlns:xlrd2="http://schemas.microsoft.com/office/spreadsheetml/2017/richdata2" ref="A13:E19">
      <sortCondition ref="A12:A19"/>
    </sortState>
  </autoFilter>
  <conditionalFormatting sqref="A48:A56">
    <cfRule type="duplicateValues" dxfId="231" priority="11"/>
  </conditionalFormatting>
  <conditionalFormatting sqref="A70:A88">
    <cfRule type="duplicateValues" dxfId="230" priority="15"/>
  </conditionalFormatting>
  <conditionalFormatting sqref="A93:A94">
    <cfRule type="duplicateValues" dxfId="229" priority="16"/>
  </conditionalFormatting>
  <conditionalFormatting sqref="A117">
    <cfRule type="duplicateValues" dxfId="228" priority="2"/>
  </conditionalFormatting>
  <conditionalFormatting sqref="A121 A109:A113 A99:A103">
    <cfRule type="duplicateValues" dxfId="227" priority="6"/>
  </conditionalFormatting>
  <conditionalFormatting sqref="A121">
    <cfRule type="duplicateValues" dxfId="226" priority="7"/>
    <cfRule type="duplicateValues" dxfId="225" priority="8"/>
  </conditionalFormatting>
  <conditionalFormatting sqref="A155">
    <cfRule type="duplicateValues" dxfId="224" priority="13"/>
  </conditionalFormatting>
  <conditionalFormatting sqref="A277:A279">
    <cfRule type="duplicateValues" dxfId="223" priority="12"/>
  </conditionalFormatting>
  <conditionalFormatting sqref="A290">
    <cfRule type="duplicateValues" dxfId="222" priority="10"/>
  </conditionalFormatting>
  <conditionalFormatting sqref="A364:A367">
    <cfRule type="duplicateValues" dxfId="221" priority="4"/>
  </conditionalFormatting>
  <conditionalFormatting sqref="A374:A375">
    <cfRule type="duplicateValues" dxfId="220" priority="9"/>
  </conditionalFormatting>
  <conditionalFormatting sqref="A551">
    <cfRule type="duplicateValues" dxfId="219" priority="1"/>
  </conditionalFormatting>
  <conditionalFormatting sqref="A635 A637">
    <cfRule type="duplicateValues" dxfId="218" priority="17"/>
  </conditionalFormatting>
  <conditionalFormatting sqref="A642:A645 A649:A774">
    <cfRule type="duplicateValues" dxfId="217" priority="14"/>
  </conditionalFormatting>
  <conditionalFormatting sqref="A829">
    <cfRule type="duplicateValues" dxfId="216" priority="5"/>
  </conditionalFormatting>
  <pageMargins left="0.7" right="0.7" top="0.75" bottom="0.75" header="0.3" footer="0.3"/>
  <pageSetup scale="60" orientation="landscape" horizontalDpi="4294967292"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7497D-9BC7-4FDC-8595-A9ABEA367E35}">
  <sheetPr codeName="Sheet9"/>
  <dimension ref="A1:M45"/>
  <sheetViews>
    <sheetView workbookViewId="0">
      <selection activeCell="C18" sqref="C18"/>
    </sheetView>
  </sheetViews>
  <sheetFormatPr defaultColWidth="9.140625" defaultRowHeight="18.75"/>
  <cols>
    <col min="1" max="1" width="111.42578125" style="37" bestFit="1" customWidth="1"/>
    <col min="2" max="2" width="15.85546875" style="283" customWidth="1"/>
    <col min="3" max="3" width="13.42578125" style="283" bestFit="1" customWidth="1"/>
    <col min="4" max="16384" width="9.140625" style="37"/>
  </cols>
  <sheetData>
    <row r="1" spans="1:6" ht="21" customHeight="1">
      <c r="A1" s="268" t="s">
        <v>764</v>
      </c>
      <c r="B1" s="269" t="s">
        <v>765</v>
      </c>
      <c r="C1" s="269" t="s">
        <v>766</v>
      </c>
    </row>
    <row r="2" spans="1:6">
      <c r="A2" s="279" t="s">
        <v>767</v>
      </c>
      <c r="B2" s="280">
        <f>'British Columbia'!T19</f>
        <v>111.5</v>
      </c>
      <c r="C2" s="280">
        <f>'British Columbia'!T19</f>
        <v>111.5</v>
      </c>
      <c r="D2" s="37" t="str">
        <f t="shared" ref="D2:D11" si="0">IF(B2=C2, "✔", "❌❌❌")</f>
        <v>✔</v>
      </c>
      <c r="F2" s="37">
        <f t="shared" ref="F2:F11" si="1">B2-C2</f>
        <v>0</v>
      </c>
    </row>
    <row r="3" spans="1:6">
      <c r="A3" s="279" t="s">
        <v>768</v>
      </c>
      <c r="B3" s="280">
        <f>'SUBCON - BC'!B32</f>
        <v>0</v>
      </c>
      <c r="C3" s="280">
        <f>SUM('British Columbia'!C29:S35)</f>
        <v>0</v>
      </c>
      <c r="D3" s="37" t="str">
        <f t="shared" si="0"/>
        <v>✔</v>
      </c>
      <c r="F3" s="37">
        <f t="shared" si="1"/>
        <v>0</v>
      </c>
    </row>
    <row r="4" spans="1:6">
      <c r="A4" s="279" t="s">
        <v>769</v>
      </c>
      <c r="B4" s="280">
        <f>'SUBCON - BC'!B53</f>
        <v>0</v>
      </c>
      <c r="C4" s="280">
        <f>SUM('British Columbia'!C48:S54)</f>
        <v>0</v>
      </c>
      <c r="D4" s="37" t="str">
        <f t="shared" si="0"/>
        <v>✔</v>
      </c>
      <c r="F4" s="37">
        <f t="shared" si="1"/>
        <v>0</v>
      </c>
    </row>
    <row r="5" spans="1:6">
      <c r="A5" s="279" t="s">
        <v>770</v>
      </c>
      <c r="B5" s="280">
        <f>SUBCON!B96</f>
        <v>0</v>
      </c>
      <c r="C5" s="280">
        <f>'OUTSIDE GTA'!B143</f>
        <v>0</v>
      </c>
      <c r="D5" s="37" t="str">
        <f t="shared" si="0"/>
        <v>✔</v>
      </c>
      <c r="F5" s="37">
        <f t="shared" si="1"/>
        <v>0</v>
      </c>
    </row>
    <row r="6" spans="1:6">
      <c r="A6" s="279" t="s">
        <v>126</v>
      </c>
      <c r="B6" s="280">
        <f>SUBCON!B201</f>
        <v>0</v>
      </c>
      <c r="C6" s="280">
        <f>OTTAWA!B18</f>
        <v>0</v>
      </c>
      <c r="D6" s="37" t="str">
        <f t="shared" si="0"/>
        <v>✔</v>
      </c>
      <c r="F6" s="37">
        <f t="shared" si="1"/>
        <v>0</v>
      </c>
    </row>
    <row r="7" spans="1:6">
      <c r="A7" s="279" t="s">
        <v>20</v>
      </c>
      <c r="B7" s="449">
        <f>SUBCON!B5</f>
        <v>0</v>
      </c>
      <c r="C7" s="280">
        <f>GTA!B201</f>
        <v>0</v>
      </c>
      <c r="D7" s="37" t="str">
        <f t="shared" si="0"/>
        <v>✔</v>
      </c>
      <c r="F7" s="37">
        <f t="shared" si="1"/>
        <v>0</v>
      </c>
    </row>
    <row r="8" spans="1:6">
      <c r="A8" s="954" t="s">
        <v>771</v>
      </c>
      <c r="B8" s="955">
        <f>MMJ!C7</f>
        <v>32</v>
      </c>
      <c r="C8" s="955">
        <f>GTA!B219</f>
        <v>32</v>
      </c>
      <c r="D8" s="956" t="str">
        <f t="shared" si="0"/>
        <v>✔</v>
      </c>
      <c r="E8" s="956"/>
      <c r="F8" s="956">
        <f t="shared" si="1"/>
        <v>0</v>
      </c>
    </row>
    <row r="9" spans="1:6">
      <c r="A9" s="281" t="s">
        <v>772</v>
      </c>
      <c r="B9" s="280">
        <f>SUBCON!B838</f>
        <v>0</v>
      </c>
      <c r="C9" s="280">
        <f>'OUTSIDE GTA'!B107</f>
        <v>0</v>
      </c>
      <c r="D9" s="37" t="str">
        <f t="shared" si="0"/>
        <v>✔</v>
      </c>
      <c r="F9" s="37">
        <f t="shared" si="1"/>
        <v>0</v>
      </c>
    </row>
    <row r="10" spans="1:6">
      <c r="A10" s="954" t="s">
        <v>773</v>
      </c>
      <c r="B10" s="955">
        <f>SUBCON!B253</f>
        <v>0</v>
      </c>
      <c r="C10" s="955">
        <f>GTA!B147</f>
        <v>0</v>
      </c>
      <c r="D10" s="956" t="str">
        <f t="shared" si="0"/>
        <v>✔</v>
      </c>
      <c r="E10" s="956"/>
      <c r="F10" s="956">
        <f t="shared" si="1"/>
        <v>0</v>
      </c>
    </row>
    <row r="11" spans="1:6">
      <c r="A11" s="954" t="s">
        <v>206</v>
      </c>
      <c r="B11" s="955">
        <f>SUBCON!B237</f>
        <v>0</v>
      </c>
      <c r="C11" s="955">
        <f>GTA!B129</f>
        <v>0</v>
      </c>
      <c r="D11" s="956" t="str">
        <f t="shared" si="0"/>
        <v>✔</v>
      </c>
      <c r="E11" s="956"/>
      <c r="F11" s="956">
        <f t="shared" si="1"/>
        <v>0</v>
      </c>
    </row>
    <row r="12" spans="1:6">
      <c r="A12" s="279" t="s">
        <v>774</v>
      </c>
      <c r="B12" s="280">
        <f>SUBCON!B135</f>
        <v>0</v>
      </c>
      <c r="C12" s="450">
        <f>OTTAWA!B54</f>
        <v>0</v>
      </c>
    </row>
    <row r="13" spans="1:6">
      <c r="A13" s="279" t="s">
        <v>258</v>
      </c>
      <c r="B13" s="280">
        <f>SUBCON!B348</f>
        <v>0</v>
      </c>
      <c r="C13" s="450">
        <f>OTTAWA!B36</f>
        <v>0</v>
      </c>
      <c r="D13" s="37" t="str">
        <f>IF(B13=C13, "✔", "❌❌❌")</f>
        <v>✔</v>
      </c>
      <c r="F13" s="37">
        <f>B13-C13</f>
        <v>0</v>
      </c>
    </row>
    <row r="14" spans="1:6">
      <c r="A14" s="454" t="s">
        <v>322</v>
      </c>
      <c r="B14" s="280">
        <f>SUBCON!B363</f>
        <v>0</v>
      </c>
      <c r="C14" s="280">
        <f>GTA!B363</f>
        <v>0</v>
      </c>
      <c r="D14" s="37" t="str">
        <f>IF(B14=C14, "✔", "❌❌❌")</f>
        <v>✔</v>
      </c>
      <c r="F14" s="37">
        <f>B14-C14</f>
        <v>0</v>
      </c>
    </row>
    <row r="15" spans="1:6">
      <c r="A15" s="279" t="s">
        <v>345</v>
      </c>
      <c r="B15" s="280">
        <f>SUBCON!B398</f>
        <v>0</v>
      </c>
      <c r="C15" s="280">
        <f>GTA!B111</f>
        <v>0</v>
      </c>
      <c r="D15" s="37" t="str">
        <f>IF(B15=C15, "✔", "❌❌❌")</f>
        <v>✔</v>
      </c>
      <c r="F15" s="37">
        <f>B15-C15</f>
        <v>0</v>
      </c>
    </row>
    <row r="16" spans="1:6">
      <c r="A16" s="279" t="s">
        <v>351</v>
      </c>
      <c r="B16" s="280">
        <f>SUBCON!B403</f>
        <v>0</v>
      </c>
      <c r="C16" s="280">
        <f>GTA!B381</f>
        <v>0</v>
      </c>
      <c r="D16" s="37" t="str">
        <f>IF(B16=C16, "✔", "❌❌❌")</f>
        <v>✔</v>
      </c>
      <c r="F16" s="37">
        <f>B16-C16</f>
        <v>0</v>
      </c>
    </row>
    <row r="17" spans="1:6">
      <c r="A17" s="277" t="s">
        <v>775</v>
      </c>
      <c r="B17" s="280">
        <f>SUBCON!B557</f>
        <v>0</v>
      </c>
      <c r="C17" s="280">
        <f>'OUTSIDE GTA'!B215</f>
        <v>0</v>
      </c>
      <c r="E17" s="278"/>
    </row>
    <row r="18" spans="1:6">
      <c r="A18" s="279" t="s">
        <v>594</v>
      </c>
      <c r="B18" s="280">
        <f>SUBCON!B884</f>
        <v>0</v>
      </c>
      <c r="C18" s="280">
        <f>'OUTSIDE GTA'!B161</f>
        <v>0</v>
      </c>
      <c r="D18" s="37" t="str">
        <f t="shared" ref="D18:D44" si="2">IF(B18=C18, "✔", "❌❌❌")</f>
        <v>✔</v>
      </c>
    </row>
    <row r="19" spans="1:6">
      <c r="A19" s="277" t="s">
        <v>72</v>
      </c>
      <c r="B19" s="280">
        <f>SUBCON!B90</f>
        <v>0</v>
      </c>
      <c r="C19" s="280">
        <f>'OUTSIDE GTA'!B71</f>
        <v>0</v>
      </c>
      <c r="D19" s="37" t="str">
        <f t="shared" si="2"/>
        <v>✔</v>
      </c>
      <c r="F19" s="37">
        <f t="shared" ref="F19:F44" si="3">B19-C19</f>
        <v>0</v>
      </c>
    </row>
    <row r="20" spans="1:6">
      <c r="A20" s="279" t="s">
        <v>377</v>
      </c>
      <c r="B20" s="280">
        <f>SUBCON!B476</f>
        <v>0</v>
      </c>
      <c r="C20" s="280">
        <f>GTA!B255</f>
        <v>0</v>
      </c>
      <c r="D20" s="37" t="str">
        <f t="shared" si="2"/>
        <v>✔</v>
      </c>
      <c r="F20" s="37">
        <f t="shared" si="3"/>
        <v>0</v>
      </c>
    </row>
    <row r="21" spans="1:6">
      <c r="A21" s="954" t="s">
        <v>405</v>
      </c>
      <c r="B21" s="955">
        <f>SUBCON!B543</f>
        <v>20.5</v>
      </c>
      <c r="C21" s="955">
        <f>GTA!B273</f>
        <v>20.5</v>
      </c>
      <c r="D21" s="956" t="str">
        <f t="shared" si="2"/>
        <v>✔</v>
      </c>
      <c r="E21" s="956"/>
      <c r="F21" s="956">
        <f t="shared" si="3"/>
        <v>0</v>
      </c>
    </row>
    <row r="22" spans="1:6">
      <c r="A22" s="455" t="s">
        <v>457</v>
      </c>
      <c r="B22" s="280">
        <f>SUBCON!B639</f>
        <v>0</v>
      </c>
      <c r="C22" s="280">
        <f>GTA!B57</f>
        <v>0</v>
      </c>
      <c r="D22" s="37" t="str">
        <f t="shared" si="2"/>
        <v>✔</v>
      </c>
      <c r="F22" s="37">
        <f t="shared" si="3"/>
        <v>0</v>
      </c>
    </row>
    <row r="23" spans="1:6">
      <c r="A23" s="961" t="s">
        <v>332</v>
      </c>
      <c r="B23" s="955">
        <f>SUBCON!B373</f>
        <v>0</v>
      </c>
      <c r="C23" s="955">
        <f>GTA!B93</f>
        <v>0</v>
      </c>
      <c r="D23" s="956" t="str">
        <f t="shared" si="2"/>
        <v>✔</v>
      </c>
      <c r="E23" s="956"/>
      <c r="F23" s="956">
        <f t="shared" si="3"/>
        <v>0</v>
      </c>
    </row>
    <row r="24" spans="1:6">
      <c r="A24" s="954" t="s">
        <v>440</v>
      </c>
      <c r="B24" s="955">
        <f>SUBCON!B577</f>
        <v>160.5</v>
      </c>
      <c r="C24" s="955">
        <f>GTA!B39</f>
        <v>160.5</v>
      </c>
      <c r="D24" s="956" t="str">
        <f t="shared" si="2"/>
        <v>✔</v>
      </c>
      <c r="E24" s="956"/>
      <c r="F24" s="956">
        <f t="shared" si="3"/>
        <v>0</v>
      </c>
    </row>
    <row r="25" spans="1:6">
      <c r="A25" s="455" t="s">
        <v>483</v>
      </c>
      <c r="B25" s="280">
        <f>SUBCON!B647</f>
        <v>0</v>
      </c>
      <c r="C25" s="280">
        <f>GTA!B399</f>
        <v>0</v>
      </c>
      <c r="D25" s="37" t="str">
        <f t="shared" si="2"/>
        <v>✔</v>
      </c>
      <c r="F25" s="37">
        <f t="shared" si="3"/>
        <v>0</v>
      </c>
    </row>
    <row r="26" spans="1:6">
      <c r="A26" s="279" t="s">
        <v>38</v>
      </c>
      <c r="B26" s="280">
        <f>SUBCON!B30</f>
        <v>0</v>
      </c>
      <c r="C26" s="280">
        <f>'OUTSIDE GTA'!B17</f>
        <v>0</v>
      </c>
      <c r="D26" s="37" t="str">
        <f t="shared" si="2"/>
        <v>✔</v>
      </c>
      <c r="F26" s="37">
        <f t="shared" si="3"/>
        <v>0</v>
      </c>
    </row>
    <row r="27" spans="1:6">
      <c r="A27" s="279" t="s">
        <v>55</v>
      </c>
      <c r="B27" s="280">
        <f>SUBCON!B58</f>
        <v>0</v>
      </c>
      <c r="C27" s="280">
        <f>'OUTSIDE GTA'!B35</f>
        <v>0</v>
      </c>
      <c r="D27" s="37" t="str">
        <f t="shared" si="2"/>
        <v>✔</v>
      </c>
      <c r="F27" s="37">
        <f t="shared" si="3"/>
        <v>0</v>
      </c>
    </row>
    <row r="28" spans="1:6">
      <c r="A28" s="954" t="s">
        <v>494</v>
      </c>
      <c r="B28" s="955">
        <f>SUBCON!B803</f>
        <v>7</v>
      </c>
      <c r="C28" s="955">
        <f>GTA!B21</f>
        <v>7</v>
      </c>
      <c r="D28" s="956" t="str">
        <f t="shared" si="2"/>
        <v>✔</v>
      </c>
      <c r="E28" s="956"/>
      <c r="F28" s="956">
        <f t="shared" si="3"/>
        <v>0</v>
      </c>
    </row>
    <row r="29" spans="1:6">
      <c r="A29" s="279" t="s">
        <v>563</v>
      </c>
      <c r="B29" s="280">
        <f>SUBCON!B815</f>
        <v>0</v>
      </c>
      <c r="C29" s="280">
        <f>GTA!B475</f>
        <v>0</v>
      </c>
      <c r="D29" s="37" t="str">
        <f t="shared" si="2"/>
        <v>✔</v>
      </c>
      <c r="F29" s="37">
        <f t="shared" si="3"/>
        <v>0</v>
      </c>
    </row>
    <row r="30" spans="1:6">
      <c r="A30" s="456" t="s">
        <v>776</v>
      </c>
      <c r="B30" s="280"/>
      <c r="C30" s="280"/>
      <c r="D30" s="37" t="str">
        <f t="shared" si="2"/>
        <v>✔</v>
      </c>
      <c r="F30" s="37">
        <f t="shared" si="3"/>
        <v>0</v>
      </c>
    </row>
    <row r="31" spans="1:6">
      <c r="A31" s="281" t="s">
        <v>45</v>
      </c>
      <c r="B31" s="280">
        <f>SUBCON!B39</f>
        <v>0</v>
      </c>
      <c r="C31" s="280">
        <f>'OUTSIDE GTA'!B270</f>
        <v>0</v>
      </c>
      <c r="D31" s="37" t="str">
        <f t="shared" si="2"/>
        <v>✔</v>
      </c>
      <c r="F31" s="37">
        <f t="shared" si="3"/>
        <v>0</v>
      </c>
    </row>
    <row r="32" spans="1:6">
      <c r="A32" s="281" t="s">
        <v>66</v>
      </c>
      <c r="B32" s="280">
        <f>SUBCON!B67</f>
        <v>0</v>
      </c>
      <c r="C32" s="280">
        <f>'OUTSIDE GTA'!B125</f>
        <v>0</v>
      </c>
      <c r="D32" s="37" t="str">
        <f t="shared" si="2"/>
        <v>✔</v>
      </c>
      <c r="F32" s="37">
        <f t="shared" si="3"/>
        <v>0</v>
      </c>
    </row>
    <row r="33" spans="1:13">
      <c r="A33" s="454" t="s">
        <v>580</v>
      </c>
      <c r="B33" s="280">
        <f>SUBCON!B849</f>
        <v>0</v>
      </c>
      <c r="C33" s="280">
        <f>GTA!B75</f>
        <v>0</v>
      </c>
      <c r="D33" s="37" t="str">
        <f t="shared" si="2"/>
        <v>✔</v>
      </c>
      <c r="F33" s="37">
        <f t="shared" si="3"/>
        <v>0</v>
      </c>
    </row>
    <row r="34" spans="1:13">
      <c r="A34" s="957" t="s">
        <v>587</v>
      </c>
      <c r="B34" s="955">
        <f>SUBCON!B855</f>
        <v>34</v>
      </c>
      <c r="C34" s="955">
        <f>'OUTSIDE GTA'!B179</f>
        <v>34</v>
      </c>
      <c r="D34" s="956" t="str">
        <f t="shared" si="2"/>
        <v>✔</v>
      </c>
      <c r="E34" s="956"/>
      <c r="F34" s="956">
        <f t="shared" si="3"/>
        <v>0</v>
      </c>
      <c r="G34" s="278"/>
      <c r="H34" s="278"/>
      <c r="I34" s="278"/>
      <c r="J34" s="278"/>
      <c r="K34" s="278"/>
      <c r="L34" s="278"/>
      <c r="M34" s="278"/>
    </row>
    <row r="35" spans="1:13">
      <c r="A35" s="277" t="s">
        <v>610</v>
      </c>
      <c r="B35" s="280">
        <f>SUBCON!B909</f>
        <v>0</v>
      </c>
      <c r="C35" s="280">
        <f>'OUTSIDE GTA'!B89</f>
        <v>0</v>
      </c>
      <c r="D35" s="37" t="str">
        <f t="shared" si="2"/>
        <v>✔</v>
      </c>
      <c r="F35" s="37">
        <f t="shared" si="3"/>
        <v>0</v>
      </c>
      <c r="G35" s="278"/>
      <c r="H35" s="278"/>
      <c r="I35" s="278"/>
      <c r="J35" s="278"/>
      <c r="K35" s="278"/>
      <c r="L35" s="278"/>
      <c r="M35" s="278"/>
    </row>
    <row r="36" spans="1:13">
      <c r="A36" s="279" t="s">
        <v>777</v>
      </c>
      <c r="B36" s="280">
        <f>SUBCON!B22</f>
        <v>88</v>
      </c>
      <c r="C36" s="280">
        <f>'OUTSIDE GTA'!B197</f>
        <v>0</v>
      </c>
      <c r="D36" s="37" t="str">
        <f t="shared" si="2"/>
        <v>❌❌❌</v>
      </c>
      <c r="F36" s="37">
        <f t="shared" si="3"/>
        <v>88</v>
      </c>
      <c r="G36" s="278"/>
      <c r="H36" s="278"/>
      <c r="I36" s="278"/>
      <c r="J36" s="278"/>
      <c r="K36" s="278"/>
      <c r="L36" s="278"/>
      <c r="M36" s="278"/>
    </row>
    <row r="37" spans="1:13">
      <c r="A37" s="279" t="s">
        <v>356</v>
      </c>
      <c r="B37" s="280">
        <f>SUBCON!B432</f>
        <v>0</v>
      </c>
      <c r="C37" s="280">
        <f>'OUTSIDE GTA'!B233</f>
        <v>0</v>
      </c>
      <c r="D37" s="37" t="str">
        <f t="shared" si="2"/>
        <v>✔</v>
      </c>
      <c r="F37" s="37">
        <f t="shared" si="3"/>
        <v>0</v>
      </c>
    </row>
    <row r="38" spans="1:13">
      <c r="A38" s="958" t="s">
        <v>353</v>
      </c>
      <c r="B38" s="955">
        <f>SUBCON!B408</f>
        <v>0</v>
      </c>
      <c r="C38" s="955">
        <f>GTA!B237</f>
        <v>0</v>
      </c>
      <c r="D38" s="956" t="str">
        <f t="shared" si="2"/>
        <v>✔</v>
      </c>
      <c r="E38" s="956"/>
      <c r="F38" s="956">
        <f t="shared" si="3"/>
        <v>0</v>
      </c>
    </row>
    <row r="39" spans="1:13">
      <c r="A39" s="957" t="s">
        <v>453</v>
      </c>
      <c r="B39" s="955">
        <f>SUBCON!B591</f>
        <v>0</v>
      </c>
      <c r="C39" s="955">
        <f>SUM(GTA!D165:R165)</f>
        <v>0</v>
      </c>
      <c r="D39" s="956" t="str">
        <f t="shared" si="2"/>
        <v>✔</v>
      </c>
      <c r="E39" s="956"/>
      <c r="F39" s="956">
        <f t="shared" si="3"/>
        <v>0</v>
      </c>
    </row>
    <row r="40" spans="1:13">
      <c r="A40" s="277" t="s">
        <v>95</v>
      </c>
      <c r="B40" s="280">
        <f>SUBCON!B127</f>
        <v>0</v>
      </c>
      <c r="C40" s="280">
        <f>'OUTSIDE GTA'!B53</f>
        <v>0</v>
      </c>
      <c r="D40" s="37" t="str">
        <f t="shared" si="2"/>
        <v>✔</v>
      </c>
      <c r="E40" s="278"/>
      <c r="F40" s="37">
        <f t="shared" si="3"/>
        <v>0</v>
      </c>
    </row>
    <row r="41" spans="1:13">
      <c r="A41" s="957" t="s">
        <v>778</v>
      </c>
      <c r="B41" s="955">
        <f>SUBCON!B552</f>
        <v>0</v>
      </c>
      <c r="C41" s="955">
        <f>GTA!B291</f>
        <v>0</v>
      </c>
      <c r="D41" s="956" t="str">
        <f t="shared" si="2"/>
        <v>✔</v>
      </c>
      <c r="E41" s="960"/>
      <c r="F41" s="956">
        <f t="shared" si="3"/>
        <v>0</v>
      </c>
    </row>
    <row r="42" spans="1:13">
      <c r="A42" s="277" t="s">
        <v>632</v>
      </c>
      <c r="B42" s="280">
        <f>SUBCON!B929</f>
        <v>0</v>
      </c>
      <c r="C42" s="280">
        <f>GTA!B183</f>
        <v>0</v>
      </c>
      <c r="D42" s="37" t="str">
        <f t="shared" si="2"/>
        <v>✔</v>
      </c>
      <c r="E42" s="278"/>
      <c r="F42" s="37">
        <f t="shared" si="3"/>
        <v>0</v>
      </c>
    </row>
    <row r="43" spans="1:13">
      <c r="A43" s="277" t="s">
        <v>779</v>
      </c>
      <c r="B43" s="280">
        <f>SUBCON!B45</f>
        <v>0</v>
      </c>
      <c r="C43" s="280">
        <f>'OUTSIDE GTA'!B288</f>
        <v>0</v>
      </c>
      <c r="D43" s="37" t="str">
        <f t="shared" si="2"/>
        <v>✔</v>
      </c>
      <c r="E43" s="278"/>
      <c r="F43" s="37">
        <f t="shared" si="3"/>
        <v>0</v>
      </c>
    </row>
    <row r="44" spans="1:13">
      <c r="A44" s="282"/>
      <c r="B44" s="280"/>
      <c r="C44" s="280"/>
      <c r="D44" s="37" t="str">
        <f t="shared" si="2"/>
        <v>✔</v>
      </c>
      <c r="F44" s="37">
        <f t="shared" si="3"/>
        <v>0</v>
      </c>
    </row>
    <row r="45" spans="1:13">
      <c r="B45" s="283">
        <f>SUM(B2:B44)</f>
        <v>453.5</v>
      </c>
      <c r="C45" s="283">
        <f>SUM(C2:C44)</f>
        <v>365.5</v>
      </c>
    </row>
  </sheetData>
  <autoFilter ref="A1:F44" xr:uid="{1FE7497D-9BC7-4FDC-8595-A9ABEA367E35}">
    <sortState xmlns:xlrd2="http://schemas.microsoft.com/office/spreadsheetml/2017/richdata2" ref="A2:F45">
      <sortCondition ref="A1:A44"/>
    </sortState>
  </autoFilter>
  <conditionalFormatting sqref="A2">
    <cfRule type="duplicateValues" dxfId="215" priority="28"/>
  </conditionalFormatting>
  <conditionalFormatting sqref="A3">
    <cfRule type="duplicateValues" dxfId="214" priority="27"/>
  </conditionalFormatting>
  <conditionalFormatting sqref="A4">
    <cfRule type="duplicateValues" dxfId="213" priority="26"/>
  </conditionalFormatting>
  <conditionalFormatting sqref="A5">
    <cfRule type="duplicateValues" dxfId="212" priority="25"/>
  </conditionalFormatting>
  <conditionalFormatting sqref="A6">
    <cfRule type="duplicateValues" dxfId="211" priority="24"/>
  </conditionalFormatting>
  <conditionalFormatting sqref="A7">
    <cfRule type="duplicateValues" dxfId="210" priority="23"/>
  </conditionalFormatting>
  <conditionalFormatting sqref="A8">
    <cfRule type="duplicateValues" dxfId="209" priority="22"/>
  </conditionalFormatting>
  <conditionalFormatting sqref="A9">
    <cfRule type="duplicateValues" dxfId="208" priority="5"/>
  </conditionalFormatting>
  <conditionalFormatting sqref="A10">
    <cfRule type="duplicateValues" dxfId="207" priority="4"/>
  </conditionalFormatting>
  <conditionalFormatting sqref="A11">
    <cfRule type="duplicateValues" dxfId="206" priority="20"/>
  </conditionalFormatting>
  <conditionalFormatting sqref="A13">
    <cfRule type="duplicateValues" dxfId="205" priority="19"/>
  </conditionalFormatting>
  <conditionalFormatting sqref="A14">
    <cfRule type="duplicateValues" dxfId="204" priority="18"/>
  </conditionalFormatting>
  <conditionalFormatting sqref="A16">
    <cfRule type="duplicateValues" dxfId="203" priority="17"/>
  </conditionalFormatting>
  <conditionalFormatting sqref="A17">
    <cfRule type="duplicateValues" dxfId="202" priority="3"/>
  </conditionalFormatting>
  <conditionalFormatting sqref="A19">
    <cfRule type="duplicateValues" dxfId="201" priority="16"/>
  </conditionalFormatting>
  <conditionalFormatting sqref="A20">
    <cfRule type="duplicateValues" dxfId="200" priority="15"/>
  </conditionalFormatting>
  <conditionalFormatting sqref="A21">
    <cfRule type="duplicateValues" dxfId="199" priority="14"/>
  </conditionalFormatting>
  <conditionalFormatting sqref="A23">
    <cfRule type="duplicateValues" dxfId="198" priority="6"/>
  </conditionalFormatting>
  <conditionalFormatting sqref="A25">
    <cfRule type="duplicateValues" dxfId="197" priority="13"/>
  </conditionalFormatting>
  <conditionalFormatting sqref="A26">
    <cfRule type="duplicateValues" dxfId="196" priority="12"/>
  </conditionalFormatting>
  <conditionalFormatting sqref="A27">
    <cfRule type="duplicateValues" dxfId="195" priority="11"/>
  </conditionalFormatting>
  <conditionalFormatting sqref="A28:A29">
    <cfRule type="duplicateValues" dxfId="194" priority="10"/>
  </conditionalFormatting>
  <conditionalFormatting sqref="A38">
    <cfRule type="duplicateValues" dxfId="193" priority="9"/>
  </conditionalFormatting>
  <conditionalFormatting sqref="A39">
    <cfRule type="duplicateValues" dxfId="192" priority="8"/>
  </conditionalFormatting>
  <conditionalFormatting sqref="A40:A41">
    <cfRule type="duplicateValues" dxfId="191" priority="7"/>
  </conditionalFormatting>
  <conditionalFormatting sqref="A42">
    <cfRule type="duplicateValues" dxfId="190" priority="1"/>
  </conditionalFormatting>
  <conditionalFormatting sqref="A43">
    <cfRule type="duplicateValues" dxfId="189" priority="2"/>
  </conditionalFormatting>
  <conditionalFormatting sqref="A44:A1048576 A1 A12 A15 A18 A22 A24 A30:A37">
    <cfRule type="duplicateValues" dxfId="188" priority="29"/>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82382-8AE4-46B5-A249-9ED283975FCA}">
  <sheetPr codeName="Sheet3">
    <tabColor rgb="FFFFC000"/>
  </sheetPr>
  <dimension ref="A1:J68"/>
  <sheetViews>
    <sheetView view="pageBreakPreview" zoomScale="85" zoomScaleNormal="85" zoomScaleSheetLayoutView="85" workbookViewId="0">
      <selection activeCell="A2" sqref="A2:F8"/>
    </sheetView>
  </sheetViews>
  <sheetFormatPr defaultColWidth="9" defaultRowHeight="18" customHeight="1"/>
  <cols>
    <col min="1" max="1" width="56" style="276" customWidth="1"/>
    <col min="2" max="2" width="10.7109375" style="327" customWidth="1"/>
    <col min="3" max="3" width="9.85546875" style="327" bestFit="1" customWidth="1"/>
    <col min="4" max="4" width="11.85546875" style="327" customWidth="1"/>
    <col min="5" max="5" width="18.42578125" style="327" customWidth="1"/>
    <col min="6" max="6" width="43" style="533" customWidth="1"/>
    <col min="7" max="7" width="9" style="326"/>
    <col min="8" max="8" width="15" style="326" bestFit="1" customWidth="1"/>
    <col min="9" max="9" width="14.28515625" style="326" bestFit="1" customWidth="1"/>
    <col min="10" max="16384" width="9" style="326"/>
  </cols>
  <sheetData>
    <row r="1" spans="1:6" ht="39.75" customHeight="1">
      <c r="A1" s="778" t="str">
        <f>MMJ!B1</f>
        <v>PAY PERIOD January 10 - 23, 2025</v>
      </c>
      <c r="B1" s="778" t="s">
        <v>0</v>
      </c>
      <c r="C1" s="778" t="s">
        <v>1</v>
      </c>
      <c r="D1" s="778" t="s">
        <v>2</v>
      </c>
      <c r="E1" s="325" t="s">
        <v>19</v>
      </c>
      <c r="F1" s="783" t="s">
        <v>764</v>
      </c>
    </row>
    <row r="2" spans="1:6" ht="33.75" customHeight="1">
      <c r="A2" s="316" t="s">
        <v>441</v>
      </c>
      <c r="B2" s="347">
        <v>82</v>
      </c>
      <c r="C2" s="347" t="s">
        <v>22</v>
      </c>
      <c r="D2" s="347">
        <v>16.649999999999999</v>
      </c>
      <c r="E2" s="298">
        <v>1365.3</v>
      </c>
      <c r="F2" s="782" t="s">
        <v>440</v>
      </c>
    </row>
    <row r="3" spans="1:6" ht="33.75" customHeight="1">
      <c r="A3" s="316" t="s">
        <v>323</v>
      </c>
      <c r="B3" s="347">
        <v>34</v>
      </c>
      <c r="C3" s="347" t="s">
        <v>22</v>
      </c>
      <c r="D3" s="347">
        <v>18</v>
      </c>
      <c r="E3" s="298">
        <v>612</v>
      </c>
      <c r="F3" s="782" t="s">
        <v>587</v>
      </c>
    </row>
    <row r="4" spans="1:6" ht="33.75" customHeight="1">
      <c r="A4" s="284" t="s">
        <v>7183</v>
      </c>
      <c r="B4" s="347">
        <v>14</v>
      </c>
      <c r="C4" s="347" t="s">
        <v>22</v>
      </c>
      <c r="D4" s="347">
        <v>16.649999999999999</v>
      </c>
      <c r="E4" s="298">
        <v>233.09999999999997</v>
      </c>
      <c r="F4" s="782" t="s">
        <v>405</v>
      </c>
    </row>
    <row r="5" spans="1:6" ht="33.75" customHeight="1">
      <c r="A5" s="284" t="s">
        <v>7185</v>
      </c>
      <c r="B5" s="347">
        <v>7</v>
      </c>
      <c r="C5" s="347" t="s">
        <v>22</v>
      </c>
      <c r="D5" s="347">
        <v>20</v>
      </c>
      <c r="E5" s="298">
        <v>140</v>
      </c>
      <c r="F5" s="782" t="s">
        <v>494</v>
      </c>
    </row>
    <row r="6" spans="1:6" ht="33.75" customHeight="1">
      <c r="A6" s="316" t="s">
        <v>16</v>
      </c>
      <c r="B6" s="347">
        <v>32</v>
      </c>
      <c r="C6" s="347" t="s">
        <v>14</v>
      </c>
      <c r="D6" s="347">
        <v>18</v>
      </c>
      <c r="E6" s="298">
        <v>589.28</v>
      </c>
      <c r="F6" s="782" t="s">
        <v>15</v>
      </c>
    </row>
    <row r="7" spans="1:6" ht="33.75" customHeight="1">
      <c r="A7" s="316" t="s">
        <v>338</v>
      </c>
      <c r="B7" s="347">
        <v>78.5</v>
      </c>
      <c r="C7" s="347" t="s">
        <v>22</v>
      </c>
      <c r="D7" s="347">
        <v>16.649999999999999</v>
      </c>
      <c r="E7" s="298">
        <v>1307.0249999999999</v>
      </c>
      <c r="F7" s="782" t="s">
        <v>440</v>
      </c>
    </row>
    <row r="8" spans="1:6" ht="33.75" customHeight="1">
      <c r="A8" s="316" t="s">
        <v>7184</v>
      </c>
      <c r="B8" s="347">
        <v>6.5</v>
      </c>
      <c r="C8" s="347" t="s">
        <v>22</v>
      </c>
      <c r="D8" s="347">
        <v>16.649999999999999</v>
      </c>
      <c r="E8" s="298">
        <v>108.22499999999999</v>
      </c>
      <c r="F8" s="782" t="s">
        <v>405</v>
      </c>
    </row>
    <row r="9" spans="1:6" ht="33.75" customHeight="1">
      <c r="A9" s="284"/>
      <c r="B9" s="347"/>
      <c r="C9" s="347"/>
      <c r="D9" s="347"/>
      <c r="E9" s="298"/>
      <c r="F9" s="782"/>
    </row>
    <row r="10" spans="1:6" ht="33.75" customHeight="1">
      <c r="A10" s="316"/>
      <c r="B10" s="347"/>
      <c r="C10" s="347"/>
      <c r="D10" s="347"/>
      <c r="E10" s="298"/>
      <c r="F10" s="782"/>
    </row>
    <row r="11" spans="1:6" ht="33.75" customHeight="1">
      <c r="A11" s="284"/>
      <c r="B11" s="347"/>
      <c r="C11" s="347"/>
      <c r="D11" s="347"/>
      <c r="E11" s="298"/>
      <c r="F11" s="782"/>
    </row>
    <row r="12" spans="1:6" ht="33.75" customHeight="1">
      <c r="A12" s="316"/>
      <c r="B12" s="347"/>
      <c r="C12" s="347"/>
      <c r="D12" s="347"/>
      <c r="E12" s="298"/>
      <c r="F12" s="782"/>
    </row>
    <row r="13" spans="1:6" ht="33.75" customHeight="1">
      <c r="A13" s="316"/>
      <c r="B13" s="347"/>
      <c r="C13" s="347"/>
      <c r="D13" s="347"/>
      <c r="E13" s="298"/>
      <c r="F13" s="782"/>
    </row>
    <row r="14" spans="1:6" ht="33.75" customHeight="1">
      <c r="A14" s="284"/>
      <c r="B14" s="347"/>
      <c r="C14" s="347"/>
      <c r="D14" s="347"/>
      <c r="E14" s="298"/>
      <c r="F14" s="782"/>
    </row>
    <row r="15" spans="1:6" ht="33.75" customHeight="1">
      <c r="A15" s="284"/>
      <c r="B15" s="347"/>
      <c r="C15" s="347"/>
      <c r="D15" s="347"/>
      <c r="E15" s="298"/>
      <c r="F15" s="782"/>
    </row>
    <row r="16" spans="1:6" ht="33.75" customHeight="1">
      <c r="A16" s="316"/>
      <c r="B16" s="347"/>
      <c r="C16" s="347"/>
      <c r="D16" s="347"/>
      <c r="E16" s="298"/>
      <c r="F16" s="782"/>
    </row>
    <row r="17" spans="1:6" ht="33.75" customHeight="1">
      <c r="A17" s="316"/>
      <c r="B17" s="347"/>
      <c r="C17" s="347"/>
      <c r="D17" s="347"/>
      <c r="E17" s="298"/>
      <c r="F17" s="782"/>
    </row>
    <row r="18" spans="1:6" ht="33.75" customHeight="1">
      <c r="A18" s="316"/>
      <c r="B18" s="347"/>
      <c r="C18" s="347"/>
      <c r="D18" s="347"/>
      <c r="E18" s="298"/>
      <c r="F18" s="782"/>
    </row>
    <row r="19" spans="1:6" ht="33.75" customHeight="1">
      <c r="A19" s="316"/>
      <c r="B19" s="347"/>
      <c r="C19" s="347"/>
      <c r="D19" s="347"/>
      <c r="E19" s="298"/>
      <c r="F19" s="782"/>
    </row>
    <row r="20" spans="1:6" ht="33.75" customHeight="1">
      <c r="A20" s="316"/>
      <c r="B20" s="347"/>
      <c r="C20" s="347"/>
      <c r="D20" s="347"/>
      <c r="E20" s="298"/>
      <c r="F20" s="782"/>
    </row>
    <row r="21" spans="1:6" ht="33.75" customHeight="1">
      <c r="A21" s="316"/>
      <c r="B21" s="347"/>
      <c r="C21" s="347"/>
      <c r="D21" s="347"/>
      <c r="E21" s="298"/>
      <c r="F21" s="782"/>
    </row>
    <row r="22" spans="1:6" ht="33.75" customHeight="1">
      <c r="A22" s="316"/>
      <c r="B22" s="347"/>
      <c r="C22" s="347"/>
      <c r="D22" s="347"/>
      <c r="E22" s="298"/>
      <c r="F22" s="782"/>
    </row>
    <row r="23" spans="1:6" ht="33.75" customHeight="1">
      <c r="A23" s="397"/>
      <c r="B23" s="347"/>
      <c r="C23" s="347"/>
      <c r="D23" s="347"/>
      <c r="E23" s="298"/>
      <c r="F23" s="782"/>
    </row>
    <row r="24" spans="1:6" ht="33.75" customHeight="1">
      <c r="A24" s="316"/>
      <c r="B24" s="347"/>
      <c r="C24" s="347"/>
      <c r="D24" s="347"/>
      <c r="E24" s="298"/>
      <c r="F24" s="782"/>
    </row>
    <row r="25" spans="1:6" ht="33.75" customHeight="1">
      <c r="A25" s="316"/>
      <c r="B25" s="347"/>
      <c r="C25" s="347"/>
      <c r="D25" s="347"/>
      <c r="E25" s="298"/>
      <c r="F25" s="782"/>
    </row>
    <row r="26" spans="1:6" ht="33.75" customHeight="1">
      <c r="A26" s="316"/>
      <c r="B26" s="347"/>
      <c r="C26" s="347"/>
      <c r="D26" s="347"/>
      <c r="E26" s="298"/>
      <c r="F26" s="782"/>
    </row>
    <row r="27" spans="1:6" ht="33.75" customHeight="1">
      <c r="A27" s="316"/>
      <c r="B27" s="347"/>
      <c r="C27" s="347"/>
      <c r="D27" s="347"/>
      <c r="E27" s="298"/>
      <c r="F27" s="782"/>
    </row>
    <row r="28" spans="1:6" ht="33.75" customHeight="1">
      <c r="A28" s="316"/>
      <c r="B28" s="347"/>
      <c r="C28" s="347"/>
      <c r="D28" s="347"/>
      <c r="E28" s="298"/>
      <c r="F28" s="782"/>
    </row>
    <row r="29" spans="1:6" ht="33.75" customHeight="1">
      <c r="A29" s="316"/>
      <c r="B29" s="347"/>
      <c r="C29" s="347"/>
      <c r="D29" s="347"/>
      <c r="E29" s="298"/>
      <c r="F29" s="782"/>
    </row>
    <row r="30" spans="1:6" ht="33.75" customHeight="1">
      <c r="A30" s="317"/>
      <c r="B30" s="347"/>
      <c r="C30" s="347"/>
      <c r="D30" s="347"/>
      <c r="E30" s="298"/>
      <c r="F30" s="782"/>
    </row>
    <row r="31" spans="1:6" ht="33.75" customHeight="1">
      <c r="A31" s="316"/>
      <c r="B31" s="347"/>
      <c r="C31" s="347"/>
      <c r="D31" s="347"/>
      <c r="E31" s="298"/>
      <c r="F31" s="782"/>
    </row>
    <row r="32" spans="1:6" ht="33.75" customHeight="1">
      <c r="A32" s="284"/>
      <c r="B32" s="347"/>
      <c r="C32" s="347"/>
      <c r="D32" s="347"/>
      <c r="E32" s="298"/>
      <c r="F32" s="782"/>
    </row>
    <row r="33" spans="1:6" ht="33.75" customHeight="1">
      <c r="A33" s="316"/>
      <c r="B33" s="347"/>
      <c r="C33" s="347"/>
      <c r="D33" s="347"/>
      <c r="E33" s="298"/>
      <c r="F33" s="782"/>
    </row>
    <row r="34" spans="1:6" ht="33.75" customHeight="1">
      <c r="A34" s="316"/>
      <c r="B34" s="347"/>
      <c r="C34" s="347"/>
      <c r="D34" s="347"/>
      <c r="E34" s="298"/>
      <c r="F34" s="782"/>
    </row>
    <row r="35" spans="1:6" ht="33.75" customHeight="1">
      <c r="A35" s="316"/>
      <c r="B35" s="347"/>
      <c r="C35" s="347"/>
      <c r="D35" s="347"/>
      <c r="E35" s="298"/>
      <c r="F35" s="782"/>
    </row>
    <row r="36" spans="1:6" ht="33.75" customHeight="1">
      <c r="A36" s="316"/>
      <c r="B36" s="347"/>
      <c r="C36" s="347"/>
      <c r="D36" s="347"/>
      <c r="E36" s="298"/>
      <c r="F36" s="782"/>
    </row>
    <row r="37" spans="1:6" ht="33.75" customHeight="1">
      <c r="A37" s="316"/>
      <c r="B37" s="347"/>
      <c r="C37" s="347"/>
      <c r="D37" s="347"/>
      <c r="E37" s="298"/>
      <c r="F37" s="782"/>
    </row>
    <row r="38" spans="1:6" ht="33.75" customHeight="1">
      <c r="A38" s="316"/>
      <c r="B38" s="347"/>
      <c r="C38" s="347"/>
      <c r="D38" s="347"/>
      <c r="E38" s="298"/>
      <c r="F38" s="782"/>
    </row>
    <row r="39" spans="1:6" ht="33.75" customHeight="1">
      <c r="A39" s="316"/>
      <c r="B39" s="347"/>
      <c r="C39" s="347"/>
      <c r="D39" s="347"/>
      <c r="E39" s="298"/>
      <c r="F39" s="782"/>
    </row>
    <row r="40" spans="1:6" ht="33.75" customHeight="1">
      <c r="A40" s="316"/>
      <c r="B40" s="347"/>
      <c r="C40" s="347"/>
      <c r="D40" s="347"/>
      <c r="E40" s="298"/>
      <c r="F40" s="782"/>
    </row>
    <row r="41" spans="1:6" ht="33.75" customHeight="1">
      <c r="A41" s="316"/>
      <c r="B41" s="347"/>
      <c r="C41" s="347"/>
      <c r="D41" s="347"/>
      <c r="E41" s="298"/>
      <c r="F41" s="782"/>
    </row>
    <row r="42" spans="1:6" ht="33.75" customHeight="1">
      <c r="A42" s="316"/>
      <c r="B42" s="347"/>
      <c r="C42" s="347"/>
      <c r="D42" s="347"/>
      <c r="E42" s="298"/>
      <c r="F42" s="782"/>
    </row>
    <row r="43" spans="1:6" ht="33.75" customHeight="1">
      <c r="A43" s="316"/>
      <c r="B43" s="347"/>
      <c r="C43" s="347"/>
      <c r="D43" s="347"/>
      <c r="E43" s="298"/>
      <c r="F43" s="782"/>
    </row>
    <row r="44" spans="1:6" ht="33.75" customHeight="1">
      <c r="A44" s="316"/>
      <c r="B44" s="347"/>
      <c r="C44" s="347"/>
      <c r="D44" s="347"/>
      <c r="E44" s="298"/>
      <c r="F44" s="782"/>
    </row>
    <row r="45" spans="1:6" ht="33.75" customHeight="1">
      <c r="A45" s="316"/>
      <c r="B45" s="347"/>
      <c r="C45" s="347"/>
      <c r="D45" s="347"/>
      <c r="E45" s="298"/>
      <c r="F45" s="782"/>
    </row>
    <row r="46" spans="1:6" ht="33.75" customHeight="1">
      <c r="A46" s="316"/>
      <c r="B46" s="347"/>
      <c r="C46" s="347"/>
      <c r="D46" s="347"/>
      <c r="E46" s="298"/>
      <c r="F46" s="782"/>
    </row>
    <row r="47" spans="1:6" ht="33.75" customHeight="1">
      <c r="A47" s="316"/>
      <c r="B47" s="347"/>
      <c r="C47" s="347"/>
      <c r="D47" s="347"/>
      <c r="E47" s="298"/>
      <c r="F47" s="782"/>
    </row>
    <row r="48" spans="1:6" ht="33.75" customHeight="1">
      <c r="A48" s="316"/>
      <c r="B48" s="347"/>
      <c r="C48" s="347"/>
      <c r="D48" s="347"/>
      <c r="E48" s="298"/>
      <c r="F48" s="782"/>
    </row>
    <row r="49" spans="1:6" ht="33.75" customHeight="1">
      <c r="A49" s="316"/>
      <c r="B49" s="347"/>
      <c r="C49" s="347"/>
      <c r="D49" s="347"/>
      <c r="E49" s="298"/>
      <c r="F49" s="782"/>
    </row>
    <row r="50" spans="1:6" ht="33.75" customHeight="1">
      <c r="A50" s="284"/>
      <c r="B50" s="347"/>
      <c r="C50" s="347"/>
      <c r="D50" s="347"/>
      <c r="E50" s="298"/>
      <c r="F50" s="782"/>
    </row>
    <row r="51" spans="1:6" ht="33.75" customHeight="1">
      <c r="A51" s="317"/>
      <c r="B51" s="347"/>
      <c r="C51" s="347"/>
      <c r="D51" s="347"/>
      <c r="E51" s="298"/>
      <c r="F51" s="782"/>
    </row>
    <row r="52" spans="1:6" ht="33.75" customHeight="1">
      <c r="A52" s="397"/>
      <c r="B52" s="347"/>
      <c r="C52" s="347"/>
      <c r="D52" s="347"/>
      <c r="E52" s="298"/>
      <c r="F52" s="271"/>
    </row>
    <row r="53" spans="1:6" ht="33.75" customHeight="1">
      <c r="A53" s="316"/>
      <c r="B53" s="347"/>
      <c r="C53" s="347"/>
      <c r="D53" s="347"/>
      <c r="E53" s="298"/>
      <c r="F53" s="782"/>
    </row>
    <row r="54" spans="1:6" ht="33.75" customHeight="1">
      <c r="A54" s="316"/>
      <c r="B54" s="347"/>
      <c r="C54" s="347"/>
      <c r="D54" s="347"/>
      <c r="E54" s="298"/>
      <c r="F54" s="782"/>
    </row>
    <row r="55" spans="1:6" ht="33.75" customHeight="1">
      <c r="A55" s="777"/>
      <c r="B55" s="347"/>
      <c r="C55" s="347"/>
      <c r="D55" s="347"/>
      <c r="E55" s="298"/>
      <c r="F55" s="271"/>
    </row>
    <row r="56" spans="1:6" ht="33.75" customHeight="1">
      <c r="A56" s="397"/>
      <c r="B56" s="347"/>
      <c r="C56" s="347"/>
      <c r="D56" s="347"/>
      <c r="E56" s="298"/>
      <c r="F56" s="271"/>
    </row>
    <row r="57" spans="1:6" ht="33.75" customHeight="1">
      <c r="A57" s="317"/>
      <c r="B57" s="347"/>
      <c r="C57" s="347"/>
      <c r="D57" s="347"/>
      <c r="E57" s="298"/>
      <c r="F57" s="782"/>
    </row>
    <row r="58" spans="1:6" ht="33.75" customHeight="1">
      <c r="A58" s="284"/>
      <c r="B58" s="347"/>
      <c r="C58" s="347"/>
      <c r="D58" s="347"/>
      <c r="E58" s="298"/>
      <c r="F58" s="271"/>
    </row>
    <row r="59" spans="1:6" ht="33.75" customHeight="1">
      <c r="A59" s="316"/>
      <c r="B59" s="347"/>
      <c r="C59" s="347"/>
      <c r="D59" s="347"/>
      <c r="E59" s="298"/>
      <c r="F59" s="782"/>
    </row>
    <row r="60" spans="1:6" ht="33.75" customHeight="1">
      <c r="A60" s="316"/>
      <c r="B60" s="347"/>
      <c r="C60" s="347"/>
      <c r="D60" s="347"/>
      <c r="E60" s="298"/>
      <c r="F60" s="782"/>
    </row>
    <row r="61" spans="1:6" ht="33.75" customHeight="1">
      <c r="A61" s="284"/>
      <c r="B61" s="347"/>
      <c r="C61" s="347"/>
      <c r="D61" s="347"/>
      <c r="E61" s="298"/>
      <c r="F61" s="782"/>
    </row>
    <row r="62" spans="1:6" ht="33.75" customHeight="1">
      <c r="A62" s="316"/>
      <c r="B62" s="347"/>
      <c r="C62" s="347"/>
      <c r="D62" s="347"/>
      <c r="E62" s="298"/>
      <c r="F62" s="782"/>
    </row>
    <row r="63" spans="1:6" ht="33.75" customHeight="1">
      <c r="A63" s="316"/>
      <c r="B63" s="347"/>
      <c r="C63" s="347"/>
      <c r="D63" s="347"/>
      <c r="E63" s="298"/>
      <c r="F63" s="782"/>
    </row>
    <row r="64" spans="1:6" ht="33.75" customHeight="1">
      <c r="A64" s="316"/>
      <c r="B64" s="347"/>
      <c r="C64" s="347"/>
      <c r="D64" s="347"/>
      <c r="E64" s="298"/>
      <c r="F64" s="782"/>
    </row>
    <row r="65" spans="1:10" ht="33.75" customHeight="1">
      <c r="A65" s="316"/>
      <c r="B65" s="347"/>
      <c r="C65" s="347"/>
      <c r="D65" s="347"/>
      <c r="E65" s="298"/>
      <c r="F65" s="782"/>
    </row>
    <row r="66" spans="1:10" ht="18.75" customHeight="1">
      <c r="A66" s="270"/>
      <c r="B66" s="347"/>
      <c r="C66" s="347"/>
      <c r="D66" s="347"/>
      <c r="E66" s="298"/>
      <c r="F66" s="782"/>
      <c r="H66" s="535">
        <f>'SUMMARY A-Z'!F8</f>
        <v>1093.3249999999998</v>
      </c>
      <c r="I66" s="535" cm="1">
        <f t="array" ref="I66:J66">'Summary Hotel'!D191:E191</f>
        <v>3261.6049999999996</v>
      </c>
      <c r="J66" s="326">
        <v>0</v>
      </c>
    </row>
    <row r="67" spans="1:10" ht="33" customHeight="1">
      <c r="A67" s="320"/>
      <c r="B67" s="272"/>
      <c r="C67" s="272"/>
      <c r="D67" s="532" t="s">
        <v>701</v>
      </c>
      <c r="E67" s="325">
        <f>SUM(E1:E66)</f>
        <v>4354.93</v>
      </c>
      <c r="F67" s="696"/>
    </row>
    <row r="68" spans="1:10" ht="18" customHeight="1">
      <c r="E68" s="668">
        <f>SUM(H66:I66)</f>
        <v>4354.9299999999994</v>
      </c>
      <c r="F68" s="697">
        <f>E67-E68</f>
        <v>0</v>
      </c>
    </row>
  </sheetData>
  <autoFilter ref="A1:F67" xr:uid="{6B082382-8AE4-46B5-A249-9ED283975FCA}">
    <sortState xmlns:xlrd2="http://schemas.microsoft.com/office/spreadsheetml/2017/richdata2" ref="A2:F67">
      <sortCondition ref="A1:A67"/>
    </sortState>
  </autoFilter>
  <conditionalFormatting sqref="A66">
    <cfRule type="duplicateValues" dxfId="187" priority="530"/>
  </conditionalFormatting>
  <conditionalFormatting sqref="A67:A1048576">
    <cfRule type="duplicateValues" dxfId="186" priority="454"/>
  </conditionalFormatting>
  <pageMargins left="0.23622047244094491" right="0.23622047244094491" top="0.35433070866141736" bottom="0.35433070866141736" header="0.31496062992125984" footer="0.31496062992125984"/>
  <pageSetup scale="68" orientation="landscape" horizontalDpi="4294967292" verticalDpi="12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335B8-DD31-4B5B-A36B-8741A5542A7A}">
  <sheetPr codeName="Sheet8">
    <tabColor rgb="FF00B050"/>
    <pageSetUpPr fitToPage="1"/>
  </sheetPr>
  <dimension ref="A1:H8"/>
  <sheetViews>
    <sheetView tabSelected="1" view="pageBreakPreview" zoomScale="70" zoomScaleNormal="85" zoomScaleSheetLayoutView="70" workbookViewId="0">
      <selection activeCell="C5" sqref="C5"/>
    </sheetView>
  </sheetViews>
  <sheetFormatPr defaultColWidth="9" defaultRowHeight="39.75" customHeight="1"/>
  <cols>
    <col min="1" max="1" width="42.42578125" style="276" bestFit="1" customWidth="1"/>
    <col min="2" max="2" width="17.140625" style="276" customWidth="1"/>
    <col min="3" max="3" width="15.42578125" style="323" bestFit="1" customWidth="1"/>
    <col min="4" max="4" width="12.85546875" style="323" bestFit="1" customWidth="1"/>
    <col min="5" max="5" width="13.140625" style="324" bestFit="1" customWidth="1"/>
    <col min="6" max="6" width="15" style="324" bestFit="1" customWidth="1"/>
    <col min="7" max="7" width="62" style="542" customWidth="1"/>
    <col min="8" max="8" width="41.85546875" style="494" customWidth="1"/>
    <col min="9" max="16384" width="9" style="42"/>
  </cols>
  <sheetData>
    <row r="1" spans="1:8" ht="39.75" customHeight="1">
      <c r="A1" s="271" t="str">
        <f>MMJ!B1</f>
        <v>PAY PERIOD January 10 - 23, 2025</v>
      </c>
      <c r="B1" s="271" t="s">
        <v>787</v>
      </c>
      <c r="C1" s="271" t="s">
        <v>0</v>
      </c>
      <c r="D1" s="271" t="s">
        <v>1</v>
      </c>
      <c r="E1" s="271" t="s">
        <v>2</v>
      </c>
      <c r="F1" s="303" t="s">
        <v>19</v>
      </c>
      <c r="G1" s="303" t="s">
        <v>764</v>
      </c>
      <c r="H1" s="303" t="s">
        <v>790</v>
      </c>
    </row>
    <row r="2" spans="1:8" ht="39.75" customHeight="1">
      <c r="A2" s="819" t="s">
        <v>339</v>
      </c>
      <c r="B2" s="963" t="str">
        <f>VLOOKUP(A2,Table4[[Name]:[Mail or Pickup]],7,FALSE)</f>
        <v>**</v>
      </c>
      <c r="C2" s="272">
        <v>34</v>
      </c>
      <c r="D2" s="272" t="s">
        <v>22</v>
      </c>
      <c r="E2" s="272">
        <v>18</v>
      </c>
      <c r="F2" s="300">
        <v>612</v>
      </c>
      <c r="G2" s="820" t="s">
        <v>587</v>
      </c>
      <c r="H2" s="821" t="str">
        <f>VLOOKUP(A2,Subcontractors!B2:D1734,3,FALSE)</f>
        <v>dheerajkashyap615@gmail.com</v>
      </c>
    </row>
    <row r="3" spans="1:8" ht="39.75" customHeight="1">
      <c r="A3" s="819" t="s">
        <v>7183</v>
      </c>
      <c r="B3" s="963"/>
      <c r="C3" s="272">
        <v>14</v>
      </c>
      <c r="D3" s="272" t="s">
        <v>22</v>
      </c>
      <c r="E3" s="272">
        <v>16.649999999999999</v>
      </c>
      <c r="F3" s="300">
        <v>233.09999999999997</v>
      </c>
      <c r="G3" s="820" t="s">
        <v>405</v>
      </c>
      <c r="H3" s="821" t="s">
        <v>7446</v>
      </c>
    </row>
    <row r="4" spans="1:8" ht="39.75" customHeight="1">
      <c r="A4" s="819" t="s">
        <v>7185</v>
      </c>
      <c r="B4" s="963" t="str">
        <f>VLOOKUP(A4,Table4[[Name]:[Mail or Pickup]],7,FALSE)</f>
        <v>**</v>
      </c>
      <c r="C4" s="272">
        <v>7</v>
      </c>
      <c r="D4" s="272" t="s">
        <v>22</v>
      </c>
      <c r="E4" s="272">
        <v>20</v>
      </c>
      <c r="F4" s="300">
        <v>140</v>
      </c>
      <c r="G4" s="820" t="s">
        <v>494</v>
      </c>
      <c r="H4" s="821" t="str">
        <f>VLOOKUP(A4,Subcontractors!B4:D1736,3,FALSE)</f>
        <v>shirvaninli@gmail.com</v>
      </c>
    </row>
    <row r="5" spans="1:8" ht="39.75" customHeight="1">
      <c r="A5" s="819" t="s">
        <v>7457</v>
      </c>
      <c r="B5" s="963"/>
      <c r="C5" s="272">
        <v>6.5</v>
      </c>
      <c r="D5" s="272" t="s">
        <v>22</v>
      </c>
      <c r="E5" s="272">
        <v>16.649999999999999</v>
      </c>
      <c r="F5" s="300">
        <v>108.22499999999999</v>
      </c>
      <c r="G5" s="820" t="s">
        <v>405</v>
      </c>
      <c r="H5" s="821" t="s">
        <v>7304</v>
      </c>
    </row>
    <row r="6" spans="1:8" ht="39.75" customHeight="1">
      <c r="A6" s="536"/>
      <c r="B6" s="959"/>
      <c r="C6" s="537"/>
      <c r="D6" s="538"/>
      <c r="E6" s="539"/>
      <c r="F6" s="540"/>
      <c r="G6" s="97"/>
      <c r="H6" s="821" t="str">
        <f>_xlfn.IFNA(VLOOKUP(A6, Table4[[Name]:[Interac Email Final]], 3, FALSE), "")</f>
        <v/>
      </c>
    </row>
    <row r="7" spans="1:8" ht="39.75" customHeight="1">
      <c r="A7" s="993" t="s">
        <v>791</v>
      </c>
      <c r="B7" s="994"/>
      <c r="C7" s="994"/>
      <c r="D7" s="995"/>
      <c r="E7" s="996">
        <f>SUM(F2:F6)</f>
        <v>1093.3249999999998</v>
      </c>
      <c r="F7" s="997"/>
      <c r="G7" s="541"/>
      <c r="H7" s="821"/>
    </row>
    <row r="8" spans="1:8" ht="39.75" customHeight="1">
      <c r="F8" s="324">
        <f>E7</f>
        <v>1093.3249999999998</v>
      </c>
      <c r="H8" s="918"/>
    </row>
  </sheetData>
  <autoFilter ref="A1:H5" xr:uid="{97C335B8-DD31-4B5B-A36B-8741A5542A7A}"/>
  <mergeCells count="2">
    <mergeCell ref="A7:D7"/>
    <mergeCell ref="E7:F7"/>
  </mergeCells>
  <conditionalFormatting sqref="A6:B6 A1:B1 A2:A5 A8:B1048576 A7">
    <cfRule type="duplicateValues" dxfId="185" priority="667"/>
  </conditionalFormatting>
  <pageMargins left="0.7" right="0.7" top="0.75" bottom="0.75" header="0.3" footer="0.3"/>
  <pageSetup scale="55" fitToHeight="0" orientation="landscape" horizontalDpi="4294967292" verticalDpi="12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23D9-5B21-46FD-AB28-E7E4CB5AADFF}">
  <sheetPr>
    <tabColor theme="4"/>
  </sheetPr>
  <dimension ref="A1:F957"/>
  <sheetViews>
    <sheetView topLeftCell="A661" zoomScale="70" zoomScaleNormal="70" workbookViewId="0">
      <selection activeCell="A773" sqref="A773:XFD773"/>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6.28515625" style="313" bestFit="1" customWidth="1"/>
    <col min="7" max="16384" width="9" style="313"/>
  </cols>
  <sheetData>
    <row r="1" spans="1:6" ht="18" customHeight="1">
      <c r="A1" s="393" t="s">
        <v>702</v>
      </c>
      <c r="B1" s="393" t="s">
        <v>0</v>
      </c>
      <c r="C1" s="393" t="s">
        <v>1</v>
      </c>
      <c r="D1" s="393" t="s">
        <v>2</v>
      </c>
      <c r="E1" s="825" t="s">
        <v>19</v>
      </c>
      <c r="F1" s="825" t="s">
        <v>648</v>
      </c>
    </row>
    <row r="2" spans="1:6" ht="18" hidden="1" customHeight="1">
      <c r="A2" s="415" t="s">
        <v>20</v>
      </c>
      <c r="B2" s="415"/>
      <c r="C2" s="415"/>
      <c r="D2" s="415"/>
      <c r="E2" s="416"/>
      <c r="F2" s="398"/>
    </row>
    <row r="3" spans="1:6" ht="18" hidden="1" customHeight="1">
      <c r="A3" s="134" t="s">
        <v>21</v>
      </c>
      <c r="B3" s="135">
        <f>GTA!F201</f>
        <v>0</v>
      </c>
      <c r="C3" s="135" t="s">
        <v>22</v>
      </c>
      <c r="D3" s="135">
        <v>16.649999999999999</v>
      </c>
      <c r="E3" s="314">
        <f>B3*D3</f>
        <v>0</v>
      </c>
      <c r="F3" s="398"/>
    </row>
    <row r="4" spans="1:6" ht="18" hidden="1" customHeight="1">
      <c r="A4" s="436"/>
      <c r="B4" s="419"/>
      <c r="C4" s="419"/>
      <c r="D4" s="419"/>
      <c r="E4" s="420"/>
      <c r="F4" s="398"/>
    </row>
    <row r="5" spans="1:6" ht="18" hidden="1" customHeight="1">
      <c r="A5" s="415" t="s">
        <v>24</v>
      </c>
      <c r="B5" s="415">
        <f>SUM(B2:B4)</f>
        <v>0</v>
      </c>
      <c r="C5" s="415"/>
      <c r="D5" s="415"/>
      <c r="E5" s="415"/>
      <c r="F5" s="398"/>
    </row>
    <row r="6" spans="1:6" ht="18" hidden="1" customHeight="1">
      <c r="A6" s="134"/>
      <c r="B6" s="135"/>
      <c r="C6" s="135"/>
      <c r="D6" s="135"/>
      <c r="E6" s="314"/>
      <c r="F6" s="398"/>
    </row>
    <row r="7" spans="1:6" ht="18" hidden="1" customHeight="1">
      <c r="A7" s="415" t="s">
        <v>26</v>
      </c>
      <c r="B7" s="415"/>
      <c r="C7" s="415"/>
      <c r="D7" s="415"/>
      <c r="E7" s="416"/>
      <c r="F7" s="398"/>
    </row>
    <row r="8" spans="1:6" ht="18" hidden="1" customHeight="1">
      <c r="A8" s="136" t="s">
        <v>27</v>
      </c>
      <c r="B8" s="135">
        <f>OTTAWA!C72</f>
        <v>0</v>
      </c>
      <c r="C8" s="135" t="s">
        <v>22</v>
      </c>
      <c r="D8" s="135">
        <v>18</v>
      </c>
      <c r="E8" s="314">
        <f>B8*D8</f>
        <v>0</v>
      </c>
      <c r="F8" s="398"/>
    </row>
    <row r="9" spans="1:6" ht="18" hidden="1" customHeight="1">
      <c r="A9" s="436"/>
      <c r="B9" s="419"/>
      <c r="C9" s="419"/>
      <c r="D9" s="419"/>
      <c r="E9" s="420"/>
      <c r="F9" s="398"/>
    </row>
    <row r="10" spans="1:6" ht="18" hidden="1" customHeight="1">
      <c r="A10" s="415" t="s">
        <v>28</v>
      </c>
      <c r="B10" s="415">
        <f>SUM(B7:B9)</f>
        <v>0</v>
      </c>
      <c r="C10" s="415"/>
      <c r="D10" s="415"/>
      <c r="E10" s="415"/>
      <c r="F10" s="398"/>
    </row>
    <row r="11" spans="1:6" ht="18" hidden="1" customHeight="1">
      <c r="A11" s="134"/>
      <c r="B11" s="135"/>
      <c r="C11" s="135"/>
      <c r="D11" s="135"/>
      <c r="E11" s="314"/>
      <c r="F11" s="398"/>
    </row>
    <row r="12" spans="1:6" ht="18" hidden="1" customHeight="1">
      <c r="A12" s="415" t="s">
        <v>29</v>
      </c>
      <c r="B12" s="415"/>
      <c r="C12" s="415"/>
      <c r="D12" s="415"/>
      <c r="E12" s="416"/>
      <c r="F12" s="398"/>
    </row>
    <row r="13" spans="1:6" ht="18" hidden="1" customHeight="1">
      <c r="A13" s="134" t="s">
        <v>30</v>
      </c>
      <c r="B13" s="135">
        <f>'OUTSIDE GTA'!C197</f>
        <v>0</v>
      </c>
      <c r="C13" s="135" t="s">
        <v>22</v>
      </c>
      <c r="D13" s="135">
        <v>16.649999999999999</v>
      </c>
      <c r="E13" s="314">
        <f t="shared" ref="E13:E20" si="0">B13*D13</f>
        <v>0</v>
      </c>
      <c r="F13" s="398"/>
    </row>
    <row r="14" spans="1:6" ht="18" hidden="1" customHeight="1">
      <c r="A14" s="134" t="s">
        <v>31</v>
      </c>
      <c r="B14" s="135">
        <f>'OUTSIDE GTA'!J197</f>
        <v>0</v>
      </c>
      <c r="C14" s="135" t="s">
        <v>22</v>
      </c>
      <c r="D14" s="135">
        <v>16.649999999999999</v>
      </c>
      <c r="E14" s="314">
        <f>B14*D14</f>
        <v>0</v>
      </c>
      <c r="F14" s="398"/>
    </row>
    <row r="15" spans="1:6" ht="18" hidden="1" customHeight="1">
      <c r="A15" s="404" t="s">
        <v>32</v>
      </c>
      <c r="B15" s="135">
        <f>'OUTSIDE GTA'!G197</f>
        <v>0</v>
      </c>
      <c r="C15" s="135" t="s">
        <v>22</v>
      </c>
      <c r="D15" s="135">
        <v>16.649999999999999</v>
      </c>
      <c r="E15" s="314">
        <f t="shared" si="0"/>
        <v>0</v>
      </c>
      <c r="F15" s="398"/>
    </row>
    <row r="16" spans="1:6" ht="18" hidden="1" customHeight="1">
      <c r="A16" s="404" t="s">
        <v>33</v>
      </c>
      <c r="B16" s="135">
        <f>'OUTSIDE GTA'!E197</f>
        <v>0</v>
      </c>
      <c r="C16" s="135" t="s">
        <v>22</v>
      </c>
      <c r="D16" s="135">
        <v>16.649999999999999</v>
      </c>
      <c r="E16" s="314">
        <f t="shared" si="0"/>
        <v>0</v>
      </c>
      <c r="F16" s="398"/>
    </row>
    <row r="17" spans="1:6" ht="18" hidden="1" customHeight="1">
      <c r="A17" s="404" t="s">
        <v>34</v>
      </c>
      <c r="B17" s="135">
        <f>'OUTSIDE GTA'!D197</f>
        <v>0</v>
      </c>
      <c r="C17" s="135" t="s">
        <v>22</v>
      </c>
      <c r="D17" s="135">
        <v>16.649999999999999</v>
      </c>
      <c r="E17" s="314">
        <f t="shared" si="0"/>
        <v>0</v>
      </c>
      <c r="F17" s="398"/>
    </row>
    <row r="18" spans="1:6" ht="18" hidden="1" customHeight="1">
      <c r="A18" s="404" t="s">
        <v>35</v>
      </c>
      <c r="B18" s="135">
        <f>'OUTSIDE GTA'!H197</f>
        <v>0</v>
      </c>
      <c r="C18" s="135" t="s">
        <v>22</v>
      </c>
      <c r="D18" s="135">
        <v>16.649999999999999</v>
      </c>
      <c r="E18" s="314">
        <f t="shared" si="0"/>
        <v>0</v>
      </c>
      <c r="F18" s="398"/>
    </row>
    <row r="19" spans="1:6" ht="18" hidden="1" customHeight="1">
      <c r="A19" s="404" t="s">
        <v>36</v>
      </c>
      <c r="B19" s="135">
        <f>'OUTSIDE GTA'!F197</f>
        <v>0</v>
      </c>
      <c r="C19" s="135" t="s">
        <v>22</v>
      </c>
      <c r="D19" s="135">
        <v>16.649999999999999</v>
      </c>
      <c r="E19" s="314">
        <f t="shared" si="0"/>
        <v>0</v>
      </c>
      <c r="F19" s="398"/>
    </row>
    <row r="20" spans="1:6" ht="18" hidden="1" customHeight="1">
      <c r="A20" s="404" t="s">
        <v>37</v>
      </c>
      <c r="B20" s="135">
        <f>'OUTSIDE GTA'!I197</f>
        <v>0</v>
      </c>
      <c r="C20" s="135" t="s">
        <v>22</v>
      </c>
      <c r="D20" s="135">
        <v>16.649999999999999</v>
      </c>
      <c r="E20" s="314">
        <f t="shared" si="0"/>
        <v>0</v>
      </c>
      <c r="F20" s="398"/>
    </row>
    <row r="21" spans="1:6" ht="18" hidden="1" customHeight="1">
      <c r="A21" s="436"/>
      <c r="B21" s="419"/>
      <c r="C21" s="419"/>
      <c r="D21" s="419"/>
      <c r="E21" s="420"/>
      <c r="F21" s="398"/>
    </row>
    <row r="22" spans="1:6" ht="18" hidden="1" customHeight="1">
      <c r="A22" s="415" t="s">
        <v>29</v>
      </c>
      <c r="B22" s="415">
        <f>SUM(B12:B21)</f>
        <v>0</v>
      </c>
      <c r="C22" s="415"/>
      <c r="D22" s="415"/>
      <c r="E22" s="415"/>
      <c r="F22" s="398"/>
    </row>
    <row r="23" spans="1:6" ht="18" hidden="1" customHeight="1">
      <c r="A23" s="134"/>
      <c r="B23" s="135"/>
      <c r="C23" s="135"/>
      <c r="D23" s="135"/>
      <c r="E23" s="314"/>
      <c r="F23" s="398"/>
    </row>
    <row r="24" spans="1:6" ht="18" hidden="1" customHeight="1">
      <c r="A24" s="415" t="s">
        <v>38</v>
      </c>
      <c r="B24" s="415"/>
      <c r="C24" s="415"/>
      <c r="D24" s="415"/>
      <c r="E24" s="416"/>
      <c r="F24" s="398"/>
    </row>
    <row r="25" spans="1:6" ht="18" hidden="1" customHeight="1">
      <c r="A25" s="134" t="s">
        <v>40</v>
      </c>
      <c r="B25" s="135">
        <f>'OUTSIDE GTA'!Q17</f>
        <v>0</v>
      </c>
      <c r="C25" s="135" t="s">
        <v>22</v>
      </c>
      <c r="D25" s="135">
        <v>17</v>
      </c>
      <c r="E25" s="314">
        <f>B25*D25</f>
        <v>0</v>
      </c>
      <c r="F25" s="398" t="s">
        <v>38</v>
      </c>
    </row>
    <row r="26" spans="1:6" ht="18" hidden="1" customHeight="1">
      <c r="A26" s="404" t="s">
        <v>41</v>
      </c>
      <c r="B26" s="135">
        <f>'OUTSIDE GTA'!P17</f>
        <v>0</v>
      </c>
      <c r="C26" s="135" t="s">
        <v>22</v>
      </c>
      <c r="D26" s="135">
        <v>16.649999999999999</v>
      </c>
      <c r="E26" s="314">
        <f>B26*D26</f>
        <v>0</v>
      </c>
      <c r="F26" s="398" t="s">
        <v>38</v>
      </c>
    </row>
    <row r="27" spans="1:6" ht="18" hidden="1" customHeight="1">
      <c r="A27" s="436"/>
      <c r="B27" s="419"/>
      <c r="C27" s="419"/>
      <c r="D27" s="419"/>
      <c r="E27" s="420"/>
      <c r="F27" s="398"/>
    </row>
    <row r="28" spans="1:6" ht="18" hidden="1" customHeight="1">
      <c r="A28" s="415" t="s">
        <v>44</v>
      </c>
      <c r="B28" s="415">
        <f>SUM(B24:B27)</f>
        <v>0</v>
      </c>
      <c r="C28" s="415"/>
      <c r="D28" s="415"/>
      <c r="E28" s="415"/>
      <c r="F28" s="398"/>
    </row>
    <row r="29" spans="1:6" ht="18" hidden="1" customHeight="1">
      <c r="A29" s="134"/>
      <c r="B29" s="135"/>
      <c r="C29" s="135"/>
      <c r="D29" s="135"/>
      <c r="E29" s="314"/>
      <c r="F29" s="398"/>
    </row>
    <row r="30" spans="1:6" ht="18" hidden="1" customHeight="1">
      <c r="A30" s="415" t="s">
        <v>45</v>
      </c>
      <c r="B30" s="415"/>
      <c r="C30" s="415"/>
      <c r="D30" s="415"/>
      <c r="E30" s="415"/>
      <c r="F30" s="398"/>
    </row>
    <row r="31" spans="1:6" ht="18" hidden="1" customHeight="1">
      <c r="A31" s="134" t="s">
        <v>46</v>
      </c>
      <c r="B31" s="135">
        <f>'OUTSIDE GTA'!C270</f>
        <v>0</v>
      </c>
      <c r="C31" s="135" t="s">
        <v>22</v>
      </c>
      <c r="D31" s="135">
        <v>18</v>
      </c>
      <c r="E31" s="314">
        <f>B31*D31</f>
        <v>0</v>
      </c>
      <c r="F31" s="398"/>
    </row>
    <row r="32" spans="1:6" ht="18" hidden="1" customHeight="1">
      <c r="A32" s="404" t="s">
        <v>47</v>
      </c>
      <c r="B32" s="135">
        <f>'OUTSIDE GTA'!D270</f>
        <v>0</v>
      </c>
      <c r="C32" s="135" t="s">
        <v>22</v>
      </c>
      <c r="D32" s="135">
        <v>18</v>
      </c>
      <c r="E32" s="314">
        <f>B32*D32</f>
        <v>0</v>
      </c>
      <c r="F32" s="398"/>
    </row>
    <row r="33" spans="1:6" ht="18" hidden="1" customHeight="1">
      <c r="A33" s="404" t="s">
        <v>48</v>
      </c>
      <c r="B33" s="135">
        <f>'OUTSIDE GTA'!E270</f>
        <v>0</v>
      </c>
      <c r="C33" s="135" t="s">
        <v>22</v>
      </c>
      <c r="D33" s="135">
        <v>18</v>
      </c>
      <c r="E33" s="314">
        <f>B33*D33</f>
        <v>0</v>
      </c>
      <c r="F33" s="398"/>
    </row>
    <row r="34" spans="1:6" ht="18" hidden="1" customHeight="1">
      <c r="A34" s="404" t="s">
        <v>49</v>
      </c>
      <c r="B34" s="135">
        <f>'OUTSIDE GTA'!F270</f>
        <v>0</v>
      </c>
      <c r="C34" s="135" t="s">
        <v>22</v>
      </c>
      <c r="D34" s="135">
        <v>18</v>
      </c>
      <c r="E34" s="314">
        <f>B34*D34</f>
        <v>0</v>
      </c>
      <c r="F34" s="398"/>
    </row>
    <row r="35" spans="1:6" ht="18" hidden="1" customHeight="1">
      <c r="A35" s="404" t="s">
        <v>50</v>
      </c>
      <c r="B35" s="135">
        <f>'OUTSIDE GTA'!G270</f>
        <v>0</v>
      </c>
      <c r="C35" s="135" t="s">
        <v>22</v>
      </c>
      <c r="D35" s="135">
        <v>18</v>
      </c>
      <c r="E35" s="314">
        <f>B35*D35</f>
        <v>0</v>
      </c>
      <c r="F35" s="398"/>
    </row>
    <row r="36" spans="1:6" ht="18" hidden="1" customHeight="1">
      <c r="A36" s="436"/>
      <c r="B36" s="419"/>
      <c r="C36" s="419"/>
      <c r="D36" s="419"/>
      <c r="E36" s="420"/>
      <c r="F36" s="398"/>
    </row>
    <row r="37" spans="1:6" ht="18" hidden="1" customHeight="1">
      <c r="A37" s="415" t="s">
        <v>51</v>
      </c>
      <c r="B37" s="415">
        <f>SUM(B30:B36)</f>
        <v>0</v>
      </c>
      <c r="C37" s="415"/>
      <c r="D37" s="415"/>
      <c r="E37" s="415"/>
      <c r="F37" s="398"/>
    </row>
    <row r="38" spans="1:6" ht="18" hidden="1" customHeight="1">
      <c r="A38" s="134"/>
      <c r="B38" s="135"/>
      <c r="C38" s="135"/>
      <c r="D38" s="135"/>
      <c r="E38" s="314"/>
      <c r="F38" s="398"/>
    </row>
    <row r="39" spans="1:6" ht="18" hidden="1" customHeight="1">
      <c r="A39" s="415" t="s">
        <v>52</v>
      </c>
      <c r="B39" s="415"/>
      <c r="C39" s="415"/>
      <c r="D39" s="415"/>
      <c r="E39" s="416"/>
      <c r="F39" s="398"/>
    </row>
    <row r="40" spans="1:6" ht="18" hidden="1" customHeight="1">
      <c r="A40" s="134" t="s">
        <v>53</v>
      </c>
      <c r="B40" s="135">
        <f>'OUTSIDE GTA'!C288</f>
        <v>0</v>
      </c>
      <c r="C40" s="135" t="s">
        <v>22</v>
      </c>
      <c r="D40" s="135">
        <v>16.649999999999999</v>
      </c>
      <c r="E40" s="314">
        <f>B40*D40</f>
        <v>0</v>
      </c>
      <c r="F40" s="398"/>
    </row>
    <row r="41" spans="1:6" ht="18" hidden="1" customHeight="1">
      <c r="A41" s="404" t="s">
        <v>54</v>
      </c>
      <c r="B41" s="135">
        <f>'OUTSIDE GTA'!D288</f>
        <v>0</v>
      </c>
      <c r="C41" s="135" t="s">
        <v>22</v>
      </c>
      <c r="D41" s="135">
        <v>16.649999999999999</v>
      </c>
      <c r="E41" s="314">
        <f>B41*D41</f>
        <v>0</v>
      </c>
      <c r="F41" s="398"/>
    </row>
    <row r="42" spans="1:6" ht="18" hidden="1" customHeight="1">
      <c r="A42" s="436"/>
      <c r="B42" s="419"/>
      <c r="C42" s="419"/>
      <c r="D42" s="419"/>
      <c r="E42" s="420"/>
      <c r="F42" s="398"/>
    </row>
    <row r="43" spans="1:6" ht="18" hidden="1" customHeight="1">
      <c r="A43" s="415" t="s">
        <v>52</v>
      </c>
      <c r="B43" s="415">
        <f>SUM(B39:B42)</f>
        <v>0</v>
      </c>
      <c r="C43" s="415"/>
      <c r="D43" s="415"/>
      <c r="E43" s="415"/>
      <c r="F43" s="398"/>
    </row>
    <row r="44" spans="1:6" ht="18" hidden="1" customHeight="1">
      <c r="A44" s="134"/>
      <c r="B44" s="135"/>
      <c r="C44" s="135"/>
      <c r="D44" s="135"/>
      <c r="E44" s="314"/>
      <c r="F44" s="398"/>
    </row>
    <row r="45" spans="1:6" ht="18" hidden="1" customHeight="1">
      <c r="A45" s="415" t="s">
        <v>55</v>
      </c>
      <c r="B45" s="415"/>
      <c r="C45" s="415"/>
      <c r="D45" s="415"/>
      <c r="E45" s="416"/>
      <c r="F45" s="398"/>
    </row>
    <row r="46" spans="1:6" ht="18" hidden="1" customHeight="1">
      <c r="A46" s="777" t="s">
        <v>41</v>
      </c>
      <c r="B46" s="135">
        <f>'OUTSIDE GTA'!C35</f>
        <v>0</v>
      </c>
      <c r="C46" s="135" t="s">
        <v>22</v>
      </c>
      <c r="D46" s="135">
        <v>16.649999999999999</v>
      </c>
      <c r="E46" s="482">
        <f t="shared" ref="E46:E53" si="1">B46*D46</f>
        <v>0</v>
      </c>
      <c r="F46" s="398" t="s">
        <v>55</v>
      </c>
    </row>
    <row r="47" spans="1:6" ht="18" hidden="1" customHeight="1">
      <c r="A47" s="777" t="s">
        <v>57</v>
      </c>
      <c r="B47" s="135">
        <f>'OUTSIDE GTA'!D35</f>
        <v>0</v>
      </c>
      <c r="C47" s="135" t="s">
        <v>22</v>
      </c>
      <c r="D47" s="135">
        <v>16.649999999999999</v>
      </c>
      <c r="E47" s="314">
        <f t="shared" si="1"/>
        <v>0</v>
      </c>
      <c r="F47" s="398" t="s">
        <v>55</v>
      </c>
    </row>
    <row r="48" spans="1:6" ht="18" hidden="1" customHeight="1">
      <c r="A48" s="275" t="s">
        <v>58</v>
      </c>
      <c r="B48" s="135">
        <f>'OUTSIDE GTA'!E35</f>
        <v>0</v>
      </c>
      <c r="C48" s="135" t="s">
        <v>22</v>
      </c>
      <c r="D48" s="135">
        <v>16.649999999999999</v>
      </c>
      <c r="E48" s="314">
        <f t="shared" si="1"/>
        <v>0</v>
      </c>
      <c r="F48" s="398" t="s">
        <v>55</v>
      </c>
    </row>
    <row r="49" spans="1:6" ht="18" hidden="1" customHeight="1">
      <c r="A49" s="777" t="s">
        <v>59</v>
      </c>
      <c r="B49" s="135">
        <f>'OUTSIDE GTA'!F35</f>
        <v>0</v>
      </c>
      <c r="C49" s="135" t="s">
        <v>22</v>
      </c>
      <c r="D49" s="135">
        <v>16.649999999999999</v>
      </c>
      <c r="E49" s="314">
        <f t="shared" si="1"/>
        <v>0</v>
      </c>
      <c r="F49" s="398" t="s">
        <v>55</v>
      </c>
    </row>
    <row r="50" spans="1:6" ht="18" hidden="1" customHeight="1">
      <c r="A50" s="777" t="s">
        <v>60</v>
      </c>
      <c r="B50" s="135">
        <f>'OUTSIDE GTA'!H35</f>
        <v>0</v>
      </c>
      <c r="C50" s="135" t="s">
        <v>22</v>
      </c>
      <c r="D50" s="135">
        <v>16.649999999999999</v>
      </c>
      <c r="E50" s="314">
        <f t="shared" si="1"/>
        <v>0</v>
      </c>
      <c r="F50" s="398" t="s">
        <v>55</v>
      </c>
    </row>
    <row r="51" spans="1:6" ht="18" hidden="1" customHeight="1">
      <c r="A51" s="777" t="s">
        <v>61</v>
      </c>
      <c r="B51" s="135">
        <f>'OUTSIDE GTA'!I35</f>
        <v>0</v>
      </c>
      <c r="C51" s="135" t="s">
        <v>22</v>
      </c>
      <c r="D51" s="135">
        <v>16.649999999999999</v>
      </c>
      <c r="E51" s="314">
        <f t="shared" si="1"/>
        <v>0</v>
      </c>
      <c r="F51" s="398" t="s">
        <v>55</v>
      </c>
    </row>
    <row r="52" spans="1:6" ht="18" hidden="1" customHeight="1">
      <c r="A52" s="777" t="s">
        <v>62</v>
      </c>
      <c r="B52" s="135">
        <f>'OUTSIDE GTA'!J35</f>
        <v>0</v>
      </c>
      <c r="C52" s="135" t="s">
        <v>22</v>
      </c>
      <c r="D52" s="135">
        <v>16.649999999999999</v>
      </c>
      <c r="E52" s="314">
        <f t="shared" si="1"/>
        <v>0</v>
      </c>
      <c r="F52" s="398" t="s">
        <v>55</v>
      </c>
    </row>
    <row r="53" spans="1:6" ht="18" hidden="1" customHeight="1">
      <c r="A53" s="777" t="s">
        <v>63</v>
      </c>
      <c r="B53" s="135">
        <f>'OUTSIDE GTA'!K35</f>
        <v>0</v>
      </c>
      <c r="C53" s="135" t="s">
        <v>22</v>
      </c>
      <c r="D53" s="135">
        <v>16.649999999999999</v>
      </c>
      <c r="E53" s="314">
        <f t="shared" si="1"/>
        <v>0</v>
      </c>
      <c r="F53" s="398" t="s">
        <v>55</v>
      </c>
    </row>
    <row r="54" spans="1:6" ht="18" hidden="1" customHeight="1">
      <c r="A54" s="436"/>
      <c r="B54" s="419"/>
      <c r="C54" s="419"/>
      <c r="D54" s="419"/>
      <c r="E54" s="420"/>
      <c r="F54" s="398"/>
    </row>
    <row r="55" spans="1:6" ht="18" hidden="1" customHeight="1">
      <c r="A55" s="415" t="s">
        <v>64</v>
      </c>
      <c r="B55" s="415">
        <f>SUM(B45:B54)</f>
        <v>0</v>
      </c>
      <c r="C55" s="415"/>
      <c r="D55" s="415"/>
      <c r="E55" s="415"/>
      <c r="F55" s="398"/>
    </row>
    <row r="56" spans="1:6" ht="18" hidden="1" customHeight="1">
      <c r="A56" s="134"/>
      <c r="B56" s="135"/>
      <c r="C56" s="135"/>
      <c r="D56" s="135"/>
      <c r="E56" s="314"/>
      <c r="F56" s="398"/>
    </row>
    <row r="57" spans="1:6" ht="18" hidden="1" customHeight="1">
      <c r="A57" s="415" t="s">
        <v>66</v>
      </c>
      <c r="B57" s="415"/>
      <c r="C57" s="415"/>
      <c r="D57" s="415"/>
      <c r="E57" s="416"/>
      <c r="F57" s="398"/>
    </row>
    <row r="58" spans="1:6" ht="18" hidden="1" customHeight="1">
      <c r="A58" s="134" t="s">
        <v>67</v>
      </c>
      <c r="B58" s="135">
        <f>'OUTSIDE GTA'!D125</f>
        <v>0</v>
      </c>
      <c r="C58" s="135" t="s">
        <v>22</v>
      </c>
      <c r="D58" s="135">
        <v>17</v>
      </c>
      <c r="E58" s="314">
        <f>B58*D58</f>
        <v>0</v>
      </c>
      <c r="F58" s="398" t="s">
        <v>66</v>
      </c>
    </row>
    <row r="59" spans="1:6" ht="18" hidden="1" customHeight="1">
      <c r="A59" s="134" t="s">
        <v>68</v>
      </c>
      <c r="B59" s="135">
        <f>'OUTSIDE GTA'!C125</f>
        <v>0</v>
      </c>
      <c r="C59" s="135" t="s">
        <v>22</v>
      </c>
      <c r="D59" s="135">
        <v>15.5</v>
      </c>
      <c r="E59" s="314">
        <f>B59*D59</f>
        <v>0</v>
      </c>
      <c r="F59" s="398" t="s">
        <v>66</v>
      </c>
    </row>
    <row r="60" spans="1:6" ht="18" hidden="1" customHeight="1">
      <c r="A60" s="134" t="s">
        <v>69</v>
      </c>
      <c r="B60" s="135">
        <f>'OUTSIDE GTA'!E125</f>
        <v>0</v>
      </c>
      <c r="C60" s="135" t="s">
        <v>22</v>
      </c>
      <c r="D60" s="135">
        <v>15.5</v>
      </c>
      <c r="E60" s="314">
        <f>B60*D60</f>
        <v>0</v>
      </c>
      <c r="F60" s="398" t="s">
        <v>66</v>
      </c>
    </row>
    <row r="61" spans="1:6" ht="18" hidden="1" customHeight="1">
      <c r="A61" s="134" t="s">
        <v>71</v>
      </c>
      <c r="B61" s="135">
        <f>'OUTSIDE GTA'!G125</f>
        <v>0</v>
      </c>
      <c r="C61" s="135" t="s">
        <v>22</v>
      </c>
      <c r="D61" s="135">
        <v>15.5</v>
      </c>
      <c r="E61" s="314">
        <f>B61*D61</f>
        <v>0</v>
      </c>
      <c r="F61" s="398" t="s">
        <v>66</v>
      </c>
    </row>
    <row r="62" spans="1:6" ht="18" hidden="1" customHeight="1">
      <c r="A62" s="436"/>
      <c r="B62" s="419"/>
      <c r="C62" s="419"/>
      <c r="D62" s="419"/>
      <c r="E62" s="420"/>
      <c r="F62" s="398"/>
    </row>
    <row r="63" spans="1:6" ht="18" hidden="1" customHeight="1">
      <c r="A63" s="415" t="s">
        <v>66</v>
      </c>
      <c r="B63" s="415">
        <f>SUM(B58:B62)</f>
        <v>0</v>
      </c>
      <c r="C63" s="415"/>
      <c r="D63" s="415"/>
      <c r="E63" s="415"/>
      <c r="F63" s="398"/>
    </row>
    <row r="64" spans="1:6" ht="18" hidden="1" customHeight="1">
      <c r="A64" s="134"/>
      <c r="B64" s="135"/>
      <c r="C64" s="135"/>
      <c r="D64" s="135"/>
      <c r="E64" s="314"/>
      <c r="F64" s="398"/>
    </row>
    <row r="65" spans="1:6" ht="18" hidden="1" customHeight="1">
      <c r="A65" s="415" t="s">
        <v>72</v>
      </c>
      <c r="B65" s="415"/>
      <c r="C65" s="415"/>
      <c r="D65" s="415"/>
      <c r="E65" s="416"/>
      <c r="F65" s="398"/>
    </row>
    <row r="66" spans="1:6" ht="18" hidden="1" customHeight="1">
      <c r="A66" s="814" t="s">
        <v>703</v>
      </c>
      <c r="B66" s="481">
        <f>'OUTSIDE GTA'!C71</f>
        <v>0</v>
      </c>
      <c r="C66" s="481" t="s">
        <v>22</v>
      </c>
      <c r="D66" s="481">
        <v>20</v>
      </c>
      <c r="E66" s="482">
        <f t="shared" ref="E66:E74" si="2">B66*D66</f>
        <v>0</v>
      </c>
      <c r="F66" s="398" t="s">
        <v>72</v>
      </c>
    </row>
    <row r="67" spans="1:6" ht="18" hidden="1" customHeight="1">
      <c r="A67" s="814" t="s">
        <v>80</v>
      </c>
      <c r="B67" s="481">
        <f>'OUTSIDE GTA'!P71</f>
        <v>0</v>
      </c>
      <c r="C67" s="481" t="s">
        <v>22</v>
      </c>
      <c r="D67" s="481">
        <v>16.649999999999999</v>
      </c>
      <c r="E67" s="482">
        <f t="shared" si="2"/>
        <v>0</v>
      </c>
      <c r="F67" s="398" t="s">
        <v>72</v>
      </c>
    </row>
    <row r="68" spans="1:6" ht="18" hidden="1" customHeight="1">
      <c r="A68" s="814" t="s">
        <v>78</v>
      </c>
      <c r="B68" s="481">
        <f>'OUTSIDE GTA'!Q71</f>
        <v>0</v>
      </c>
      <c r="C68" s="481" t="s">
        <v>22</v>
      </c>
      <c r="D68" s="481">
        <v>16.649999999999999</v>
      </c>
      <c r="E68" s="482">
        <f t="shared" si="2"/>
        <v>0</v>
      </c>
      <c r="F68" s="398" t="s">
        <v>72</v>
      </c>
    </row>
    <row r="69" spans="1:6" ht="18" hidden="1" customHeight="1">
      <c r="A69" s="814" t="s">
        <v>710</v>
      </c>
      <c r="B69" s="481">
        <f>'OUTSIDE GTA'!T71</f>
        <v>0</v>
      </c>
      <c r="C69" s="481" t="s">
        <v>22</v>
      </c>
      <c r="D69" s="481">
        <v>16.649999999999999</v>
      </c>
      <c r="E69" s="482">
        <f t="shared" si="2"/>
        <v>0</v>
      </c>
      <c r="F69" s="398" t="s">
        <v>72</v>
      </c>
    </row>
    <row r="70" spans="1:6" ht="18" hidden="1" customHeight="1">
      <c r="A70" s="814" t="s">
        <v>711</v>
      </c>
      <c r="B70" s="481">
        <f>'OUTSIDE GTA'!U71</f>
        <v>0</v>
      </c>
      <c r="C70" s="481" t="s">
        <v>22</v>
      </c>
      <c r="D70" s="481">
        <v>16.649999999999999</v>
      </c>
      <c r="E70" s="482">
        <f t="shared" si="2"/>
        <v>0</v>
      </c>
      <c r="F70" s="398" t="s">
        <v>72</v>
      </c>
    </row>
    <row r="71" spans="1:6" ht="18" hidden="1" customHeight="1">
      <c r="A71" s="814" t="s">
        <v>713</v>
      </c>
      <c r="B71" s="481">
        <f>'OUTSIDE GTA'!L71</f>
        <v>0</v>
      </c>
      <c r="C71" s="481" t="s">
        <v>22</v>
      </c>
      <c r="D71" s="481">
        <v>16.649999999999999</v>
      </c>
      <c r="E71" s="482">
        <f t="shared" si="2"/>
        <v>0</v>
      </c>
      <c r="F71" s="398" t="s">
        <v>72</v>
      </c>
    </row>
    <row r="72" spans="1:6" ht="18" hidden="1" customHeight="1">
      <c r="A72" s="814" t="s">
        <v>714</v>
      </c>
      <c r="B72" s="481">
        <f>'OUTSIDE GTA'!O71</f>
        <v>0</v>
      </c>
      <c r="C72" s="481" t="s">
        <v>22</v>
      </c>
      <c r="D72" s="481">
        <v>20</v>
      </c>
      <c r="E72" s="482">
        <f t="shared" si="2"/>
        <v>0</v>
      </c>
      <c r="F72" s="398" t="s">
        <v>72</v>
      </c>
    </row>
    <row r="73" spans="1:6" ht="18" hidden="1" customHeight="1">
      <c r="A73" s="814" t="s">
        <v>715</v>
      </c>
      <c r="B73" s="481">
        <f>'OUTSIDE GTA'!R71</f>
        <v>0</v>
      </c>
      <c r="C73" s="481" t="s">
        <v>22</v>
      </c>
      <c r="D73" s="481">
        <v>20</v>
      </c>
      <c r="E73" s="482">
        <f t="shared" si="2"/>
        <v>0</v>
      </c>
      <c r="F73" s="398" t="s">
        <v>72</v>
      </c>
    </row>
    <row r="74" spans="1:6" ht="18" hidden="1" customHeight="1">
      <c r="A74" s="814" t="s">
        <v>716</v>
      </c>
      <c r="B74" s="481">
        <f>'OUTSIDE GTA'!S71</f>
        <v>0</v>
      </c>
      <c r="C74" s="481" t="s">
        <v>22</v>
      </c>
      <c r="D74" s="481">
        <v>20</v>
      </c>
      <c r="E74" s="482">
        <f t="shared" si="2"/>
        <v>0</v>
      </c>
      <c r="F74" s="398" t="s">
        <v>72</v>
      </c>
    </row>
    <row r="75" spans="1:6" ht="18" hidden="1" customHeight="1">
      <c r="A75" s="436"/>
      <c r="B75" s="419"/>
      <c r="C75" s="419"/>
      <c r="D75" s="419"/>
      <c r="E75" s="420"/>
      <c r="F75" s="398"/>
    </row>
    <row r="76" spans="1:6" ht="18" hidden="1" customHeight="1">
      <c r="A76" s="415" t="s">
        <v>72</v>
      </c>
      <c r="B76" s="415">
        <f>SUM(B66:B75)</f>
        <v>0</v>
      </c>
      <c r="C76" s="415"/>
      <c r="D76" s="415"/>
      <c r="E76" s="415"/>
      <c r="F76" s="398"/>
    </row>
    <row r="77" spans="1:6" ht="18" hidden="1" customHeight="1">
      <c r="A77" s="134"/>
      <c r="B77" s="135"/>
      <c r="C77" s="135"/>
      <c r="D77" s="135"/>
      <c r="E77" s="314"/>
      <c r="F77" s="398"/>
    </row>
    <row r="78" spans="1:6" ht="18" hidden="1" customHeight="1">
      <c r="A78" s="415" t="s">
        <v>92</v>
      </c>
      <c r="B78" s="415"/>
      <c r="C78" s="415"/>
      <c r="D78" s="415"/>
      <c r="E78" s="416"/>
      <c r="F78" s="398"/>
    </row>
    <row r="79" spans="1:6" ht="18" hidden="1" customHeight="1">
      <c r="A79" s="814" t="s">
        <v>94</v>
      </c>
      <c r="B79" s="481">
        <f>'OUTSIDE GTA'!D143</f>
        <v>0</v>
      </c>
      <c r="C79" s="481" t="s">
        <v>22</v>
      </c>
      <c r="D79" s="481">
        <v>16.649999999999999</v>
      </c>
      <c r="E79" s="482">
        <f>B79*D79</f>
        <v>0</v>
      </c>
      <c r="F79" s="398" t="s">
        <v>92</v>
      </c>
    </row>
    <row r="80" spans="1:6" ht="18" hidden="1" customHeight="1">
      <c r="A80" s="436"/>
      <c r="B80" s="419"/>
      <c r="C80" s="419"/>
      <c r="D80" s="419"/>
      <c r="E80" s="420"/>
      <c r="F80" s="398"/>
    </row>
    <row r="81" spans="1:6" ht="18" hidden="1" customHeight="1">
      <c r="A81" s="415" t="s">
        <v>92</v>
      </c>
      <c r="B81" s="415">
        <f>SUM(B79:B80)</f>
        <v>0</v>
      </c>
      <c r="C81" s="415"/>
      <c r="D81" s="415"/>
      <c r="E81" s="415"/>
      <c r="F81" s="398"/>
    </row>
    <row r="82" spans="1:6" ht="18" hidden="1" customHeight="1">
      <c r="A82" s="134"/>
      <c r="B82" s="135"/>
      <c r="C82" s="135"/>
      <c r="D82" s="135"/>
      <c r="E82" s="314"/>
      <c r="F82" s="398"/>
    </row>
    <row r="83" spans="1:6" ht="18" hidden="1" customHeight="1">
      <c r="A83" s="415" t="s">
        <v>95</v>
      </c>
      <c r="B83" s="415"/>
      <c r="C83" s="415"/>
      <c r="D83" s="415"/>
      <c r="E83" s="416"/>
      <c r="F83" s="398"/>
    </row>
    <row r="84" spans="1:6" ht="18" hidden="1" customHeight="1">
      <c r="A84" s="777" t="s">
        <v>96</v>
      </c>
      <c r="B84" s="135">
        <f>'OUTSIDE GTA'!C53</f>
        <v>0</v>
      </c>
      <c r="C84" s="135" t="s">
        <v>22</v>
      </c>
      <c r="D84" s="135">
        <v>16.649999999999999</v>
      </c>
      <c r="E84" s="314">
        <f t="shared" ref="E84:E105" si="3">B84*D84</f>
        <v>0</v>
      </c>
      <c r="F84" s="398" t="s">
        <v>95</v>
      </c>
    </row>
    <row r="85" spans="1:6" ht="18" hidden="1" customHeight="1">
      <c r="A85" s="777" t="s">
        <v>62</v>
      </c>
      <c r="B85" s="135">
        <f>'OUTSIDE GTA'!I53</f>
        <v>0</v>
      </c>
      <c r="C85" s="135" t="s">
        <v>22</v>
      </c>
      <c r="D85" s="135">
        <v>16.649999999999999</v>
      </c>
      <c r="E85" s="314">
        <f t="shared" si="3"/>
        <v>0</v>
      </c>
      <c r="F85" s="398" t="s">
        <v>95</v>
      </c>
    </row>
    <row r="86" spans="1:6" ht="18" hidden="1" customHeight="1">
      <c r="A86" s="777" t="s">
        <v>98</v>
      </c>
      <c r="B86" s="135">
        <f>'OUTSIDE GTA'!E53</f>
        <v>0</v>
      </c>
      <c r="C86" s="135" t="s">
        <v>22</v>
      </c>
      <c r="D86" s="135">
        <v>16.649999999999999</v>
      </c>
      <c r="E86" s="314">
        <f t="shared" si="3"/>
        <v>0</v>
      </c>
      <c r="F86" s="398" t="s">
        <v>95</v>
      </c>
    </row>
    <row r="87" spans="1:6" ht="18" hidden="1" customHeight="1">
      <c r="A87" s="275" t="s">
        <v>99</v>
      </c>
      <c r="B87" s="135">
        <f>'OUTSIDE GTA'!G53</f>
        <v>0</v>
      </c>
      <c r="C87" s="135" t="s">
        <v>22</v>
      </c>
      <c r="D87" s="135">
        <v>16.649999999999999</v>
      </c>
      <c r="E87" s="314">
        <f t="shared" si="3"/>
        <v>0</v>
      </c>
      <c r="F87" s="398" t="s">
        <v>95</v>
      </c>
    </row>
    <row r="88" spans="1:6" ht="18" hidden="1" customHeight="1">
      <c r="A88" s="777" t="s">
        <v>100</v>
      </c>
      <c r="B88" s="135">
        <f>'OUTSIDE GTA'!H53</f>
        <v>0</v>
      </c>
      <c r="C88" s="135" t="s">
        <v>22</v>
      </c>
      <c r="D88" s="135">
        <v>16.649999999999999</v>
      </c>
      <c r="E88" s="314">
        <f t="shared" si="3"/>
        <v>0</v>
      </c>
      <c r="F88" s="398" t="s">
        <v>95</v>
      </c>
    </row>
    <row r="89" spans="1:6" ht="18" hidden="1" customHeight="1">
      <c r="A89" s="397" t="s">
        <v>101</v>
      </c>
      <c r="B89" s="135">
        <f>'OUTSIDE GTA'!N53</f>
        <v>0</v>
      </c>
      <c r="C89" s="135" t="s">
        <v>22</v>
      </c>
      <c r="D89" s="135">
        <v>16.649999999999999</v>
      </c>
      <c r="E89" s="314">
        <f t="shared" si="3"/>
        <v>0</v>
      </c>
      <c r="F89" s="398" t="s">
        <v>95</v>
      </c>
    </row>
    <row r="90" spans="1:6" ht="18" hidden="1" customHeight="1">
      <c r="A90" s="397" t="s">
        <v>102</v>
      </c>
      <c r="B90" s="135">
        <f>'OUTSIDE GTA'!M53</f>
        <v>0</v>
      </c>
      <c r="C90" s="135" t="s">
        <v>22</v>
      </c>
      <c r="D90" s="135">
        <v>16.649999999999999</v>
      </c>
      <c r="E90" s="314">
        <f t="shared" si="3"/>
        <v>0</v>
      </c>
      <c r="F90" s="398" t="s">
        <v>95</v>
      </c>
    </row>
    <row r="91" spans="1:6" ht="18" hidden="1" customHeight="1">
      <c r="A91" s="397" t="s">
        <v>103</v>
      </c>
      <c r="B91" s="135">
        <f>'OUTSIDE GTA'!K53</f>
        <v>0</v>
      </c>
      <c r="C91" s="135" t="s">
        <v>22</v>
      </c>
      <c r="D91" s="135">
        <v>16.649999999999999</v>
      </c>
      <c r="E91" s="314">
        <f t="shared" si="3"/>
        <v>0</v>
      </c>
      <c r="F91" s="398" t="s">
        <v>95</v>
      </c>
    </row>
    <row r="92" spans="1:6" ht="18" hidden="1" customHeight="1">
      <c r="A92" s="397" t="s">
        <v>104</v>
      </c>
      <c r="B92" s="135">
        <f>'OUTSIDE GTA'!O53</f>
        <v>0</v>
      </c>
      <c r="C92" s="135" t="s">
        <v>22</v>
      </c>
      <c r="D92" s="135">
        <v>16.649999999999999</v>
      </c>
      <c r="E92" s="314">
        <f t="shared" si="3"/>
        <v>0</v>
      </c>
      <c r="F92" s="398" t="s">
        <v>95</v>
      </c>
    </row>
    <row r="93" spans="1:6" ht="18" hidden="1" customHeight="1">
      <c r="A93" s="397" t="s">
        <v>60</v>
      </c>
      <c r="B93" s="135">
        <f>'OUTSIDE GTA'!P53</f>
        <v>0</v>
      </c>
      <c r="C93" s="135" t="s">
        <v>22</v>
      </c>
      <c r="D93" s="135">
        <v>16.649999999999999</v>
      </c>
      <c r="E93" s="314">
        <f t="shared" si="3"/>
        <v>0</v>
      </c>
      <c r="F93" s="398" t="s">
        <v>95</v>
      </c>
    </row>
    <row r="94" spans="1:6" ht="18" hidden="1" customHeight="1">
      <c r="A94" s="777" t="s">
        <v>105</v>
      </c>
      <c r="B94" s="135">
        <f>'OUTSIDE GTA'!Q53</f>
        <v>0</v>
      </c>
      <c r="C94" s="135" t="s">
        <v>22</v>
      </c>
      <c r="D94" s="135">
        <v>16.649999999999999</v>
      </c>
      <c r="E94" s="314">
        <f t="shared" si="3"/>
        <v>0</v>
      </c>
      <c r="F94" s="398" t="s">
        <v>95</v>
      </c>
    </row>
    <row r="95" spans="1:6" ht="18" hidden="1" customHeight="1">
      <c r="A95" s="777" t="s">
        <v>106</v>
      </c>
      <c r="B95" s="135">
        <f>'OUTSIDE GTA'!R53</f>
        <v>0</v>
      </c>
      <c r="C95" s="135" t="s">
        <v>22</v>
      </c>
      <c r="D95" s="135">
        <v>16.649999999999999</v>
      </c>
      <c r="E95" s="314">
        <f t="shared" si="3"/>
        <v>0</v>
      </c>
      <c r="F95" s="398" t="s">
        <v>95</v>
      </c>
    </row>
    <row r="96" spans="1:6" ht="18" hidden="1" customHeight="1">
      <c r="A96" s="777" t="s">
        <v>107</v>
      </c>
      <c r="B96" s="135">
        <f>'OUTSIDE GTA'!S53</f>
        <v>0</v>
      </c>
      <c r="C96" s="135" t="s">
        <v>22</v>
      </c>
      <c r="D96" s="135">
        <v>16.649999999999999</v>
      </c>
      <c r="E96" s="314">
        <f t="shared" si="3"/>
        <v>0</v>
      </c>
      <c r="F96" s="398" t="s">
        <v>95</v>
      </c>
    </row>
    <row r="97" spans="1:6" ht="18" hidden="1" customHeight="1">
      <c r="A97" s="814" t="s">
        <v>108</v>
      </c>
      <c r="B97" s="481">
        <f>'OUTSIDE GTA'!L53</f>
        <v>0</v>
      </c>
      <c r="C97" s="481" t="s">
        <v>22</v>
      </c>
      <c r="D97" s="481">
        <v>16.649999999999999</v>
      </c>
      <c r="E97" s="482">
        <f t="shared" si="3"/>
        <v>0</v>
      </c>
      <c r="F97" s="398" t="s">
        <v>95</v>
      </c>
    </row>
    <row r="98" spans="1:6" ht="18" hidden="1" customHeight="1">
      <c r="A98" s="777" t="s">
        <v>109</v>
      </c>
      <c r="B98" s="135">
        <f>'OUTSIDE GTA'!T53</f>
        <v>0</v>
      </c>
      <c r="C98" s="135" t="s">
        <v>22</v>
      </c>
      <c r="D98" s="135">
        <v>16.649999999999999</v>
      </c>
      <c r="E98" s="314">
        <f t="shared" si="3"/>
        <v>0</v>
      </c>
      <c r="F98" s="398" t="s">
        <v>95</v>
      </c>
    </row>
    <row r="99" spans="1:6" ht="18" hidden="1" customHeight="1">
      <c r="A99" s="397" t="s">
        <v>110</v>
      </c>
      <c r="B99" s="135">
        <f>'OUTSIDE GTA'!V53</f>
        <v>0</v>
      </c>
      <c r="C99" s="135" t="s">
        <v>22</v>
      </c>
      <c r="D99" s="135">
        <v>16.649999999999999</v>
      </c>
      <c r="E99" s="314">
        <f t="shared" si="3"/>
        <v>0</v>
      </c>
      <c r="F99" s="398" t="s">
        <v>95</v>
      </c>
    </row>
    <row r="100" spans="1:6" ht="18" hidden="1" customHeight="1">
      <c r="A100" s="397" t="s">
        <v>111</v>
      </c>
      <c r="B100" s="135">
        <f>'OUTSIDE GTA'!X53</f>
        <v>0</v>
      </c>
      <c r="C100" s="135" t="s">
        <v>22</v>
      </c>
      <c r="D100" s="135">
        <v>16.649999999999999</v>
      </c>
      <c r="E100" s="314">
        <f t="shared" si="3"/>
        <v>0</v>
      </c>
      <c r="F100" s="398" t="s">
        <v>95</v>
      </c>
    </row>
    <row r="101" spans="1:6" ht="18" hidden="1" customHeight="1">
      <c r="A101" s="822" t="s">
        <v>112</v>
      </c>
      <c r="B101" s="481">
        <f>'OUTSIDE GTA'!Y53</f>
        <v>0</v>
      </c>
      <c r="C101" s="481" t="s">
        <v>22</v>
      </c>
      <c r="D101" s="481">
        <v>16.649999999999999</v>
      </c>
      <c r="E101" s="482">
        <f t="shared" si="3"/>
        <v>0</v>
      </c>
      <c r="F101" s="398" t="s">
        <v>95</v>
      </c>
    </row>
    <row r="102" spans="1:6" ht="18" hidden="1" customHeight="1">
      <c r="A102" s="397" t="s">
        <v>114</v>
      </c>
      <c r="B102" s="135">
        <f>'OUTSIDE GTA'!Z53</f>
        <v>0</v>
      </c>
      <c r="C102" s="135" t="s">
        <v>22</v>
      </c>
      <c r="D102" s="135">
        <v>16.649999999999999</v>
      </c>
      <c r="E102" s="314">
        <f t="shared" si="3"/>
        <v>0</v>
      </c>
      <c r="F102" s="398" t="s">
        <v>95</v>
      </c>
    </row>
    <row r="103" spans="1:6" ht="18" hidden="1" customHeight="1">
      <c r="A103" s="397" t="s">
        <v>57</v>
      </c>
      <c r="B103" s="135">
        <f>'OUTSIDE GTA'!AA53</f>
        <v>0</v>
      </c>
      <c r="C103" s="135" t="s">
        <v>22</v>
      </c>
      <c r="D103" s="135">
        <v>16.649999999999999</v>
      </c>
      <c r="E103" s="314">
        <f t="shared" si="3"/>
        <v>0</v>
      </c>
      <c r="F103" s="398" t="s">
        <v>95</v>
      </c>
    </row>
    <row r="104" spans="1:6" ht="18" hidden="1" customHeight="1">
      <c r="A104" s="397" t="s">
        <v>118</v>
      </c>
      <c r="B104" s="135">
        <f>'OUTSIDE GTA'!AC53</f>
        <v>0</v>
      </c>
      <c r="C104" s="135" t="s">
        <v>22</v>
      </c>
      <c r="D104" s="135">
        <v>16.649999999999999</v>
      </c>
      <c r="E104" s="314">
        <f t="shared" si="3"/>
        <v>0</v>
      </c>
      <c r="F104" s="398" t="s">
        <v>95</v>
      </c>
    </row>
    <row r="105" spans="1:6" ht="18" hidden="1" customHeight="1">
      <c r="A105" s="777" t="s">
        <v>119</v>
      </c>
      <c r="B105" s="135">
        <f>'OUTSIDE GTA'!AB53</f>
        <v>0</v>
      </c>
      <c r="C105" s="135" t="s">
        <v>22</v>
      </c>
      <c r="D105" s="135">
        <v>16.649999999999999</v>
      </c>
      <c r="E105" s="314">
        <f t="shared" si="3"/>
        <v>0</v>
      </c>
      <c r="F105" s="398" t="s">
        <v>95</v>
      </c>
    </row>
    <row r="106" spans="1:6" ht="18" hidden="1" customHeight="1">
      <c r="A106" s="436"/>
      <c r="B106" s="419"/>
      <c r="C106" s="419"/>
      <c r="D106" s="419"/>
      <c r="E106" s="420"/>
      <c r="F106" s="398"/>
    </row>
    <row r="107" spans="1:6" ht="18" hidden="1" customHeight="1">
      <c r="A107" s="415" t="s">
        <v>120</v>
      </c>
      <c r="B107" s="415">
        <f>SUM(B83:B106)</f>
        <v>0</v>
      </c>
      <c r="C107" s="415"/>
      <c r="D107" s="415"/>
      <c r="E107" s="415"/>
      <c r="F107" s="398"/>
    </row>
    <row r="108" spans="1:6" ht="18" hidden="1" customHeight="1">
      <c r="A108" s="134"/>
      <c r="B108" s="135"/>
      <c r="C108" s="135"/>
      <c r="D108" s="135"/>
      <c r="E108" s="314"/>
      <c r="F108" s="398"/>
    </row>
    <row r="109" spans="1:6" ht="18" hidden="1" customHeight="1">
      <c r="A109" s="415" t="s">
        <v>121</v>
      </c>
      <c r="B109" s="415"/>
      <c r="C109" s="415"/>
      <c r="D109" s="415"/>
      <c r="E109" s="416"/>
      <c r="F109" s="398"/>
    </row>
    <row r="110" spans="1:6" ht="18" hidden="1" customHeight="1">
      <c r="A110" s="397" t="s">
        <v>122</v>
      </c>
      <c r="B110" s="135">
        <f>OTTAWA!C54</f>
        <v>0</v>
      </c>
      <c r="C110" s="135" t="s">
        <v>22</v>
      </c>
      <c r="D110" s="135">
        <v>16.649999999999999</v>
      </c>
      <c r="E110" s="314">
        <f>B110*D110</f>
        <v>0</v>
      </c>
      <c r="F110" s="398"/>
    </row>
    <row r="111" spans="1:6" ht="18" hidden="1" customHeight="1">
      <c r="A111" s="397" t="s">
        <v>123</v>
      </c>
      <c r="B111" s="135">
        <f>OTTAWA!D54</f>
        <v>0</v>
      </c>
      <c r="C111" s="135" t="s">
        <v>22</v>
      </c>
      <c r="D111" s="135">
        <v>16.649999999999999</v>
      </c>
      <c r="E111" s="314">
        <f>B111*D111</f>
        <v>0</v>
      </c>
      <c r="F111" s="398"/>
    </row>
    <row r="112" spans="1:6" ht="18" hidden="1" customHeight="1">
      <c r="A112" s="397" t="s">
        <v>124</v>
      </c>
      <c r="B112" s="135">
        <f>OTTAWA!E54</f>
        <v>0</v>
      </c>
      <c r="C112" s="135" t="s">
        <v>22</v>
      </c>
      <c r="D112" s="135">
        <v>16.649999999999999</v>
      </c>
      <c r="E112" s="314">
        <f>B112*D112</f>
        <v>0</v>
      </c>
      <c r="F112" s="398"/>
    </row>
    <row r="113" spans="1:6" ht="18" hidden="1" customHeight="1">
      <c r="A113" s="397" t="s">
        <v>125</v>
      </c>
      <c r="B113" s="135">
        <f>OTTAWA!F54</f>
        <v>0</v>
      </c>
      <c r="C113" s="135" t="s">
        <v>22</v>
      </c>
      <c r="D113" s="135">
        <v>20</v>
      </c>
      <c r="E113" s="314">
        <f>B113*D113</f>
        <v>0</v>
      </c>
      <c r="F113" s="398"/>
    </row>
    <row r="114" spans="1:6" ht="18" hidden="1" customHeight="1">
      <c r="A114" s="436"/>
      <c r="B114" s="419"/>
      <c r="C114" s="419"/>
      <c r="D114" s="419"/>
      <c r="E114" s="420"/>
      <c r="F114" s="398"/>
    </row>
    <row r="115" spans="1:6" ht="18" hidden="1" customHeight="1">
      <c r="A115" s="415" t="s">
        <v>121</v>
      </c>
      <c r="B115" s="415">
        <f>SUM(B109:B114)</f>
        <v>0</v>
      </c>
      <c r="C115" s="415"/>
      <c r="D115" s="415"/>
      <c r="E115" s="415"/>
      <c r="F115" s="398"/>
    </row>
    <row r="116" spans="1:6" ht="18" hidden="1" customHeight="1">
      <c r="A116" s="134"/>
      <c r="B116" s="135"/>
      <c r="C116" s="135"/>
      <c r="D116" s="135"/>
      <c r="E116" s="314"/>
      <c r="F116" s="398"/>
    </row>
    <row r="117" spans="1:6" ht="18" hidden="1" customHeight="1">
      <c r="A117" s="418" t="s">
        <v>126</v>
      </c>
      <c r="B117" s="419"/>
      <c r="C117" s="419"/>
      <c r="D117" s="419"/>
      <c r="E117" s="420"/>
      <c r="F117" s="398"/>
    </row>
    <row r="118" spans="1:6" ht="18" hidden="1" customHeight="1">
      <c r="A118" s="404" t="s">
        <v>128</v>
      </c>
      <c r="B118" s="135">
        <f>OTTAWA!D18</f>
        <v>0</v>
      </c>
      <c r="C118" s="135" t="s">
        <v>22</v>
      </c>
      <c r="D118" s="135">
        <v>16.649999999999999</v>
      </c>
      <c r="E118" s="314">
        <f t="shared" ref="E118:E149" si="4">B118*D118</f>
        <v>0</v>
      </c>
      <c r="F118" s="398"/>
    </row>
    <row r="119" spans="1:6" ht="18" hidden="1" customHeight="1">
      <c r="A119" s="404" t="s">
        <v>129</v>
      </c>
      <c r="B119" s="135">
        <f>OTTAWA!C18</f>
        <v>0</v>
      </c>
      <c r="C119" s="135" t="s">
        <v>22</v>
      </c>
      <c r="D119" s="135">
        <v>16.649999999999999</v>
      </c>
      <c r="E119" s="314">
        <f t="shared" si="4"/>
        <v>0</v>
      </c>
      <c r="F119" s="398"/>
    </row>
    <row r="120" spans="1:6" ht="18" hidden="1" customHeight="1">
      <c r="A120" s="823" t="s">
        <v>130</v>
      </c>
      <c r="B120" s="481">
        <f>OTTAWA!E18</f>
        <v>0</v>
      </c>
      <c r="C120" s="481" t="s">
        <v>22</v>
      </c>
      <c r="D120" s="481">
        <v>16.649999999999999</v>
      </c>
      <c r="E120" s="482">
        <f t="shared" si="4"/>
        <v>0</v>
      </c>
      <c r="F120" s="398"/>
    </row>
    <row r="121" spans="1:6" ht="18" hidden="1" customHeight="1">
      <c r="A121" s="823" t="s">
        <v>131</v>
      </c>
      <c r="B121" s="481">
        <f>OTTAWA!F18</f>
        <v>0</v>
      </c>
      <c r="C121" s="481" t="s">
        <v>22</v>
      </c>
      <c r="D121" s="481">
        <v>16.649999999999999</v>
      </c>
      <c r="E121" s="482">
        <f t="shared" si="4"/>
        <v>0</v>
      </c>
      <c r="F121" s="398"/>
    </row>
    <row r="122" spans="1:6" ht="18" hidden="1" customHeight="1">
      <c r="A122" s="404" t="s">
        <v>132</v>
      </c>
      <c r="B122" s="135">
        <f>OTTAWA!G18</f>
        <v>0</v>
      </c>
      <c r="C122" s="135" t="s">
        <v>22</v>
      </c>
      <c r="D122" s="135">
        <v>16.649999999999999</v>
      </c>
      <c r="E122" s="314">
        <f t="shared" si="4"/>
        <v>0</v>
      </c>
      <c r="F122" s="398"/>
    </row>
    <row r="123" spans="1:6" ht="18" hidden="1" customHeight="1">
      <c r="A123" s="136" t="s">
        <v>133</v>
      </c>
      <c r="B123" s="135">
        <f>OTTAWA!H18</f>
        <v>0</v>
      </c>
      <c r="C123" s="135" t="s">
        <v>22</v>
      </c>
      <c r="D123" s="135">
        <v>16.649999999999999</v>
      </c>
      <c r="E123" s="314">
        <f t="shared" si="4"/>
        <v>0</v>
      </c>
      <c r="F123" s="398"/>
    </row>
    <row r="124" spans="1:6" ht="18" hidden="1" customHeight="1">
      <c r="A124" s="480" t="s">
        <v>134</v>
      </c>
      <c r="B124" s="481">
        <f>OTTAWA!I18</f>
        <v>0</v>
      </c>
      <c r="C124" s="481" t="s">
        <v>22</v>
      </c>
      <c r="D124" s="481">
        <v>16.649999999999999</v>
      </c>
      <c r="E124" s="482">
        <f t="shared" si="4"/>
        <v>0</v>
      </c>
      <c r="F124" s="398"/>
    </row>
    <row r="125" spans="1:6" ht="18" hidden="1" customHeight="1">
      <c r="A125" s="397" t="s">
        <v>135</v>
      </c>
      <c r="B125" s="135">
        <f>OTTAWA!J18</f>
        <v>0</v>
      </c>
      <c r="C125" s="135" t="s">
        <v>22</v>
      </c>
      <c r="D125" s="135">
        <v>16.649999999999999</v>
      </c>
      <c r="E125" s="314">
        <f t="shared" si="4"/>
        <v>0</v>
      </c>
      <c r="F125" s="398"/>
    </row>
    <row r="126" spans="1:6" ht="18" hidden="1" customHeight="1">
      <c r="A126" s="396" t="s">
        <v>137</v>
      </c>
      <c r="B126" s="135">
        <f>OTTAWA!K18</f>
        <v>0</v>
      </c>
      <c r="C126" s="135" t="s">
        <v>22</v>
      </c>
      <c r="D126" s="135">
        <v>16.649999999999999</v>
      </c>
      <c r="E126" s="314">
        <f t="shared" si="4"/>
        <v>0</v>
      </c>
      <c r="F126" s="398"/>
    </row>
    <row r="127" spans="1:6" ht="18" hidden="1" customHeight="1">
      <c r="A127" s="404" t="s">
        <v>138</v>
      </c>
      <c r="B127" s="135">
        <f>OTTAWA!L18</f>
        <v>0</v>
      </c>
      <c r="C127" s="135" t="s">
        <v>22</v>
      </c>
      <c r="D127" s="135">
        <v>16.649999999999999</v>
      </c>
      <c r="E127" s="314">
        <f t="shared" si="4"/>
        <v>0</v>
      </c>
      <c r="F127" s="398"/>
    </row>
    <row r="128" spans="1:6" ht="18" hidden="1" customHeight="1">
      <c r="A128" s="404" t="s">
        <v>139</v>
      </c>
      <c r="B128" s="135">
        <f>OTTAWA!O18</f>
        <v>0</v>
      </c>
      <c r="C128" s="135" t="s">
        <v>22</v>
      </c>
      <c r="D128" s="135">
        <v>16.649999999999999</v>
      </c>
      <c r="E128" s="314">
        <f t="shared" si="4"/>
        <v>0</v>
      </c>
      <c r="F128" s="398"/>
    </row>
    <row r="129" spans="1:6" ht="18" hidden="1" customHeight="1">
      <c r="A129" s="397" t="s">
        <v>140</v>
      </c>
      <c r="B129" s="135">
        <f>OTTAWA!M18</f>
        <v>0</v>
      </c>
      <c r="C129" s="135" t="s">
        <v>22</v>
      </c>
      <c r="D129" s="135">
        <v>16.649999999999999</v>
      </c>
      <c r="E129" s="314">
        <f t="shared" si="4"/>
        <v>0</v>
      </c>
      <c r="F129" s="398"/>
    </row>
    <row r="130" spans="1:6" ht="18" hidden="1" customHeight="1">
      <c r="A130" s="136" t="s">
        <v>142</v>
      </c>
      <c r="B130" s="135">
        <f>OTTAWA!N18</f>
        <v>0</v>
      </c>
      <c r="C130" s="135" t="s">
        <v>22</v>
      </c>
      <c r="D130" s="135">
        <v>16.649999999999999</v>
      </c>
      <c r="E130" s="314">
        <f t="shared" si="4"/>
        <v>0</v>
      </c>
      <c r="F130" s="398"/>
    </row>
    <row r="131" spans="1:6" ht="18" hidden="1" customHeight="1">
      <c r="A131" s="136" t="s">
        <v>143</v>
      </c>
      <c r="B131" s="135">
        <f>OTTAWA!T18</f>
        <v>0</v>
      </c>
      <c r="C131" s="135" t="s">
        <v>22</v>
      </c>
      <c r="D131" s="135">
        <v>16.649999999999999</v>
      </c>
      <c r="E131" s="314">
        <f t="shared" si="4"/>
        <v>0</v>
      </c>
      <c r="F131" s="398"/>
    </row>
    <row r="132" spans="1:6" ht="18" hidden="1" customHeight="1">
      <c r="A132" s="397" t="s">
        <v>145</v>
      </c>
      <c r="B132" s="135">
        <f>OTTAWA!Q18</f>
        <v>0</v>
      </c>
      <c r="C132" s="135" t="s">
        <v>22</v>
      </c>
      <c r="D132" s="135">
        <v>16.649999999999999</v>
      </c>
      <c r="E132" s="314">
        <f t="shared" si="4"/>
        <v>0</v>
      </c>
      <c r="F132" s="398"/>
    </row>
    <row r="133" spans="1:6" ht="18" hidden="1" customHeight="1">
      <c r="A133" s="517" t="s">
        <v>146</v>
      </c>
      <c r="B133" s="481">
        <f>OTTAWA!AC18</f>
        <v>0</v>
      </c>
      <c r="C133" s="481" t="s">
        <v>22</v>
      </c>
      <c r="D133" s="481">
        <v>16.649999999999999</v>
      </c>
      <c r="E133" s="482">
        <f t="shared" si="4"/>
        <v>0</v>
      </c>
      <c r="F133" s="398"/>
    </row>
    <row r="134" spans="1:6" ht="18" hidden="1" customHeight="1">
      <c r="A134" s="136" t="s">
        <v>147</v>
      </c>
      <c r="B134" s="135">
        <f>OTTAWA!S18</f>
        <v>0</v>
      </c>
      <c r="C134" s="135" t="s">
        <v>22</v>
      </c>
      <c r="D134" s="135">
        <v>16.649999999999999</v>
      </c>
      <c r="E134" s="314">
        <f t="shared" si="4"/>
        <v>0</v>
      </c>
      <c r="F134" s="398"/>
    </row>
    <row r="135" spans="1:6" ht="18" hidden="1" customHeight="1">
      <c r="A135" s="136" t="s">
        <v>148</v>
      </c>
      <c r="B135" s="135">
        <f>OTTAWA!U18</f>
        <v>0</v>
      </c>
      <c r="C135" s="135" t="s">
        <v>22</v>
      </c>
      <c r="D135" s="135">
        <v>16.649999999999999</v>
      </c>
      <c r="E135" s="314">
        <f t="shared" si="4"/>
        <v>0</v>
      </c>
      <c r="F135" s="398"/>
    </row>
    <row r="136" spans="1:6" ht="18" hidden="1" customHeight="1">
      <c r="A136" s="136" t="s">
        <v>149</v>
      </c>
      <c r="B136" s="135">
        <f>OTTAWA!V18</f>
        <v>0</v>
      </c>
      <c r="C136" s="135" t="s">
        <v>22</v>
      </c>
      <c r="D136" s="135">
        <v>16.649999999999999</v>
      </c>
      <c r="E136" s="314">
        <f t="shared" si="4"/>
        <v>0</v>
      </c>
      <c r="F136" s="398"/>
    </row>
    <row r="137" spans="1:6" ht="18" hidden="1" customHeight="1">
      <c r="A137" s="136" t="s">
        <v>150</v>
      </c>
      <c r="B137" s="135">
        <f>OTTAWA!W18</f>
        <v>0</v>
      </c>
      <c r="C137" s="135" t="s">
        <v>22</v>
      </c>
      <c r="D137" s="135">
        <v>20</v>
      </c>
      <c r="E137" s="314">
        <f t="shared" si="4"/>
        <v>0</v>
      </c>
      <c r="F137" s="398"/>
    </row>
    <row r="138" spans="1:6" ht="18" hidden="1" customHeight="1">
      <c r="A138" s="136" t="s">
        <v>151</v>
      </c>
      <c r="B138" s="135">
        <f>OTTAWA!R18</f>
        <v>0</v>
      </c>
      <c r="C138" s="135" t="s">
        <v>22</v>
      </c>
      <c r="D138" s="135">
        <v>20</v>
      </c>
      <c r="E138" s="314">
        <f t="shared" si="4"/>
        <v>0</v>
      </c>
      <c r="F138" s="398"/>
    </row>
    <row r="139" spans="1:6" ht="18" hidden="1" customHeight="1">
      <c r="A139" s="317" t="s">
        <v>152</v>
      </c>
      <c r="B139" s="135">
        <f>OTTAWA!Y18</f>
        <v>0</v>
      </c>
      <c r="C139" s="135" t="s">
        <v>22</v>
      </c>
      <c r="D139" s="135">
        <v>16.649999999999999</v>
      </c>
      <c r="E139" s="314">
        <f t="shared" si="4"/>
        <v>0</v>
      </c>
      <c r="F139" s="398"/>
    </row>
    <row r="140" spans="1:6" ht="18" hidden="1" customHeight="1">
      <c r="A140" s="136" t="s">
        <v>153</v>
      </c>
      <c r="B140" s="135">
        <f>OTTAWA!X18</f>
        <v>0</v>
      </c>
      <c r="C140" s="135" t="s">
        <v>22</v>
      </c>
      <c r="D140" s="135">
        <v>16.649999999999999</v>
      </c>
      <c r="E140" s="314">
        <f t="shared" si="4"/>
        <v>0</v>
      </c>
      <c r="F140" s="398"/>
    </row>
    <row r="141" spans="1:6" ht="18" hidden="1" customHeight="1">
      <c r="A141" s="136" t="s">
        <v>155</v>
      </c>
      <c r="B141" s="135">
        <f>OTTAWA!Z18</f>
        <v>0</v>
      </c>
      <c r="C141" s="135" t="s">
        <v>22</v>
      </c>
      <c r="D141" s="135">
        <v>16.649999999999999</v>
      </c>
      <c r="E141" s="314">
        <f t="shared" si="4"/>
        <v>0</v>
      </c>
      <c r="F141" s="398"/>
    </row>
    <row r="142" spans="1:6" ht="18" hidden="1" customHeight="1">
      <c r="A142" s="136" t="s">
        <v>156</v>
      </c>
      <c r="B142" s="135">
        <f>OTTAWA!AA18</f>
        <v>0</v>
      </c>
      <c r="C142" s="135" t="s">
        <v>22</v>
      </c>
      <c r="D142" s="135">
        <v>16.649999999999999</v>
      </c>
      <c r="E142" s="314">
        <f t="shared" si="4"/>
        <v>0</v>
      </c>
      <c r="F142" s="398"/>
    </row>
    <row r="143" spans="1:6" ht="18" hidden="1" customHeight="1">
      <c r="A143" s="396" t="s">
        <v>158</v>
      </c>
      <c r="B143" s="135">
        <f>OTTAWA!AB18+OTTAWA!BP18</f>
        <v>0</v>
      </c>
      <c r="C143" s="135" t="s">
        <v>22</v>
      </c>
      <c r="D143" s="135">
        <v>17</v>
      </c>
      <c r="E143" s="314">
        <f t="shared" si="4"/>
        <v>0</v>
      </c>
      <c r="F143" s="398"/>
    </row>
    <row r="144" spans="1:6" ht="18" hidden="1" customHeight="1">
      <c r="A144" s="397" t="s">
        <v>160</v>
      </c>
      <c r="B144" s="135">
        <f>OTTAWA!AH18</f>
        <v>0</v>
      </c>
      <c r="C144" s="135" t="s">
        <v>22</v>
      </c>
      <c r="D144" s="135">
        <v>16.649999999999999</v>
      </c>
      <c r="E144" s="314">
        <f t="shared" si="4"/>
        <v>0</v>
      </c>
      <c r="F144" s="398"/>
    </row>
    <row r="145" spans="1:6" ht="18" hidden="1" customHeight="1">
      <c r="A145" s="822" t="s">
        <v>162</v>
      </c>
      <c r="B145" s="481">
        <f>OTTAWA!AM18</f>
        <v>0</v>
      </c>
      <c r="C145" s="481" t="s">
        <v>22</v>
      </c>
      <c r="D145" s="481">
        <v>16.649999999999999</v>
      </c>
      <c r="E145" s="482">
        <f t="shared" si="4"/>
        <v>0</v>
      </c>
      <c r="F145" s="398"/>
    </row>
    <row r="146" spans="1:6" ht="18" hidden="1" customHeight="1">
      <c r="A146" s="397" t="s">
        <v>163</v>
      </c>
      <c r="B146" s="135">
        <f>OTTAWA!AJ18</f>
        <v>0</v>
      </c>
      <c r="C146" s="135" t="s">
        <v>22</v>
      </c>
      <c r="D146" s="135">
        <v>16.649999999999999</v>
      </c>
      <c r="E146" s="314">
        <f t="shared" si="4"/>
        <v>0</v>
      </c>
      <c r="F146" s="398"/>
    </row>
    <row r="147" spans="1:6" ht="18" hidden="1" customHeight="1">
      <c r="A147" s="397" t="s">
        <v>164</v>
      </c>
      <c r="B147" s="135">
        <f>OTTAWA!AG18</f>
        <v>0</v>
      </c>
      <c r="C147" s="135" t="s">
        <v>22</v>
      </c>
      <c r="D147" s="135">
        <v>16.649999999999999</v>
      </c>
      <c r="E147" s="314">
        <f t="shared" si="4"/>
        <v>0</v>
      </c>
      <c r="F147" s="398"/>
    </row>
    <row r="148" spans="1:6" ht="18" hidden="1" customHeight="1">
      <c r="A148" s="397" t="s">
        <v>165</v>
      </c>
      <c r="B148" s="135">
        <f>OTTAWA!AE18</f>
        <v>0</v>
      </c>
      <c r="C148" s="135" t="s">
        <v>22</v>
      </c>
      <c r="D148" s="135">
        <v>17</v>
      </c>
      <c r="E148" s="314">
        <f t="shared" si="4"/>
        <v>0</v>
      </c>
      <c r="F148" s="398"/>
    </row>
    <row r="149" spans="1:6" ht="18" hidden="1" customHeight="1">
      <c r="A149" s="397" t="s">
        <v>166</v>
      </c>
      <c r="B149" s="135">
        <f>OTTAWA!AF18</f>
        <v>0</v>
      </c>
      <c r="C149" s="135" t="s">
        <v>22</v>
      </c>
      <c r="D149" s="135">
        <v>17</v>
      </c>
      <c r="E149" s="314">
        <f t="shared" si="4"/>
        <v>0</v>
      </c>
      <c r="F149" s="398"/>
    </row>
    <row r="150" spans="1:6" ht="18" hidden="1" customHeight="1">
      <c r="A150" s="136" t="s">
        <v>167</v>
      </c>
      <c r="B150" s="135">
        <f>OTTAWA!AK18</f>
        <v>0</v>
      </c>
      <c r="C150" s="135" t="s">
        <v>22</v>
      </c>
      <c r="D150" s="135">
        <v>20</v>
      </c>
      <c r="E150" s="314">
        <f t="shared" ref="E150:E179" si="5">B150*D150</f>
        <v>0</v>
      </c>
      <c r="F150" s="398"/>
    </row>
    <row r="151" spans="1:6" ht="18" hidden="1" customHeight="1">
      <c r="A151" s="136" t="s">
        <v>168</v>
      </c>
      <c r="B151" s="135">
        <f>OTTAWA!AI18</f>
        <v>0</v>
      </c>
      <c r="C151" s="135" t="s">
        <v>22</v>
      </c>
      <c r="D151" s="135">
        <v>16.649999999999999</v>
      </c>
      <c r="E151" s="314">
        <f t="shared" si="5"/>
        <v>0</v>
      </c>
      <c r="F151" s="398"/>
    </row>
    <row r="152" spans="1:6" ht="18" hidden="1" customHeight="1">
      <c r="A152" s="397" t="s">
        <v>169</v>
      </c>
      <c r="B152" s="135">
        <f>OTTAWA!AL18</f>
        <v>0</v>
      </c>
      <c r="C152" s="135" t="s">
        <v>22</v>
      </c>
      <c r="D152" s="135">
        <v>16.649999999999999</v>
      </c>
      <c r="E152" s="314">
        <f t="shared" si="5"/>
        <v>0</v>
      </c>
      <c r="F152" s="398"/>
    </row>
    <row r="153" spans="1:6" ht="18" hidden="1" customHeight="1">
      <c r="A153" s="136" t="s">
        <v>171</v>
      </c>
      <c r="B153" s="135">
        <f>OTTAWA!AN18</f>
        <v>0</v>
      </c>
      <c r="C153" s="135" t="s">
        <v>22</v>
      </c>
      <c r="D153" s="135">
        <v>16.649999999999999</v>
      </c>
      <c r="E153" s="314">
        <f t="shared" si="5"/>
        <v>0</v>
      </c>
      <c r="F153" s="398"/>
    </row>
    <row r="154" spans="1:6" ht="18" hidden="1" customHeight="1">
      <c r="A154" s="136" t="s">
        <v>173</v>
      </c>
      <c r="B154" s="135">
        <f>OTTAWA!AO18</f>
        <v>0</v>
      </c>
      <c r="C154" s="135" t="s">
        <v>22</v>
      </c>
      <c r="D154" s="135">
        <v>16.649999999999999</v>
      </c>
      <c r="E154" s="314">
        <f t="shared" si="5"/>
        <v>0</v>
      </c>
      <c r="F154" s="398"/>
    </row>
    <row r="155" spans="1:6" ht="18" hidden="1" customHeight="1">
      <c r="A155" s="480" t="s">
        <v>174</v>
      </c>
      <c r="B155" s="481">
        <f>OTTAWA!AQ18</f>
        <v>0</v>
      </c>
      <c r="C155" s="481" t="s">
        <v>22</v>
      </c>
      <c r="D155" s="481">
        <v>16.649999999999999</v>
      </c>
      <c r="E155" s="482">
        <f t="shared" si="5"/>
        <v>0</v>
      </c>
      <c r="F155" s="398"/>
    </row>
    <row r="156" spans="1:6" ht="18" hidden="1" customHeight="1">
      <c r="A156" s="136" t="s">
        <v>175</v>
      </c>
      <c r="B156" s="135">
        <f>OTTAWA!AP18</f>
        <v>0</v>
      </c>
      <c r="C156" s="135" t="s">
        <v>22</v>
      </c>
      <c r="D156" s="135">
        <v>16.649999999999999</v>
      </c>
      <c r="E156" s="314">
        <f t="shared" si="5"/>
        <v>0</v>
      </c>
      <c r="F156" s="398"/>
    </row>
    <row r="157" spans="1:6" ht="18" hidden="1" customHeight="1">
      <c r="A157" s="136" t="s">
        <v>177</v>
      </c>
      <c r="B157" s="135">
        <f>OTTAWA!AR18</f>
        <v>0</v>
      </c>
      <c r="C157" s="135" t="s">
        <v>22</v>
      </c>
      <c r="D157" s="135">
        <v>16.649999999999999</v>
      </c>
      <c r="E157" s="314">
        <f t="shared" si="5"/>
        <v>0</v>
      </c>
      <c r="F157" s="398"/>
    </row>
    <row r="158" spans="1:6" ht="18" hidden="1" customHeight="1">
      <c r="A158" s="136" t="s">
        <v>179</v>
      </c>
      <c r="B158" s="135">
        <f>OTTAWA!AS18</f>
        <v>0</v>
      </c>
      <c r="C158" s="135" t="s">
        <v>22</v>
      </c>
      <c r="D158" s="135">
        <v>16.649999999999999</v>
      </c>
      <c r="E158" s="314">
        <f t="shared" si="5"/>
        <v>0</v>
      </c>
      <c r="F158" s="398"/>
    </row>
    <row r="159" spans="1:6" ht="18" hidden="1" customHeight="1">
      <c r="A159" s="136" t="s">
        <v>180</v>
      </c>
      <c r="B159" s="135">
        <f>OTTAWA!BH18</f>
        <v>0</v>
      </c>
      <c r="C159" s="135" t="s">
        <v>22</v>
      </c>
      <c r="D159" s="135">
        <v>16.649999999999999</v>
      </c>
      <c r="E159" s="314">
        <f t="shared" si="5"/>
        <v>0</v>
      </c>
      <c r="F159" s="398"/>
    </row>
    <row r="160" spans="1:6" ht="18" hidden="1" customHeight="1">
      <c r="A160" s="136" t="s">
        <v>182</v>
      </c>
      <c r="B160" s="135">
        <f>OTTAWA!BK18</f>
        <v>0</v>
      </c>
      <c r="C160" s="135" t="s">
        <v>22</v>
      </c>
      <c r="D160" s="135">
        <v>16.649999999999999</v>
      </c>
      <c r="E160" s="314">
        <f t="shared" si="5"/>
        <v>0</v>
      </c>
      <c r="F160" s="398"/>
    </row>
    <row r="161" spans="1:6" ht="18" hidden="1" customHeight="1">
      <c r="A161" s="136" t="s">
        <v>183</v>
      </c>
      <c r="B161" s="135">
        <f>OTTAWA!AT18</f>
        <v>0</v>
      </c>
      <c r="C161" s="135" t="s">
        <v>22</v>
      </c>
      <c r="D161" s="135">
        <v>16.649999999999999</v>
      </c>
      <c r="E161" s="314">
        <f t="shared" si="5"/>
        <v>0</v>
      </c>
      <c r="F161" s="398"/>
    </row>
    <row r="162" spans="1:6" ht="18" hidden="1" customHeight="1">
      <c r="A162" s="136" t="s">
        <v>184</v>
      </c>
      <c r="B162" s="135">
        <f>OTTAWA!AU18</f>
        <v>0</v>
      </c>
      <c r="C162" s="135" t="s">
        <v>22</v>
      </c>
      <c r="D162" s="135">
        <v>16.649999999999999</v>
      </c>
      <c r="E162" s="314">
        <f t="shared" si="5"/>
        <v>0</v>
      </c>
      <c r="F162" s="398"/>
    </row>
    <row r="163" spans="1:6" ht="18" hidden="1" customHeight="1">
      <c r="A163" s="136" t="s">
        <v>185</v>
      </c>
      <c r="B163" s="135">
        <f>OTTAWA!AV18</f>
        <v>0</v>
      </c>
      <c r="C163" s="135" t="s">
        <v>22</v>
      </c>
      <c r="D163" s="135">
        <v>16.649999999999999</v>
      </c>
      <c r="E163" s="314">
        <f t="shared" si="5"/>
        <v>0</v>
      </c>
      <c r="F163" s="398"/>
    </row>
    <row r="164" spans="1:6" ht="18" hidden="1" customHeight="1">
      <c r="A164" s="136" t="s">
        <v>186</v>
      </c>
      <c r="B164" s="135">
        <f>OTTAWA!BF18</f>
        <v>0</v>
      </c>
      <c r="C164" s="135" t="s">
        <v>22</v>
      </c>
      <c r="D164" s="135">
        <v>16.649999999999999</v>
      </c>
      <c r="E164" s="314">
        <f t="shared" si="5"/>
        <v>0</v>
      </c>
      <c r="F164" s="398"/>
    </row>
    <row r="165" spans="1:6" ht="18" hidden="1" customHeight="1">
      <c r="A165" s="136" t="s">
        <v>187</v>
      </c>
      <c r="B165" s="135">
        <f>OTTAWA!AW18</f>
        <v>0</v>
      </c>
      <c r="C165" s="135" t="s">
        <v>22</v>
      </c>
      <c r="D165" s="135">
        <v>16.649999999999999</v>
      </c>
      <c r="E165" s="314">
        <f t="shared" si="5"/>
        <v>0</v>
      </c>
      <c r="F165" s="398"/>
    </row>
    <row r="166" spans="1:6" ht="18" hidden="1" customHeight="1">
      <c r="A166" s="136" t="s">
        <v>188</v>
      </c>
      <c r="B166" s="135">
        <f>OTTAWA!AX18</f>
        <v>0</v>
      </c>
      <c r="C166" s="135" t="s">
        <v>22</v>
      </c>
      <c r="D166" s="135">
        <v>16.649999999999999</v>
      </c>
      <c r="E166" s="314">
        <f t="shared" si="5"/>
        <v>0</v>
      </c>
      <c r="F166" s="398"/>
    </row>
    <row r="167" spans="1:6" ht="18" hidden="1" customHeight="1">
      <c r="A167" s="480" t="s">
        <v>189</v>
      </c>
      <c r="B167" s="481">
        <f>OTTAWA!AD18</f>
        <v>0</v>
      </c>
      <c r="C167" s="481" t="s">
        <v>22</v>
      </c>
      <c r="D167" s="481">
        <v>16.649999999999999</v>
      </c>
      <c r="E167" s="482">
        <f t="shared" si="5"/>
        <v>0</v>
      </c>
      <c r="F167" s="398"/>
    </row>
    <row r="168" spans="1:6" ht="18" hidden="1" customHeight="1">
      <c r="A168" s="136" t="s">
        <v>190</v>
      </c>
      <c r="B168" s="135">
        <f>OTTAWA!AY18</f>
        <v>0</v>
      </c>
      <c r="C168" s="135" t="s">
        <v>22</v>
      </c>
      <c r="D168" s="135">
        <v>16.649999999999999</v>
      </c>
      <c r="E168" s="314">
        <f t="shared" si="5"/>
        <v>0</v>
      </c>
      <c r="F168" s="398"/>
    </row>
    <row r="169" spans="1:6" ht="18" hidden="1" customHeight="1">
      <c r="A169" s="480" t="s">
        <v>191</v>
      </c>
      <c r="B169" s="481">
        <f>OTTAWA!AZ18</f>
        <v>0</v>
      </c>
      <c r="C169" s="481" t="s">
        <v>22</v>
      </c>
      <c r="D169" s="481">
        <v>16.649999999999999</v>
      </c>
      <c r="E169" s="482">
        <f t="shared" si="5"/>
        <v>0</v>
      </c>
      <c r="F169" s="398"/>
    </row>
    <row r="170" spans="1:6" ht="18" hidden="1" customHeight="1">
      <c r="A170" s="136" t="s">
        <v>192</v>
      </c>
      <c r="B170" s="135">
        <f>OTTAWA!BB18</f>
        <v>0</v>
      </c>
      <c r="C170" s="135" t="s">
        <v>22</v>
      </c>
      <c r="D170" s="135">
        <v>16.649999999999999</v>
      </c>
      <c r="E170" s="314">
        <f t="shared" si="5"/>
        <v>0</v>
      </c>
      <c r="F170" s="398"/>
    </row>
    <row r="171" spans="1:6" ht="18" hidden="1" customHeight="1">
      <c r="A171" s="136" t="s">
        <v>193</v>
      </c>
      <c r="B171" s="135">
        <f>OTTAWA!BE18</f>
        <v>0</v>
      </c>
      <c r="C171" s="135" t="s">
        <v>22</v>
      </c>
      <c r="D171" s="135">
        <v>16.649999999999999</v>
      </c>
      <c r="E171" s="314">
        <f t="shared" si="5"/>
        <v>0</v>
      </c>
      <c r="F171" s="398"/>
    </row>
    <row r="172" spans="1:6" ht="18" hidden="1" customHeight="1">
      <c r="A172" s="136" t="s">
        <v>194</v>
      </c>
      <c r="B172" s="135">
        <f>OTTAWA!BA18</f>
        <v>0</v>
      </c>
      <c r="C172" s="135" t="s">
        <v>22</v>
      </c>
      <c r="D172" s="135">
        <v>16.649999999999999</v>
      </c>
      <c r="E172" s="314">
        <f t="shared" si="5"/>
        <v>0</v>
      </c>
      <c r="F172" s="398"/>
    </row>
    <row r="173" spans="1:6" ht="18" hidden="1" customHeight="1">
      <c r="A173" s="136" t="s">
        <v>195</v>
      </c>
      <c r="B173" s="135">
        <f>OTTAWA!BC18</f>
        <v>0</v>
      </c>
      <c r="C173" s="135" t="s">
        <v>22</v>
      </c>
      <c r="D173" s="135">
        <v>16.649999999999999</v>
      </c>
      <c r="E173" s="314">
        <f t="shared" si="5"/>
        <v>0</v>
      </c>
      <c r="F173" s="398"/>
    </row>
    <row r="174" spans="1:6" ht="18" hidden="1" customHeight="1">
      <c r="A174" s="136" t="s">
        <v>196</v>
      </c>
      <c r="B174" s="135">
        <f>OTTAWA!BG18</f>
        <v>0</v>
      </c>
      <c r="C174" s="135" t="s">
        <v>22</v>
      </c>
      <c r="D174" s="135">
        <v>16.649999999999999</v>
      </c>
      <c r="E174" s="314">
        <f t="shared" si="5"/>
        <v>0</v>
      </c>
      <c r="F174" s="398"/>
    </row>
    <row r="175" spans="1:6" ht="18" hidden="1" customHeight="1">
      <c r="A175" s="136" t="s">
        <v>197</v>
      </c>
      <c r="B175" s="135">
        <f>OTTAWA!BD18</f>
        <v>0</v>
      </c>
      <c r="C175" s="135" t="s">
        <v>22</v>
      </c>
      <c r="D175" s="135">
        <v>16.649999999999999</v>
      </c>
      <c r="E175" s="314">
        <f t="shared" si="5"/>
        <v>0</v>
      </c>
      <c r="F175" s="398"/>
    </row>
    <row r="176" spans="1:6" ht="18" hidden="1" customHeight="1">
      <c r="A176" s="396" t="s">
        <v>198</v>
      </c>
      <c r="B176" s="135">
        <f>OTTAWA!BI18</f>
        <v>0</v>
      </c>
      <c r="C176" s="135" t="s">
        <v>22</v>
      </c>
      <c r="D176" s="135">
        <v>16.649999999999999</v>
      </c>
      <c r="E176" s="314">
        <f t="shared" si="5"/>
        <v>0</v>
      </c>
      <c r="F176" s="398"/>
    </row>
    <row r="177" spans="1:6" ht="18" hidden="1" customHeight="1">
      <c r="A177" s="517" t="s">
        <v>200</v>
      </c>
      <c r="B177" s="481">
        <f>OTTAWA!BJ18</f>
        <v>0</v>
      </c>
      <c r="C177" s="481" t="s">
        <v>22</v>
      </c>
      <c r="D177" s="481">
        <v>16.649999999999999</v>
      </c>
      <c r="E177" s="482">
        <f t="shared" si="5"/>
        <v>0</v>
      </c>
      <c r="F177" s="398"/>
    </row>
    <row r="178" spans="1:6" ht="18" hidden="1" customHeight="1">
      <c r="A178" s="396" t="s">
        <v>148</v>
      </c>
      <c r="B178" s="135">
        <f>OTTAWA!BL18</f>
        <v>0</v>
      </c>
      <c r="C178" s="135" t="s">
        <v>22</v>
      </c>
      <c r="D178" s="135">
        <v>20</v>
      </c>
      <c r="E178" s="314">
        <f t="shared" si="5"/>
        <v>0</v>
      </c>
      <c r="F178" s="398"/>
    </row>
    <row r="179" spans="1:6" ht="18" hidden="1" customHeight="1">
      <c r="A179" s="396" t="s">
        <v>201</v>
      </c>
      <c r="B179" s="135">
        <f>OTTAWA!P18</f>
        <v>0</v>
      </c>
      <c r="C179" s="135" t="s">
        <v>22</v>
      </c>
      <c r="D179" s="135">
        <v>16.649999999999999</v>
      </c>
      <c r="E179" s="314">
        <f t="shared" si="5"/>
        <v>0</v>
      </c>
      <c r="F179" s="398"/>
    </row>
    <row r="180" spans="1:6" ht="18" hidden="1" customHeight="1">
      <c r="A180" s="437"/>
      <c r="B180" s="419"/>
      <c r="C180" s="419"/>
      <c r="D180" s="419"/>
      <c r="E180" s="420"/>
      <c r="F180" s="398"/>
    </row>
    <row r="181" spans="1:6" ht="18" hidden="1" customHeight="1">
      <c r="A181" s="427" t="s">
        <v>203</v>
      </c>
      <c r="B181" s="415">
        <f>SUM(B117:B180)</f>
        <v>0</v>
      </c>
      <c r="C181" s="415"/>
      <c r="D181" s="415"/>
      <c r="E181" s="415"/>
      <c r="F181" s="398"/>
    </row>
    <row r="182" spans="1:6" ht="18" hidden="1" customHeight="1">
      <c r="A182" s="136"/>
      <c r="B182" s="135"/>
      <c r="C182" s="135"/>
      <c r="D182" s="135"/>
      <c r="E182" s="314"/>
      <c r="F182" s="398"/>
    </row>
    <row r="183" spans="1:6" ht="18" hidden="1" customHeight="1">
      <c r="A183" s="418" t="s">
        <v>206</v>
      </c>
      <c r="B183" s="419"/>
      <c r="C183" s="419"/>
      <c r="D183" s="419"/>
      <c r="E183" s="420"/>
      <c r="F183" s="398"/>
    </row>
    <row r="184" spans="1:6" ht="18" hidden="1" customHeight="1">
      <c r="A184" s="136" t="s">
        <v>207</v>
      </c>
      <c r="B184" s="135">
        <f>GTA!R129</f>
        <v>0</v>
      </c>
      <c r="C184" s="135" t="s">
        <v>22</v>
      </c>
      <c r="D184" s="135">
        <v>16.649999999999999</v>
      </c>
      <c r="E184" s="314">
        <f t="shared" ref="E184:E215" si="6">B184*D184</f>
        <v>0</v>
      </c>
      <c r="F184" s="398" t="s">
        <v>206</v>
      </c>
    </row>
    <row r="185" spans="1:6" ht="18" hidden="1" customHeight="1">
      <c r="A185" s="134" t="s">
        <v>462</v>
      </c>
      <c r="B185" s="135">
        <f>GTA!E129</f>
        <v>0</v>
      </c>
      <c r="C185" s="135" t="s">
        <v>22</v>
      </c>
      <c r="D185" s="135">
        <v>16.649999999999999</v>
      </c>
      <c r="E185" s="314">
        <f t="shared" si="6"/>
        <v>0</v>
      </c>
      <c r="F185" s="398" t="s">
        <v>206</v>
      </c>
    </row>
    <row r="186" spans="1:6" ht="18" hidden="1" customHeight="1">
      <c r="A186" s="136" t="s">
        <v>463</v>
      </c>
      <c r="B186" s="135">
        <f>GTA!D129</f>
        <v>0</v>
      </c>
      <c r="C186" s="135" t="s">
        <v>22</v>
      </c>
      <c r="D186" s="135">
        <v>16.649999999999999</v>
      </c>
      <c r="E186" s="314">
        <f t="shared" si="6"/>
        <v>0</v>
      </c>
      <c r="F186" s="398" t="s">
        <v>206</v>
      </c>
    </row>
    <row r="187" spans="1:6" ht="18" hidden="1" customHeight="1">
      <c r="A187" s="134" t="s">
        <v>215</v>
      </c>
      <c r="B187" s="135">
        <f>GTA!S129</f>
        <v>0</v>
      </c>
      <c r="C187" s="135" t="s">
        <v>22</v>
      </c>
      <c r="D187" s="135">
        <v>16.649999999999999</v>
      </c>
      <c r="E187" s="314">
        <f t="shared" si="6"/>
        <v>0</v>
      </c>
      <c r="F187" s="398" t="s">
        <v>206</v>
      </c>
    </row>
    <row r="188" spans="1:6" ht="18" hidden="1" customHeight="1">
      <c r="A188" s="134" t="s">
        <v>218</v>
      </c>
      <c r="B188" s="135">
        <f>GTA!T129</f>
        <v>0</v>
      </c>
      <c r="C188" s="135" t="s">
        <v>22</v>
      </c>
      <c r="D188" s="135">
        <v>16.649999999999999</v>
      </c>
      <c r="E188" s="314">
        <f t="shared" si="6"/>
        <v>0</v>
      </c>
      <c r="F188" s="398" t="s">
        <v>206</v>
      </c>
    </row>
    <row r="189" spans="1:6" ht="18" hidden="1" customHeight="1">
      <c r="A189" s="134" t="s">
        <v>219</v>
      </c>
      <c r="B189" s="135">
        <f>GTA!U129</f>
        <v>0</v>
      </c>
      <c r="C189" s="135" t="s">
        <v>22</v>
      </c>
      <c r="D189" s="135">
        <v>16.649999999999999</v>
      </c>
      <c r="E189" s="314">
        <f t="shared" si="6"/>
        <v>0</v>
      </c>
      <c r="F189" s="398" t="s">
        <v>206</v>
      </c>
    </row>
    <row r="190" spans="1:6" ht="18" hidden="1" customHeight="1">
      <c r="A190" s="134" t="s">
        <v>717</v>
      </c>
      <c r="B190" s="135">
        <f>GTA!V129</f>
        <v>0</v>
      </c>
      <c r="C190" s="135" t="s">
        <v>22</v>
      </c>
      <c r="D190" s="135">
        <v>16.649999999999999</v>
      </c>
      <c r="E190" s="314">
        <f t="shared" si="6"/>
        <v>0</v>
      </c>
      <c r="F190" s="398" t="s">
        <v>206</v>
      </c>
    </row>
    <row r="191" spans="1:6" ht="18" hidden="1" customHeight="1">
      <c r="A191" s="134" t="s">
        <v>211</v>
      </c>
      <c r="B191" s="135">
        <f>GTA!I129</f>
        <v>0</v>
      </c>
      <c r="C191" s="135" t="s">
        <v>22</v>
      </c>
      <c r="D191" s="135">
        <v>16.649999999999999</v>
      </c>
      <c r="E191" s="314">
        <f t="shared" si="6"/>
        <v>0</v>
      </c>
      <c r="F191" s="398" t="s">
        <v>206</v>
      </c>
    </row>
    <row r="192" spans="1:6" ht="18" hidden="1" customHeight="1">
      <c r="A192" s="134" t="s">
        <v>213</v>
      </c>
      <c r="B192" s="135">
        <f>GTA!M129</f>
        <v>0</v>
      </c>
      <c r="C192" s="135" t="s">
        <v>22</v>
      </c>
      <c r="D192" s="135">
        <v>16.649999999999999</v>
      </c>
      <c r="E192" s="314">
        <f t="shared" si="6"/>
        <v>0</v>
      </c>
      <c r="F192" s="398" t="s">
        <v>206</v>
      </c>
    </row>
    <row r="193" spans="1:6" ht="18" hidden="1" customHeight="1">
      <c r="A193" s="136" t="s">
        <v>222</v>
      </c>
      <c r="B193" s="135">
        <f>GTA!C129</f>
        <v>0</v>
      </c>
      <c r="C193" s="135" t="s">
        <v>22</v>
      </c>
      <c r="D193" s="135">
        <v>16.649999999999999</v>
      </c>
      <c r="E193" s="314">
        <f t="shared" si="6"/>
        <v>0</v>
      </c>
      <c r="F193" s="398" t="s">
        <v>206</v>
      </c>
    </row>
    <row r="194" spans="1:6" ht="18" hidden="1" customHeight="1">
      <c r="A194" s="134" t="s">
        <v>224</v>
      </c>
      <c r="B194" s="135">
        <f>GTA!X129</f>
        <v>0</v>
      </c>
      <c r="C194" s="135" t="s">
        <v>22</v>
      </c>
      <c r="D194" s="135">
        <v>16.649999999999999</v>
      </c>
      <c r="E194" s="314">
        <f t="shared" si="6"/>
        <v>0</v>
      </c>
      <c r="F194" s="398" t="s">
        <v>206</v>
      </c>
    </row>
    <row r="195" spans="1:6" ht="18" hidden="1" customHeight="1">
      <c r="A195" s="398" t="s">
        <v>718</v>
      </c>
      <c r="B195" s="135">
        <f>GTA!N129</f>
        <v>0</v>
      </c>
      <c r="C195" s="135" t="s">
        <v>22</v>
      </c>
      <c r="D195" s="135">
        <v>16.649999999999999</v>
      </c>
      <c r="E195" s="314">
        <f t="shared" si="6"/>
        <v>0</v>
      </c>
      <c r="F195" s="398" t="s">
        <v>206</v>
      </c>
    </row>
    <row r="196" spans="1:6" ht="18" hidden="1" customHeight="1">
      <c r="A196" s="398" t="s">
        <v>719</v>
      </c>
      <c r="B196" s="135">
        <f>GTA!O129</f>
        <v>0</v>
      </c>
      <c r="C196" s="135" t="s">
        <v>22</v>
      </c>
      <c r="D196" s="135">
        <v>16.649999999999999</v>
      </c>
      <c r="E196" s="314">
        <f t="shared" si="6"/>
        <v>0</v>
      </c>
      <c r="F196" s="398" t="s">
        <v>206</v>
      </c>
    </row>
    <row r="197" spans="1:6" ht="18" hidden="1" customHeight="1">
      <c r="A197" s="136" t="s">
        <v>225</v>
      </c>
      <c r="B197" s="135">
        <f>GTA!Y129</f>
        <v>0</v>
      </c>
      <c r="C197" s="135" t="s">
        <v>22</v>
      </c>
      <c r="D197" s="135">
        <v>16.649999999999999</v>
      </c>
      <c r="E197" s="314">
        <f t="shared" si="6"/>
        <v>0</v>
      </c>
      <c r="F197" s="398" t="s">
        <v>206</v>
      </c>
    </row>
    <row r="198" spans="1:6" ht="18" hidden="1" customHeight="1">
      <c r="A198" s="134" t="s">
        <v>223</v>
      </c>
      <c r="B198" s="135">
        <f>GTA!W129</f>
        <v>0</v>
      </c>
      <c r="C198" s="135" t="s">
        <v>22</v>
      </c>
      <c r="D198" s="135">
        <v>16.649999999999999</v>
      </c>
      <c r="E198" s="314">
        <f t="shared" si="6"/>
        <v>0</v>
      </c>
      <c r="F198" s="398" t="s">
        <v>206</v>
      </c>
    </row>
    <row r="199" spans="1:6" ht="18" hidden="1" customHeight="1">
      <c r="A199" s="134" t="s">
        <v>720</v>
      </c>
      <c r="B199" s="135">
        <f>GTA!K129</f>
        <v>0</v>
      </c>
      <c r="C199" s="135" t="s">
        <v>22</v>
      </c>
      <c r="D199" s="135">
        <v>16.649999999999999</v>
      </c>
      <c r="E199" s="314">
        <f t="shared" si="6"/>
        <v>0</v>
      </c>
      <c r="F199" s="398" t="s">
        <v>206</v>
      </c>
    </row>
    <row r="200" spans="1:6" ht="18" customHeight="1">
      <c r="A200" s="134" t="s">
        <v>721</v>
      </c>
      <c r="B200" s="135">
        <f>GTA!J129</f>
        <v>0</v>
      </c>
      <c r="C200" s="135" t="s">
        <v>22</v>
      </c>
      <c r="D200" s="135">
        <v>16.649999999999999</v>
      </c>
      <c r="E200" s="314">
        <f t="shared" si="6"/>
        <v>0</v>
      </c>
      <c r="F200" s="398" t="s">
        <v>206</v>
      </c>
    </row>
    <row r="201" spans="1:6" ht="18" hidden="1" customHeight="1">
      <c r="A201" s="134" t="s">
        <v>227</v>
      </c>
      <c r="B201" s="135">
        <f>GTA!Z129</f>
        <v>0</v>
      </c>
      <c r="C201" s="135" t="s">
        <v>22</v>
      </c>
      <c r="D201" s="135">
        <v>16.649999999999999</v>
      </c>
      <c r="E201" s="314">
        <f t="shared" si="6"/>
        <v>0</v>
      </c>
      <c r="F201" s="398" t="s">
        <v>206</v>
      </c>
    </row>
    <row r="202" spans="1:6" ht="18" hidden="1" customHeight="1">
      <c r="A202" s="134" t="s">
        <v>229</v>
      </c>
      <c r="B202" s="135">
        <f>GTA!F129</f>
        <v>0</v>
      </c>
      <c r="C202" s="135" t="s">
        <v>22</v>
      </c>
      <c r="D202" s="135">
        <v>16.649999999999999</v>
      </c>
      <c r="E202" s="314">
        <f t="shared" si="6"/>
        <v>0</v>
      </c>
      <c r="F202" s="398" t="s">
        <v>206</v>
      </c>
    </row>
    <row r="203" spans="1:6" ht="18" hidden="1" customHeight="1">
      <c r="A203" s="134" t="s">
        <v>231</v>
      </c>
      <c r="B203" s="135">
        <f>GTA!AA129</f>
        <v>0</v>
      </c>
      <c r="C203" s="135" t="s">
        <v>22</v>
      </c>
      <c r="D203" s="135">
        <v>16.649999999999999</v>
      </c>
      <c r="E203" s="314">
        <f t="shared" si="6"/>
        <v>0</v>
      </c>
      <c r="F203" s="398" t="s">
        <v>206</v>
      </c>
    </row>
    <row r="204" spans="1:6" ht="18" hidden="1" customHeight="1">
      <c r="A204" s="134" t="s">
        <v>232</v>
      </c>
      <c r="B204" s="135">
        <f>GTA!AB129</f>
        <v>0</v>
      </c>
      <c r="C204" s="135" t="s">
        <v>22</v>
      </c>
      <c r="D204" s="135">
        <v>16.649999999999999</v>
      </c>
      <c r="E204" s="314">
        <f t="shared" si="6"/>
        <v>0</v>
      </c>
      <c r="F204" s="398" t="s">
        <v>206</v>
      </c>
    </row>
    <row r="205" spans="1:6" ht="18" hidden="1" customHeight="1">
      <c r="A205" s="134" t="s">
        <v>233</v>
      </c>
      <c r="B205" s="135">
        <f>GTA!AC129</f>
        <v>0</v>
      </c>
      <c r="C205" s="135" t="s">
        <v>22</v>
      </c>
      <c r="D205" s="135">
        <v>16.649999999999999</v>
      </c>
      <c r="E205" s="314">
        <f t="shared" si="6"/>
        <v>0</v>
      </c>
      <c r="F205" s="398" t="s">
        <v>206</v>
      </c>
    </row>
    <row r="206" spans="1:6" ht="18" hidden="1" customHeight="1">
      <c r="A206" s="134" t="s">
        <v>447</v>
      </c>
      <c r="B206" s="135">
        <f>GTA!P129</f>
        <v>0</v>
      </c>
      <c r="C206" s="135" t="s">
        <v>22</v>
      </c>
      <c r="D206" s="135">
        <v>16.649999999999999</v>
      </c>
      <c r="E206" s="314">
        <f t="shared" si="6"/>
        <v>0</v>
      </c>
      <c r="F206" s="398" t="s">
        <v>206</v>
      </c>
    </row>
    <row r="207" spans="1:6" ht="18" hidden="1" customHeight="1">
      <c r="A207" s="134" t="s">
        <v>380</v>
      </c>
      <c r="B207" s="135">
        <f>GTA!G129</f>
        <v>0</v>
      </c>
      <c r="C207" s="135" t="s">
        <v>22</v>
      </c>
      <c r="D207" s="135">
        <v>16.649999999999999</v>
      </c>
      <c r="E207" s="314">
        <f t="shared" si="6"/>
        <v>0</v>
      </c>
      <c r="F207" s="398" t="s">
        <v>206</v>
      </c>
    </row>
    <row r="208" spans="1:6" ht="18" hidden="1" customHeight="1">
      <c r="A208" s="134" t="s">
        <v>210</v>
      </c>
      <c r="B208" s="135">
        <f>GTA!L129</f>
        <v>0</v>
      </c>
      <c r="C208" s="135" t="s">
        <v>22</v>
      </c>
      <c r="D208" s="135">
        <v>16.649999999999999</v>
      </c>
      <c r="E208" s="314">
        <f t="shared" si="6"/>
        <v>0</v>
      </c>
      <c r="F208" s="398" t="s">
        <v>206</v>
      </c>
    </row>
    <row r="209" spans="1:6" ht="18" hidden="1" customHeight="1">
      <c r="A209" s="270" t="s">
        <v>385</v>
      </c>
      <c r="B209" s="135">
        <f>GTA!H129</f>
        <v>0</v>
      </c>
      <c r="C209" s="135" t="s">
        <v>22</v>
      </c>
      <c r="D209" s="135">
        <v>16.649999999999999</v>
      </c>
      <c r="E209" s="314">
        <f t="shared" si="6"/>
        <v>0</v>
      </c>
      <c r="F209" s="398" t="s">
        <v>206</v>
      </c>
    </row>
    <row r="210" spans="1:6" ht="18" hidden="1" customHeight="1">
      <c r="A210" s="134" t="s">
        <v>236</v>
      </c>
      <c r="B210" s="135">
        <f>GTA!AD129</f>
        <v>0</v>
      </c>
      <c r="C210" s="135" t="s">
        <v>22</v>
      </c>
      <c r="D210" s="135">
        <v>16.649999999999999</v>
      </c>
      <c r="E210" s="314">
        <f t="shared" si="6"/>
        <v>0</v>
      </c>
      <c r="F210" s="398" t="s">
        <v>206</v>
      </c>
    </row>
    <row r="211" spans="1:6" ht="18" hidden="1" customHeight="1">
      <c r="A211" s="134" t="s">
        <v>237</v>
      </c>
      <c r="B211" s="135">
        <f>GTA!AE129</f>
        <v>0</v>
      </c>
      <c r="C211" s="135" t="s">
        <v>22</v>
      </c>
      <c r="D211" s="135">
        <v>16.649999999999999</v>
      </c>
      <c r="E211" s="314">
        <f t="shared" si="6"/>
        <v>0</v>
      </c>
      <c r="F211" s="398" t="s">
        <v>206</v>
      </c>
    </row>
    <row r="212" spans="1:6" ht="18" hidden="1" customHeight="1">
      <c r="A212" s="134" t="s">
        <v>239</v>
      </c>
      <c r="B212" s="135">
        <f>GTA!Q129</f>
        <v>0</v>
      </c>
      <c r="C212" s="135" t="s">
        <v>22</v>
      </c>
      <c r="D212" s="135">
        <v>16.649999999999999</v>
      </c>
      <c r="E212" s="314">
        <f t="shared" si="6"/>
        <v>0</v>
      </c>
      <c r="F212" s="398" t="s">
        <v>206</v>
      </c>
    </row>
    <row r="213" spans="1:6" ht="18" hidden="1" customHeight="1">
      <c r="A213" s="134" t="s">
        <v>240</v>
      </c>
      <c r="B213" s="135">
        <f>GTA!AF129</f>
        <v>0</v>
      </c>
      <c r="C213" s="135" t="s">
        <v>22</v>
      </c>
      <c r="D213" s="135">
        <v>16.649999999999999</v>
      </c>
      <c r="E213" s="314">
        <f t="shared" si="6"/>
        <v>0</v>
      </c>
      <c r="F213" s="398" t="s">
        <v>206</v>
      </c>
    </row>
    <row r="214" spans="1:6" ht="18" hidden="1" customHeight="1">
      <c r="A214" s="134" t="s">
        <v>241</v>
      </c>
      <c r="B214" s="135">
        <f>GTA!AG129</f>
        <v>0</v>
      </c>
      <c r="C214" s="135" t="s">
        <v>22</v>
      </c>
      <c r="D214" s="135">
        <v>16.649999999999999</v>
      </c>
      <c r="E214" s="314">
        <f t="shared" si="6"/>
        <v>0</v>
      </c>
      <c r="F214" s="398" t="s">
        <v>206</v>
      </c>
    </row>
    <row r="215" spans="1:6" ht="18" hidden="1" customHeight="1">
      <c r="A215" s="134" t="s">
        <v>242</v>
      </c>
      <c r="B215" s="135">
        <f>GTA!AH129</f>
        <v>0</v>
      </c>
      <c r="C215" s="135" t="s">
        <v>22</v>
      </c>
      <c r="D215" s="135">
        <v>16.649999999999999</v>
      </c>
      <c r="E215" s="314">
        <f t="shared" si="6"/>
        <v>0</v>
      </c>
      <c r="F215" s="398" t="s">
        <v>206</v>
      </c>
    </row>
    <row r="216" spans="1:6" ht="18" hidden="1" customHeight="1">
      <c r="A216" s="436"/>
      <c r="B216" s="419"/>
      <c r="C216" s="419"/>
      <c r="D216" s="419"/>
      <c r="E216" s="420"/>
      <c r="F216" s="398"/>
    </row>
    <row r="217" spans="1:6" ht="18" hidden="1" customHeight="1">
      <c r="A217" s="427" t="s">
        <v>243</v>
      </c>
      <c r="B217" s="415">
        <f>SUM(B183:B216)</f>
        <v>0</v>
      </c>
      <c r="C217" s="415"/>
      <c r="D217" s="415"/>
      <c r="E217" s="415"/>
      <c r="F217" s="398"/>
    </row>
    <row r="218" spans="1:6" ht="18" hidden="1" customHeight="1">
      <c r="A218" s="134"/>
      <c r="B218" s="135"/>
      <c r="C218" s="135"/>
      <c r="D218" s="135"/>
      <c r="E218" s="314"/>
      <c r="F218" s="398"/>
    </row>
    <row r="219" spans="1:6" ht="18" hidden="1" customHeight="1">
      <c r="A219" s="415" t="s">
        <v>244</v>
      </c>
      <c r="B219" s="419"/>
      <c r="C219" s="419"/>
      <c r="D219" s="419"/>
      <c r="E219" s="420"/>
      <c r="F219" s="398"/>
    </row>
    <row r="220" spans="1:6" ht="18" hidden="1" customHeight="1">
      <c r="A220" s="136" t="s">
        <v>245</v>
      </c>
      <c r="B220" s="135">
        <f>GTA!C147</f>
        <v>0</v>
      </c>
      <c r="C220" s="135" t="s">
        <v>22</v>
      </c>
      <c r="D220" s="135">
        <v>16.649999999999999</v>
      </c>
      <c r="E220" s="314">
        <f t="shared" ref="E220:E231" si="7">B220*D220</f>
        <v>0</v>
      </c>
      <c r="F220" s="398" t="s">
        <v>244</v>
      </c>
    </row>
    <row r="221" spans="1:6" ht="18" hidden="1" customHeight="1">
      <c r="A221" s="136" t="s">
        <v>246</v>
      </c>
      <c r="B221" s="135">
        <f>GTA!F147</f>
        <v>0</v>
      </c>
      <c r="C221" s="135" t="s">
        <v>22</v>
      </c>
      <c r="D221" s="135">
        <v>16.649999999999999</v>
      </c>
      <c r="E221" s="314">
        <f t="shared" si="7"/>
        <v>0</v>
      </c>
      <c r="F221" s="398" t="s">
        <v>244</v>
      </c>
    </row>
    <row r="222" spans="1:6" ht="18" hidden="1" customHeight="1">
      <c r="A222" s="136" t="s">
        <v>247</v>
      </c>
      <c r="B222" s="135">
        <f>GTA!E147</f>
        <v>0</v>
      </c>
      <c r="C222" s="135" t="s">
        <v>22</v>
      </c>
      <c r="D222" s="135">
        <v>16.649999999999999</v>
      </c>
      <c r="E222" s="314">
        <f t="shared" si="7"/>
        <v>0</v>
      </c>
      <c r="F222" s="398" t="s">
        <v>244</v>
      </c>
    </row>
    <row r="223" spans="1:6" ht="18" hidden="1" customHeight="1">
      <c r="A223" s="136" t="s">
        <v>248</v>
      </c>
      <c r="B223" s="135">
        <f>GTA!D147</f>
        <v>0</v>
      </c>
      <c r="C223" s="135" t="s">
        <v>22</v>
      </c>
      <c r="D223" s="135">
        <v>16.649999999999999</v>
      </c>
      <c r="E223" s="314">
        <f t="shared" si="7"/>
        <v>0</v>
      </c>
      <c r="F223" s="398" t="s">
        <v>244</v>
      </c>
    </row>
    <row r="224" spans="1:6" ht="18" customHeight="1">
      <c r="A224" s="401" t="s">
        <v>249</v>
      </c>
      <c r="B224" s="135">
        <f>GTA!G147</f>
        <v>0</v>
      </c>
      <c r="C224" s="135" t="s">
        <v>22</v>
      </c>
      <c r="D224" s="135">
        <v>16.649999999999999</v>
      </c>
      <c r="E224" s="314">
        <f t="shared" si="7"/>
        <v>0</v>
      </c>
      <c r="F224" s="398" t="s">
        <v>244</v>
      </c>
    </row>
    <row r="225" spans="1:6" ht="18" hidden="1" customHeight="1">
      <c r="A225" s="398" t="s">
        <v>250</v>
      </c>
      <c r="B225" s="135">
        <f>GTA!H147</f>
        <v>0</v>
      </c>
      <c r="C225" s="135" t="s">
        <v>22</v>
      </c>
      <c r="D225" s="135">
        <v>16.649999999999999</v>
      </c>
      <c r="E225" s="314">
        <f t="shared" si="7"/>
        <v>0</v>
      </c>
      <c r="F225" s="398" t="s">
        <v>244</v>
      </c>
    </row>
    <row r="226" spans="1:6" ht="18" hidden="1" customHeight="1">
      <c r="A226" s="136" t="s">
        <v>251</v>
      </c>
      <c r="B226" s="135">
        <f>GTA!J147</f>
        <v>0</v>
      </c>
      <c r="C226" s="135" t="s">
        <v>22</v>
      </c>
      <c r="D226" s="135">
        <v>16.649999999999999</v>
      </c>
      <c r="E226" s="314">
        <f t="shared" si="7"/>
        <v>0</v>
      </c>
      <c r="F226" s="398" t="s">
        <v>244</v>
      </c>
    </row>
    <row r="227" spans="1:6" ht="18" hidden="1" customHeight="1">
      <c r="A227" s="136" t="s">
        <v>252</v>
      </c>
      <c r="B227" s="135">
        <f>GTA!K147</f>
        <v>0</v>
      </c>
      <c r="C227" s="135" t="s">
        <v>22</v>
      </c>
      <c r="D227" s="135">
        <v>16.649999999999999</v>
      </c>
      <c r="E227" s="314">
        <f t="shared" si="7"/>
        <v>0</v>
      </c>
      <c r="F227" s="398" t="s">
        <v>244</v>
      </c>
    </row>
    <row r="228" spans="1:6" ht="18" hidden="1" customHeight="1">
      <c r="A228" s="136" t="s">
        <v>253</v>
      </c>
      <c r="B228" s="135">
        <f>GTA!I147</f>
        <v>0</v>
      </c>
      <c r="C228" s="135" t="s">
        <v>22</v>
      </c>
      <c r="D228" s="135">
        <v>16.649999999999999</v>
      </c>
      <c r="E228" s="314">
        <f t="shared" si="7"/>
        <v>0</v>
      </c>
      <c r="F228" s="398" t="s">
        <v>244</v>
      </c>
    </row>
    <row r="229" spans="1:6" ht="18" hidden="1" customHeight="1">
      <c r="A229" s="136" t="s">
        <v>254</v>
      </c>
      <c r="B229" s="135">
        <f>GTA!L147</f>
        <v>0</v>
      </c>
      <c r="C229" s="135" t="s">
        <v>22</v>
      </c>
      <c r="D229" s="135">
        <v>16.649999999999999</v>
      </c>
      <c r="E229" s="314">
        <f t="shared" si="7"/>
        <v>0</v>
      </c>
      <c r="F229" s="398" t="s">
        <v>244</v>
      </c>
    </row>
    <row r="230" spans="1:6" ht="18" hidden="1" customHeight="1">
      <c r="A230" s="134" t="s">
        <v>255</v>
      </c>
      <c r="B230" s="135">
        <f>GTA!M147</f>
        <v>0</v>
      </c>
      <c r="C230" s="135" t="s">
        <v>22</v>
      </c>
      <c r="D230" s="135">
        <v>20</v>
      </c>
      <c r="E230" s="314">
        <f t="shared" si="7"/>
        <v>0</v>
      </c>
      <c r="F230" s="398" t="s">
        <v>244</v>
      </c>
    </row>
    <row r="231" spans="1:6" ht="18" hidden="1" customHeight="1">
      <c r="A231" s="398" t="s">
        <v>256</v>
      </c>
      <c r="B231" s="135">
        <f>GTA!N147</f>
        <v>0</v>
      </c>
      <c r="C231" s="135" t="s">
        <v>22</v>
      </c>
      <c r="D231" s="135">
        <v>20</v>
      </c>
      <c r="E231" s="314">
        <f t="shared" si="7"/>
        <v>0</v>
      </c>
      <c r="F231" s="398" t="s">
        <v>244</v>
      </c>
    </row>
    <row r="232" spans="1:6" ht="18" hidden="1" customHeight="1">
      <c r="A232" s="439"/>
      <c r="B232" s="419"/>
      <c r="C232" s="419"/>
      <c r="D232" s="419"/>
      <c r="E232" s="420"/>
      <c r="F232" s="398"/>
    </row>
    <row r="233" spans="1:6" ht="18" hidden="1" customHeight="1">
      <c r="A233" s="415" t="s">
        <v>257</v>
      </c>
      <c r="B233" s="415">
        <f>SUM(B219:B232)</f>
        <v>0</v>
      </c>
      <c r="C233" s="417"/>
      <c r="D233" s="417"/>
      <c r="E233" s="417"/>
      <c r="F233" s="398"/>
    </row>
    <row r="234" spans="1:6" ht="18" hidden="1" customHeight="1">
      <c r="A234" s="136"/>
      <c r="B234" s="135"/>
      <c r="C234" s="135"/>
      <c r="D234" s="135"/>
      <c r="E234" s="314"/>
      <c r="F234" s="398"/>
    </row>
    <row r="235" spans="1:6" ht="18" hidden="1" customHeight="1">
      <c r="A235" s="418" t="s">
        <v>258</v>
      </c>
      <c r="B235" s="419"/>
      <c r="C235" s="419"/>
      <c r="D235" s="419"/>
      <c r="E235" s="420"/>
      <c r="F235" s="398"/>
    </row>
    <row r="236" spans="1:6" ht="18" hidden="1" customHeight="1">
      <c r="A236" s="136" t="s">
        <v>259</v>
      </c>
      <c r="B236" s="135">
        <f>OTTAWA!C36</f>
        <v>0</v>
      </c>
      <c r="C236" s="135" t="s">
        <v>22</v>
      </c>
      <c r="D236" s="135">
        <v>16.649999999999999</v>
      </c>
      <c r="E236" s="314">
        <f t="shared" ref="E236:E273" si="8">B236*D236</f>
        <v>0</v>
      </c>
      <c r="F236" s="398"/>
    </row>
    <row r="237" spans="1:6" ht="18" hidden="1" customHeight="1">
      <c r="A237" s="136" t="s">
        <v>260</v>
      </c>
      <c r="B237" s="135">
        <f>OTTAWA!E36</f>
        <v>0</v>
      </c>
      <c r="C237" s="135" t="s">
        <v>22</v>
      </c>
      <c r="D237" s="135">
        <v>16.649999999999999</v>
      </c>
      <c r="E237" s="314">
        <f t="shared" si="8"/>
        <v>0</v>
      </c>
      <c r="F237" s="398"/>
    </row>
    <row r="238" spans="1:6" ht="18" hidden="1" customHeight="1">
      <c r="A238" s="136" t="s">
        <v>261</v>
      </c>
      <c r="B238" s="135">
        <f>OTTAWA!F36</f>
        <v>0</v>
      </c>
      <c r="C238" s="135" t="s">
        <v>22</v>
      </c>
      <c r="D238" s="135">
        <v>16.649999999999999</v>
      </c>
      <c r="E238" s="314">
        <f t="shared" si="8"/>
        <v>0</v>
      </c>
      <c r="F238" s="398"/>
    </row>
    <row r="239" spans="1:6" ht="18" hidden="1" customHeight="1">
      <c r="A239" s="136" t="s">
        <v>262</v>
      </c>
      <c r="B239" s="135">
        <f>OTTAWA!I36</f>
        <v>0</v>
      </c>
      <c r="C239" s="135" t="s">
        <v>22</v>
      </c>
      <c r="D239" s="135">
        <v>16.649999999999999</v>
      </c>
      <c r="E239" s="314">
        <f t="shared" si="8"/>
        <v>0</v>
      </c>
      <c r="F239" s="398"/>
    </row>
    <row r="240" spans="1:6" ht="18" hidden="1" customHeight="1">
      <c r="A240" s="480" t="s">
        <v>131</v>
      </c>
      <c r="B240" s="481">
        <f>OTTAWA!J36</f>
        <v>0</v>
      </c>
      <c r="C240" s="481" t="s">
        <v>22</v>
      </c>
      <c r="D240" s="481">
        <v>16.649999999999999</v>
      </c>
      <c r="E240" s="482">
        <f t="shared" si="8"/>
        <v>0</v>
      </c>
      <c r="F240" s="398"/>
    </row>
    <row r="241" spans="1:6" ht="18" hidden="1" customHeight="1">
      <c r="A241" s="404" t="s">
        <v>132</v>
      </c>
      <c r="B241" s="135">
        <f>OTTAWA!K36</f>
        <v>0</v>
      </c>
      <c r="C241" s="135" t="s">
        <v>22</v>
      </c>
      <c r="D241" s="135">
        <v>16.649999999999999</v>
      </c>
      <c r="E241" s="314">
        <f t="shared" si="8"/>
        <v>0</v>
      </c>
      <c r="F241" s="398"/>
    </row>
    <row r="242" spans="1:6" ht="18" hidden="1" customHeight="1">
      <c r="A242" s="136" t="s">
        <v>133</v>
      </c>
      <c r="B242" s="135">
        <f>OTTAWA!L36</f>
        <v>0</v>
      </c>
      <c r="C242" s="135" t="s">
        <v>22</v>
      </c>
      <c r="D242" s="135">
        <v>16.649999999999999</v>
      </c>
      <c r="E242" s="314">
        <f t="shared" si="8"/>
        <v>0</v>
      </c>
      <c r="F242" s="398"/>
    </row>
    <row r="243" spans="1:6" ht="18" hidden="1" customHeight="1">
      <c r="A243" s="480" t="s">
        <v>134</v>
      </c>
      <c r="B243" s="481">
        <f>OTTAWA!M36</f>
        <v>0</v>
      </c>
      <c r="C243" s="481" t="s">
        <v>22</v>
      </c>
      <c r="D243" s="481">
        <v>16.649999999999999</v>
      </c>
      <c r="E243" s="482">
        <f t="shared" si="8"/>
        <v>0</v>
      </c>
      <c r="F243" s="398"/>
    </row>
    <row r="244" spans="1:6" ht="18" hidden="1" customHeight="1">
      <c r="A244" s="396" t="s">
        <v>137</v>
      </c>
      <c r="B244" s="135">
        <f>OTTAWA!O36</f>
        <v>0</v>
      </c>
      <c r="C244" s="135" t="s">
        <v>22</v>
      </c>
      <c r="D244" s="135">
        <v>16.649999999999999</v>
      </c>
      <c r="E244" s="314">
        <f t="shared" si="8"/>
        <v>0</v>
      </c>
      <c r="F244" s="398"/>
    </row>
    <row r="245" spans="1:6" ht="18" hidden="1" customHeight="1">
      <c r="A245" s="517" t="s">
        <v>263</v>
      </c>
      <c r="B245" s="481">
        <f>OTTAWA!P36</f>
        <v>0</v>
      </c>
      <c r="C245" s="481" t="s">
        <v>22</v>
      </c>
      <c r="D245" s="481">
        <v>16.649999999999999</v>
      </c>
      <c r="E245" s="482">
        <f t="shared" si="8"/>
        <v>0</v>
      </c>
      <c r="F245" s="398"/>
    </row>
    <row r="246" spans="1:6" ht="18" hidden="1" customHeight="1">
      <c r="A246" s="136" t="s">
        <v>264</v>
      </c>
      <c r="B246" s="135">
        <f>OTTAWA!N36</f>
        <v>0</v>
      </c>
      <c r="C246" s="135" t="s">
        <v>22</v>
      </c>
      <c r="D246" s="135">
        <v>16.649999999999999</v>
      </c>
      <c r="E246" s="314">
        <f t="shared" si="8"/>
        <v>0</v>
      </c>
      <c r="F246" s="398"/>
    </row>
    <row r="247" spans="1:6" ht="18" hidden="1" customHeight="1">
      <c r="A247" s="136" t="s">
        <v>142</v>
      </c>
      <c r="B247" s="135">
        <f>OTTAWA!Q36</f>
        <v>0</v>
      </c>
      <c r="C247" s="135" t="s">
        <v>22</v>
      </c>
      <c r="D247" s="135">
        <v>16.649999999999999</v>
      </c>
      <c r="E247" s="314">
        <f t="shared" si="8"/>
        <v>0</v>
      </c>
      <c r="F247" s="398"/>
    </row>
    <row r="248" spans="1:6" ht="18" hidden="1" customHeight="1">
      <c r="A248" s="136" t="s">
        <v>265</v>
      </c>
      <c r="B248" s="135">
        <f>OTTAWA!R36</f>
        <v>0</v>
      </c>
      <c r="C248" s="135" t="s">
        <v>22</v>
      </c>
      <c r="D248" s="135">
        <v>16.649999999999999</v>
      </c>
      <c r="E248" s="314">
        <f t="shared" si="8"/>
        <v>0</v>
      </c>
      <c r="F248" s="398"/>
    </row>
    <row r="249" spans="1:6" ht="18" hidden="1" customHeight="1">
      <c r="A249" s="396" t="s">
        <v>266</v>
      </c>
      <c r="B249" s="135">
        <f>OTTAWA!G36</f>
        <v>0</v>
      </c>
      <c r="C249" s="135" t="s">
        <v>22</v>
      </c>
      <c r="D249" s="135">
        <v>16.649999999999999</v>
      </c>
      <c r="E249" s="314">
        <f t="shared" si="8"/>
        <v>0</v>
      </c>
      <c r="F249" s="398"/>
    </row>
    <row r="250" spans="1:6" ht="18" hidden="1" customHeight="1">
      <c r="A250" s="396" t="s">
        <v>267</v>
      </c>
      <c r="B250" s="135">
        <f>OTTAWA!S36</f>
        <v>0</v>
      </c>
      <c r="C250" s="135" t="s">
        <v>22</v>
      </c>
      <c r="D250" s="135">
        <v>16.649999999999999</v>
      </c>
      <c r="E250" s="314">
        <f t="shared" si="8"/>
        <v>0</v>
      </c>
      <c r="F250" s="398"/>
    </row>
    <row r="251" spans="1:6" ht="18" hidden="1" customHeight="1">
      <c r="A251" s="136" t="s">
        <v>268</v>
      </c>
      <c r="B251" s="135">
        <f>OTTAWA!H36</f>
        <v>0</v>
      </c>
      <c r="C251" s="135" t="s">
        <v>22</v>
      </c>
      <c r="D251" s="135">
        <v>20</v>
      </c>
      <c r="E251" s="314">
        <f t="shared" si="8"/>
        <v>0</v>
      </c>
      <c r="F251" s="398"/>
    </row>
    <row r="252" spans="1:6" ht="18" hidden="1" customHeight="1">
      <c r="A252" s="136" t="s">
        <v>167</v>
      </c>
      <c r="B252" s="135">
        <f>OTTAWA!BB36</f>
        <v>0</v>
      </c>
      <c r="C252" s="135" t="s">
        <v>22</v>
      </c>
      <c r="D252" s="135">
        <v>20</v>
      </c>
      <c r="E252" s="314">
        <f t="shared" si="8"/>
        <v>0</v>
      </c>
      <c r="F252" s="398"/>
    </row>
    <row r="253" spans="1:6" ht="18" hidden="1" customHeight="1">
      <c r="A253" s="136" t="s">
        <v>143</v>
      </c>
      <c r="B253" s="135">
        <f>OTTAWA!T36</f>
        <v>0</v>
      </c>
      <c r="C253" s="135" t="s">
        <v>22</v>
      </c>
      <c r="D253" s="135">
        <v>16.649999999999999</v>
      </c>
      <c r="E253" s="314">
        <f t="shared" si="8"/>
        <v>0</v>
      </c>
      <c r="F253" s="398"/>
    </row>
    <row r="254" spans="1:6" ht="18" hidden="1" customHeight="1">
      <c r="A254" s="136" t="s">
        <v>269</v>
      </c>
      <c r="B254" s="135">
        <f>OTTAWA!V36</f>
        <v>0</v>
      </c>
      <c r="C254" s="135" t="s">
        <v>22</v>
      </c>
      <c r="D254" s="135">
        <v>16.649999999999999</v>
      </c>
      <c r="E254" s="314">
        <f t="shared" si="8"/>
        <v>0</v>
      </c>
      <c r="F254" s="398"/>
    </row>
    <row r="255" spans="1:6" ht="18" hidden="1" customHeight="1">
      <c r="A255" s="480" t="s">
        <v>270</v>
      </c>
      <c r="B255" s="481">
        <f>OTTAWA!U36</f>
        <v>0</v>
      </c>
      <c r="C255" s="481" t="s">
        <v>22</v>
      </c>
      <c r="D255" s="481">
        <v>16.649999999999999</v>
      </c>
      <c r="E255" s="482">
        <f t="shared" si="8"/>
        <v>0</v>
      </c>
      <c r="F255" s="398"/>
    </row>
    <row r="256" spans="1:6" ht="18" hidden="1" customHeight="1">
      <c r="A256" s="136" t="s">
        <v>271</v>
      </c>
      <c r="B256" s="135">
        <f>OTTAWA!W36</f>
        <v>0</v>
      </c>
      <c r="C256" s="135" t="s">
        <v>22</v>
      </c>
      <c r="D256" s="135">
        <v>16.649999999999999</v>
      </c>
      <c r="E256" s="314">
        <f t="shared" si="8"/>
        <v>0</v>
      </c>
      <c r="F256" s="398"/>
    </row>
    <row r="257" spans="1:6" ht="18" hidden="1" customHeight="1">
      <c r="A257" s="136" t="s">
        <v>272</v>
      </c>
      <c r="B257" s="135">
        <f>OTTAWA!X36</f>
        <v>0</v>
      </c>
      <c r="C257" s="135" t="s">
        <v>22</v>
      </c>
      <c r="D257" s="135">
        <v>16.649999999999999</v>
      </c>
      <c r="E257" s="314">
        <f t="shared" si="8"/>
        <v>0</v>
      </c>
      <c r="F257" s="398"/>
    </row>
    <row r="258" spans="1:6" ht="18" hidden="1" customHeight="1">
      <c r="A258" s="136" t="s">
        <v>273</v>
      </c>
      <c r="B258" s="135">
        <f>OTTAWA!Y36</f>
        <v>0</v>
      </c>
      <c r="C258" s="135" t="s">
        <v>22</v>
      </c>
      <c r="D258" s="135">
        <v>16.649999999999999</v>
      </c>
      <c r="E258" s="314">
        <f t="shared" si="8"/>
        <v>0</v>
      </c>
      <c r="F258" s="398"/>
    </row>
    <row r="259" spans="1:6" ht="18" hidden="1" customHeight="1">
      <c r="A259" s="136" t="s">
        <v>149</v>
      </c>
      <c r="B259" s="135">
        <f>OTTAWA!Z36</f>
        <v>0</v>
      </c>
      <c r="C259" s="135" t="s">
        <v>22</v>
      </c>
      <c r="D259" s="135">
        <v>16.649999999999999</v>
      </c>
      <c r="E259" s="314">
        <f t="shared" si="8"/>
        <v>0</v>
      </c>
      <c r="F259" s="398"/>
    </row>
    <row r="260" spans="1:6" ht="18" hidden="1" customHeight="1">
      <c r="A260" s="136" t="s">
        <v>153</v>
      </c>
      <c r="B260" s="135">
        <f>OTTAWA!AA36</f>
        <v>0</v>
      </c>
      <c r="C260" s="135" t="s">
        <v>22</v>
      </c>
      <c r="D260" s="135">
        <v>16.649999999999999</v>
      </c>
      <c r="E260" s="314">
        <f t="shared" si="8"/>
        <v>0</v>
      </c>
      <c r="F260" s="398"/>
    </row>
    <row r="261" spans="1:6" ht="18" hidden="1" customHeight="1">
      <c r="A261" s="317" t="s">
        <v>274</v>
      </c>
      <c r="B261" s="135">
        <f>OTTAWA!AB36</f>
        <v>0</v>
      </c>
      <c r="C261" s="135" t="s">
        <v>22</v>
      </c>
      <c r="D261" s="135">
        <v>16.649999999999999</v>
      </c>
      <c r="E261" s="314">
        <f t="shared" si="8"/>
        <v>0</v>
      </c>
      <c r="F261" s="398"/>
    </row>
    <row r="262" spans="1:6" ht="18" hidden="1" customHeight="1">
      <c r="A262" s="513" t="s">
        <v>155</v>
      </c>
      <c r="B262" s="481">
        <f>OTTAWA!AC36</f>
        <v>0</v>
      </c>
      <c r="C262" s="481" t="s">
        <v>22</v>
      </c>
      <c r="D262" s="481">
        <v>16.649999999999999</v>
      </c>
      <c r="E262" s="482">
        <f t="shared" si="8"/>
        <v>0</v>
      </c>
      <c r="F262" s="398"/>
    </row>
    <row r="263" spans="1:6" ht="18" hidden="1" customHeight="1">
      <c r="A263" s="317" t="s">
        <v>151</v>
      </c>
      <c r="B263" s="135">
        <f>OTTAWA!AE36</f>
        <v>0</v>
      </c>
      <c r="C263" s="135" t="s">
        <v>22</v>
      </c>
      <c r="D263" s="135">
        <v>16.649999999999999</v>
      </c>
      <c r="E263" s="314">
        <f t="shared" si="8"/>
        <v>0</v>
      </c>
      <c r="F263" s="398"/>
    </row>
    <row r="264" spans="1:6" ht="18" hidden="1" customHeight="1">
      <c r="A264" s="136" t="s">
        <v>156</v>
      </c>
      <c r="B264" s="135">
        <f>OTTAWA!AF36</f>
        <v>0</v>
      </c>
      <c r="C264" s="135" t="s">
        <v>22</v>
      </c>
      <c r="D264" s="135">
        <v>16.649999999999999</v>
      </c>
      <c r="E264" s="314">
        <f t="shared" si="8"/>
        <v>0</v>
      </c>
      <c r="F264" s="398"/>
    </row>
    <row r="265" spans="1:6" ht="18" hidden="1" customHeight="1">
      <c r="A265" s="136" t="s">
        <v>275</v>
      </c>
      <c r="B265" s="135">
        <f>OTTAWA!AG36</f>
        <v>0</v>
      </c>
      <c r="C265" s="135" t="s">
        <v>22</v>
      </c>
      <c r="D265" s="135">
        <v>16.649999999999999</v>
      </c>
      <c r="E265" s="314">
        <f t="shared" si="8"/>
        <v>0</v>
      </c>
      <c r="F265" s="398"/>
    </row>
    <row r="266" spans="1:6" ht="18" hidden="1" customHeight="1">
      <c r="A266" s="136" t="s">
        <v>160</v>
      </c>
      <c r="B266" s="135">
        <f>OTTAWA!AI36</f>
        <v>0</v>
      </c>
      <c r="C266" s="135" t="s">
        <v>22</v>
      </c>
      <c r="D266" s="135">
        <v>16.649999999999999</v>
      </c>
      <c r="E266" s="314">
        <f t="shared" si="8"/>
        <v>0</v>
      </c>
      <c r="F266" s="398"/>
    </row>
    <row r="267" spans="1:6" ht="18" hidden="1" customHeight="1">
      <c r="A267" s="136" t="s">
        <v>276</v>
      </c>
      <c r="B267" s="135">
        <f>OTTAWA!AJ36</f>
        <v>0</v>
      </c>
      <c r="C267" s="135" t="s">
        <v>22</v>
      </c>
      <c r="D267" s="135">
        <v>16.649999999999999</v>
      </c>
      <c r="E267" s="314">
        <f t="shared" si="8"/>
        <v>0</v>
      </c>
      <c r="F267" s="398"/>
    </row>
    <row r="268" spans="1:6" ht="18" hidden="1" customHeight="1">
      <c r="A268" s="136" t="s">
        <v>277</v>
      </c>
      <c r="B268" s="135">
        <f>OTTAWA!AK36</f>
        <v>0</v>
      </c>
      <c r="C268" s="135" t="s">
        <v>22</v>
      </c>
      <c r="D268" s="135">
        <v>16.649999999999999</v>
      </c>
      <c r="E268" s="314">
        <f t="shared" si="8"/>
        <v>0</v>
      </c>
      <c r="F268" s="398"/>
    </row>
    <row r="269" spans="1:6" ht="18" hidden="1" customHeight="1">
      <c r="A269" s="480" t="s">
        <v>278</v>
      </c>
      <c r="B269" s="481">
        <f>OTTAWA!AL36</f>
        <v>0</v>
      </c>
      <c r="C269" s="481" t="s">
        <v>22</v>
      </c>
      <c r="D269" s="481">
        <v>16.649999999999999</v>
      </c>
      <c r="E269" s="482">
        <f t="shared" si="8"/>
        <v>0</v>
      </c>
      <c r="F269" s="398"/>
    </row>
    <row r="270" spans="1:6" ht="18" hidden="1" customHeight="1">
      <c r="A270" s="136" t="s">
        <v>279</v>
      </c>
      <c r="B270" s="135">
        <f>OTTAWA!AM36</f>
        <v>0</v>
      </c>
      <c r="C270" s="135" t="s">
        <v>22</v>
      </c>
      <c r="D270" s="135"/>
      <c r="E270" s="314">
        <f t="shared" si="8"/>
        <v>0</v>
      </c>
      <c r="F270" s="398"/>
    </row>
    <row r="271" spans="1:6" ht="18" hidden="1" customHeight="1">
      <c r="A271" s="480" t="s">
        <v>280</v>
      </c>
      <c r="B271" s="481">
        <f>OTTAWA!AN36</f>
        <v>0</v>
      </c>
      <c r="C271" s="481" t="s">
        <v>22</v>
      </c>
      <c r="D271" s="481">
        <v>16.649999999999999</v>
      </c>
      <c r="E271" s="482">
        <f t="shared" si="8"/>
        <v>0</v>
      </c>
      <c r="F271" s="398"/>
    </row>
    <row r="272" spans="1:6" ht="18" hidden="1" customHeight="1">
      <c r="A272" s="480" t="s">
        <v>281</v>
      </c>
      <c r="B272" s="481">
        <f>OTTAWA!AO36</f>
        <v>0</v>
      </c>
      <c r="C272" s="481" t="s">
        <v>22</v>
      </c>
      <c r="D272" s="481">
        <v>16.649999999999999</v>
      </c>
      <c r="E272" s="482">
        <f t="shared" si="8"/>
        <v>0</v>
      </c>
      <c r="F272" s="398"/>
    </row>
    <row r="273" spans="1:6" ht="18" hidden="1" customHeight="1">
      <c r="A273" s="480" t="s">
        <v>282</v>
      </c>
      <c r="B273" s="481">
        <f>OTTAWA!AU36</f>
        <v>0</v>
      </c>
      <c r="C273" s="481" t="s">
        <v>22</v>
      </c>
      <c r="D273" s="481">
        <v>18</v>
      </c>
      <c r="E273" s="482">
        <f t="shared" si="8"/>
        <v>0</v>
      </c>
      <c r="F273" s="398"/>
    </row>
    <row r="274" spans="1:6" ht="18" hidden="1" customHeight="1">
      <c r="A274" s="270" t="s">
        <v>283</v>
      </c>
      <c r="B274" s="272">
        <f>OTTAWA!AP36</f>
        <v>0</v>
      </c>
      <c r="C274" s="272" t="s">
        <v>22</v>
      </c>
      <c r="D274" s="272">
        <v>16.649999999999999</v>
      </c>
      <c r="E274" s="300">
        <f>D274*B274</f>
        <v>0</v>
      </c>
      <c r="F274" s="398"/>
    </row>
    <row r="275" spans="1:6" ht="18" hidden="1" customHeight="1">
      <c r="A275" s="136" t="s">
        <v>284</v>
      </c>
      <c r="B275" s="135">
        <f>OTTAWA!AQ36</f>
        <v>0</v>
      </c>
      <c r="C275" s="135" t="s">
        <v>22</v>
      </c>
      <c r="D275" s="135">
        <v>16.649999999999999</v>
      </c>
      <c r="E275" s="314">
        <f t="shared" ref="E275:E308" si="9">B275*D275</f>
        <v>0</v>
      </c>
      <c r="F275" s="398"/>
    </row>
    <row r="276" spans="1:6" ht="18" hidden="1" customHeight="1">
      <c r="A276" s="480" t="s">
        <v>285</v>
      </c>
      <c r="B276" s="481">
        <f>OTTAWA!AT36</f>
        <v>0</v>
      </c>
      <c r="C276" s="481" t="s">
        <v>22</v>
      </c>
      <c r="D276" s="481">
        <v>16.649999999999999</v>
      </c>
      <c r="E276" s="482">
        <f t="shared" si="9"/>
        <v>0</v>
      </c>
      <c r="F276" s="398"/>
    </row>
    <row r="277" spans="1:6" ht="18" hidden="1" customHeight="1">
      <c r="A277" s="136" t="s">
        <v>286</v>
      </c>
      <c r="B277" s="135">
        <f>OTTAWA!AR36</f>
        <v>0</v>
      </c>
      <c r="C277" s="135" t="s">
        <v>22</v>
      </c>
      <c r="D277" s="135">
        <v>16.649999999999999</v>
      </c>
      <c r="E277" s="314">
        <f t="shared" si="9"/>
        <v>0</v>
      </c>
      <c r="F277" s="398"/>
    </row>
    <row r="278" spans="1:6" ht="18" hidden="1" customHeight="1">
      <c r="A278" s="136" t="s">
        <v>147</v>
      </c>
      <c r="B278" s="135">
        <f>OTTAWA!AS36</f>
        <v>0</v>
      </c>
      <c r="C278" s="135" t="s">
        <v>22</v>
      </c>
      <c r="D278" s="135">
        <v>16.649999999999999</v>
      </c>
      <c r="E278" s="314">
        <f t="shared" si="9"/>
        <v>0</v>
      </c>
      <c r="F278" s="398"/>
    </row>
    <row r="279" spans="1:6" ht="18" hidden="1" customHeight="1">
      <c r="A279" s="136" t="s">
        <v>171</v>
      </c>
      <c r="B279" s="135">
        <f>OTTAWA!AW36</f>
        <v>0</v>
      </c>
      <c r="C279" s="135" t="s">
        <v>22</v>
      </c>
      <c r="D279" s="135">
        <v>16.649999999999999</v>
      </c>
      <c r="E279" s="314">
        <f t="shared" si="9"/>
        <v>0</v>
      </c>
      <c r="F279" s="398"/>
    </row>
    <row r="280" spans="1:6" ht="18" hidden="1" customHeight="1">
      <c r="A280" s="136" t="s">
        <v>287</v>
      </c>
      <c r="B280" s="135">
        <f>OTTAWA!AV36</f>
        <v>0</v>
      </c>
      <c r="C280" s="135" t="s">
        <v>22</v>
      </c>
      <c r="D280" s="135">
        <v>16.649999999999999</v>
      </c>
      <c r="E280" s="314">
        <f t="shared" si="9"/>
        <v>0</v>
      </c>
      <c r="F280" s="398"/>
    </row>
    <row r="281" spans="1:6" ht="18" hidden="1" customHeight="1">
      <c r="A281" s="136" t="s">
        <v>288</v>
      </c>
      <c r="B281" s="135">
        <f>OTTAWA!AX36</f>
        <v>0</v>
      </c>
      <c r="C281" s="135" t="s">
        <v>22</v>
      </c>
      <c r="D281" s="135">
        <v>16.649999999999999</v>
      </c>
      <c r="E281" s="314">
        <f t="shared" si="9"/>
        <v>0</v>
      </c>
      <c r="F281" s="398"/>
    </row>
    <row r="282" spans="1:6" ht="18" hidden="1" customHeight="1">
      <c r="A282" s="396" t="s">
        <v>289</v>
      </c>
      <c r="B282" s="135">
        <f>OTTAWA!AY36</f>
        <v>0</v>
      </c>
      <c r="C282" s="135" t="s">
        <v>22</v>
      </c>
      <c r="D282" s="135">
        <v>16.649999999999999</v>
      </c>
      <c r="E282" s="314">
        <f t="shared" si="9"/>
        <v>0</v>
      </c>
      <c r="F282" s="398"/>
    </row>
    <row r="283" spans="1:6" ht="18" hidden="1" customHeight="1">
      <c r="A283" s="136" t="s">
        <v>290</v>
      </c>
      <c r="B283" s="135">
        <f>OTTAWA!AZ36</f>
        <v>0</v>
      </c>
      <c r="C283" s="135" t="s">
        <v>22</v>
      </c>
      <c r="D283" s="135">
        <v>16.649999999999999</v>
      </c>
      <c r="E283" s="314">
        <f t="shared" si="9"/>
        <v>0</v>
      </c>
      <c r="F283" s="398"/>
    </row>
    <row r="284" spans="1:6" ht="18" hidden="1" customHeight="1">
      <c r="A284" s="136" t="s">
        <v>291</v>
      </c>
      <c r="B284" s="135">
        <f>OTTAWA!BA36</f>
        <v>0</v>
      </c>
      <c r="C284" s="135" t="s">
        <v>22</v>
      </c>
      <c r="D284" s="135">
        <v>16.649999999999999</v>
      </c>
      <c r="E284" s="314">
        <f t="shared" si="9"/>
        <v>0</v>
      </c>
      <c r="F284" s="398"/>
    </row>
    <row r="285" spans="1:6" ht="18" hidden="1" customHeight="1">
      <c r="A285" s="136" t="s">
        <v>292</v>
      </c>
      <c r="B285" s="135">
        <f>OTTAWA!BC36</f>
        <v>0</v>
      </c>
      <c r="C285" s="135" t="s">
        <v>22</v>
      </c>
      <c r="D285" s="135">
        <v>16.649999999999999</v>
      </c>
      <c r="E285" s="314">
        <f t="shared" si="9"/>
        <v>0</v>
      </c>
      <c r="F285" s="398"/>
    </row>
    <row r="286" spans="1:6" ht="18" hidden="1" customHeight="1">
      <c r="A286" s="136" t="s">
        <v>293</v>
      </c>
      <c r="B286" s="135">
        <f>OTTAWA!BD36</f>
        <v>0</v>
      </c>
      <c r="C286" s="135" t="s">
        <v>22</v>
      </c>
      <c r="D286" s="135">
        <v>16.649999999999999</v>
      </c>
      <c r="E286" s="314">
        <f t="shared" si="9"/>
        <v>0</v>
      </c>
      <c r="F286" s="398"/>
    </row>
    <row r="287" spans="1:6" ht="18" hidden="1" customHeight="1">
      <c r="A287" s="136" t="s">
        <v>175</v>
      </c>
      <c r="B287" s="135">
        <f>OTTAWA!BE36</f>
        <v>0</v>
      </c>
      <c r="C287" s="135" t="s">
        <v>22</v>
      </c>
      <c r="D287" s="135">
        <v>16.649999999999999</v>
      </c>
      <c r="E287" s="314">
        <f t="shared" si="9"/>
        <v>0</v>
      </c>
      <c r="F287" s="398"/>
    </row>
    <row r="288" spans="1:6" ht="18" hidden="1" customHeight="1">
      <c r="A288" s="136" t="s">
        <v>177</v>
      </c>
      <c r="B288" s="135">
        <f>OTTAWA!BF36</f>
        <v>0</v>
      </c>
      <c r="C288" s="135" t="s">
        <v>22</v>
      </c>
      <c r="D288" s="135">
        <v>16.649999999999999</v>
      </c>
      <c r="E288" s="314">
        <f t="shared" si="9"/>
        <v>0</v>
      </c>
      <c r="F288" s="398"/>
    </row>
    <row r="289" spans="1:6" ht="18" hidden="1" customHeight="1">
      <c r="A289" s="136" t="s">
        <v>294</v>
      </c>
      <c r="B289" s="135">
        <f>OTTAWA!BG36</f>
        <v>0</v>
      </c>
      <c r="C289" s="135" t="s">
        <v>22</v>
      </c>
      <c r="D289" s="135">
        <v>16.649999999999999</v>
      </c>
      <c r="E289" s="314">
        <f t="shared" si="9"/>
        <v>0</v>
      </c>
      <c r="F289" s="398"/>
    </row>
    <row r="290" spans="1:6" ht="18" hidden="1" customHeight="1">
      <c r="A290" s="480" t="s">
        <v>295</v>
      </c>
      <c r="B290" s="481">
        <f>OTTAWA!BH36</f>
        <v>0</v>
      </c>
      <c r="C290" s="481" t="s">
        <v>22</v>
      </c>
      <c r="D290" s="481">
        <v>16.649999999999999</v>
      </c>
      <c r="E290" s="482">
        <f t="shared" si="9"/>
        <v>0</v>
      </c>
      <c r="F290" s="398"/>
    </row>
    <row r="291" spans="1:6" ht="18" hidden="1" customHeight="1">
      <c r="A291" s="136" t="s">
        <v>296</v>
      </c>
      <c r="B291" s="135">
        <f>OTTAWA!BI36</f>
        <v>0</v>
      </c>
      <c r="C291" s="135" t="s">
        <v>22</v>
      </c>
      <c r="D291" s="135">
        <v>16.649999999999999</v>
      </c>
      <c r="E291" s="314">
        <f t="shared" si="9"/>
        <v>0</v>
      </c>
      <c r="F291" s="398"/>
    </row>
    <row r="292" spans="1:6" ht="18" hidden="1" customHeight="1">
      <c r="A292" s="136" t="s">
        <v>179</v>
      </c>
      <c r="B292" s="135">
        <f>OTTAWA!BJ36</f>
        <v>0</v>
      </c>
      <c r="C292" s="135" t="s">
        <v>22</v>
      </c>
      <c r="D292" s="135">
        <v>16.649999999999999</v>
      </c>
      <c r="E292" s="314">
        <f t="shared" si="9"/>
        <v>0</v>
      </c>
      <c r="F292" s="398"/>
    </row>
    <row r="293" spans="1:6" ht="18" hidden="1" customHeight="1">
      <c r="A293" s="136" t="s">
        <v>297</v>
      </c>
      <c r="B293" s="135">
        <f>OTTAWA!BK36</f>
        <v>0</v>
      </c>
      <c r="C293" s="135" t="s">
        <v>22</v>
      </c>
      <c r="D293" s="135">
        <v>16.649999999999999</v>
      </c>
      <c r="E293" s="314">
        <f t="shared" si="9"/>
        <v>0</v>
      </c>
      <c r="F293" s="398"/>
    </row>
    <row r="294" spans="1:6" ht="18" hidden="1" customHeight="1">
      <c r="A294" s="480" t="s">
        <v>298</v>
      </c>
      <c r="B294" s="481">
        <f>OTTAWA!BL36</f>
        <v>0</v>
      </c>
      <c r="C294" s="481" t="s">
        <v>22</v>
      </c>
      <c r="D294" s="481">
        <v>16.649999999999999</v>
      </c>
      <c r="E294" s="482">
        <f t="shared" si="9"/>
        <v>0</v>
      </c>
      <c r="F294" s="398"/>
    </row>
    <row r="295" spans="1:6" ht="18" hidden="1" customHeight="1">
      <c r="A295" s="136" t="s">
        <v>168</v>
      </c>
      <c r="B295" s="135">
        <f>OTTAWA!AH36</f>
        <v>0</v>
      </c>
      <c r="C295" s="135" t="s">
        <v>22</v>
      </c>
      <c r="D295" s="135">
        <v>16.649999999999999</v>
      </c>
      <c r="E295" s="314">
        <f t="shared" si="9"/>
        <v>0</v>
      </c>
      <c r="F295" s="398"/>
    </row>
    <row r="296" spans="1:6" ht="18" hidden="1" customHeight="1">
      <c r="A296" s="136" t="s">
        <v>299</v>
      </c>
      <c r="B296" s="135">
        <f>OTTAWA!BM36</f>
        <v>0</v>
      </c>
      <c r="C296" s="135" t="s">
        <v>22</v>
      </c>
      <c r="D296" s="135">
        <v>16.649999999999999</v>
      </c>
      <c r="E296" s="314">
        <f t="shared" si="9"/>
        <v>0</v>
      </c>
      <c r="F296" s="398"/>
    </row>
    <row r="297" spans="1:6" ht="18" hidden="1" customHeight="1">
      <c r="A297" s="136" t="s">
        <v>183</v>
      </c>
      <c r="B297" s="135">
        <f>OTTAWA!BO36</f>
        <v>0</v>
      </c>
      <c r="C297" s="135" t="s">
        <v>22</v>
      </c>
      <c r="D297" s="135">
        <v>16.649999999999999</v>
      </c>
      <c r="E297" s="314">
        <f t="shared" si="9"/>
        <v>0</v>
      </c>
      <c r="F297" s="398"/>
    </row>
    <row r="298" spans="1:6" ht="18" hidden="1" customHeight="1">
      <c r="A298" s="136" t="s">
        <v>300</v>
      </c>
      <c r="B298" s="135">
        <f>OTTAWA!BP36</f>
        <v>0</v>
      </c>
      <c r="C298" s="135" t="s">
        <v>22</v>
      </c>
      <c r="D298" s="135"/>
      <c r="E298" s="314">
        <f t="shared" si="9"/>
        <v>0</v>
      </c>
      <c r="F298" s="398"/>
    </row>
    <row r="299" spans="1:6" ht="18" hidden="1" customHeight="1">
      <c r="A299" s="136" t="s">
        <v>188</v>
      </c>
      <c r="B299" s="135">
        <f>OTTAWA!BQ36</f>
        <v>0</v>
      </c>
      <c r="C299" s="135" t="s">
        <v>22</v>
      </c>
      <c r="D299" s="135">
        <v>16.649999999999999</v>
      </c>
      <c r="E299" s="314">
        <f t="shared" si="9"/>
        <v>0</v>
      </c>
      <c r="F299" s="398"/>
    </row>
    <row r="300" spans="1:6" ht="18" hidden="1" customHeight="1">
      <c r="A300" s="136" t="s">
        <v>186</v>
      </c>
      <c r="B300" s="135">
        <f>OTTAWA!BV36</f>
        <v>0</v>
      </c>
      <c r="C300" s="135" t="s">
        <v>22</v>
      </c>
      <c r="D300" s="135">
        <v>16.649999999999999</v>
      </c>
      <c r="E300" s="314">
        <f t="shared" si="9"/>
        <v>0</v>
      </c>
      <c r="F300" s="398"/>
    </row>
    <row r="301" spans="1:6" ht="18" hidden="1" customHeight="1">
      <c r="A301" s="480" t="s">
        <v>301</v>
      </c>
      <c r="B301" s="481">
        <f>OTTAWA!BR36</f>
        <v>0</v>
      </c>
      <c r="C301" s="481" t="s">
        <v>22</v>
      </c>
      <c r="D301" s="481">
        <v>16.649999999999999</v>
      </c>
      <c r="E301" s="482">
        <f t="shared" si="9"/>
        <v>0</v>
      </c>
      <c r="F301" s="398"/>
    </row>
    <row r="302" spans="1:6" ht="18" hidden="1" customHeight="1">
      <c r="A302" s="480" t="s">
        <v>302</v>
      </c>
      <c r="B302" s="481">
        <f>OTTAWA!BS36</f>
        <v>0</v>
      </c>
      <c r="C302" s="481" t="s">
        <v>22</v>
      </c>
      <c r="D302" s="481">
        <v>16.649999999999999</v>
      </c>
      <c r="E302" s="482">
        <f t="shared" si="9"/>
        <v>0</v>
      </c>
      <c r="F302" s="398"/>
    </row>
    <row r="303" spans="1:6" ht="18" hidden="1" customHeight="1">
      <c r="A303" s="136" t="s">
        <v>192</v>
      </c>
      <c r="B303" s="135">
        <f>OTTAWA!BT36</f>
        <v>0</v>
      </c>
      <c r="C303" s="135" t="s">
        <v>22</v>
      </c>
      <c r="D303" s="135">
        <v>16.649999999999999</v>
      </c>
      <c r="E303" s="314">
        <f t="shared" si="9"/>
        <v>0</v>
      </c>
      <c r="F303" s="398"/>
    </row>
    <row r="304" spans="1:6" ht="18" hidden="1" customHeight="1">
      <c r="A304" s="136" t="s">
        <v>303</v>
      </c>
      <c r="B304" s="135">
        <f>OTTAWA!AD36</f>
        <v>0</v>
      </c>
      <c r="C304" s="135" t="s">
        <v>22</v>
      </c>
      <c r="D304" s="135">
        <v>16.649999999999999</v>
      </c>
      <c r="E304" s="314">
        <f t="shared" si="9"/>
        <v>0</v>
      </c>
      <c r="F304" s="398"/>
    </row>
    <row r="305" spans="1:6" ht="18" hidden="1" customHeight="1">
      <c r="A305" s="396" t="s">
        <v>197</v>
      </c>
      <c r="B305" s="135">
        <f>OTTAWA!BU36</f>
        <v>0</v>
      </c>
      <c r="C305" s="135" t="s">
        <v>22</v>
      </c>
      <c r="D305" s="135">
        <v>16.649999999999999</v>
      </c>
      <c r="E305" s="314">
        <f t="shared" si="9"/>
        <v>0</v>
      </c>
      <c r="F305" s="398"/>
    </row>
    <row r="306" spans="1:6" ht="18" hidden="1" customHeight="1">
      <c r="A306" s="396" t="s">
        <v>304</v>
      </c>
      <c r="B306" s="135">
        <f>OTTAWA!BX36</f>
        <v>0</v>
      </c>
      <c r="C306" s="135" t="s">
        <v>22</v>
      </c>
      <c r="D306" s="135">
        <v>16.649999999999999</v>
      </c>
      <c r="E306" s="314">
        <f t="shared" si="9"/>
        <v>0</v>
      </c>
      <c r="F306" s="398"/>
    </row>
    <row r="307" spans="1:6" ht="18" hidden="1" customHeight="1">
      <c r="A307" s="136" t="s">
        <v>305</v>
      </c>
      <c r="B307" s="135">
        <f>OTTAWA!BW36</f>
        <v>0</v>
      </c>
      <c r="C307" s="135" t="s">
        <v>22</v>
      </c>
      <c r="D307" s="135">
        <v>17</v>
      </c>
      <c r="E307" s="314">
        <f t="shared" si="9"/>
        <v>0</v>
      </c>
      <c r="F307" s="398"/>
    </row>
    <row r="308" spans="1:6" ht="18" hidden="1" customHeight="1">
      <c r="A308" s="136" t="s">
        <v>306</v>
      </c>
      <c r="B308" s="135">
        <f>OTTAWA!BY36</f>
        <v>0</v>
      </c>
      <c r="C308" s="135" t="s">
        <v>22</v>
      </c>
      <c r="D308" s="135">
        <v>16.649999999999999</v>
      </c>
      <c r="E308" s="314">
        <f t="shared" si="9"/>
        <v>0</v>
      </c>
      <c r="F308" s="398"/>
    </row>
    <row r="309" spans="1:6" ht="18" hidden="1" customHeight="1">
      <c r="A309" s="136" t="s">
        <v>307</v>
      </c>
      <c r="B309" s="135">
        <f>OTTAWA!BZ36</f>
        <v>0</v>
      </c>
      <c r="C309" s="135" t="s">
        <v>22</v>
      </c>
      <c r="D309" s="135">
        <v>17</v>
      </c>
      <c r="E309" s="314">
        <f>(B309*D309)</f>
        <v>0</v>
      </c>
      <c r="F309" s="398"/>
    </row>
    <row r="310" spans="1:6" ht="18" hidden="1" customHeight="1">
      <c r="A310" s="396" t="s">
        <v>308</v>
      </c>
      <c r="B310" s="135">
        <f>OTTAWA!CA36</f>
        <v>0</v>
      </c>
      <c r="C310" s="135" t="s">
        <v>22</v>
      </c>
      <c r="D310" s="135">
        <v>16.649999999999999</v>
      </c>
      <c r="E310" s="314">
        <f t="shared" ref="E310:E326" si="10">B310*D310</f>
        <v>0</v>
      </c>
      <c r="F310" s="398"/>
    </row>
    <row r="311" spans="1:6" ht="18" hidden="1" customHeight="1">
      <c r="A311" s="517" t="s">
        <v>124</v>
      </c>
      <c r="B311" s="481">
        <f>OTTAWA!CB36</f>
        <v>0</v>
      </c>
      <c r="C311" s="481" t="s">
        <v>22</v>
      </c>
      <c r="D311" s="481">
        <v>16.649999999999999</v>
      </c>
      <c r="E311" s="482">
        <f t="shared" si="10"/>
        <v>0</v>
      </c>
      <c r="F311" s="398"/>
    </row>
    <row r="312" spans="1:6" ht="18" hidden="1" customHeight="1">
      <c r="A312" s="517" t="s">
        <v>309</v>
      </c>
      <c r="B312" s="481">
        <f>OTTAWA!BN36</f>
        <v>0</v>
      </c>
      <c r="C312" s="481" t="s">
        <v>22</v>
      </c>
      <c r="D312" s="481">
        <v>16.649999999999999</v>
      </c>
      <c r="E312" s="482">
        <f t="shared" si="10"/>
        <v>0</v>
      </c>
      <c r="F312" s="398"/>
    </row>
    <row r="313" spans="1:6" ht="18" hidden="1" customHeight="1">
      <c r="A313" s="517" t="s">
        <v>310</v>
      </c>
      <c r="B313" s="481">
        <f>OTTAWA!D36</f>
        <v>0</v>
      </c>
      <c r="C313" s="481" t="s">
        <v>22</v>
      </c>
      <c r="D313" s="481">
        <v>16.649999999999999</v>
      </c>
      <c r="E313" s="482">
        <f t="shared" si="10"/>
        <v>0</v>
      </c>
      <c r="F313" s="398"/>
    </row>
    <row r="314" spans="1:6" ht="18" hidden="1" customHeight="1">
      <c r="A314" s="396" t="s">
        <v>182</v>
      </c>
      <c r="B314" s="135">
        <f>OTTAWA!CC36</f>
        <v>0</v>
      </c>
      <c r="C314" s="135" t="s">
        <v>22</v>
      </c>
      <c r="D314" s="135">
        <v>16.649999999999999</v>
      </c>
      <c r="E314" s="314">
        <f t="shared" si="10"/>
        <v>0</v>
      </c>
      <c r="F314" s="398"/>
    </row>
    <row r="315" spans="1:6" ht="18" hidden="1" customHeight="1">
      <c r="A315" s="396" t="s">
        <v>311</v>
      </c>
      <c r="B315" s="135">
        <f>OTTAWA!CD36</f>
        <v>0</v>
      </c>
      <c r="C315" s="135" t="s">
        <v>22</v>
      </c>
      <c r="D315" s="135">
        <v>16.649999999999999</v>
      </c>
      <c r="E315" s="314">
        <f t="shared" si="10"/>
        <v>0</v>
      </c>
      <c r="F315" s="398"/>
    </row>
    <row r="316" spans="1:6" ht="18" hidden="1" customHeight="1">
      <c r="A316" s="396" t="s">
        <v>312</v>
      </c>
      <c r="B316" s="150">
        <f>OTTAWA!CE36</f>
        <v>0</v>
      </c>
      <c r="C316" s="135" t="s">
        <v>22</v>
      </c>
      <c r="D316" s="135">
        <v>16.649999999999999</v>
      </c>
      <c r="E316" s="314">
        <f t="shared" si="10"/>
        <v>0</v>
      </c>
      <c r="F316" s="398"/>
    </row>
    <row r="317" spans="1:6" ht="18" hidden="1" customHeight="1">
      <c r="A317" s="396" t="s">
        <v>313</v>
      </c>
      <c r="B317" s="135">
        <f>OTTAWA!CF36</f>
        <v>0</v>
      </c>
      <c r="C317" s="135" t="s">
        <v>22</v>
      </c>
      <c r="D317" s="135">
        <v>16.649999999999999</v>
      </c>
      <c r="E317" s="314">
        <f t="shared" si="10"/>
        <v>0</v>
      </c>
      <c r="F317" s="398"/>
    </row>
    <row r="318" spans="1:6" ht="18" hidden="1" customHeight="1">
      <c r="A318" s="396" t="s">
        <v>314</v>
      </c>
      <c r="B318" s="135">
        <f>OTTAWA!CG36</f>
        <v>0</v>
      </c>
      <c r="C318" s="135" t="s">
        <v>22</v>
      </c>
      <c r="D318" s="135">
        <v>16.649999999999999</v>
      </c>
      <c r="E318" s="314">
        <f t="shared" si="10"/>
        <v>0</v>
      </c>
      <c r="F318" s="398"/>
    </row>
    <row r="319" spans="1:6" ht="18" hidden="1" customHeight="1">
      <c r="A319" s="704" t="s">
        <v>315</v>
      </c>
      <c r="B319" s="481">
        <f>OTTAWA!CH36</f>
        <v>0</v>
      </c>
      <c r="C319" s="481" t="s">
        <v>22</v>
      </c>
      <c r="D319" s="481">
        <v>18</v>
      </c>
      <c r="E319" s="482">
        <f t="shared" si="10"/>
        <v>0</v>
      </c>
      <c r="F319" s="398"/>
    </row>
    <row r="320" spans="1:6" ht="18" hidden="1" customHeight="1">
      <c r="A320" s="517" t="s">
        <v>316</v>
      </c>
      <c r="B320" s="481">
        <f>OTTAWA!CI36</f>
        <v>0</v>
      </c>
      <c r="C320" s="481" t="s">
        <v>22</v>
      </c>
      <c r="D320" s="481">
        <v>16.649999999999999</v>
      </c>
      <c r="E320" s="482">
        <f t="shared" si="10"/>
        <v>0</v>
      </c>
      <c r="F320" s="398"/>
    </row>
    <row r="321" spans="1:6" ht="18" hidden="1" customHeight="1">
      <c r="A321" s="517" t="s">
        <v>146</v>
      </c>
      <c r="B321" s="481">
        <f>OTTAWA!CJ36</f>
        <v>0</v>
      </c>
      <c r="C321" s="481" t="s">
        <v>22</v>
      </c>
      <c r="D321" s="481">
        <v>16.649999999999999</v>
      </c>
      <c r="E321" s="482">
        <f t="shared" si="10"/>
        <v>0</v>
      </c>
      <c r="F321" s="398"/>
    </row>
    <row r="322" spans="1:6" ht="18" hidden="1" customHeight="1">
      <c r="A322" s="517" t="s">
        <v>317</v>
      </c>
      <c r="B322" s="481">
        <f>OTTAWA!CK36</f>
        <v>0</v>
      </c>
      <c r="C322" s="481" t="s">
        <v>22</v>
      </c>
      <c r="D322" s="481">
        <v>16.649999999999999</v>
      </c>
      <c r="E322" s="482">
        <f t="shared" si="10"/>
        <v>0</v>
      </c>
      <c r="F322" s="398"/>
    </row>
    <row r="323" spans="1:6" ht="18" hidden="1" customHeight="1">
      <c r="A323" s="517" t="s">
        <v>113</v>
      </c>
      <c r="B323" s="481">
        <f>OTTAWA!CL36</f>
        <v>0</v>
      </c>
      <c r="C323" s="481" t="s">
        <v>22</v>
      </c>
      <c r="D323" s="481">
        <v>16.649999999999999</v>
      </c>
      <c r="E323" s="482">
        <f t="shared" si="10"/>
        <v>0</v>
      </c>
      <c r="F323" s="398"/>
    </row>
    <row r="324" spans="1:6" ht="18" hidden="1" customHeight="1">
      <c r="A324" s="517" t="s">
        <v>318</v>
      </c>
      <c r="B324" s="481">
        <f>OTTAWA!CM36</f>
        <v>0</v>
      </c>
      <c r="C324" s="481" t="s">
        <v>22</v>
      </c>
      <c r="D324" s="481">
        <v>16.649999999999999</v>
      </c>
      <c r="E324" s="482">
        <f t="shared" si="10"/>
        <v>0</v>
      </c>
      <c r="F324" s="398"/>
    </row>
    <row r="325" spans="1:6" ht="18" hidden="1" customHeight="1">
      <c r="A325" s="517" t="s">
        <v>319</v>
      </c>
      <c r="B325" s="481">
        <f>OTTAWA!CN36</f>
        <v>0</v>
      </c>
      <c r="C325" s="481" t="s">
        <v>22</v>
      </c>
      <c r="D325" s="481">
        <v>16.649999999999999</v>
      </c>
      <c r="E325" s="482">
        <f t="shared" si="10"/>
        <v>0</v>
      </c>
      <c r="F325" s="398"/>
    </row>
    <row r="326" spans="1:6" ht="18" hidden="1" customHeight="1">
      <c r="A326" s="517" t="s">
        <v>320</v>
      </c>
      <c r="B326" s="481">
        <f>OTTAWA!CO36</f>
        <v>0</v>
      </c>
      <c r="C326" s="481" t="s">
        <v>22</v>
      </c>
      <c r="D326" s="481">
        <v>16.649999999999999</v>
      </c>
      <c r="E326" s="482">
        <f t="shared" si="10"/>
        <v>0</v>
      </c>
      <c r="F326" s="398"/>
    </row>
    <row r="327" spans="1:6" ht="18" hidden="1" customHeight="1">
      <c r="A327" s="437"/>
      <c r="B327" s="419"/>
      <c r="C327" s="419"/>
      <c r="D327" s="419"/>
      <c r="E327" s="420"/>
      <c r="F327" s="398"/>
    </row>
    <row r="328" spans="1:6" ht="18" hidden="1" customHeight="1">
      <c r="A328" s="427" t="s">
        <v>321</v>
      </c>
      <c r="B328" s="415">
        <f>SUM(B235:B327)</f>
        <v>0</v>
      </c>
      <c r="C328" s="419"/>
      <c r="D328" s="419"/>
      <c r="E328" s="420"/>
      <c r="F328" s="398"/>
    </row>
    <row r="329" spans="1:6" ht="18" hidden="1" customHeight="1">
      <c r="A329" s="136"/>
      <c r="B329" s="135"/>
      <c r="C329" s="135"/>
      <c r="D329" s="135"/>
      <c r="E329" s="314"/>
      <c r="F329" s="398"/>
    </row>
    <row r="330" spans="1:6" ht="18" hidden="1" customHeight="1">
      <c r="A330" s="418" t="s">
        <v>322</v>
      </c>
      <c r="B330" s="419"/>
      <c r="C330" s="419"/>
      <c r="D330" s="419"/>
      <c r="E330" s="420"/>
      <c r="F330" s="398"/>
    </row>
    <row r="331" spans="1:6" ht="18" hidden="1" customHeight="1">
      <c r="A331" s="134" t="s">
        <v>323</v>
      </c>
      <c r="B331" s="135">
        <f>GTA!F363</f>
        <v>0</v>
      </c>
      <c r="C331" s="135" t="s">
        <v>22</v>
      </c>
      <c r="D331" s="135">
        <v>18</v>
      </c>
      <c r="E331" s="314">
        <f t="shared" ref="E331:E341" si="11">B331*D331</f>
        <v>0</v>
      </c>
      <c r="F331" s="398"/>
    </row>
    <row r="332" spans="1:6" ht="18" hidden="1" customHeight="1">
      <c r="A332" s="134" t="s">
        <v>324</v>
      </c>
      <c r="B332" s="135">
        <f>GTA!C363</f>
        <v>0</v>
      </c>
      <c r="C332" s="135" t="s">
        <v>22</v>
      </c>
      <c r="D332" s="135">
        <v>18</v>
      </c>
      <c r="E332" s="314">
        <f t="shared" si="11"/>
        <v>0</v>
      </c>
      <c r="F332" s="398"/>
    </row>
    <row r="333" spans="1:6" ht="18" hidden="1" customHeight="1">
      <c r="A333" s="134" t="s">
        <v>325</v>
      </c>
      <c r="B333" s="135">
        <f>GTA!D363</f>
        <v>0</v>
      </c>
      <c r="C333" s="135" t="s">
        <v>22</v>
      </c>
      <c r="D333" s="135">
        <v>18</v>
      </c>
      <c r="E333" s="314">
        <f t="shared" si="11"/>
        <v>0</v>
      </c>
      <c r="F333" s="398"/>
    </row>
    <row r="334" spans="1:6" ht="18" hidden="1" customHeight="1">
      <c r="A334" s="134" t="s">
        <v>245</v>
      </c>
      <c r="B334" s="135">
        <f>GTA!J363</f>
        <v>0</v>
      </c>
      <c r="C334" s="135" t="s">
        <v>22</v>
      </c>
      <c r="D334" s="135">
        <v>18</v>
      </c>
      <c r="E334" s="314">
        <f t="shared" si="11"/>
        <v>0</v>
      </c>
      <c r="F334" s="398"/>
    </row>
    <row r="335" spans="1:6" ht="18" hidden="1" customHeight="1">
      <c r="A335" s="284" t="s">
        <v>221</v>
      </c>
      <c r="B335" s="135">
        <f>GTA!E363</f>
        <v>0</v>
      </c>
      <c r="C335" s="135" t="s">
        <v>22</v>
      </c>
      <c r="D335" s="135">
        <v>18</v>
      </c>
      <c r="E335" s="314">
        <f t="shared" si="11"/>
        <v>0</v>
      </c>
      <c r="F335" s="398"/>
    </row>
    <row r="336" spans="1:6" ht="18" hidden="1" customHeight="1">
      <c r="A336" s="134" t="s">
        <v>326</v>
      </c>
      <c r="B336" s="135">
        <f>GTA!G363</f>
        <v>0</v>
      </c>
      <c r="C336" s="135" t="s">
        <v>22</v>
      </c>
      <c r="D336" s="135">
        <v>18</v>
      </c>
      <c r="E336" s="314">
        <f t="shared" si="11"/>
        <v>0</v>
      </c>
      <c r="F336" s="398"/>
    </row>
    <row r="337" spans="1:6" ht="18" hidden="1" customHeight="1">
      <c r="A337" s="134" t="s">
        <v>327</v>
      </c>
      <c r="B337" s="135">
        <f>GTA!H363</f>
        <v>0</v>
      </c>
      <c r="C337" s="135" t="s">
        <v>22</v>
      </c>
      <c r="D337" s="135">
        <v>18</v>
      </c>
      <c r="E337" s="314">
        <f t="shared" si="11"/>
        <v>0</v>
      </c>
      <c r="F337" s="398"/>
    </row>
    <row r="338" spans="1:6" ht="18" hidden="1" customHeight="1">
      <c r="A338" s="134" t="s">
        <v>328</v>
      </c>
      <c r="B338" s="135">
        <f>GTA!I352</f>
        <v>0</v>
      </c>
      <c r="C338" s="135" t="s">
        <v>22</v>
      </c>
      <c r="D338" s="135">
        <v>18</v>
      </c>
      <c r="E338" s="314">
        <f t="shared" si="11"/>
        <v>0</v>
      </c>
      <c r="F338" s="398"/>
    </row>
    <row r="339" spans="1:6" ht="18" hidden="1" customHeight="1">
      <c r="A339" s="284" t="s">
        <v>329</v>
      </c>
      <c r="B339" s="135">
        <f>GTA!K363</f>
        <v>0</v>
      </c>
      <c r="C339" s="135" t="s">
        <v>22</v>
      </c>
      <c r="D339" s="135">
        <v>18</v>
      </c>
      <c r="E339" s="314">
        <f t="shared" si="11"/>
        <v>0</v>
      </c>
      <c r="F339" s="398"/>
    </row>
    <row r="340" spans="1:6" ht="18" hidden="1" customHeight="1">
      <c r="A340" s="134" t="s">
        <v>330</v>
      </c>
      <c r="B340" s="135">
        <f>GTA!L363</f>
        <v>0</v>
      </c>
      <c r="C340" s="135" t="s">
        <v>22</v>
      </c>
      <c r="D340" s="135">
        <v>18</v>
      </c>
      <c r="E340" s="314">
        <f t="shared" si="11"/>
        <v>0</v>
      </c>
      <c r="F340" s="398"/>
    </row>
    <row r="341" spans="1:6" ht="18" hidden="1" customHeight="1">
      <c r="A341" s="134" t="s">
        <v>237</v>
      </c>
      <c r="B341" s="135">
        <f>GTA!M363</f>
        <v>0</v>
      </c>
      <c r="C341" s="135" t="s">
        <v>22</v>
      </c>
      <c r="D341" s="135">
        <v>18</v>
      </c>
      <c r="E341" s="314">
        <f t="shared" si="11"/>
        <v>0</v>
      </c>
      <c r="F341" s="398"/>
    </row>
    <row r="342" spans="1:6" ht="18" hidden="1" customHeight="1">
      <c r="A342" s="436"/>
      <c r="B342" s="419"/>
      <c r="C342" s="419"/>
      <c r="D342" s="419"/>
      <c r="E342" s="420"/>
      <c r="F342" s="398"/>
    </row>
    <row r="343" spans="1:6" ht="18" hidden="1" customHeight="1">
      <c r="A343" s="415" t="s">
        <v>331</v>
      </c>
      <c r="B343" s="415">
        <f>SUM(B330:B342)</f>
        <v>0</v>
      </c>
      <c r="C343" s="419"/>
      <c r="D343" s="419"/>
      <c r="E343" s="420"/>
      <c r="F343" s="398"/>
    </row>
    <row r="344" spans="1:6" ht="18" hidden="1" customHeight="1">
      <c r="A344" s="134"/>
      <c r="B344" s="135"/>
      <c r="C344" s="135"/>
      <c r="D344" s="135"/>
      <c r="E344" s="314"/>
      <c r="F344" s="398"/>
    </row>
    <row r="345" spans="1:6" ht="18" hidden="1" customHeight="1">
      <c r="A345" s="418" t="s">
        <v>332</v>
      </c>
      <c r="B345" s="419"/>
      <c r="C345" s="419"/>
      <c r="D345" s="419"/>
      <c r="E345" s="420"/>
      <c r="F345" s="398"/>
    </row>
    <row r="346" spans="1:6" ht="18" hidden="1" customHeight="1">
      <c r="A346" s="134" t="s">
        <v>333</v>
      </c>
      <c r="B346" s="347">
        <f>GTA!D93</f>
        <v>0</v>
      </c>
      <c r="C346" s="347" t="s">
        <v>22</v>
      </c>
      <c r="D346" s="347">
        <v>16.649999999999999</v>
      </c>
      <c r="E346" s="298">
        <f>D346*B346</f>
        <v>0</v>
      </c>
      <c r="F346" s="398" t="s">
        <v>332</v>
      </c>
    </row>
    <row r="347" spans="1:6" ht="18" hidden="1" customHeight="1">
      <c r="A347" s="284" t="s">
        <v>334</v>
      </c>
      <c r="B347" s="347">
        <f>GTA!E93</f>
        <v>0</v>
      </c>
      <c r="C347" s="347" t="s">
        <v>22</v>
      </c>
      <c r="D347" s="347">
        <v>16.649999999999999</v>
      </c>
      <c r="E347" s="298">
        <f>D347*B347</f>
        <v>0</v>
      </c>
      <c r="F347" s="398" t="s">
        <v>332</v>
      </c>
    </row>
    <row r="348" spans="1:6" ht="18" hidden="1" customHeight="1">
      <c r="A348" s="284" t="s">
        <v>335</v>
      </c>
      <c r="B348" s="347">
        <f>GTA!F93</f>
        <v>0</v>
      </c>
      <c r="C348" s="347" t="s">
        <v>22</v>
      </c>
      <c r="D348" s="347">
        <v>16.649999999999999</v>
      </c>
      <c r="E348" s="298">
        <f>D348*B348</f>
        <v>0</v>
      </c>
      <c r="F348" s="398" t="s">
        <v>332</v>
      </c>
    </row>
    <row r="349" spans="1:6" ht="18" hidden="1" customHeight="1">
      <c r="A349" s="284" t="s">
        <v>336</v>
      </c>
      <c r="B349" s="347">
        <f>GTA!G93</f>
        <v>0</v>
      </c>
      <c r="C349" s="347" t="s">
        <v>22</v>
      </c>
      <c r="D349" s="347">
        <v>16.649999999999999</v>
      </c>
      <c r="E349" s="298">
        <f>D349*B349</f>
        <v>0</v>
      </c>
      <c r="F349" s="398" t="s">
        <v>332</v>
      </c>
    </row>
    <row r="350" spans="1:6" ht="18" hidden="1" customHeight="1">
      <c r="A350" s="284"/>
      <c r="B350" s="347"/>
      <c r="C350" s="347"/>
      <c r="D350" s="347"/>
      <c r="E350" s="298"/>
      <c r="F350" s="398"/>
    </row>
    <row r="351" spans="1:6" ht="18" hidden="1" customHeight="1">
      <c r="A351" s="436"/>
      <c r="B351" s="419"/>
      <c r="C351" s="419"/>
      <c r="D351" s="419"/>
      <c r="E351" s="420"/>
      <c r="F351" s="398"/>
    </row>
    <row r="352" spans="1:6" ht="18" hidden="1" customHeight="1">
      <c r="A352" s="415" t="s">
        <v>332</v>
      </c>
      <c r="B352" s="415">
        <f>SUM(B345:B351)</f>
        <v>0</v>
      </c>
      <c r="C352" s="419"/>
      <c r="D352" s="419"/>
      <c r="E352" s="420"/>
      <c r="F352" s="398"/>
    </row>
    <row r="353" spans="1:6" ht="18" hidden="1" customHeight="1">
      <c r="A353" s="134"/>
      <c r="B353" s="135"/>
      <c r="C353" s="135"/>
      <c r="D353" s="135"/>
      <c r="E353" s="314"/>
      <c r="F353" s="398"/>
    </row>
    <row r="354" spans="1:6" ht="18" hidden="1" customHeight="1">
      <c r="A354" s="136"/>
      <c r="B354" s="135"/>
      <c r="C354" s="135"/>
      <c r="D354" s="135"/>
      <c r="E354" s="314"/>
      <c r="F354" s="398"/>
    </row>
    <row r="355" spans="1:6" ht="18" hidden="1" customHeight="1">
      <c r="A355" s="418" t="s">
        <v>337</v>
      </c>
      <c r="B355" s="419"/>
      <c r="C355" s="419"/>
      <c r="D355" s="419"/>
      <c r="E355" s="420"/>
      <c r="F355" s="398"/>
    </row>
    <row r="356" spans="1:6" ht="18" hidden="1" customHeight="1">
      <c r="A356" s="134" t="s">
        <v>324</v>
      </c>
      <c r="B356" s="135">
        <f>GTA!C418</f>
        <v>0</v>
      </c>
      <c r="C356" s="135" t="s">
        <v>22</v>
      </c>
      <c r="D356" s="135">
        <v>20</v>
      </c>
      <c r="E356" s="314">
        <f>B356*D356</f>
        <v>0</v>
      </c>
      <c r="F356" s="398"/>
    </row>
    <row r="357" spans="1:6" ht="18" hidden="1" customHeight="1">
      <c r="A357" s="284" t="s">
        <v>338</v>
      </c>
      <c r="B357" s="347">
        <f>GTA!F418</f>
        <v>0</v>
      </c>
      <c r="C357" s="347" t="s">
        <v>22</v>
      </c>
      <c r="D357" s="347">
        <v>20</v>
      </c>
      <c r="E357" s="298">
        <f>D357*B357</f>
        <v>0</v>
      </c>
      <c r="F357" s="398"/>
    </row>
    <row r="358" spans="1:6" ht="18" hidden="1" customHeight="1">
      <c r="A358" s="284" t="s">
        <v>339</v>
      </c>
      <c r="B358" s="347">
        <f>GTA!E418</f>
        <v>0</v>
      </c>
      <c r="C358" s="347" t="s">
        <v>22</v>
      </c>
      <c r="D358" s="347">
        <v>20</v>
      </c>
      <c r="E358" s="298">
        <f>D358*B358</f>
        <v>0</v>
      </c>
      <c r="F358" s="398"/>
    </row>
    <row r="359" spans="1:6" ht="18" hidden="1" customHeight="1">
      <c r="A359" s="512" t="s">
        <v>340</v>
      </c>
      <c r="B359" s="645">
        <f>GTA!G418</f>
        <v>0</v>
      </c>
      <c r="C359" s="645" t="s">
        <v>22</v>
      </c>
      <c r="D359" s="645">
        <v>20</v>
      </c>
      <c r="E359" s="646">
        <f>D359*B359</f>
        <v>0</v>
      </c>
      <c r="F359" s="398"/>
    </row>
    <row r="360" spans="1:6" ht="18" hidden="1" customHeight="1">
      <c r="A360" s="436"/>
      <c r="B360" s="419"/>
      <c r="C360" s="419"/>
      <c r="D360" s="419"/>
      <c r="E360" s="420"/>
      <c r="F360" s="398"/>
    </row>
    <row r="361" spans="1:6" ht="18" hidden="1" customHeight="1">
      <c r="A361" s="415" t="s">
        <v>341</v>
      </c>
      <c r="B361" s="415">
        <f>SUM(B355:B360)</f>
        <v>0</v>
      </c>
      <c r="C361" s="419"/>
      <c r="D361" s="419"/>
      <c r="E361" s="420"/>
      <c r="F361" s="398"/>
    </row>
    <row r="362" spans="1:6" ht="18" hidden="1" customHeight="1">
      <c r="A362" s="134"/>
      <c r="B362" s="135"/>
      <c r="C362" s="135"/>
      <c r="D362" s="135"/>
      <c r="E362" s="314"/>
      <c r="F362" s="398"/>
    </row>
    <row r="363" spans="1:6" ht="18" hidden="1" customHeight="1">
      <c r="A363" s="557" t="s">
        <v>342</v>
      </c>
      <c r="B363" s="419"/>
      <c r="C363" s="419"/>
      <c r="D363" s="419"/>
      <c r="E363" s="420"/>
      <c r="F363" s="398"/>
    </row>
    <row r="364" spans="1:6" ht="18" hidden="1" customHeight="1">
      <c r="A364" s="134" t="s">
        <v>343</v>
      </c>
      <c r="B364" s="135">
        <f>GTA!C345</f>
        <v>0</v>
      </c>
      <c r="C364" s="135" t="s">
        <v>22</v>
      </c>
      <c r="D364" s="135">
        <v>17</v>
      </c>
      <c r="E364" s="314">
        <f>B364*D364</f>
        <v>0</v>
      </c>
      <c r="F364" s="398"/>
    </row>
    <row r="365" spans="1:6" ht="18" hidden="1" customHeight="1">
      <c r="A365" s="284"/>
      <c r="B365" s="135"/>
      <c r="C365" s="135" t="s">
        <v>22</v>
      </c>
      <c r="D365" s="135">
        <v>18</v>
      </c>
      <c r="E365" s="314">
        <f>B365*D365</f>
        <v>0</v>
      </c>
      <c r="F365" s="398"/>
    </row>
    <row r="366" spans="1:6" ht="18" hidden="1" customHeight="1">
      <c r="A366" s="134"/>
      <c r="B366" s="135"/>
      <c r="C366" s="135" t="s">
        <v>22</v>
      </c>
      <c r="D366" s="135">
        <v>18</v>
      </c>
      <c r="E366" s="314">
        <f>B366*D366</f>
        <v>0</v>
      </c>
      <c r="F366" s="398"/>
    </row>
    <row r="367" spans="1:6" ht="18" hidden="1" customHeight="1">
      <c r="A367" s="134"/>
      <c r="B367" s="135"/>
      <c r="C367" s="135" t="s">
        <v>22</v>
      </c>
      <c r="D367" s="135">
        <v>18</v>
      </c>
      <c r="E367" s="314">
        <f>B367*D367</f>
        <v>0</v>
      </c>
      <c r="F367" s="398"/>
    </row>
    <row r="368" spans="1:6" ht="18" hidden="1" customHeight="1">
      <c r="A368" s="436"/>
      <c r="B368" s="419"/>
      <c r="C368" s="419"/>
      <c r="D368" s="419"/>
      <c r="E368" s="420"/>
      <c r="F368" s="398"/>
    </row>
    <row r="369" spans="1:6" ht="18" hidden="1" customHeight="1">
      <c r="A369" s="415" t="s">
        <v>344</v>
      </c>
      <c r="B369" s="415">
        <f>SUM(B363:B368)</f>
        <v>0</v>
      </c>
      <c r="C369" s="419"/>
      <c r="D369" s="419"/>
      <c r="E369" s="420"/>
      <c r="F369" s="398"/>
    </row>
    <row r="370" spans="1:6" ht="18" hidden="1" customHeight="1">
      <c r="A370" s="134"/>
      <c r="B370" s="135"/>
      <c r="C370" s="135"/>
      <c r="D370" s="135"/>
      <c r="E370" s="314"/>
      <c r="F370" s="398"/>
    </row>
    <row r="371" spans="1:6" ht="18" hidden="1" customHeight="1">
      <c r="A371" s="421" t="s">
        <v>345</v>
      </c>
      <c r="B371" s="422"/>
      <c r="C371" s="422"/>
      <c r="D371" s="422"/>
      <c r="E371" s="422"/>
      <c r="F371" s="398"/>
    </row>
    <row r="372" spans="1:6" ht="18" hidden="1" customHeight="1">
      <c r="A372" s="134" t="s">
        <v>346</v>
      </c>
      <c r="B372" s="135">
        <f>GTA!C111</f>
        <v>0</v>
      </c>
      <c r="C372" s="135" t="s">
        <v>22</v>
      </c>
      <c r="D372" s="135">
        <v>18</v>
      </c>
      <c r="E372" s="314">
        <f>B372*D372</f>
        <v>0</v>
      </c>
      <c r="F372" s="398"/>
    </row>
    <row r="373" spans="1:6" ht="18" hidden="1" customHeight="1">
      <c r="A373" s="134" t="s">
        <v>347</v>
      </c>
      <c r="B373" s="135">
        <f>GTA!D111</f>
        <v>0</v>
      </c>
      <c r="C373" s="135" t="s">
        <v>22</v>
      </c>
      <c r="D373" s="135">
        <v>18</v>
      </c>
      <c r="E373" s="314">
        <f>B373*D373</f>
        <v>0</v>
      </c>
      <c r="F373" s="398"/>
    </row>
    <row r="374" spans="1:6" ht="18" hidden="1" customHeight="1">
      <c r="A374" s="134" t="s">
        <v>348</v>
      </c>
      <c r="B374" s="135">
        <f>GTA!E111</f>
        <v>0</v>
      </c>
      <c r="C374" s="135" t="s">
        <v>22</v>
      </c>
      <c r="D374" s="135">
        <v>18</v>
      </c>
      <c r="E374" s="314">
        <f>B374*D374</f>
        <v>0</v>
      </c>
      <c r="F374" s="398"/>
    </row>
    <row r="375" spans="1:6" ht="18" hidden="1" customHeight="1">
      <c r="A375" s="134" t="s">
        <v>349</v>
      </c>
      <c r="B375" s="135">
        <f>GTA!F111</f>
        <v>0</v>
      </c>
      <c r="C375" s="135" t="s">
        <v>22</v>
      </c>
      <c r="D375" s="135">
        <v>18</v>
      </c>
      <c r="E375" s="314">
        <f>B375*D375</f>
        <v>0</v>
      </c>
      <c r="F375" s="398"/>
    </row>
    <row r="376" spans="1:6" ht="18" hidden="1" customHeight="1">
      <c r="A376" s="436"/>
      <c r="B376" s="419"/>
      <c r="C376" s="419"/>
      <c r="D376" s="419"/>
      <c r="E376" s="420"/>
      <c r="F376" s="398"/>
    </row>
    <row r="377" spans="1:6" ht="18" hidden="1" customHeight="1">
      <c r="A377" s="415" t="s">
        <v>350</v>
      </c>
      <c r="B377" s="415">
        <f>SUM(B371:B376)</f>
        <v>0</v>
      </c>
      <c r="C377" s="415"/>
      <c r="D377" s="415"/>
      <c r="E377" s="416"/>
      <c r="F377" s="398"/>
    </row>
    <row r="378" spans="1:6" ht="18" hidden="1" customHeight="1">
      <c r="A378" s="134"/>
      <c r="B378" s="135"/>
      <c r="C378" s="135"/>
      <c r="D378" s="135"/>
      <c r="E378" s="314"/>
      <c r="F378" s="398"/>
    </row>
    <row r="379" spans="1:6" ht="18" hidden="1" customHeight="1">
      <c r="A379" s="418" t="s">
        <v>351</v>
      </c>
      <c r="B379" s="419"/>
      <c r="C379" s="419"/>
      <c r="D379" s="419"/>
      <c r="E379" s="420"/>
      <c r="F379" s="398"/>
    </row>
    <row r="380" spans="1:6" ht="18" hidden="1" customHeight="1">
      <c r="A380" s="396" t="s">
        <v>61</v>
      </c>
      <c r="B380" s="135">
        <f>GTA!C381</f>
        <v>0</v>
      </c>
      <c r="C380" s="135" t="s">
        <v>22</v>
      </c>
      <c r="D380" s="135">
        <v>20</v>
      </c>
      <c r="E380" s="314">
        <f>B380*D380</f>
        <v>0</v>
      </c>
      <c r="F380" s="398"/>
    </row>
    <row r="381" spans="1:6" ht="18" hidden="1" customHeight="1">
      <c r="A381" s="437"/>
      <c r="B381" s="419"/>
      <c r="C381" s="419"/>
      <c r="D381" s="419"/>
      <c r="E381" s="420"/>
      <c r="F381" s="398"/>
    </row>
    <row r="382" spans="1:6" ht="18" hidden="1" customHeight="1">
      <c r="A382" s="427" t="s">
        <v>352</v>
      </c>
      <c r="B382" s="415">
        <f>SUM(B379:B381)</f>
        <v>0</v>
      </c>
      <c r="C382" s="415"/>
      <c r="D382" s="415"/>
      <c r="E382" s="416"/>
      <c r="F382" s="398"/>
    </row>
    <row r="383" spans="1:6" ht="18" hidden="1" customHeight="1">
      <c r="A383" s="396"/>
      <c r="B383" s="135"/>
      <c r="C383" s="135"/>
      <c r="D383" s="135"/>
      <c r="E383" s="314"/>
      <c r="F383" s="398"/>
    </row>
    <row r="384" spans="1:6" ht="18" hidden="1" customHeight="1">
      <c r="A384" s="418" t="s">
        <v>353</v>
      </c>
      <c r="B384" s="419"/>
      <c r="C384" s="419"/>
      <c r="D384" s="419"/>
      <c r="E384" s="420"/>
      <c r="F384" s="398"/>
    </row>
    <row r="385" spans="1:6" ht="18" hidden="1" customHeight="1">
      <c r="A385" s="435"/>
      <c r="B385" s="419"/>
      <c r="C385" s="419"/>
      <c r="D385" s="419"/>
      <c r="E385" s="420"/>
      <c r="F385" s="398"/>
    </row>
    <row r="386" spans="1:6" ht="18" hidden="1" customHeight="1">
      <c r="A386" s="418" t="s">
        <v>355</v>
      </c>
      <c r="B386" s="415">
        <f>SUM(B384:B385)</f>
        <v>0</v>
      </c>
      <c r="C386" s="415"/>
      <c r="D386" s="415"/>
      <c r="E386" s="416"/>
      <c r="F386" s="398"/>
    </row>
    <row r="387" spans="1:6" ht="18" hidden="1" customHeight="1">
      <c r="A387" s="399"/>
      <c r="B387" s="135"/>
      <c r="C387" s="135"/>
      <c r="D387" s="135"/>
      <c r="E387" s="314"/>
      <c r="F387" s="398"/>
    </row>
    <row r="388" spans="1:6" ht="18" hidden="1" customHeight="1">
      <c r="A388" s="418" t="s">
        <v>356</v>
      </c>
      <c r="B388" s="419"/>
      <c r="C388" s="419"/>
      <c r="D388" s="419"/>
      <c r="E388" s="420"/>
      <c r="F388" s="398"/>
    </row>
    <row r="389" spans="1:6" ht="18" hidden="1" customHeight="1">
      <c r="A389" s="397" t="s">
        <v>357</v>
      </c>
      <c r="B389" s="135">
        <f>'OUTSIDE GTA'!C233+'OUTSIDE GTA'!AD233</f>
        <v>0</v>
      </c>
      <c r="C389" s="135" t="s">
        <v>22</v>
      </c>
      <c r="D389" s="135">
        <v>16.649999999999999</v>
      </c>
      <c r="E389" s="314">
        <f t="shared" ref="E389:E408" si="12">B389*D389</f>
        <v>0</v>
      </c>
      <c r="F389" s="398"/>
    </row>
    <row r="390" spans="1:6" ht="18" hidden="1" customHeight="1">
      <c r="A390" s="397" t="s">
        <v>358</v>
      </c>
      <c r="B390" s="135">
        <f>'OUTSIDE GTA'!D233</f>
        <v>0</v>
      </c>
      <c r="C390" s="135" t="s">
        <v>22</v>
      </c>
      <c r="D390" s="135">
        <v>16.649999999999999</v>
      </c>
      <c r="E390" s="314">
        <f t="shared" si="12"/>
        <v>0</v>
      </c>
      <c r="F390" s="398"/>
    </row>
    <row r="391" spans="1:6" ht="18" hidden="1" customHeight="1">
      <c r="A391" s="397" t="s">
        <v>359</v>
      </c>
      <c r="B391" s="135">
        <f>'OUTSIDE GTA'!V233</f>
        <v>0</v>
      </c>
      <c r="C391" s="135" t="s">
        <v>22</v>
      </c>
      <c r="D391" s="135">
        <v>16.649999999999999</v>
      </c>
      <c r="E391" s="314">
        <f t="shared" si="12"/>
        <v>0</v>
      </c>
      <c r="F391" s="398"/>
    </row>
    <row r="392" spans="1:6" ht="18" hidden="1" customHeight="1">
      <c r="A392" s="134" t="s">
        <v>360</v>
      </c>
      <c r="B392" s="135">
        <f>'OUTSIDE GTA'!E233</f>
        <v>0</v>
      </c>
      <c r="C392" s="135" t="s">
        <v>22</v>
      </c>
      <c r="D392" s="135">
        <v>16.649999999999999</v>
      </c>
      <c r="E392" s="314">
        <f t="shared" si="12"/>
        <v>0</v>
      </c>
      <c r="F392" s="398"/>
    </row>
    <row r="393" spans="1:6" ht="18" hidden="1" customHeight="1">
      <c r="A393" s="397" t="s">
        <v>361</v>
      </c>
      <c r="B393" s="135">
        <f>'OUTSIDE GTA'!F233</f>
        <v>0</v>
      </c>
      <c r="C393" s="135" t="s">
        <v>22</v>
      </c>
      <c r="D393" s="135">
        <v>16.649999999999999</v>
      </c>
      <c r="E393" s="314">
        <f t="shared" si="12"/>
        <v>0</v>
      </c>
      <c r="F393" s="398"/>
    </row>
    <row r="394" spans="1:6" ht="18" hidden="1" customHeight="1">
      <c r="A394" s="397" t="s">
        <v>362</v>
      </c>
      <c r="B394" s="135">
        <f>'OUTSIDE GTA'!H233</f>
        <v>0</v>
      </c>
      <c r="C394" s="135" t="s">
        <v>22</v>
      </c>
      <c r="D394" s="135">
        <v>16.649999999999999</v>
      </c>
      <c r="E394" s="314">
        <f t="shared" si="12"/>
        <v>0</v>
      </c>
      <c r="F394" s="398"/>
    </row>
    <row r="395" spans="1:6" ht="18" hidden="1" customHeight="1">
      <c r="A395" s="397" t="s">
        <v>363</v>
      </c>
      <c r="B395" s="135">
        <f>'OUTSIDE GTA'!G233</f>
        <v>0</v>
      </c>
      <c r="C395" s="135" t="s">
        <v>22</v>
      </c>
      <c r="D395" s="135">
        <v>16.649999999999999</v>
      </c>
      <c r="E395" s="314">
        <f t="shared" si="12"/>
        <v>0</v>
      </c>
      <c r="F395" s="398"/>
    </row>
    <row r="396" spans="1:6" ht="18" hidden="1" customHeight="1">
      <c r="A396" s="397" t="s">
        <v>364</v>
      </c>
      <c r="B396" s="135">
        <f>'OUTSIDE GTA'!I233</f>
        <v>0</v>
      </c>
      <c r="C396" s="135" t="s">
        <v>22</v>
      </c>
      <c r="D396" s="135">
        <v>16.649999999999999</v>
      </c>
      <c r="E396" s="314">
        <f t="shared" si="12"/>
        <v>0</v>
      </c>
      <c r="F396" s="398"/>
    </row>
    <row r="397" spans="1:6" ht="18" hidden="1" customHeight="1">
      <c r="A397" s="397" t="s">
        <v>365</v>
      </c>
      <c r="B397" s="135">
        <f>'OUTSIDE GTA'!J233</f>
        <v>0</v>
      </c>
      <c r="C397" s="135" t="s">
        <v>22</v>
      </c>
      <c r="D397" s="135">
        <v>16.649999999999999</v>
      </c>
      <c r="E397" s="314">
        <f t="shared" si="12"/>
        <v>0</v>
      </c>
      <c r="F397" s="398"/>
    </row>
    <row r="398" spans="1:6" ht="18" hidden="1" customHeight="1">
      <c r="A398" s="397" t="s">
        <v>366</v>
      </c>
      <c r="B398" s="135">
        <f>'OUTSIDE GTA'!K233</f>
        <v>0</v>
      </c>
      <c r="C398" s="135" t="s">
        <v>22</v>
      </c>
      <c r="D398" s="135">
        <v>16.649999999999999</v>
      </c>
      <c r="E398" s="314">
        <f t="shared" si="12"/>
        <v>0</v>
      </c>
      <c r="F398" s="398"/>
    </row>
    <row r="399" spans="1:6" ht="18" hidden="1" customHeight="1">
      <c r="A399" s="284" t="s">
        <v>367</v>
      </c>
      <c r="B399" s="135">
        <f>'OUTSIDE GTA'!L233+'OUTSIDE GTA'!AE233</f>
        <v>0</v>
      </c>
      <c r="C399" s="135" t="s">
        <v>22</v>
      </c>
      <c r="D399" s="135">
        <v>16.649999999999999</v>
      </c>
      <c r="E399" s="314">
        <f t="shared" si="12"/>
        <v>0</v>
      </c>
      <c r="F399" s="398"/>
    </row>
    <row r="400" spans="1:6" ht="18" hidden="1" customHeight="1">
      <c r="A400" s="397" t="s">
        <v>368</v>
      </c>
      <c r="B400" s="135">
        <f>'OUTSIDE GTA'!M233</f>
        <v>0</v>
      </c>
      <c r="C400" s="135" t="s">
        <v>22</v>
      </c>
      <c r="D400" s="135">
        <v>16.649999999999999</v>
      </c>
      <c r="E400" s="314">
        <f t="shared" si="12"/>
        <v>0</v>
      </c>
      <c r="F400" s="398"/>
    </row>
    <row r="401" spans="1:6" ht="18" hidden="1" customHeight="1">
      <c r="A401" s="397" t="s">
        <v>236</v>
      </c>
      <c r="B401" s="135">
        <f>'OUTSIDE GTA'!Q233</f>
        <v>0</v>
      </c>
      <c r="C401" s="135" t="s">
        <v>22</v>
      </c>
      <c r="D401" s="135">
        <v>16.649999999999999</v>
      </c>
      <c r="E401" s="314">
        <f t="shared" si="12"/>
        <v>0</v>
      </c>
      <c r="F401" s="398"/>
    </row>
    <row r="402" spans="1:6" ht="18" hidden="1" customHeight="1">
      <c r="A402" s="134" t="s">
        <v>369</v>
      </c>
      <c r="B402" s="135">
        <f>'OUTSIDE GTA'!O233</f>
        <v>0</v>
      </c>
      <c r="C402" s="135" t="s">
        <v>22</v>
      </c>
      <c r="D402" s="135">
        <v>16.649999999999999</v>
      </c>
      <c r="E402" s="314">
        <f t="shared" si="12"/>
        <v>0</v>
      </c>
      <c r="F402" s="398"/>
    </row>
    <row r="403" spans="1:6" ht="18" hidden="1" customHeight="1">
      <c r="A403" s="134" t="s">
        <v>370</v>
      </c>
      <c r="B403" s="135">
        <f>'OUTSIDE GTA'!P233</f>
        <v>0</v>
      </c>
      <c r="C403" s="135" t="s">
        <v>22</v>
      </c>
      <c r="D403" s="135">
        <v>16.649999999999999</v>
      </c>
      <c r="E403" s="314">
        <f t="shared" si="12"/>
        <v>0</v>
      </c>
      <c r="F403" s="398"/>
    </row>
    <row r="404" spans="1:6" ht="18" hidden="1" customHeight="1">
      <c r="A404" s="134" t="s">
        <v>371</v>
      </c>
      <c r="B404" s="135">
        <f>'OUTSIDE GTA'!R233</f>
        <v>0</v>
      </c>
      <c r="C404" s="135" t="s">
        <v>22</v>
      </c>
      <c r="D404" s="135">
        <v>16.649999999999999</v>
      </c>
      <c r="E404" s="314">
        <f t="shared" si="12"/>
        <v>0</v>
      </c>
      <c r="F404" s="398"/>
    </row>
    <row r="405" spans="1:6" ht="18" hidden="1" customHeight="1">
      <c r="A405" s="136" t="s">
        <v>372</v>
      </c>
      <c r="B405" s="135">
        <f>'OUTSIDE GTA'!S233</f>
        <v>0</v>
      </c>
      <c r="C405" s="135" t="s">
        <v>22</v>
      </c>
      <c r="D405" s="135">
        <v>16.649999999999999</v>
      </c>
      <c r="E405" s="314">
        <f t="shared" si="12"/>
        <v>0</v>
      </c>
      <c r="F405" s="398"/>
    </row>
    <row r="406" spans="1:6" ht="18" hidden="1" customHeight="1">
      <c r="A406" s="136" t="s">
        <v>373</v>
      </c>
      <c r="B406" s="135">
        <f>'OUTSIDE GTA'!T233</f>
        <v>0</v>
      </c>
      <c r="C406" s="135" t="s">
        <v>22</v>
      </c>
      <c r="D406" s="135">
        <v>16.649999999999999</v>
      </c>
      <c r="E406" s="314">
        <f t="shared" si="12"/>
        <v>0</v>
      </c>
      <c r="F406" s="398"/>
    </row>
    <row r="407" spans="1:6" ht="18" hidden="1" customHeight="1">
      <c r="A407" s="136" t="s">
        <v>374</v>
      </c>
      <c r="B407" s="135">
        <f>'OUTSIDE GTA'!U233</f>
        <v>0</v>
      </c>
      <c r="C407" s="135" t="s">
        <v>22</v>
      </c>
      <c r="D407" s="135">
        <v>16.649999999999999</v>
      </c>
      <c r="E407" s="314">
        <f t="shared" si="12"/>
        <v>0</v>
      </c>
      <c r="F407" s="398"/>
    </row>
    <row r="408" spans="1:6" ht="18" hidden="1" customHeight="1">
      <c r="A408" s="136" t="s">
        <v>375</v>
      </c>
      <c r="B408" s="135">
        <f>'OUTSIDE GTA'!N233+'OUTSIDE GTA'!AI233</f>
        <v>0</v>
      </c>
      <c r="C408" s="135" t="s">
        <v>22</v>
      </c>
      <c r="D408" s="135">
        <v>16.649999999999999</v>
      </c>
      <c r="E408" s="314">
        <f t="shared" si="12"/>
        <v>0</v>
      </c>
      <c r="F408" s="398"/>
    </row>
    <row r="409" spans="1:6" ht="18" hidden="1" customHeight="1">
      <c r="A409" s="439"/>
      <c r="B409" s="419"/>
      <c r="C409" s="419"/>
      <c r="D409" s="419"/>
      <c r="E409" s="420"/>
      <c r="F409" s="398"/>
    </row>
    <row r="410" spans="1:6" ht="18" hidden="1" customHeight="1">
      <c r="A410" s="418" t="s">
        <v>376</v>
      </c>
      <c r="B410" s="415">
        <f>SUM(B388:B409)</f>
        <v>0</v>
      </c>
      <c r="C410" s="415"/>
      <c r="D410" s="415"/>
      <c r="E410" s="416"/>
      <c r="F410" s="398"/>
    </row>
    <row r="411" spans="1:6" ht="18" hidden="1" customHeight="1">
      <c r="A411" s="397"/>
      <c r="B411" s="135"/>
      <c r="C411" s="135"/>
      <c r="D411" s="135"/>
      <c r="E411" s="314"/>
      <c r="F411" s="398"/>
    </row>
    <row r="412" spans="1:6" ht="18" hidden="1" customHeight="1">
      <c r="A412" s="418" t="s">
        <v>377</v>
      </c>
      <c r="B412" s="419"/>
      <c r="C412" s="419"/>
      <c r="D412" s="419"/>
      <c r="E412" s="420"/>
      <c r="F412" s="398"/>
    </row>
    <row r="413" spans="1:6" ht="18" hidden="1" customHeight="1">
      <c r="A413" s="517" t="s">
        <v>378</v>
      </c>
      <c r="B413" s="481">
        <f>GTA!D255</f>
        <v>0</v>
      </c>
      <c r="C413" s="481" t="s">
        <v>22</v>
      </c>
      <c r="D413" s="481">
        <v>16.649999999999999</v>
      </c>
      <c r="E413" s="482">
        <f t="shared" ref="E413:E446" si="13">B413*D413</f>
        <v>0</v>
      </c>
      <c r="F413" s="398" t="s">
        <v>377</v>
      </c>
    </row>
    <row r="414" spans="1:6" ht="18" hidden="1" customHeight="1">
      <c r="A414" s="396" t="s">
        <v>323</v>
      </c>
      <c r="B414" s="135">
        <f>GTA!N255</f>
        <v>0</v>
      </c>
      <c r="C414" s="135" t="s">
        <v>22</v>
      </c>
      <c r="D414" s="135">
        <v>16.649999999999999</v>
      </c>
      <c r="E414" s="314">
        <f t="shared" si="13"/>
        <v>0</v>
      </c>
      <c r="F414" s="398" t="s">
        <v>377</v>
      </c>
    </row>
    <row r="415" spans="1:6" ht="18" hidden="1" customHeight="1">
      <c r="A415" s="396" t="s">
        <v>389</v>
      </c>
      <c r="B415" s="135">
        <f>GTA!O255</f>
        <v>0</v>
      </c>
      <c r="C415" s="135" t="s">
        <v>22</v>
      </c>
      <c r="D415" s="135">
        <v>16.649999999999999</v>
      </c>
      <c r="E415" s="314">
        <f t="shared" si="13"/>
        <v>0</v>
      </c>
      <c r="F415" s="398" t="s">
        <v>377</v>
      </c>
    </row>
    <row r="416" spans="1:6" ht="18" hidden="1" customHeight="1">
      <c r="A416" s="396" t="s">
        <v>388</v>
      </c>
      <c r="B416" s="135">
        <f>GTA!P255</f>
        <v>0</v>
      </c>
      <c r="C416" s="135" t="s">
        <v>22</v>
      </c>
      <c r="D416" s="135">
        <v>16.649999999999999</v>
      </c>
      <c r="E416" s="314">
        <f t="shared" si="13"/>
        <v>0</v>
      </c>
      <c r="F416" s="398" t="s">
        <v>377</v>
      </c>
    </row>
    <row r="417" spans="1:6" ht="18" hidden="1" customHeight="1">
      <c r="A417" s="134" t="s">
        <v>379</v>
      </c>
      <c r="B417" s="135">
        <f>GTA!E255</f>
        <v>0</v>
      </c>
      <c r="C417" s="135" t="s">
        <v>22</v>
      </c>
      <c r="D417" s="135">
        <v>16.649999999999999</v>
      </c>
      <c r="E417" s="314">
        <f t="shared" si="13"/>
        <v>0</v>
      </c>
      <c r="F417" s="398" t="s">
        <v>377</v>
      </c>
    </row>
    <row r="418" spans="1:6" ht="18" hidden="1" customHeight="1">
      <c r="A418" s="270" t="s">
        <v>210</v>
      </c>
      <c r="B418" s="135">
        <f>GTA!F255</f>
        <v>0</v>
      </c>
      <c r="C418" s="135" t="s">
        <v>22</v>
      </c>
      <c r="D418" s="135">
        <v>16.649999999999999</v>
      </c>
      <c r="E418" s="314">
        <f t="shared" si="13"/>
        <v>0</v>
      </c>
      <c r="F418" s="398" t="s">
        <v>377</v>
      </c>
    </row>
    <row r="419" spans="1:6" ht="18" hidden="1" customHeight="1">
      <c r="A419" s="512" t="s">
        <v>391</v>
      </c>
      <c r="B419" s="481">
        <f>GTA!G255</f>
        <v>0</v>
      </c>
      <c r="C419" s="481" t="s">
        <v>22</v>
      </c>
      <c r="D419" s="481">
        <v>16.649999999999999</v>
      </c>
      <c r="E419" s="482">
        <f t="shared" si="13"/>
        <v>0</v>
      </c>
      <c r="F419" s="398" t="s">
        <v>377</v>
      </c>
    </row>
    <row r="420" spans="1:6" ht="18" hidden="1" customHeight="1">
      <c r="A420" s="270" t="s">
        <v>383</v>
      </c>
      <c r="B420" s="135">
        <f>GTA!I255</f>
        <v>0</v>
      </c>
      <c r="C420" s="135" t="s">
        <v>22</v>
      </c>
      <c r="D420" s="135">
        <v>16.649999999999999</v>
      </c>
      <c r="E420" s="314">
        <f t="shared" si="13"/>
        <v>0</v>
      </c>
      <c r="F420" s="398" t="s">
        <v>377</v>
      </c>
    </row>
    <row r="421" spans="1:6" ht="18" hidden="1" customHeight="1">
      <c r="A421" s="134" t="s">
        <v>245</v>
      </c>
      <c r="B421" s="135">
        <f>GTA!Q255</f>
        <v>0</v>
      </c>
      <c r="C421" s="135" t="s">
        <v>22</v>
      </c>
      <c r="D421" s="135">
        <v>16.649999999999999</v>
      </c>
      <c r="E421" s="314">
        <f t="shared" si="13"/>
        <v>0</v>
      </c>
      <c r="F421" s="398" t="s">
        <v>377</v>
      </c>
    </row>
    <row r="422" spans="1:6" ht="18" hidden="1" customHeight="1">
      <c r="A422" s="134" t="s">
        <v>399</v>
      </c>
      <c r="B422" s="135">
        <f>GTA!H255</f>
        <v>0</v>
      </c>
      <c r="C422" s="135" t="s">
        <v>22</v>
      </c>
      <c r="D422" s="135">
        <v>16.649999999999999</v>
      </c>
      <c r="E422" s="314">
        <f t="shared" si="13"/>
        <v>0</v>
      </c>
      <c r="F422" s="398" t="s">
        <v>377</v>
      </c>
    </row>
    <row r="423" spans="1:6" ht="18" hidden="1" customHeight="1">
      <c r="A423" s="134" t="s">
        <v>221</v>
      </c>
      <c r="B423" s="135">
        <f>GTA!M255</f>
        <v>0</v>
      </c>
      <c r="C423" s="135" t="s">
        <v>22</v>
      </c>
      <c r="D423" s="135">
        <v>16.649999999999999</v>
      </c>
      <c r="E423" s="314">
        <f t="shared" si="13"/>
        <v>0</v>
      </c>
      <c r="F423" s="398" t="s">
        <v>377</v>
      </c>
    </row>
    <row r="424" spans="1:6" ht="18" hidden="1" customHeight="1">
      <c r="A424" s="134" t="s">
        <v>382</v>
      </c>
      <c r="B424" s="135">
        <f>GTA!J255</f>
        <v>0</v>
      </c>
      <c r="C424" s="135" t="s">
        <v>22</v>
      </c>
      <c r="D424" s="135">
        <v>16.649999999999999</v>
      </c>
      <c r="E424" s="314">
        <f t="shared" si="13"/>
        <v>0</v>
      </c>
      <c r="F424" s="398" t="s">
        <v>377</v>
      </c>
    </row>
    <row r="425" spans="1:6" ht="18" hidden="1" customHeight="1">
      <c r="A425" s="512" t="s">
        <v>381</v>
      </c>
      <c r="B425" s="481">
        <f>GTA!K255</f>
        <v>0</v>
      </c>
      <c r="C425" s="481" t="s">
        <v>22</v>
      </c>
      <c r="D425" s="481">
        <v>16.649999999999999</v>
      </c>
      <c r="E425" s="482">
        <f t="shared" si="13"/>
        <v>0</v>
      </c>
      <c r="F425" s="398" t="s">
        <v>377</v>
      </c>
    </row>
    <row r="426" spans="1:6" ht="18" hidden="1" customHeight="1">
      <c r="A426" s="270" t="s">
        <v>384</v>
      </c>
      <c r="B426" s="135">
        <f>GTA!R255</f>
        <v>0</v>
      </c>
      <c r="C426" s="135" t="s">
        <v>22</v>
      </c>
      <c r="D426" s="135">
        <v>16.649999999999999</v>
      </c>
      <c r="E426" s="314">
        <f t="shared" si="13"/>
        <v>0</v>
      </c>
      <c r="F426" s="398" t="s">
        <v>377</v>
      </c>
    </row>
    <row r="427" spans="1:6" ht="18" hidden="1" customHeight="1">
      <c r="A427" s="270" t="s">
        <v>385</v>
      </c>
      <c r="B427" s="135">
        <f>GTA!S255</f>
        <v>0</v>
      </c>
      <c r="C427" s="135" t="s">
        <v>22</v>
      </c>
      <c r="D427" s="135">
        <v>16.649999999999999</v>
      </c>
      <c r="E427" s="314">
        <f t="shared" si="13"/>
        <v>0</v>
      </c>
      <c r="F427" s="398" t="s">
        <v>377</v>
      </c>
    </row>
    <row r="428" spans="1:6" ht="18" hidden="1" customHeight="1">
      <c r="A428" s="768" t="s">
        <v>397</v>
      </c>
      <c r="B428" s="481">
        <f>GTA!W255</f>
        <v>0</v>
      </c>
      <c r="C428" s="481" t="s">
        <v>22</v>
      </c>
      <c r="D428" s="481">
        <v>16.649999999999999</v>
      </c>
      <c r="E428" s="482">
        <f t="shared" si="13"/>
        <v>0</v>
      </c>
      <c r="F428" s="398" t="s">
        <v>377</v>
      </c>
    </row>
    <row r="429" spans="1:6" ht="18" hidden="1" customHeight="1">
      <c r="A429" s="512" t="s">
        <v>392</v>
      </c>
      <c r="B429" s="481">
        <f>GTA!U255</f>
        <v>0</v>
      </c>
      <c r="C429" s="481" t="s">
        <v>22</v>
      </c>
      <c r="D429" s="481">
        <v>16.649999999999999</v>
      </c>
      <c r="E429" s="482">
        <f t="shared" si="13"/>
        <v>0</v>
      </c>
      <c r="F429" s="398" t="s">
        <v>377</v>
      </c>
    </row>
    <row r="430" spans="1:6" ht="18" hidden="1" customHeight="1">
      <c r="A430" s="270" t="s">
        <v>387</v>
      </c>
      <c r="B430" s="135">
        <f>GTA!X255</f>
        <v>0</v>
      </c>
      <c r="C430" s="135" t="s">
        <v>22</v>
      </c>
      <c r="D430" s="135">
        <v>16.649999999999999</v>
      </c>
      <c r="E430" s="314">
        <f t="shared" si="13"/>
        <v>0</v>
      </c>
      <c r="F430" s="398" t="s">
        <v>377</v>
      </c>
    </row>
    <row r="431" spans="1:6" ht="18" hidden="1" customHeight="1">
      <c r="A431" s="134" t="s">
        <v>329</v>
      </c>
      <c r="B431" s="135">
        <f>GTA!T255</f>
        <v>0</v>
      </c>
      <c r="C431" s="135" t="s">
        <v>22</v>
      </c>
      <c r="D431" s="135">
        <v>16.649999999999999</v>
      </c>
      <c r="E431" s="314">
        <f t="shared" si="13"/>
        <v>0</v>
      </c>
      <c r="F431" s="398" t="s">
        <v>377</v>
      </c>
    </row>
    <row r="432" spans="1:6" ht="18" hidden="1" customHeight="1">
      <c r="A432" s="134" t="s">
        <v>246</v>
      </c>
      <c r="B432" s="135">
        <f>GTA!Y255</f>
        <v>0</v>
      </c>
      <c r="C432" s="135" t="s">
        <v>22</v>
      </c>
      <c r="D432" s="135">
        <v>16.649999999999999</v>
      </c>
      <c r="E432" s="314">
        <f t="shared" si="13"/>
        <v>0</v>
      </c>
      <c r="F432" s="398" t="s">
        <v>377</v>
      </c>
    </row>
    <row r="433" spans="1:6" ht="18" hidden="1" customHeight="1">
      <c r="A433" s="134" t="s">
        <v>390</v>
      </c>
      <c r="B433" s="135">
        <f>GTA!Z255</f>
        <v>0</v>
      </c>
      <c r="C433" s="135" t="s">
        <v>22</v>
      </c>
      <c r="D433" s="135">
        <v>16.649999999999999</v>
      </c>
      <c r="E433" s="314">
        <f t="shared" si="13"/>
        <v>0</v>
      </c>
      <c r="F433" s="398" t="s">
        <v>377</v>
      </c>
    </row>
    <row r="434" spans="1:6" ht="18" hidden="1" customHeight="1">
      <c r="A434" s="134" t="s">
        <v>393</v>
      </c>
      <c r="B434" s="135">
        <f>GTA!AB255</f>
        <v>0</v>
      </c>
      <c r="C434" s="135" t="s">
        <v>22</v>
      </c>
      <c r="D434" s="135">
        <v>16.649999999999999</v>
      </c>
      <c r="E434" s="314">
        <f t="shared" si="13"/>
        <v>0</v>
      </c>
      <c r="F434" s="398" t="s">
        <v>377</v>
      </c>
    </row>
    <row r="435" spans="1:6" ht="18" hidden="1" customHeight="1">
      <c r="A435" s="134" t="s">
        <v>394</v>
      </c>
      <c r="B435" s="135">
        <f>GTA!AC255</f>
        <v>0</v>
      </c>
      <c r="C435" s="135" t="s">
        <v>22</v>
      </c>
      <c r="D435" s="135">
        <v>16.649999999999999</v>
      </c>
      <c r="E435" s="314">
        <f t="shared" si="13"/>
        <v>0</v>
      </c>
      <c r="F435" s="398" t="s">
        <v>377</v>
      </c>
    </row>
    <row r="436" spans="1:6" ht="18" hidden="1" customHeight="1">
      <c r="A436" s="270" t="s">
        <v>210</v>
      </c>
      <c r="B436" s="135">
        <f>GTA!AD255</f>
        <v>0</v>
      </c>
      <c r="C436" s="135" t="s">
        <v>22</v>
      </c>
      <c r="D436" s="135">
        <v>16.649999999999999</v>
      </c>
      <c r="E436" s="314">
        <f t="shared" si="13"/>
        <v>0</v>
      </c>
      <c r="F436" s="398" t="s">
        <v>377</v>
      </c>
    </row>
    <row r="437" spans="1:6" ht="18" hidden="1" customHeight="1">
      <c r="A437" s="134" t="s">
        <v>338</v>
      </c>
      <c r="B437" s="135">
        <f>GTA!AE255</f>
        <v>0</v>
      </c>
      <c r="C437" s="135" t="s">
        <v>22</v>
      </c>
      <c r="D437" s="135">
        <v>16.649999999999999</v>
      </c>
      <c r="E437" s="314">
        <f t="shared" si="13"/>
        <v>0</v>
      </c>
      <c r="F437" s="398" t="s">
        <v>377</v>
      </c>
    </row>
    <row r="438" spans="1:6" ht="18" hidden="1" customHeight="1">
      <c r="A438" s="134" t="s">
        <v>21</v>
      </c>
      <c r="B438" s="135">
        <f>GTA!AF255</f>
        <v>0</v>
      </c>
      <c r="C438" s="135" t="s">
        <v>22</v>
      </c>
      <c r="D438" s="135">
        <v>16.649999999999999</v>
      </c>
      <c r="E438" s="314">
        <f t="shared" si="13"/>
        <v>0</v>
      </c>
      <c r="F438" s="398" t="s">
        <v>377</v>
      </c>
    </row>
    <row r="439" spans="1:6" ht="18" hidden="1" customHeight="1">
      <c r="A439" s="512" t="s">
        <v>395</v>
      </c>
      <c r="B439" s="481">
        <f>GTA!AG255</f>
        <v>0</v>
      </c>
      <c r="C439" s="481" t="s">
        <v>22</v>
      </c>
      <c r="D439" s="481">
        <v>16.649999999999999</v>
      </c>
      <c r="E439" s="482">
        <f t="shared" si="13"/>
        <v>0</v>
      </c>
      <c r="F439" s="398" t="s">
        <v>377</v>
      </c>
    </row>
    <row r="440" spans="1:6" ht="18" hidden="1" customHeight="1">
      <c r="A440" s="134" t="s">
        <v>237</v>
      </c>
      <c r="B440" s="135">
        <f>GTA!AH255</f>
        <v>0</v>
      </c>
      <c r="C440" s="135" t="s">
        <v>22</v>
      </c>
      <c r="D440" s="135">
        <v>16.649999999999999</v>
      </c>
      <c r="E440" s="314">
        <f t="shared" si="13"/>
        <v>0</v>
      </c>
      <c r="F440" s="398" t="s">
        <v>377</v>
      </c>
    </row>
    <row r="441" spans="1:6" ht="18" hidden="1" customHeight="1">
      <c r="A441" s="512" t="s">
        <v>398</v>
      </c>
      <c r="B441" s="481">
        <f>GTA!AJ255</f>
        <v>0</v>
      </c>
      <c r="C441" s="481" t="s">
        <v>22</v>
      </c>
      <c r="D441" s="481">
        <v>16.649999999999999</v>
      </c>
      <c r="E441" s="482">
        <f t="shared" si="13"/>
        <v>0</v>
      </c>
      <c r="F441" s="398" t="s">
        <v>377</v>
      </c>
    </row>
    <row r="442" spans="1:6" ht="18" hidden="1" customHeight="1">
      <c r="A442" s="134" t="s">
        <v>401</v>
      </c>
      <c r="B442" s="135">
        <f>GTA!AM255</f>
        <v>0</v>
      </c>
      <c r="C442" s="135" t="s">
        <v>22</v>
      </c>
      <c r="D442" s="135">
        <v>16.649999999999999</v>
      </c>
      <c r="E442" s="314">
        <f t="shared" si="13"/>
        <v>0</v>
      </c>
      <c r="F442" s="398" t="s">
        <v>377</v>
      </c>
    </row>
    <row r="443" spans="1:6" ht="18" hidden="1" customHeight="1">
      <c r="A443" s="134" t="s">
        <v>333</v>
      </c>
      <c r="B443" s="135">
        <f>GTA!AK255</f>
        <v>0</v>
      </c>
      <c r="C443" s="135" t="s">
        <v>22</v>
      </c>
      <c r="D443" s="135">
        <v>16.649999999999999</v>
      </c>
      <c r="E443" s="314">
        <f t="shared" si="13"/>
        <v>0</v>
      </c>
      <c r="F443" s="398" t="s">
        <v>377</v>
      </c>
    </row>
    <row r="444" spans="1:6" ht="18" hidden="1" customHeight="1">
      <c r="A444" s="270" t="s">
        <v>400</v>
      </c>
      <c r="B444" s="135">
        <f>GTA!AL255</f>
        <v>0</v>
      </c>
      <c r="C444" s="135" t="s">
        <v>22</v>
      </c>
      <c r="D444" s="135">
        <v>16.649999999999999</v>
      </c>
      <c r="E444" s="314">
        <f t="shared" si="13"/>
        <v>0</v>
      </c>
      <c r="F444" s="398" t="s">
        <v>377</v>
      </c>
    </row>
    <row r="445" spans="1:6" ht="18" hidden="1" customHeight="1">
      <c r="A445" s="401" t="s">
        <v>249</v>
      </c>
      <c r="B445" s="135">
        <f>GTA!AA255</f>
        <v>0</v>
      </c>
      <c r="C445" s="135" t="s">
        <v>22</v>
      </c>
      <c r="D445" s="135">
        <v>16.649999999999999</v>
      </c>
      <c r="E445" s="314">
        <f t="shared" si="13"/>
        <v>0</v>
      </c>
      <c r="F445" s="398" t="s">
        <v>377</v>
      </c>
    </row>
    <row r="446" spans="1:6" ht="18" hidden="1" customHeight="1">
      <c r="A446" s="401" t="s">
        <v>403</v>
      </c>
      <c r="B446" s="135">
        <f>GTA!AN255</f>
        <v>0</v>
      </c>
      <c r="C446" s="135" t="s">
        <v>22</v>
      </c>
      <c r="D446" s="135">
        <v>16.649999999999999</v>
      </c>
      <c r="E446" s="314">
        <f t="shared" si="13"/>
        <v>0</v>
      </c>
      <c r="F446" s="398" t="s">
        <v>377</v>
      </c>
    </row>
    <row r="447" spans="1:6" ht="18" hidden="1" customHeight="1">
      <c r="A447" s="440"/>
      <c r="B447" s="419"/>
      <c r="C447" s="419"/>
      <c r="D447" s="419"/>
      <c r="E447" s="420"/>
      <c r="F447" s="398"/>
    </row>
    <row r="448" spans="1:6" ht="18" hidden="1" customHeight="1">
      <c r="A448" s="418" t="s">
        <v>404</v>
      </c>
      <c r="B448" s="415">
        <f>SUM(B412:B447)</f>
        <v>0</v>
      </c>
      <c r="C448" s="419"/>
      <c r="D448" s="419"/>
      <c r="E448" s="420"/>
      <c r="F448" s="398"/>
    </row>
    <row r="449" spans="1:6" ht="18" hidden="1" customHeight="1">
      <c r="A449" s="134"/>
      <c r="B449" s="135"/>
      <c r="C449" s="135"/>
      <c r="D449" s="135"/>
      <c r="E449" s="314"/>
      <c r="F449" s="398"/>
    </row>
    <row r="450" spans="1:6" ht="18" hidden="1" customHeight="1">
      <c r="A450" s="434" t="s">
        <v>405</v>
      </c>
      <c r="B450" s="419"/>
      <c r="C450" s="419"/>
      <c r="D450" s="419"/>
      <c r="E450" s="420"/>
      <c r="F450" s="398"/>
    </row>
    <row r="451" spans="1:6" ht="18" hidden="1" customHeight="1">
      <c r="A451" s="284" t="s">
        <v>357</v>
      </c>
      <c r="B451" s="135">
        <f>GTA!C273</f>
        <v>14</v>
      </c>
      <c r="C451" s="135" t="s">
        <v>22</v>
      </c>
      <c r="D451" s="135">
        <v>16.649999999999999</v>
      </c>
      <c r="E451" s="314">
        <f t="shared" ref="E451:E482" si="14">B451*D451</f>
        <v>233.09999999999997</v>
      </c>
      <c r="F451" s="398" t="s">
        <v>405</v>
      </c>
    </row>
    <row r="452" spans="1:6" ht="18" hidden="1" customHeight="1">
      <c r="A452" s="284" t="s">
        <v>325</v>
      </c>
      <c r="B452" s="135">
        <f>GTA!D273</f>
        <v>6.5</v>
      </c>
      <c r="C452" s="135" t="s">
        <v>22</v>
      </c>
      <c r="D452" s="135">
        <v>16.649999999999999</v>
      </c>
      <c r="E452" s="314">
        <f t="shared" si="14"/>
        <v>108.22499999999999</v>
      </c>
      <c r="F452" s="398" t="s">
        <v>405</v>
      </c>
    </row>
    <row r="453" spans="1:6" ht="18" hidden="1" customHeight="1">
      <c r="A453" s="284" t="s">
        <v>358</v>
      </c>
      <c r="B453" s="135">
        <f>GTA!M273</f>
        <v>0</v>
      </c>
      <c r="C453" s="135" t="s">
        <v>22</v>
      </c>
      <c r="D453" s="135">
        <v>16.649999999999999</v>
      </c>
      <c r="E453" s="314">
        <f t="shared" si="14"/>
        <v>0</v>
      </c>
      <c r="F453" s="398" t="s">
        <v>405</v>
      </c>
    </row>
    <row r="454" spans="1:6" ht="18" hidden="1" customHeight="1">
      <c r="A454" s="284" t="s">
        <v>407</v>
      </c>
      <c r="B454" s="135">
        <f>GTA!N273</f>
        <v>0</v>
      </c>
      <c r="C454" s="135" t="s">
        <v>22</v>
      </c>
      <c r="D454" s="135">
        <v>16.649999999999999</v>
      </c>
      <c r="E454" s="314">
        <f t="shared" si="14"/>
        <v>0</v>
      </c>
      <c r="F454" s="398" t="s">
        <v>405</v>
      </c>
    </row>
    <row r="455" spans="1:6" ht="18" hidden="1" customHeight="1">
      <c r="A455" s="284" t="s">
        <v>239</v>
      </c>
      <c r="B455" s="135">
        <f>GTA!H273</f>
        <v>0</v>
      </c>
      <c r="C455" s="135" t="s">
        <v>22</v>
      </c>
      <c r="D455" s="135">
        <v>16.649999999999999</v>
      </c>
      <c r="E455" s="314">
        <f t="shared" si="14"/>
        <v>0</v>
      </c>
      <c r="F455" s="398" t="s">
        <v>405</v>
      </c>
    </row>
    <row r="456" spans="1:6" ht="18" hidden="1" customHeight="1">
      <c r="A456" s="558" t="s">
        <v>412</v>
      </c>
      <c r="B456" s="481">
        <f>GTA!L273</f>
        <v>0</v>
      </c>
      <c r="C456" s="481" t="s">
        <v>22</v>
      </c>
      <c r="D456" s="481">
        <v>16.649999999999999</v>
      </c>
      <c r="E456" s="482">
        <f t="shared" si="14"/>
        <v>0</v>
      </c>
      <c r="F456" s="398" t="s">
        <v>405</v>
      </c>
    </row>
    <row r="457" spans="1:6" ht="18" hidden="1" customHeight="1">
      <c r="A457" s="284" t="s">
        <v>399</v>
      </c>
      <c r="B457" s="135">
        <f>GTA!I273</f>
        <v>0</v>
      </c>
      <c r="C457" s="135" t="s">
        <v>22</v>
      </c>
      <c r="D457" s="135">
        <v>16.649999999999999</v>
      </c>
      <c r="E457" s="314">
        <f t="shared" si="14"/>
        <v>0</v>
      </c>
      <c r="F457" s="398" t="s">
        <v>405</v>
      </c>
    </row>
    <row r="458" spans="1:6" ht="18" hidden="1" customHeight="1">
      <c r="A458" s="284" t="s">
        <v>210</v>
      </c>
      <c r="B458" s="135">
        <f>GTA!O273</f>
        <v>0</v>
      </c>
      <c r="C458" s="135" t="s">
        <v>22</v>
      </c>
      <c r="D458" s="135">
        <v>16.649999999999999</v>
      </c>
      <c r="E458" s="314">
        <f t="shared" si="14"/>
        <v>0</v>
      </c>
      <c r="F458" s="398" t="s">
        <v>405</v>
      </c>
    </row>
    <row r="459" spans="1:6" ht="18" hidden="1" customHeight="1">
      <c r="A459" s="284" t="s">
        <v>408</v>
      </c>
      <c r="B459" s="135">
        <f>GTA!P273</f>
        <v>0</v>
      </c>
      <c r="C459" s="135" t="s">
        <v>22</v>
      </c>
      <c r="D459" s="135">
        <v>16.649999999999999</v>
      </c>
      <c r="E459" s="314">
        <f t="shared" si="14"/>
        <v>0</v>
      </c>
      <c r="F459" s="398" t="s">
        <v>405</v>
      </c>
    </row>
    <row r="460" spans="1:6" ht="18" hidden="1" customHeight="1">
      <c r="A460" s="284" t="s">
        <v>463</v>
      </c>
      <c r="B460" s="135">
        <f>GTA!AH273</f>
        <v>0</v>
      </c>
      <c r="C460" s="135" t="s">
        <v>22</v>
      </c>
      <c r="D460" s="135">
        <v>16.649999999999999</v>
      </c>
      <c r="E460" s="314">
        <f t="shared" si="14"/>
        <v>0</v>
      </c>
      <c r="F460" s="398" t="s">
        <v>405</v>
      </c>
    </row>
    <row r="461" spans="1:6" ht="18" hidden="1" customHeight="1">
      <c r="A461" s="284" t="s">
        <v>723</v>
      </c>
      <c r="B461" s="135">
        <f>GTA!Q273</f>
        <v>0</v>
      </c>
      <c r="C461" s="135" t="s">
        <v>22</v>
      </c>
      <c r="D461" s="135">
        <v>16.649999999999999</v>
      </c>
      <c r="E461" s="314">
        <f t="shared" si="14"/>
        <v>0</v>
      </c>
      <c r="F461" s="398" t="s">
        <v>405</v>
      </c>
    </row>
    <row r="462" spans="1:6" ht="18" hidden="1" customHeight="1">
      <c r="A462" s="518" t="s">
        <v>724</v>
      </c>
      <c r="B462" s="519">
        <f>GTA!R273</f>
        <v>0</v>
      </c>
      <c r="C462" s="519" t="s">
        <v>22</v>
      </c>
      <c r="D462" s="519">
        <v>20</v>
      </c>
      <c r="E462" s="520">
        <f t="shared" si="14"/>
        <v>0</v>
      </c>
      <c r="F462" s="398" t="s">
        <v>405</v>
      </c>
    </row>
    <row r="463" spans="1:6" ht="18" hidden="1" customHeight="1">
      <c r="A463" s="398" t="s">
        <v>360</v>
      </c>
      <c r="B463" s="135">
        <f>GTA!S273</f>
        <v>0</v>
      </c>
      <c r="C463" s="135" t="s">
        <v>22</v>
      </c>
      <c r="D463" s="135">
        <v>16.649999999999999</v>
      </c>
      <c r="E463" s="314">
        <f t="shared" si="14"/>
        <v>0</v>
      </c>
      <c r="F463" s="398" t="s">
        <v>405</v>
      </c>
    </row>
    <row r="464" spans="1:6" ht="18" hidden="1" customHeight="1">
      <c r="A464" s="398" t="s">
        <v>719</v>
      </c>
      <c r="B464" s="135">
        <f>GTA!T273</f>
        <v>0</v>
      </c>
      <c r="C464" s="135" t="s">
        <v>22</v>
      </c>
      <c r="D464" s="135">
        <v>16.649999999999999</v>
      </c>
      <c r="E464" s="314">
        <f t="shared" si="14"/>
        <v>0</v>
      </c>
      <c r="F464" s="398" t="s">
        <v>405</v>
      </c>
    </row>
    <row r="465" spans="1:6" ht="18" hidden="1" customHeight="1">
      <c r="A465" s="398" t="s">
        <v>640</v>
      </c>
      <c r="B465" s="135">
        <f>GTA!U273</f>
        <v>0</v>
      </c>
      <c r="C465" s="135" t="s">
        <v>22</v>
      </c>
      <c r="D465" s="135">
        <v>16.649999999999999</v>
      </c>
      <c r="E465" s="314">
        <f t="shared" si="14"/>
        <v>0</v>
      </c>
      <c r="F465" s="398" t="s">
        <v>405</v>
      </c>
    </row>
    <row r="466" spans="1:6" ht="18" hidden="1" customHeight="1">
      <c r="A466" s="136" t="s">
        <v>222</v>
      </c>
      <c r="B466" s="135">
        <f>GTA!V273</f>
        <v>0</v>
      </c>
      <c r="C466" s="135" t="s">
        <v>22</v>
      </c>
      <c r="D466" s="135">
        <v>16.649999999999999</v>
      </c>
      <c r="E466" s="314">
        <f t="shared" si="14"/>
        <v>0</v>
      </c>
      <c r="F466" s="398" t="s">
        <v>405</v>
      </c>
    </row>
    <row r="467" spans="1:6" ht="18" hidden="1" customHeight="1">
      <c r="A467" s="134" t="s">
        <v>413</v>
      </c>
      <c r="B467" s="135">
        <f>GTA!X273</f>
        <v>0</v>
      </c>
      <c r="C467" s="135" t="s">
        <v>22</v>
      </c>
      <c r="D467" s="135">
        <v>16.649999999999999</v>
      </c>
      <c r="E467" s="314">
        <f t="shared" si="14"/>
        <v>0</v>
      </c>
      <c r="F467" s="398" t="s">
        <v>405</v>
      </c>
    </row>
    <row r="468" spans="1:6" ht="18" hidden="1" customHeight="1">
      <c r="A468" s="284" t="s">
        <v>326</v>
      </c>
      <c r="B468" s="135">
        <f>GTA!Y273</f>
        <v>0</v>
      </c>
      <c r="C468" s="135" t="s">
        <v>22</v>
      </c>
      <c r="D468" s="135">
        <v>16.649999999999999</v>
      </c>
      <c r="E468" s="314">
        <f t="shared" si="14"/>
        <v>0</v>
      </c>
      <c r="F468" s="398" t="s">
        <v>405</v>
      </c>
    </row>
    <row r="469" spans="1:6" ht="18" hidden="1" customHeight="1">
      <c r="A469" s="284" t="s">
        <v>361</v>
      </c>
      <c r="B469" s="135">
        <f>GTA!Z273</f>
        <v>0</v>
      </c>
      <c r="C469" s="135" t="s">
        <v>22</v>
      </c>
      <c r="D469" s="135">
        <v>16.649999999999999</v>
      </c>
      <c r="E469" s="314">
        <f t="shared" si="14"/>
        <v>0</v>
      </c>
      <c r="F469" s="398" t="s">
        <v>405</v>
      </c>
    </row>
    <row r="470" spans="1:6" ht="18" hidden="1" customHeight="1">
      <c r="A470" s="284" t="s">
        <v>384</v>
      </c>
      <c r="B470" s="135">
        <f>GTA!AA273</f>
        <v>0</v>
      </c>
      <c r="C470" s="135" t="s">
        <v>22</v>
      </c>
      <c r="D470" s="135">
        <v>16.649999999999999</v>
      </c>
      <c r="E470" s="314">
        <f t="shared" si="14"/>
        <v>0</v>
      </c>
      <c r="F470" s="398" t="s">
        <v>405</v>
      </c>
    </row>
    <row r="471" spans="1:6" ht="18" hidden="1" customHeight="1">
      <c r="A471" s="284" t="s">
        <v>415</v>
      </c>
      <c r="B471" s="135">
        <f>GTA!AC273</f>
        <v>0</v>
      </c>
      <c r="C471" s="135" t="s">
        <v>22</v>
      </c>
      <c r="D471" s="135">
        <v>18</v>
      </c>
      <c r="E471" s="314">
        <f t="shared" si="14"/>
        <v>0</v>
      </c>
      <c r="F471" s="398" t="s">
        <v>405</v>
      </c>
    </row>
    <row r="472" spans="1:6" ht="18" hidden="1" customHeight="1">
      <c r="A472" s="284" t="s">
        <v>416</v>
      </c>
      <c r="B472" s="135">
        <f>GTA!AD273</f>
        <v>0</v>
      </c>
      <c r="C472" s="135" t="s">
        <v>22</v>
      </c>
      <c r="D472" s="135">
        <v>16.649999999999999</v>
      </c>
      <c r="E472" s="314">
        <f t="shared" si="14"/>
        <v>0</v>
      </c>
      <c r="F472" s="398" t="s">
        <v>405</v>
      </c>
    </row>
    <row r="473" spans="1:6" ht="18" hidden="1" customHeight="1">
      <c r="A473" s="284" t="s">
        <v>385</v>
      </c>
      <c r="B473" s="135">
        <f>GTA!AE273</f>
        <v>0</v>
      </c>
      <c r="C473" s="135" t="s">
        <v>22</v>
      </c>
      <c r="D473" s="135">
        <v>16.649999999999999</v>
      </c>
      <c r="E473" s="314">
        <f t="shared" si="14"/>
        <v>0</v>
      </c>
      <c r="F473" s="398" t="s">
        <v>405</v>
      </c>
    </row>
    <row r="474" spans="1:6" ht="18" hidden="1" customHeight="1">
      <c r="A474" s="284" t="s">
        <v>229</v>
      </c>
      <c r="B474" s="135">
        <f>GTA!AF273</f>
        <v>0</v>
      </c>
      <c r="C474" s="135" t="s">
        <v>22</v>
      </c>
      <c r="D474" s="135">
        <v>16.649999999999999</v>
      </c>
      <c r="E474" s="314">
        <f t="shared" si="14"/>
        <v>0</v>
      </c>
      <c r="F474" s="398" t="s">
        <v>405</v>
      </c>
    </row>
    <row r="475" spans="1:6" ht="18" hidden="1" customHeight="1">
      <c r="A475" s="284" t="s">
        <v>418</v>
      </c>
      <c r="B475" s="135">
        <f>GTA!AG273</f>
        <v>0</v>
      </c>
      <c r="C475" s="135" t="s">
        <v>22</v>
      </c>
      <c r="D475" s="135">
        <v>16.649999999999999</v>
      </c>
      <c r="E475" s="314">
        <f t="shared" si="14"/>
        <v>0</v>
      </c>
      <c r="F475" s="398" t="s">
        <v>405</v>
      </c>
    </row>
    <row r="476" spans="1:6" ht="18" hidden="1" customHeight="1">
      <c r="A476" s="136" t="s">
        <v>365</v>
      </c>
      <c r="B476" s="135">
        <f>GTA!AI273</f>
        <v>0</v>
      </c>
      <c r="C476" s="135" t="s">
        <v>22</v>
      </c>
      <c r="D476" s="135">
        <v>16.649999999999999</v>
      </c>
      <c r="E476" s="314">
        <f t="shared" si="14"/>
        <v>0</v>
      </c>
      <c r="F476" s="398" t="s">
        <v>405</v>
      </c>
    </row>
    <row r="477" spans="1:6" ht="18" hidden="1" customHeight="1">
      <c r="A477" s="480" t="s">
        <v>419</v>
      </c>
      <c r="B477" s="481">
        <f>GTA!AJ273</f>
        <v>0</v>
      </c>
      <c r="C477" s="481" t="s">
        <v>22</v>
      </c>
      <c r="D477" s="481">
        <v>16.649999999999999</v>
      </c>
      <c r="E477" s="482">
        <f t="shared" si="14"/>
        <v>0</v>
      </c>
      <c r="F477" s="398" t="s">
        <v>405</v>
      </c>
    </row>
    <row r="478" spans="1:6" ht="18" hidden="1" customHeight="1">
      <c r="A478" s="136" t="s">
        <v>420</v>
      </c>
      <c r="B478" s="135">
        <f>GTA!AK273</f>
        <v>0</v>
      </c>
      <c r="C478" s="135" t="s">
        <v>22</v>
      </c>
      <c r="D478" s="135">
        <v>16.649999999999999</v>
      </c>
      <c r="E478" s="314">
        <f t="shared" si="14"/>
        <v>0</v>
      </c>
      <c r="F478" s="398" t="s">
        <v>405</v>
      </c>
    </row>
    <row r="479" spans="1:6" ht="18" hidden="1" customHeight="1">
      <c r="A479" s="284" t="s">
        <v>366</v>
      </c>
      <c r="B479" s="135">
        <f>GTA!AL273</f>
        <v>0</v>
      </c>
      <c r="C479" s="135" t="s">
        <v>22</v>
      </c>
      <c r="D479" s="135">
        <v>16.649999999999999</v>
      </c>
      <c r="E479" s="314">
        <f t="shared" si="14"/>
        <v>0</v>
      </c>
      <c r="F479" s="398" t="s">
        <v>405</v>
      </c>
    </row>
    <row r="480" spans="1:6" ht="18" hidden="1" customHeight="1">
      <c r="A480" s="284" t="s">
        <v>367</v>
      </c>
      <c r="B480" s="135">
        <f>GTA!AM273</f>
        <v>0</v>
      </c>
      <c r="C480" s="135" t="s">
        <v>22</v>
      </c>
      <c r="D480" s="135">
        <v>16.649999999999999</v>
      </c>
      <c r="E480" s="314">
        <f t="shared" si="14"/>
        <v>0</v>
      </c>
      <c r="F480" s="398" t="s">
        <v>405</v>
      </c>
    </row>
    <row r="481" spans="1:6" ht="18" hidden="1" customHeight="1">
      <c r="A481" s="284" t="s">
        <v>421</v>
      </c>
      <c r="B481" s="135">
        <f>GTA!AN273</f>
        <v>0</v>
      </c>
      <c r="C481" s="135" t="s">
        <v>22</v>
      </c>
      <c r="D481" s="135">
        <v>16.649999999999999</v>
      </c>
      <c r="E481" s="314">
        <f t="shared" si="14"/>
        <v>0</v>
      </c>
      <c r="F481" s="398" t="s">
        <v>405</v>
      </c>
    </row>
    <row r="482" spans="1:6" ht="18" hidden="1" customHeight="1">
      <c r="A482" s="284" t="s">
        <v>210</v>
      </c>
      <c r="B482" s="135">
        <f>GTA!AO273</f>
        <v>0</v>
      </c>
      <c r="C482" s="135" t="s">
        <v>22</v>
      </c>
      <c r="D482" s="135">
        <v>16.649999999999999</v>
      </c>
      <c r="E482" s="314">
        <f t="shared" si="14"/>
        <v>0</v>
      </c>
      <c r="F482" s="398" t="s">
        <v>405</v>
      </c>
    </row>
    <row r="483" spans="1:6" ht="18" hidden="1" customHeight="1">
      <c r="A483" s="284" t="s">
        <v>725</v>
      </c>
      <c r="B483" s="135">
        <f>GTA!F273</f>
        <v>0</v>
      </c>
      <c r="C483" s="135" t="s">
        <v>22</v>
      </c>
      <c r="D483" s="135">
        <v>16.649999999999999</v>
      </c>
      <c r="E483" s="314">
        <f t="shared" ref="E483:E504" si="15">B483*D483</f>
        <v>0</v>
      </c>
      <c r="F483" s="398" t="s">
        <v>405</v>
      </c>
    </row>
    <row r="484" spans="1:6" ht="18" hidden="1" customHeight="1">
      <c r="A484" s="136" t="s">
        <v>368</v>
      </c>
      <c r="B484" s="135">
        <f>GTA!AP273</f>
        <v>0</v>
      </c>
      <c r="C484" s="135" t="s">
        <v>22</v>
      </c>
      <c r="D484" s="135">
        <v>16.649999999999999</v>
      </c>
      <c r="E484" s="314">
        <f t="shared" si="15"/>
        <v>0</v>
      </c>
      <c r="F484" s="398" t="s">
        <v>405</v>
      </c>
    </row>
    <row r="485" spans="1:6" ht="18" hidden="1" customHeight="1">
      <c r="A485" s="284" t="s">
        <v>330</v>
      </c>
      <c r="B485" s="135">
        <f>GTA!AQ273</f>
        <v>0</v>
      </c>
      <c r="C485" s="135" t="s">
        <v>22</v>
      </c>
      <c r="D485" s="135">
        <v>16.649999999999999</v>
      </c>
      <c r="E485" s="314">
        <f t="shared" si="15"/>
        <v>0</v>
      </c>
      <c r="F485" s="398" t="s">
        <v>405</v>
      </c>
    </row>
    <row r="486" spans="1:6" ht="18" hidden="1" customHeight="1">
      <c r="A486" s="398" t="s">
        <v>422</v>
      </c>
      <c r="B486" s="135">
        <f>GTA!AR273</f>
        <v>0</v>
      </c>
      <c r="C486" s="135" t="s">
        <v>22</v>
      </c>
      <c r="D486" s="135">
        <v>16.649999999999999</v>
      </c>
      <c r="E486" s="314">
        <f t="shared" si="15"/>
        <v>0</v>
      </c>
      <c r="F486" s="398" t="s">
        <v>405</v>
      </c>
    </row>
    <row r="487" spans="1:6" ht="18" hidden="1" customHeight="1">
      <c r="A487" s="284" t="s">
        <v>423</v>
      </c>
      <c r="B487" s="135">
        <f>GTA!AS273</f>
        <v>0</v>
      </c>
      <c r="C487" s="135" t="s">
        <v>22</v>
      </c>
      <c r="D487" s="135">
        <v>16.649999999999999</v>
      </c>
      <c r="E487" s="314">
        <f t="shared" si="15"/>
        <v>0</v>
      </c>
      <c r="F487" s="398" t="s">
        <v>405</v>
      </c>
    </row>
    <row r="488" spans="1:6" ht="18" hidden="1" customHeight="1">
      <c r="A488" s="284" t="s">
        <v>424</v>
      </c>
      <c r="B488" s="135">
        <f>GTA!AT273</f>
        <v>0</v>
      </c>
      <c r="C488" s="135" t="s">
        <v>22</v>
      </c>
      <c r="D488" s="135">
        <v>16.649999999999999</v>
      </c>
      <c r="E488" s="314">
        <f t="shared" si="15"/>
        <v>0</v>
      </c>
      <c r="F488" s="398" t="s">
        <v>405</v>
      </c>
    </row>
    <row r="489" spans="1:6" ht="18" hidden="1" customHeight="1">
      <c r="A489" s="134" t="s">
        <v>236</v>
      </c>
      <c r="B489" s="135">
        <f>GTA!AU273</f>
        <v>0</v>
      </c>
      <c r="C489" s="135" t="s">
        <v>22</v>
      </c>
      <c r="D489" s="135">
        <v>16.649999999999999</v>
      </c>
      <c r="E489" s="314">
        <f t="shared" si="15"/>
        <v>0</v>
      </c>
      <c r="F489" s="398" t="s">
        <v>405</v>
      </c>
    </row>
    <row r="490" spans="1:6" ht="18" hidden="1" customHeight="1">
      <c r="A490" s="398" t="s">
        <v>369</v>
      </c>
      <c r="B490" s="135">
        <f>GTA!AV273</f>
        <v>0</v>
      </c>
      <c r="C490" s="135" t="s">
        <v>22</v>
      </c>
      <c r="D490" s="135">
        <v>16.649999999999999</v>
      </c>
      <c r="E490" s="314">
        <f t="shared" si="15"/>
        <v>0</v>
      </c>
      <c r="F490" s="398" t="s">
        <v>405</v>
      </c>
    </row>
    <row r="491" spans="1:6" ht="18" hidden="1" customHeight="1">
      <c r="A491" s="398" t="s">
        <v>370</v>
      </c>
      <c r="B491" s="135">
        <f>GTA!AW273</f>
        <v>0</v>
      </c>
      <c r="C491" s="135" t="s">
        <v>22</v>
      </c>
      <c r="D491" s="135">
        <v>16.649999999999999</v>
      </c>
      <c r="E491" s="314">
        <f t="shared" si="15"/>
        <v>0</v>
      </c>
      <c r="F491" s="398" t="s">
        <v>405</v>
      </c>
    </row>
    <row r="492" spans="1:6" ht="18" hidden="1" customHeight="1">
      <c r="A492" s="136" t="s">
        <v>372</v>
      </c>
      <c r="B492" s="135">
        <f>GTA!AX273</f>
        <v>0</v>
      </c>
      <c r="C492" s="135" t="s">
        <v>22</v>
      </c>
      <c r="D492" s="135">
        <v>16.649999999999999</v>
      </c>
      <c r="E492" s="314">
        <f t="shared" si="15"/>
        <v>0</v>
      </c>
      <c r="F492" s="398" t="s">
        <v>405</v>
      </c>
    </row>
    <row r="493" spans="1:6" ht="18" hidden="1" customHeight="1">
      <c r="A493" s="136" t="s">
        <v>425</v>
      </c>
      <c r="B493" s="135">
        <f>GTA!AY273</f>
        <v>0</v>
      </c>
      <c r="C493" s="135" t="s">
        <v>22</v>
      </c>
      <c r="D493" s="135">
        <v>16.649999999999999</v>
      </c>
      <c r="E493" s="314">
        <f t="shared" si="15"/>
        <v>0</v>
      </c>
      <c r="F493" s="398" t="s">
        <v>405</v>
      </c>
    </row>
    <row r="494" spans="1:6" ht="18" hidden="1" customHeight="1">
      <c r="A494" s="136" t="s">
        <v>726</v>
      </c>
      <c r="B494" s="135">
        <f>GTA!BA273</f>
        <v>0</v>
      </c>
      <c r="C494" s="135" t="s">
        <v>22</v>
      </c>
      <c r="D494" s="135">
        <v>16.649999999999999</v>
      </c>
      <c r="E494" s="314">
        <f t="shared" si="15"/>
        <v>0</v>
      </c>
      <c r="F494" s="398" t="s">
        <v>405</v>
      </c>
    </row>
    <row r="495" spans="1:6" ht="18" hidden="1" customHeight="1">
      <c r="A495" s="136" t="s">
        <v>727</v>
      </c>
      <c r="B495" s="135">
        <f>GTA!BC273</f>
        <v>0</v>
      </c>
      <c r="C495" s="135" t="s">
        <v>22</v>
      </c>
      <c r="D495" s="135">
        <v>16.649999999999999</v>
      </c>
      <c r="E495" s="314">
        <f t="shared" si="15"/>
        <v>0</v>
      </c>
      <c r="F495" s="398" t="s">
        <v>405</v>
      </c>
    </row>
    <row r="496" spans="1:6" ht="18" hidden="1" customHeight="1">
      <c r="A496" s="284" t="s">
        <v>426</v>
      </c>
      <c r="B496" s="135">
        <f>GTA!BD273</f>
        <v>0</v>
      </c>
      <c r="C496" s="135" t="s">
        <v>22</v>
      </c>
      <c r="D496" s="135">
        <v>16.649999999999999</v>
      </c>
      <c r="E496" s="314">
        <f t="shared" si="15"/>
        <v>0</v>
      </c>
      <c r="F496" s="398" t="s">
        <v>405</v>
      </c>
    </row>
    <row r="497" spans="1:6" ht="18" hidden="1" customHeight="1">
      <c r="A497" s="284" t="s">
        <v>728</v>
      </c>
      <c r="B497" s="135">
        <f>GTA!BE273</f>
        <v>0</v>
      </c>
      <c r="C497" s="135" t="s">
        <v>22</v>
      </c>
      <c r="D497" s="135">
        <v>16.649999999999999</v>
      </c>
      <c r="E497" s="314">
        <f t="shared" si="15"/>
        <v>0</v>
      </c>
      <c r="F497" s="398" t="s">
        <v>405</v>
      </c>
    </row>
    <row r="498" spans="1:6" ht="18" hidden="1" customHeight="1">
      <c r="A498" s="558" t="s">
        <v>551</v>
      </c>
      <c r="B498" s="481">
        <f>GTA!BF273</f>
        <v>0</v>
      </c>
      <c r="C498" s="481" t="s">
        <v>22</v>
      </c>
      <c r="D498" s="481">
        <v>16.649999999999999</v>
      </c>
      <c r="E498" s="482">
        <f t="shared" si="15"/>
        <v>0</v>
      </c>
      <c r="F498" s="398" t="s">
        <v>405</v>
      </c>
    </row>
    <row r="499" spans="1:6" ht="18" hidden="1" customHeight="1">
      <c r="A499" s="284" t="s">
        <v>429</v>
      </c>
      <c r="B499" s="135">
        <f>GTA!BG273</f>
        <v>0</v>
      </c>
      <c r="C499" s="135" t="s">
        <v>22</v>
      </c>
      <c r="D499" s="135">
        <v>16.649999999999999</v>
      </c>
      <c r="E499" s="314">
        <f t="shared" si="15"/>
        <v>0</v>
      </c>
      <c r="F499" s="398" t="s">
        <v>405</v>
      </c>
    </row>
    <row r="500" spans="1:6" ht="18" hidden="1" customHeight="1">
      <c r="A500" s="134" t="s">
        <v>374</v>
      </c>
      <c r="B500" s="135">
        <f>GTA!BH273</f>
        <v>0</v>
      </c>
      <c r="C500" s="135" t="s">
        <v>22</v>
      </c>
      <c r="D500" s="135">
        <v>16.649999999999999</v>
      </c>
      <c r="E500" s="314">
        <f t="shared" si="15"/>
        <v>0</v>
      </c>
      <c r="F500" s="398" t="s">
        <v>405</v>
      </c>
    </row>
    <row r="501" spans="1:6" ht="18" hidden="1" customHeight="1">
      <c r="A501" s="284" t="s">
        <v>430</v>
      </c>
      <c r="B501" s="135">
        <f>GTA!BI273</f>
        <v>0</v>
      </c>
      <c r="C501" s="135" t="s">
        <v>22</v>
      </c>
      <c r="D501" s="135">
        <v>16.649999999999999</v>
      </c>
      <c r="E501" s="314">
        <f t="shared" si="15"/>
        <v>0</v>
      </c>
      <c r="F501" s="398" t="s">
        <v>405</v>
      </c>
    </row>
    <row r="502" spans="1:6" ht="18" hidden="1" customHeight="1">
      <c r="A502" s="284" t="s">
        <v>431</v>
      </c>
      <c r="B502" s="135">
        <f>GTA!BK273</f>
        <v>0</v>
      </c>
      <c r="C502" s="135" t="s">
        <v>22</v>
      </c>
      <c r="D502" s="135">
        <v>16.649999999999999</v>
      </c>
      <c r="E502" s="314">
        <f t="shared" si="15"/>
        <v>0</v>
      </c>
      <c r="F502" s="398" t="s">
        <v>405</v>
      </c>
    </row>
    <row r="503" spans="1:6" ht="18" hidden="1" customHeight="1">
      <c r="A503" s="558" t="s">
        <v>729</v>
      </c>
      <c r="B503" s="481">
        <f>GTA!BL273</f>
        <v>0</v>
      </c>
      <c r="C503" s="481" t="s">
        <v>22</v>
      </c>
      <c r="D503" s="481">
        <v>16.649999999999999</v>
      </c>
      <c r="E503" s="482">
        <f t="shared" si="15"/>
        <v>0</v>
      </c>
      <c r="F503" s="398" t="s">
        <v>405</v>
      </c>
    </row>
    <row r="504" spans="1:6" ht="18" hidden="1" customHeight="1">
      <c r="A504" s="284" t="s">
        <v>433</v>
      </c>
      <c r="B504" s="135">
        <f>GTA!BM273</f>
        <v>0</v>
      </c>
      <c r="C504" s="135" t="s">
        <v>22</v>
      </c>
      <c r="D504" s="135">
        <v>16.649999999999999</v>
      </c>
      <c r="E504" s="314">
        <f t="shared" si="15"/>
        <v>0</v>
      </c>
      <c r="F504" s="398" t="s">
        <v>405</v>
      </c>
    </row>
    <row r="505" spans="1:6" ht="18" hidden="1" customHeight="1">
      <c r="A505" s="438"/>
      <c r="B505" s="419"/>
      <c r="C505" s="419"/>
      <c r="D505" s="419"/>
      <c r="E505" s="420"/>
      <c r="F505" s="398"/>
    </row>
    <row r="506" spans="1:6" ht="18" hidden="1" customHeight="1">
      <c r="A506" s="434" t="s">
        <v>434</v>
      </c>
      <c r="B506" s="415">
        <f>SUM(B450:B505)</f>
        <v>20.5</v>
      </c>
      <c r="C506" s="419"/>
      <c r="D506" s="419"/>
      <c r="E506" s="420"/>
      <c r="F506" s="398"/>
    </row>
    <row r="507" spans="1:6" ht="18" hidden="1" customHeight="1">
      <c r="A507" s="284"/>
      <c r="B507" s="135"/>
      <c r="C507" s="135"/>
      <c r="D507" s="135"/>
      <c r="E507" s="314"/>
      <c r="F507" s="398"/>
    </row>
    <row r="508" spans="1:6" ht="18" hidden="1" customHeight="1">
      <c r="A508" s="434" t="s">
        <v>435</v>
      </c>
      <c r="B508" s="419"/>
      <c r="C508" s="419"/>
      <c r="D508" s="419"/>
      <c r="E508" s="420"/>
      <c r="F508" s="398"/>
    </row>
    <row r="509" spans="1:6" ht="18" customHeight="1">
      <c r="A509" s="396" t="s">
        <v>324</v>
      </c>
      <c r="B509" s="135">
        <f>GTA!C255</f>
        <v>0</v>
      </c>
      <c r="C509" s="135" t="s">
        <v>22</v>
      </c>
      <c r="D509" s="135">
        <v>16.649999999999999</v>
      </c>
      <c r="E509" s="314">
        <f>B509*D509</f>
        <v>0</v>
      </c>
      <c r="F509" s="398" t="s">
        <v>377</v>
      </c>
    </row>
    <row r="510" spans="1:6" ht="18" hidden="1" customHeight="1">
      <c r="A510" s="284" t="s">
        <v>393</v>
      </c>
      <c r="B510" s="135">
        <f>GTA!E291</f>
        <v>0</v>
      </c>
      <c r="C510" s="135" t="s">
        <v>22</v>
      </c>
      <c r="D510" s="135">
        <v>16.649999999999999</v>
      </c>
      <c r="E510" s="314">
        <f>B510*D510</f>
        <v>0</v>
      </c>
      <c r="F510" s="398" t="s">
        <v>435</v>
      </c>
    </row>
    <row r="511" spans="1:6" ht="18" hidden="1" customHeight="1">
      <c r="A511" s="284" t="s">
        <v>437</v>
      </c>
      <c r="B511" s="135">
        <f>GTA!F291</f>
        <v>0</v>
      </c>
      <c r="C511" s="135" t="s">
        <v>22</v>
      </c>
      <c r="D511" s="135">
        <v>16.649999999999999</v>
      </c>
      <c r="E511" s="314">
        <f>B511*D511</f>
        <v>0</v>
      </c>
      <c r="F511" s="398" t="s">
        <v>435</v>
      </c>
    </row>
    <row r="512" spans="1:6" ht="18" hidden="1" customHeight="1">
      <c r="A512" s="284" t="s">
        <v>431</v>
      </c>
      <c r="B512" s="135">
        <f>GTA!G291</f>
        <v>0</v>
      </c>
      <c r="C512" s="135" t="s">
        <v>22</v>
      </c>
      <c r="D512" s="135">
        <v>16.649999999999999</v>
      </c>
      <c r="E512" s="314">
        <f>B512*D512</f>
        <v>0</v>
      </c>
      <c r="F512" s="398" t="s">
        <v>435</v>
      </c>
    </row>
    <row r="513" spans="1:6" ht="18" hidden="1" customHeight="1">
      <c r="A513" s="438"/>
      <c r="B513" s="419"/>
      <c r="C513" s="419"/>
      <c r="D513" s="419"/>
      <c r="E513" s="420"/>
      <c r="F513" s="398"/>
    </row>
    <row r="514" spans="1:6" ht="18" hidden="1" customHeight="1">
      <c r="A514" s="434" t="s">
        <v>435</v>
      </c>
      <c r="B514" s="415">
        <f>SUM(B508:B513)</f>
        <v>0</v>
      </c>
      <c r="C514" s="419"/>
      <c r="D514" s="419"/>
      <c r="E514" s="420"/>
      <c r="F514" s="398"/>
    </row>
    <row r="515" spans="1:6" ht="18" hidden="1" customHeight="1">
      <c r="A515" s="284"/>
      <c r="B515" s="135"/>
      <c r="C515" s="135"/>
      <c r="D515" s="135"/>
      <c r="E515" s="314"/>
      <c r="F515" s="398"/>
    </row>
    <row r="516" spans="1:6" ht="18" hidden="1" customHeight="1">
      <c r="A516" s="434" t="s">
        <v>438</v>
      </c>
      <c r="B516" s="419"/>
      <c r="C516" s="419"/>
      <c r="D516" s="419"/>
      <c r="E516" s="420"/>
      <c r="F516" s="398"/>
    </row>
    <row r="517" spans="1:6" ht="18" customHeight="1">
      <c r="A517" s="134" t="s">
        <v>323</v>
      </c>
      <c r="B517" s="135">
        <f>GTA!L255</f>
        <v>0</v>
      </c>
      <c r="C517" s="135" t="s">
        <v>22</v>
      </c>
      <c r="D517" s="135">
        <v>16.649999999999999</v>
      </c>
      <c r="E517" s="314">
        <f>B517*D517</f>
        <v>0</v>
      </c>
      <c r="F517" s="398" t="s">
        <v>377</v>
      </c>
    </row>
    <row r="518" spans="1:6" ht="18" hidden="1" customHeight="1">
      <c r="A518" s="438"/>
      <c r="B518" s="419"/>
      <c r="C518" s="419"/>
      <c r="D518" s="419"/>
      <c r="E518" s="420"/>
      <c r="F518" s="398"/>
    </row>
    <row r="519" spans="1:6" ht="18" hidden="1" customHeight="1">
      <c r="A519" s="434" t="s">
        <v>438</v>
      </c>
      <c r="B519" s="415">
        <f>SUM(B516:B518)</f>
        <v>0</v>
      </c>
      <c r="C519" s="419"/>
      <c r="D519" s="419"/>
      <c r="E519" s="420"/>
      <c r="F519" s="398"/>
    </row>
    <row r="520" spans="1:6" ht="18" hidden="1" customHeight="1">
      <c r="A520" s="284"/>
      <c r="B520" s="135"/>
      <c r="C520" s="135"/>
      <c r="D520" s="135"/>
      <c r="E520" s="314"/>
      <c r="F520" s="398"/>
    </row>
    <row r="521" spans="1:6" ht="18" hidden="1" customHeight="1">
      <c r="A521" s="418" t="s">
        <v>440</v>
      </c>
      <c r="B521" s="419"/>
      <c r="C521" s="419"/>
      <c r="D521" s="419"/>
      <c r="E521" s="420"/>
      <c r="F521" s="398"/>
    </row>
    <row r="522" spans="1:6" ht="18" hidden="1" customHeight="1">
      <c r="A522" s="134" t="s">
        <v>323</v>
      </c>
      <c r="B522" s="135">
        <f>GTA!O39</f>
        <v>0</v>
      </c>
      <c r="C522" s="135" t="s">
        <v>22</v>
      </c>
      <c r="D522" s="135">
        <v>16.649999999999999</v>
      </c>
      <c r="E522" s="314">
        <f>B522*D522</f>
        <v>0</v>
      </c>
      <c r="F522" s="398" t="s">
        <v>440</v>
      </c>
    </row>
    <row r="523" spans="1:6" ht="18" hidden="1" customHeight="1">
      <c r="A523" s="134" t="s">
        <v>324</v>
      </c>
      <c r="B523" s="135">
        <f>GTA!P39</f>
        <v>0</v>
      </c>
      <c r="C523" s="135" t="s">
        <v>22</v>
      </c>
      <c r="D523" s="135">
        <v>16.649999999999999</v>
      </c>
      <c r="E523" s="314">
        <f>B523*D523</f>
        <v>0</v>
      </c>
      <c r="F523" s="398" t="s">
        <v>440</v>
      </c>
    </row>
    <row r="524" spans="1:6" ht="18" customHeight="1">
      <c r="A524" s="768" t="s">
        <v>386</v>
      </c>
      <c r="B524" s="481">
        <f>GTA!V255</f>
        <v>0</v>
      </c>
      <c r="C524" s="481" t="s">
        <v>22</v>
      </c>
      <c r="D524" s="481">
        <v>16.649999999999999</v>
      </c>
      <c r="E524" s="482">
        <f>B524*D524</f>
        <v>0</v>
      </c>
      <c r="F524" s="398" t="s">
        <v>377</v>
      </c>
    </row>
    <row r="525" spans="1:6" ht="18" customHeight="1">
      <c r="A525" s="401" t="s">
        <v>254</v>
      </c>
      <c r="B525" s="135">
        <f>(GTA!AI255)</f>
        <v>0</v>
      </c>
      <c r="C525" s="135" t="s">
        <v>22</v>
      </c>
      <c r="D525" s="135">
        <v>16.649999999999999</v>
      </c>
      <c r="E525" s="314">
        <f>(B525*D525)</f>
        <v>0</v>
      </c>
      <c r="F525" s="398" t="s">
        <v>377</v>
      </c>
    </row>
    <row r="526" spans="1:6" ht="18" hidden="1" customHeight="1">
      <c r="A526" s="134" t="s">
        <v>443</v>
      </c>
      <c r="B526" s="135">
        <f>GTA!C39</f>
        <v>82</v>
      </c>
      <c r="C526" s="135" t="s">
        <v>22</v>
      </c>
      <c r="D526" s="135">
        <v>16.649999999999999</v>
      </c>
      <c r="E526" s="314">
        <f>B526*D526</f>
        <v>1365.3</v>
      </c>
      <c r="F526" s="398" t="s">
        <v>440</v>
      </c>
    </row>
    <row r="527" spans="1:6" ht="18" hidden="1" customHeight="1">
      <c r="A527" s="134" t="s">
        <v>444</v>
      </c>
      <c r="B527" s="135">
        <f>GTA!K39</f>
        <v>0</v>
      </c>
      <c r="C527" s="135" t="s">
        <v>22</v>
      </c>
      <c r="D527" s="135">
        <v>16.649999999999999</v>
      </c>
      <c r="E527" s="314">
        <f>B527*D527</f>
        <v>0</v>
      </c>
      <c r="F527" s="398" t="s">
        <v>440</v>
      </c>
    </row>
    <row r="528" spans="1:6" ht="18" hidden="1" customHeight="1">
      <c r="A528" s="134" t="s">
        <v>445</v>
      </c>
      <c r="B528" s="135">
        <f>GTA!L39</f>
        <v>0</v>
      </c>
      <c r="C528" s="135" t="s">
        <v>22</v>
      </c>
      <c r="D528" s="135">
        <v>16.649999999999999</v>
      </c>
      <c r="E528" s="314">
        <f>B528*D528</f>
        <v>0</v>
      </c>
      <c r="F528" s="398" t="s">
        <v>440</v>
      </c>
    </row>
    <row r="529" spans="1:6" ht="18" hidden="1" customHeight="1">
      <c r="A529" s="284" t="s">
        <v>334</v>
      </c>
      <c r="B529" s="347">
        <f>GTA!J39</f>
        <v>0</v>
      </c>
      <c r="C529" s="347" t="s">
        <v>22</v>
      </c>
      <c r="D529" s="347">
        <v>16.649999999999999</v>
      </c>
      <c r="E529" s="298">
        <f>D529*B529</f>
        <v>0</v>
      </c>
      <c r="F529" s="398" t="s">
        <v>440</v>
      </c>
    </row>
    <row r="530" spans="1:6" ht="18" hidden="1" customHeight="1">
      <c r="A530" s="401" t="s">
        <v>446</v>
      </c>
      <c r="B530" s="135">
        <f>GTA!N39</f>
        <v>0</v>
      </c>
      <c r="C530" s="135" t="s">
        <v>22</v>
      </c>
      <c r="D530" s="135">
        <v>16.649999999999999</v>
      </c>
      <c r="E530" s="314">
        <f t="shared" ref="E530:E537" si="16">B530*D530</f>
        <v>0</v>
      </c>
      <c r="F530" s="398" t="s">
        <v>440</v>
      </c>
    </row>
    <row r="531" spans="1:6" ht="18" hidden="1" customHeight="1">
      <c r="A531" s="134" t="s">
        <v>389</v>
      </c>
      <c r="B531" s="135">
        <f>GTA!D39</f>
        <v>78.5</v>
      </c>
      <c r="C531" s="135" t="s">
        <v>22</v>
      </c>
      <c r="D531" s="135">
        <v>16.649999999999999</v>
      </c>
      <c r="E531" s="314">
        <f t="shared" si="16"/>
        <v>1307.0249999999999</v>
      </c>
      <c r="F531" s="398" t="s">
        <v>440</v>
      </c>
    </row>
    <row r="532" spans="1:6" ht="18" hidden="1" customHeight="1">
      <c r="A532" s="134" t="s">
        <v>447</v>
      </c>
      <c r="B532" s="135">
        <f>GTA!Q39</f>
        <v>0</v>
      </c>
      <c r="C532" s="135" t="s">
        <v>22</v>
      </c>
      <c r="D532" s="135">
        <v>16.649999999999999</v>
      </c>
      <c r="E532" s="314">
        <f t="shared" si="16"/>
        <v>0</v>
      </c>
      <c r="F532" s="398" t="s">
        <v>440</v>
      </c>
    </row>
    <row r="533" spans="1:6" ht="18" hidden="1" customHeight="1">
      <c r="A533" s="134" t="s">
        <v>210</v>
      </c>
      <c r="B533" s="135">
        <f>GTA!R39</f>
        <v>0</v>
      </c>
      <c r="C533" s="135" t="s">
        <v>22</v>
      </c>
      <c r="D533" s="135">
        <v>16.649999999999999</v>
      </c>
      <c r="E533" s="314">
        <f t="shared" si="16"/>
        <v>0</v>
      </c>
      <c r="F533" s="398" t="s">
        <v>440</v>
      </c>
    </row>
    <row r="534" spans="1:6" ht="18" hidden="1" customHeight="1">
      <c r="A534" s="134" t="s">
        <v>448</v>
      </c>
      <c r="B534" s="135">
        <f>GTA!G39</f>
        <v>0</v>
      </c>
      <c r="C534" s="135" t="s">
        <v>22</v>
      </c>
      <c r="D534" s="135">
        <v>16.649999999999999</v>
      </c>
      <c r="E534" s="314">
        <f t="shared" si="16"/>
        <v>0</v>
      </c>
      <c r="F534" s="398" t="s">
        <v>440</v>
      </c>
    </row>
    <row r="535" spans="1:6" ht="18" customHeight="1">
      <c r="A535" s="284" t="s">
        <v>722</v>
      </c>
      <c r="B535" s="135">
        <f>GTA!G273</f>
        <v>0</v>
      </c>
      <c r="C535" s="135" t="s">
        <v>22</v>
      </c>
      <c r="D535" s="135">
        <v>16.649999999999999</v>
      </c>
      <c r="E535" s="314">
        <f t="shared" si="16"/>
        <v>0</v>
      </c>
      <c r="F535" s="398" t="s">
        <v>405</v>
      </c>
    </row>
    <row r="536" spans="1:6" ht="18" customHeight="1">
      <c r="A536" s="284" t="s">
        <v>409</v>
      </c>
      <c r="B536" s="135">
        <f>GTA!J273</f>
        <v>0</v>
      </c>
      <c r="C536" s="135" t="s">
        <v>22</v>
      </c>
      <c r="D536" s="135">
        <v>16.649999999999999</v>
      </c>
      <c r="E536" s="314">
        <f t="shared" si="16"/>
        <v>0</v>
      </c>
      <c r="F536" s="398" t="s">
        <v>405</v>
      </c>
    </row>
    <row r="537" spans="1:6" ht="18" hidden="1" customHeight="1">
      <c r="A537" s="512" t="s">
        <v>449</v>
      </c>
      <c r="B537" s="481">
        <f>GTA!M39</f>
        <v>0</v>
      </c>
      <c r="C537" s="481" t="s">
        <v>22</v>
      </c>
      <c r="D537" s="481">
        <v>16.649999999999999</v>
      </c>
      <c r="E537" s="482">
        <f t="shared" si="16"/>
        <v>0</v>
      </c>
      <c r="F537" s="398" t="s">
        <v>440</v>
      </c>
    </row>
    <row r="538" spans="1:6" ht="18" hidden="1" customHeight="1">
      <c r="A538" s="436"/>
      <c r="B538" s="419"/>
      <c r="C538" s="419"/>
      <c r="D538" s="419"/>
      <c r="E538" s="420"/>
      <c r="F538" s="398"/>
    </row>
    <row r="539" spans="1:6" ht="18" hidden="1" customHeight="1">
      <c r="A539" s="418" t="s">
        <v>450</v>
      </c>
      <c r="B539" s="415">
        <f>SUM(B521:B538)</f>
        <v>160.5</v>
      </c>
      <c r="C539" s="419"/>
      <c r="D539" s="419"/>
      <c r="E539" s="420"/>
      <c r="F539" s="398"/>
    </row>
    <row r="540" spans="1:6" ht="18" hidden="1" customHeight="1">
      <c r="A540" s="134"/>
      <c r="B540" s="135"/>
      <c r="C540" s="135"/>
      <c r="D540" s="135"/>
      <c r="E540" s="314"/>
      <c r="F540" s="398"/>
    </row>
    <row r="541" spans="1:6" ht="18" hidden="1" customHeight="1">
      <c r="A541" s="418" t="s">
        <v>451</v>
      </c>
      <c r="B541" s="419"/>
      <c r="C541" s="419"/>
      <c r="D541" s="419"/>
      <c r="E541" s="420"/>
      <c r="F541" s="398"/>
    </row>
    <row r="542" spans="1:6" ht="18" hidden="1" customHeight="1">
      <c r="A542" s="134" t="s">
        <v>452</v>
      </c>
      <c r="B542" s="135">
        <f>'OUTSIDE GTA'!C306</f>
        <v>0</v>
      </c>
      <c r="C542" s="135" t="s">
        <v>22</v>
      </c>
      <c r="D542" s="135">
        <v>16.649999999999999</v>
      </c>
      <c r="E542" s="314">
        <f>B542*D542</f>
        <v>0</v>
      </c>
      <c r="F542" s="398" t="s">
        <v>451</v>
      </c>
    </row>
    <row r="543" spans="1:6" ht="18" hidden="1" customHeight="1">
      <c r="A543" s="436"/>
      <c r="B543" s="419"/>
      <c r="C543" s="419"/>
      <c r="D543" s="419"/>
      <c r="E543" s="420"/>
      <c r="F543" s="398"/>
    </row>
    <row r="544" spans="1:6" ht="18" hidden="1" customHeight="1">
      <c r="A544" s="418" t="s">
        <v>451</v>
      </c>
      <c r="B544" s="415">
        <f>SUM(B541:B543)</f>
        <v>0</v>
      </c>
      <c r="C544" s="419"/>
      <c r="D544" s="419"/>
      <c r="E544" s="420"/>
      <c r="F544" s="398"/>
    </row>
    <row r="545" spans="1:6" ht="18" hidden="1" customHeight="1">
      <c r="A545" s="134"/>
      <c r="B545" s="135"/>
      <c r="C545" s="135"/>
      <c r="D545" s="135"/>
      <c r="E545" s="314"/>
      <c r="F545" s="398"/>
    </row>
    <row r="546" spans="1:6" ht="18" hidden="1" customHeight="1">
      <c r="A546" s="284"/>
      <c r="B546" s="135"/>
      <c r="C546" s="135"/>
      <c r="D546" s="135"/>
      <c r="E546" s="314"/>
      <c r="F546" s="398"/>
    </row>
    <row r="547" spans="1:6" ht="18" hidden="1" customHeight="1">
      <c r="A547" s="418" t="s">
        <v>453</v>
      </c>
      <c r="B547" s="419"/>
      <c r="C547" s="419"/>
      <c r="D547" s="419"/>
      <c r="E547" s="420"/>
      <c r="F547" s="398"/>
    </row>
    <row r="548" spans="1:6" ht="18" customHeight="1">
      <c r="A548" s="284" t="s">
        <v>411</v>
      </c>
      <c r="B548" s="135">
        <f>GTA!K273</f>
        <v>0</v>
      </c>
      <c r="C548" s="135" t="s">
        <v>22</v>
      </c>
      <c r="D548" s="135">
        <v>16.649999999999999</v>
      </c>
      <c r="E548" s="314">
        <f>B548*D548</f>
        <v>0</v>
      </c>
      <c r="F548" s="398" t="s">
        <v>405</v>
      </c>
    </row>
    <row r="549" spans="1:6" ht="18" hidden="1" customHeight="1">
      <c r="A549" s="512" t="s">
        <v>393</v>
      </c>
      <c r="B549" s="481">
        <f>GTA!G165</f>
        <v>0</v>
      </c>
      <c r="C549" s="481" t="s">
        <v>22</v>
      </c>
      <c r="D549" s="481">
        <v>16.649999999999999</v>
      </c>
      <c r="E549" s="482">
        <f>B549*D549</f>
        <v>0</v>
      </c>
      <c r="F549" s="398" t="s">
        <v>453</v>
      </c>
    </row>
    <row r="550" spans="1:6" ht="18" hidden="1" customHeight="1">
      <c r="A550" s="134" t="s">
        <v>455</v>
      </c>
      <c r="B550" s="135">
        <f>GTA!E165</f>
        <v>0</v>
      </c>
      <c r="C550" s="135" t="s">
        <v>22</v>
      </c>
      <c r="D550" s="135">
        <v>16.649999999999999</v>
      </c>
      <c r="E550" s="314">
        <f>B550*D550</f>
        <v>0</v>
      </c>
      <c r="F550" s="398" t="s">
        <v>453</v>
      </c>
    </row>
    <row r="551" spans="1:6" ht="18" hidden="1" customHeight="1">
      <c r="A551" s="134" t="s">
        <v>456</v>
      </c>
      <c r="B551" s="135">
        <f>GTA!F165</f>
        <v>0</v>
      </c>
      <c r="C551" s="135" t="s">
        <v>22</v>
      </c>
      <c r="D551" s="135">
        <v>16.649999999999999</v>
      </c>
      <c r="E551" s="314">
        <f>B551*D551</f>
        <v>0</v>
      </c>
      <c r="F551" s="398" t="s">
        <v>453</v>
      </c>
    </row>
    <row r="552" spans="1:6" ht="18" hidden="1" customHeight="1">
      <c r="A552" s="436"/>
      <c r="B552" s="419"/>
      <c r="C552" s="419"/>
      <c r="D552" s="419"/>
      <c r="E552" s="420"/>
      <c r="F552" s="398"/>
    </row>
    <row r="553" spans="1:6" ht="18" hidden="1" customHeight="1">
      <c r="A553" s="418" t="s">
        <v>453</v>
      </c>
      <c r="B553" s="415">
        <f>SUM(B547:B552)</f>
        <v>0</v>
      </c>
      <c r="C553" s="419"/>
      <c r="D553" s="419"/>
      <c r="E553" s="420"/>
      <c r="F553" s="398"/>
    </row>
    <row r="554" spans="1:6" ht="18" hidden="1" customHeight="1">
      <c r="A554" s="134"/>
      <c r="B554" s="135"/>
      <c r="C554" s="135"/>
      <c r="D554" s="135"/>
      <c r="E554" s="314"/>
      <c r="F554" s="398"/>
    </row>
    <row r="555" spans="1:6" ht="18" hidden="1" customHeight="1">
      <c r="A555" s="418" t="s">
        <v>457</v>
      </c>
      <c r="B555" s="419"/>
      <c r="C555" s="419"/>
      <c r="D555" s="419"/>
      <c r="E555" s="420"/>
      <c r="F555" s="398"/>
    </row>
    <row r="556" spans="1:6" ht="18" hidden="1" customHeight="1">
      <c r="A556" s="134" t="s">
        <v>379</v>
      </c>
      <c r="B556" s="135">
        <f>GTA!C57</f>
        <v>0</v>
      </c>
      <c r="C556" s="135" t="s">
        <v>22</v>
      </c>
      <c r="D556" s="135">
        <v>16.649999999999999</v>
      </c>
      <c r="E556" s="314">
        <f t="shared" ref="E556:E599" si="17">B556*D556</f>
        <v>0</v>
      </c>
      <c r="F556" s="398" t="s">
        <v>457</v>
      </c>
    </row>
    <row r="557" spans="1:6" ht="18" hidden="1" customHeight="1">
      <c r="A557" s="134" t="s">
        <v>458</v>
      </c>
      <c r="B557" s="135">
        <f>GTA!U57</f>
        <v>0</v>
      </c>
      <c r="C557" s="135" t="s">
        <v>22</v>
      </c>
      <c r="D557" s="135">
        <v>16.649999999999999</v>
      </c>
      <c r="E557" s="314">
        <f t="shared" si="17"/>
        <v>0</v>
      </c>
      <c r="F557" s="398" t="s">
        <v>457</v>
      </c>
    </row>
    <row r="558" spans="1:6" ht="18" hidden="1" customHeight="1">
      <c r="A558" s="134" t="s">
        <v>459</v>
      </c>
      <c r="B558" s="135">
        <f>GTA!F57</f>
        <v>0</v>
      </c>
      <c r="C558" s="135" t="s">
        <v>22</v>
      </c>
      <c r="D558" s="135">
        <v>16.649999999999999</v>
      </c>
      <c r="E558" s="314">
        <f t="shared" si="17"/>
        <v>0</v>
      </c>
      <c r="F558" s="398" t="s">
        <v>457</v>
      </c>
    </row>
    <row r="559" spans="1:6" ht="18" hidden="1" customHeight="1">
      <c r="A559" s="134" t="s">
        <v>460</v>
      </c>
      <c r="B559" s="135">
        <f>GTA!E57</f>
        <v>0</v>
      </c>
      <c r="C559" s="135" t="s">
        <v>22</v>
      </c>
      <c r="D559" s="135">
        <v>16.649999999999999</v>
      </c>
      <c r="E559" s="314">
        <f t="shared" si="17"/>
        <v>0</v>
      </c>
      <c r="F559" s="398" t="s">
        <v>457</v>
      </c>
    </row>
    <row r="560" spans="1:6" ht="18" hidden="1" customHeight="1">
      <c r="A560" s="134" t="s">
        <v>324</v>
      </c>
      <c r="B560" s="135">
        <f>GTA!G57</f>
        <v>0</v>
      </c>
      <c r="C560" s="135" t="s">
        <v>22</v>
      </c>
      <c r="D560" s="135">
        <v>16.649999999999999</v>
      </c>
      <c r="E560" s="314">
        <f t="shared" si="17"/>
        <v>0</v>
      </c>
      <c r="F560" s="398" t="s">
        <v>457</v>
      </c>
    </row>
    <row r="561" spans="1:6" ht="18" hidden="1" customHeight="1">
      <c r="A561" s="134" t="s">
        <v>461</v>
      </c>
      <c r="B561" s="135">
        <f>GTA!V57</f>
        <v>0</v>
      </c>
      <c r="C561" s="135" t="s">
        <v>22</v>
      </c>
      <c r="D561" s="135">
        <v>16.649999999999999</v>
      </c>
      <c r="E561" s="314">
        <f t="shared" si="17"/>
        <v>0</v>
      </c>
      <c r="F561" s="398" t="s">
        <v>457</v>
      </c>
    </row>
    <row r="562" spans="1:6" ht="18" hidden="1" customHeight="1">
      <c r="A562" s="134" t="s">
        <v>442</v>
      </c>
      <c r="B562" s="135">
        <f>GTA!I57</f>
        <v>0</v>
      </c>
      <c r="C562" s="135" t="s">
        <v>22</v>
      </c>
      <c r="D562" s="135">
        <v>16.649999999999999</v>
      </c>
      <c r="E562" s="314">
        <f t="shared" si="17"/>
        <v>0</v>
      </c>
      <c r="F562" s="398" t="s">
        <v>457</v>
      </c>
    </row>
    <row r="563" spans="1:6" ht="18" hidden="1" customHeight="1">
      <c r="A563" s="134" t="s">
        <v>462</v>
      </c>
      <c r="B563" s="135">
        <f>GTA!H57</f>
        <v>0</v>
      </c>
      <c r="C563" s="135" t="s">
        <v>22</v>
      </c>
      <c r="D563" s="135">
        <v>16.649999999999999</v>
      </c>
      <c r="E563" s="314">
        <f t="shared" si="17"/>
        <v>0</v>
      </c>
      <c r="F563" s="398" t="s">
        <v>457</v>
      </c>
    </row>
    <row r="564" spans="1:6" ht="18" hidden="1" customHeight="1">
      <c r="A564" s="134" t="s">
        <v>211</v>
      </c>
      <c r="B564" s="135">
        <f>GTA!Y57</f>
        <v>0</v>
      </c>
      <c r="C564" s="135" t="s">
        <v>22</v>
      </c>
      <c r="D564" s="135">
        <v>16.649999999999999</v>
      </c>
      <c r="E564" s="314">
        <f t="shared" si="17"/>
        <v>0</v>
      </c>
      <c r="F564" s="398" t="s">
        <v>457</v>
      </c>
    </row>
    <row r="565" spans="1:6" ht="18" hidden="1" customHeight="1">
      <c r="A565" s="134" t="s">
        <v>213</v>
      </c>
      <c r="B565" s="135">
        <f>GTA!AS57</f>
        <v>0</v>
      </c>
      <c r="C565" s="135" t="s">
        <v>22</v>
      </c>
      <c r="D565" s="135">
        <v>16.649999999999999</v>
      </c>
      <c r="E565" s="314">
        <f t="shared" si="17"/>
        <v>0</v>
      </c>
      <c r="F565" s="398" t="s">
        <v>457</v>
      </c>
    </row>
    <row r="566" spans="1:6" ht="18" hidden="1" customHeight="1">
      <c r="A566" s="134" t="s">
        <v>463</v>
      </c>
      <c r="B566" s="135">
        <f>GTA!K57</f>
        <v>0</v>
      </c>
      <c r="C566" s="135" t="s">
        <v>22</v>
      </c>
      <c r="D566" s="135">
        <v>16.649999999999999</v>
      </c>
      <c r="E566" s="314">
        <f t="shared" si="17"/>
        <v>0</v>
      </c>
      <c r="F566" s="398" t="s">
        <v>457</v>
      </c>
    </row>
    <row r="567" spans="1:6" ht="18" hidden="1" customHeight="1">
      <c r="A567" s="134" t="s">
        <v>464</v>
      </c>
      <c r="B567" s="135">
        <f>GTA!L57</f>
        <v>0</v>
      </c>
      <c r="C567" s="135" t="s">
        <v>22</v>
      </c>
      <c r="D567" s="135">
        <v>16.649999999999999</v>
      </c>
      <c r="E567" s="314">
        <f t="shared" si="17"/>
        <v>0</v>
      </c>
      <c r="F567" s="398" t="s">
        <v>457</v>
      </c>
    </row>
    <row r="568" spans="1:6" ht="18" hidden="1" customHeight="1">
      <c r="A568" s="512" t="s">
        <v>465</v>
      </c>
      <c r="B568" s="481">
        <f>GTA!Q57</f>
        <v>0</v>
      </c>
      <c r="C568" s="481" t="s">
        <v>22</v>
      </c>
      <c r="D568" s="481">
        <v>16.649999999999999</v>
      </c>
      <c r="E568" s="482">
        <f t="shared" si="17"/>
        <v>0</v>
      </c>
      <c r="F568" s="398" t="s">
        <v>457</v>
      </c>
    </row>
    <row r="569" spans="1:6" ht="18" hidden="1" customHeight="1">
      <c r="A569" s="134" t="s">
        <v>222</v>
      </c>
      <c r="B569" s="135">
        <f>GTA!AD57</f>
        <v>0</v>
      </c>
      <c r="C569" s="135" t="s">
        <v>22</v>
      </c>
      <c r="D569" s="135">
        <v>16.649999999999999</v>
      </c>
      <c r="E569" s="314">
        <f t="shared" si="17"/>
        <v>0</v>
      </c>
      <c r="F569" s="398" t="s">
        <v>457</v>
      </c>
    </row>
    <row r="570" spans="1:6" ht="18" hidden="1" customHeight="1">
      <c r="A570" s="134" t="s">
        <v>466</v>
      </c>
      <c r="B570" s="135">
        <f>GTA!AE57</f>
        <v>0</v>
      </c>
      <c r="C570" s="135" t="s">
        <v>22</v>
      </c>
      <c r="D570" s="135">
        <v>16.649999999999999</v>
      </c>
      <c r="E570" s="314">
        <f t="shared" si="17"/>
        <v>0</v>
      </c>
      <c r="F570" s="398" t="s">
        <v>457</v>
      </c>
    </row>
    <row r="571" spans="1:6" ht="18" hidden="1" customHeight="1">
      <c r="A571" s="134" t="s">
        <v>221</v>
      </c>
      <c r="B571" s="135">
        <f>GTA!AB57</f>
        <v>0</v>
      </c>
      <c r="C571" s="135" t="s">
        <v>22</v>
      </c>
      <c r="D571" s="135">
        <v>16.649999999999999</v>
      </c>
      <c r="E571" s="314">
        <f t="shared" si="17"/>
        <v>0</v>
      </c>
      <c r="F571" s="398" t="s">
        <v>457</v>
      </c>
    </row>
    <row r="572" spans="1:6" ht="18" hidden="1" customHeight="1">
      <c r="A572" s="134" t="s">
        <v>467</v>
      </c>
      <c r="B572" s="135">
        <f>GTA!AC57</f>
        <v>0</v>
      </c>
      <c r="C572" s="135" t="s">
        <v>22</v>
      </c>
      <c r="D572" s="135">
        <v>16.649999999999999</v>
      </c>
      <c r="E572" s="314">
        <f t="shared" si="17"/>
        <v>0</v>
      </c>
      <c r="F572" s="398" t="s">
        <v>457</v>
      </c>
    </row>
    <row r="573" spans="1:6" ht="18" hidden="1" customHeight="1">
      <c r="A573" s="134" t="s">
        <v>336</v>
      </c>
      <c r="B573" s="135">
        <f>GTA!AG57</f>
        <v>0</v>
      </c>
      <c r="C573" s="135" t="s">
        <v>22</v>
      </c>
      <c r="D573" s="135">
        <v>16.649999999999999</v>
      </c>
      <c r="E573" s="314">
        <f t="shared" si="17"/>
        <v>0</v>
      </c>
      <c r="F573" s="398" t="s">
        <v>457</v>
      </c>
    </row>
    <row r="574" spans="1:6" ht="18" hidden="1" customHeight="1">
      <c r="A574" s="134" t="s">
        <v>468</v>
      </c>
      <c r="B574" s="135">
        <f>GTA!AF57</f>
        <v>0</v>
      </c>
      <c r="C574" s="135" t="s">
        <v>22</v>
      </c>
      <c r="D574" s="135">
        <v>16.649999999999999</v>
      </c>
      <c r="E574" s="314">
        <f t="shared" si="17"/>
        <v>0</v>
      </c>
      <c r="F574" s="398" t="s">
        <v>457</v>
      </c>
    </row>
    <row r="575" spans="1:6" ht="18" hidden="1" customHeight="1">
      <c r="A575" s="134" t="s">
        <v>210</v>
      </c>
      <c r="B575" s="135">
        <f>GTA!W57</f>
        <v>0</v>
      </c>
      <c r="C575" s="135" t="s">
        <v>22</v>
      </c>
      <c r="D575" s="135">
        <v>16.649999999999999</v>
      </c>
      <c r="E575" s="314">
        <f t="shared" si="17"/>
        <v>0</v>
      </c>
      <c r="F575" s="398" t="s">
        <v>457</v>
      </c>
    </row>
    <row r="576" spans="1:6" ht="18" hidden="1" customHeight="1">
      <c r="A576" s="134" t="s">
        <v>239</v>
      </c>
      <c r="B576" s="135">
        <f>GTA!AL57</f>
        <v>0</v>
      </c>
      <c r="C576" s="135" t="s">
        <v>22</v>
      </c>
      <c r="D576" s="135">
        <v>16.649999999999999</v>
      </c>
      <c r="E576" s="314">
        <f t="shared" si="17"/>
        <v>0</v>
      </c>
      <c r="F576" s="398" t="s">
        <v>457</v>
      </c>
    </row>
    <row r="577" spans="1:6" ht="18" hidden="1" customHeight="1">
      <c r="A577" s="134" t="s">
        <v>237</v>
      </c>
      <c r="B577" s="135">
        <f>GTA!S57</f>
        <v>0</v>
      </c>
      <c r="C577" s="135" t="s">
        <v>22</v>
      </c>
      <c r="D577" s="135">
        <v>16.649999999999999</v>
      </c>
      <c r="E577" s="314">
        <f t="shared" si="17"/>
        <v>0</v>
      </c>
      <c r="F577" s="398" t="s">
        <v>457</v>
      </c>
    </row>
    <row r="578" spans="1:6" ht="18" hidden="1" customHeight="1">
      <c r="A578" s="134" t="s">
        <v>385</v>
      </c>
      <c r="B578" s="135">
        <f>GTA!D57</f>
        <v>0</v>
      </c>
      <c r="C578" s="135" t="s">
        <v>22</v>
      </c>
      <c r="D578" s="135">
        <v>16.649999999999999</v>
      </c>
      <c r="E578" s="314">
        <f t="shared" si="17"/>
        <v>0</v>
      </c>
      <c r="F578" s="398" t="s">
        <v>457</v>
      </c>
    </row>
    <row r="579" spans="1:6" ht="18" hidden="1" customHeight="1">
      <c r="A579" s="134" t="s">
        <v>469</v>
      </c>
      <c r="B579" s="135">
        <f>GTA!AN57</f>
        <v>0</v>
      </c>
      <c r="C579" s="135" t="s">
        <v>22</v>
      </c>
      <c r="D579" s="135">
        <v>16.649999999999999</v>
      </c>
      <c r="E579" s="314">
        <f t="shared" si="17"/>
        <v>0</v>
      </c>
      <c r="F579" s="398" t="s">
        <v>457</v>
      </c>
    </row>
    <row r="580" spans="1:6" ht="18" hidden="1" customHeight="1">
      <c r="A580" s="134" t="s">
        <v>470</v>
      </c>
      <c r="B580" s="135">
        <f>GTA!AH57</f>
        <v>0</v>
      </c>
      <c r="C580" s="135" t="s">
        <v>22</v>
      </c>
      <c r="D580" s="135">
        <v>16.649999999999999</v>
      </c>
      <c r="E580" s="314">
        <f t="shared" si="17"/>
        <v>0</v>
      </c>
      <c r="F580" s="398" t="s">
        <v>457</v>
      </c>
    </row>
    <row r="581" spans="1:6" ht="18" hidden="1" customHeight="1">
      <c r="A581" s="134" t="s">
        <v>231</v>
      </c>
      <c r="B581" s="135">
        <f>GTA!M57</f>
        <v>0</v>
      </c>
      <c r="C581" s="135" t="s">
        <v>22</v>
      </c>
      <c r="D581" s="135">
        <v>16.649999999999999</v>
      </c>
      <c r="E581" s="314">
        <f t="shared" si="17"/>
        <v>0</v>
      </c>
      <c r="F581" s="398" t="s">
        <v>457</v>
      </c>
    </row>
    <row r="582" spans="1:6" ht="18" customHeight="1">
      <c r="A582" s="134" t="s">
        <v>471</v>
      </c>
      <c r="B582" s="135">
        <f>GTA!R57</f>
        <v>0</v>
      </c>
      <c r="C582" s="135" t="s">
        <v>22</v>
      </c>
      <c r="D582" s="135">
        <v>16.649999999999999</v>
      </c>
      <c r="E582" s="314">
        <f t="shared" si="17"/>
        <v>0</v>
      </c>
      <c r="F582" s="398" t="s">
        <v>457</v>
      </c>
    </row>
    <row r="583" spans="1:6" ht="18" hidden="1" customHeight="1">
      <c r="A583" s="134" t="s">
        <v>472</v>
      </c>
      <c r="B583" s="135">
        <f>GTA!AI57</f>
        <v>0</v>
      </c>
      <c r="C583" s="135" t="s">
        <v>22</v>
      </c>
      <c r="D583" s="135">
        <v>16.649999999999999</v>
      </c>
      <c r="E583" s="314">
        <f t="shared" si="17"/>
        <v>0</v>
      </c>
      <c r="F583" s="398" t="s">
        <v>457</v>
      </c>
    </row>
    <row r="584" spans="1:6" ht="18" hidden="1" customHeight="1">
      <c r="A584" s="512" t="s">
        <v>473</v>
      </c>
      <c r="B584" s="481">
        <f>GTA!AO57</f>
        <v>0</v>
      </c>
      <c r="C584" s="481" t="s">
        <v>22</v>
      </c>
      <c r="D584" s="481">
        <v>16.649999999999999</v>
      </c>
      <c r="E584" s="482">
        <f t="shared" si="17"/>
        <v>0</v>
      </c>
      <c r="F584" s="398" t="s">
        <v>457</v>
      </c>
    </row>
    <row r="585" spans="1:6" ht="18" hidden="1" customHeight="1">
      <c r="A585" s="134" t="s">
        <v>474</v>
      </c>
      <c r="B585" s="135">
        <f>GTA!N57</f>
        <v>0</v>
      </c>
      <c r="C585" s="135" t="s">
        <v>22</v>
      </c>
      <c r="D585" s="135">
        <v>17</v>
      </c>
      <c r="E585" s="314">
        <f t="shared" si="17"/>
        <v>0</v>
      </c>
      <c r="F585" s="398" t="s">
        <v>457</v>
      </c>
    </row>
    <row r="586" spans="1:6" ht="18" hidden="1" customHeight="1">
      <c r="A586" s="134" t="s">
        <v>475</v>
      </c>
      <c r="B586" s="135">
        <f>GTA!AJ57</f>
        <v>0</v>
      </c>
      <c r="C586" s="135" t="s">
        <v>22</v>
      </c>
      <c r="D586" s="135">
        <v>17</v>
      </c>
      <c r="E586" s="314">
        <f t="shared" si="17"/>
        <v>0</v>
      </c>
      <c r="F586" s="398" t="s">
        <v>457</v>
      </c>
    </row>
    <row r="587" spans="1:6" ht="18" hidden="1" customHeight="1">
      <c r="A587" s="134" t="s">
        <v>476</v>
      </c>
      <c r="B587" s="135">
        <f>GTA!AK57</f>
        <v>0</v>
      </c>
      <c r="C587" s="135" t="s">
        <v>22</v>
      </c>
      <c r="D587" s="135">
        <v>17</v>
      </c>
      <c r="E587" s="314">
        <f t="shared" si="17"/>
        <v>0</v>
      </c>
      <c r="F587" s="398" t="s">
        <v>457</v>
      </c>
    </row>
    <row r="588" spans="1:6" ht="18" hidden="1" customHeight="1">
      <c r="A588" s="134" t="s">
        <v>477</v>
      </c>
      <c r="B588" s="135">
        <f>GTA!AQ57</f>
        <v>0</v>
      </c>
      <c r="C588" s="135" t="s">
        <v>22</v>
      </c>
      <c r="D588" s="135">
        <v>16.649999999999999</v>
      </c>
      <c r="E588" s="314">
        <f t="shared" si="17"/>
        <v>0</v>
      </c>
      <c r="F588" s="398" t="s">
        <v>457</v>
      </c>
    </row>
    <row r="589" spans="1:6" ht="18" hidden="1" customHeight="1">
      <c r="A589" s="512" t="s">
        <v>393</v>
      </c>
      <c r="B589" s="481">
        <f>GTA!O57</f>
        <v>0</v>
      </c>
      <c r="C589" s="481" t="s">
        <v>22</v>
      </c>
      <c r="D589" s="481">
        <v>16.649999999999999</v>
      </c>
      <c r="E589" s="482">
        <f t="shared" si="17"/>
        <v>0</v>
      </c>
      <c r="F589" s="398" t="s">
        <v>457</v>
      </c>
    </row>
    <row r="590" spans="1:6" ht="18" hidden="1" customHeight="1">
      <c r="A590" s="512" t="s">
        <v>478</v>
      </c>
      <c r="B590" s="481">
        <f>GTA!T57</f>
        <v>0</v>
      </c>
      <c r="C590" s="481" t="s">
        <v>22</v>
      </c>
      <c r="D590" s="481">
        <v>16.649999999999999</v>
      </c>
      <c r="E590" s="482">
        <f t="shared" si="17"/>
        <v>0</v>
      </c>
      <c r="F590" s="398" t="s">
        <v>457</v>
      </c>
    </row>
    <row r="591" spans="1:6" ht="18" hidden="1" customHeight="1">
      <c r="A591" s="134" t="s">
        <v>479</v>
      </c>
      <c r="B591" s="135">
        <f>GTA!P57</f>
        <v>0</v>
      </c>
      <c r="C591" s="135" t="s">
        <v>22</v>
      </c>
      <c r="D591" s="135">
        <v>16.649999999999999</v>
      </c>
      <c r="E591" s="314">
        <f t="shared" si="17"/>
        <v>0</v>
      </c>
      <c r="F591" s="398" t="s">
        <v>457</v>
      </c>
    </row>
    <row r="592" spans="1:6" ht="18" hidden="1" customHeight="1">
      <c r="A592" s="512" t="s">
        <v>395</v>
      </c>
      <c r="B592" s="481">
        <f>GTA!J57</f>
        <v>0</v>
      </c>
      <c r="C592" s="481" t="s">
        <v>22</v>
      </c>
      <c r="D592" s="481">
        <v>16.649999999999999</v>
      </c>
      <c r="E592" s="482">
        <f t="shared" si="17"/>
        <v>0</v>
      </c>
      <c r="F592" s="398" t="s">
        <v>457</v>
      </c>
    </row>
    <row r="593" spans="1:6" ht="18" hidden="1" customHeight="1">
      <c r="A593" s="134" t="s">
        <v>480</v>
      </c>
      <c r="B593" s="135">
        <f>GTA!AM57</f>
        <v>0</v>
      </c>
      <c r="C593" s="135" t="s">
        <v>22</v>
      </c>
      <c r="D593" s="135">
        <v>16.649999999999999</v>
      </c>
      <c r="E593" s="314">
        <f t="shared" si="17"/>
        <v>0</v>
      </c>
      <c r="F593" s="398" t="s">
        <v>457</v>
      </c>
    </row>
    <row r="594" spans="1:6" ht="18" hidden="1" customHeight="1">
      <c r="A594" s="134" t="s">
        <v>399</v>
      </c>
      <c r="B594" s="135">
        <f>GTA!Z57</f>
        <v>0</v>
      </c>
      <c r="C594" s="135" t="s">
        <v>22</v>
      </c>
      <c r="D594" s="135">
        <v>16.649999999999999</v>
      </c>
      <c r="E594" s="314">
        <f t="shared" si="17"/>
        <v>0</v>
      </c>
      <c r="F594" s="398" t="s">
        <v>457</v>
      </c>
    </row>
    <row r="595" spans="1:6" ht="18" hidden="1" customHeight="1">
      <c r="A595" s="134" t="s">
        <v>481</v>
      </c>
      <c r="B595" s="135">
        <f>GTA!AA57</f>
        <v>0</v>
      </c>
      <c r="C595" s="135" t="s">
        <v>22</v>
      </c>
      <c r="D595" s="135">
        <v>16.649999999999999</v>
      </c>
      <c r="E595" s="314">
        <f t="shared" si="17"/>
        <v>0</v>
      </c>
      <c r="F595" s="398" t="s">
        <v>457</v>
      </c>
    </row>
    <row r="596" spans="1:6" ht="18" hidden="1" customHeight="1">
      <c r="A596" s="134" t="s">
        <v>210</v>
      </c>
      <c r="B596" s="135">
        <f>GTA!X57</f>
        <v>0</v>
      </c>
      <c r="C596" s="135" t="s">
        <v>22</v>
      </c>
      <c r="D596" s="135">
        <v>16.649999999999999</v>
      </c>
      <c r="E596" s="314">
        <f t="shared" si="17"/>
        <v>0</v>
      </c>
      <c r="F596" s="398" t="s">
        <v>457</v>
      </c>
    </row>
    <row r="597" spans="1:6" ht="18" hidden="1" customHeight="1">
      <c r="A597" s="134" t="s">
        <v>447</v>
      </c>
      <c r="B597" s="135">
        <f>GTA!AP57</f>
        <v>0</v>
      </c>
      <c r="C597" s="135" t="s">
        <v>22</v>
      </c>
      <c r="D597" s="135">
        <v>16.649999999999999</v>
      </c>
      <c r="E597" s="314">
        <f t="shared" si="17"/>
        <v>0</v>
      </c>
      <c r="F597" s="398" t="s">
        <v>457</v>
      </c>
    </row>
    <row r="598" spans="1:6" ht="18" hidden="1" customHeight="1">
      <c r="A598" s="134" t="s">
        <v>430</v>
      </c>
      <c r="B598" s="135">
        <f>GTA!AR57</f>
        <v>0</v>
      </c>
      <c r="C598" s="135" t="s">
        <v>22</v>
      </c>
      <c r="D598" s="135">
        <v>16.649999999999999</v>
      </c>
      <c r="E598" s="314">
        <f t="shared" si="17"/>
        <v>0</v>
      </c>
      <c r="F598" s="398" t="s">
        <v>457</v>
      </c>
    </row>
    <row r="599" spans="1:6" ht="18" hidden="1" customHeight="1">
      <c r="A599" s="134" t="s">
        <v>403</v>
      </c>
      <c r="B599" s="135">
        <f>GTA!AT57</f>
        <v>0</v>
      </c>
      <c r="C599" s="135" t="s">
        <v>22</v>
      </c>
      <c r="D599" s="135">
        <v>16.649999999999999</v>
      </c>
      <c r="E599" s="314">
        <f t="shared" si="17"/>
        <v>0</v>
      </c>
      <c r="F599" s="398" t="s">
        <v>457</v>
      </c>
    </row>
    <row r="600" spans="1:6" ht="18" hidden="1" customHeight="1">
      <c r="A600" s="436"/>
      <c r="B600" s="419"/>
      <c r="C600" s="419"/>
      <c r="D600" s="419"/>
      <c r="E600" s="420"/>
      <c r="F600" s="398"/>
    </row>
    <row r="601" spans="1:6" ht="18" hidden="1" customHeight="1">
      <c r="A601" s="418" t="s">
        <v>482</v>
      </c>
      <c r="B601" s="415">
        <f>SUM(B555:B600)</f>
        <v>0</v>
      </c>
      <c r="C601" s="419"/>
      <c r="D601" s="419"/>
      <c r="E601" s="420"/>
      <c r="F601" s="398"/>
    </row>
    <row r="602" spans="1:6" ht="18" hidden="1" customHeight="1">
      <c r="A602" s="136"/>
      <c r="B602" s="135"/>
      <c r="C602" s="135"/>
      <c r="D602" s="135"/>
      <c r="E602" s="314"/>
      <c r="F602" s="398"/>
    </row>
    <row r="603" spans="1:6" ht="18" hidden="1" customHeight="1">
      <c r="A603" s="434" t="s">
        <v>483</v>
      </c>
      <c r="B603" s="415"/>
      <c r="C603" s="419"/>
      <c r="D603" s="419"/>
      <c r="E603" s="420"/>
      <c r="F603" s="398"/>
    </row>
    <row r="604" spans="1:6" ht="18" hidden="1" customHeight="1">
      <c r="A604" s="136" t="s">
        <v>323</v>
      </c>
      <c r="B604" s="135">
        <f>GTA!F399</f>
        <v>0</v>
      </c>
      <c r="C604" s="135" t="s">
        <v>22</v>
      </c>
      <c r="D604" s="135">
        <v>18</v>
      </c>
      <c r="E604" s="314">
        <f>B604*D604</f>
        <v>0</v>
      </c>
      <c r="F604" s="398"/>
    </row>
    <row r="605" spans="1:6" ht="18" hidden="1" customHeight="1">
      <c r="A605" s="136" t="s">
        <v>484</v>
      </c>
      <c r="B605" s="135">
        <f>GTA!C399</f>
        <v>0</v>
      </c>
      <c r="C605" s="135" t="s">
        <v>22</v>
      </c>
      <c r="D605" s="135">
        <v>18</v>
      </c>
      <c r="E605" s="314">
        <f>B605*D605</f>
        <v>0</v>
      </c>
      <c r="F605" s="398"/>
    </row>
    <row r="606" spans="1:6" ht="18" hidden="1" customHeight="1">
      <c r="A606" s="136" t="s">
        <v>485</v>
      </c>
      <c r="B606" s="135">
        <f>GTA!D399</f>
        <v>0</v>
      </c>
      <c r="C606" s="135" t="s">
        <v>22</v>
      </c>
      <c r="D606" s="135">
        <v>18</v>
      </c>
      <c r="E606" s="314">
        <f>B606*D606</f>
        <v>0</v>
      </c>
      <c r="F606" s="398"/>
    </row>
    <row r="607" spans="1:6" ht="18" hidden="1" customHeight="1">
      <c r="A607" s="136" t="s">
        <v>486</v>
      </c>
      <c r="B607" s="135">
        <f>GTA!E399</f>
        <v>0</v>
      </c>
      <c r="C607" s="135" t="s">
        <v>22</v>
      </c>
      <c r="D607" s="135">
        <v>18</v>
      </c>
      <c r="E607" s="314">
        <f>B607*D607</f>
        <v>0</v>
      </c>
      <c r="F607" s="398"/>
    </row>
    <row r="608" spans="1:6" ht="18" hidden="1" customHeight="1">
      <c r="A608" s="439"/>
      <c r="B608" s="419"/>
      <c r="C608" s="419"/>
      <c r="D608" s="419"/>
      <c r="E608" s="420"/>
      <c r="F608" s="398"/>
    </row>
    <row r="609" spans="1:6" ht="18" hidden="1" customHeight="1">
      <c r="A609" s="434" t="s">
        <v>487</v>
      </c>
      <c r="B609" s="415">
        <f>SUM(B603:B608)</f>
        <v>0</v>
      </c>
      <c r="C609" s="419"/>
      <c r="D609" s="419"/>
      <c r="E609" s="420"/>
      <c r="F609" s="398"/>
    </row>
    <row r="610" spans="1:6" ht="18" hidden="1" customHeight="1">
      <c r="A610" s="136"/>
      <c r="B610" s="135"/>
      <c r="C610" s="135"/>
      <c r="D610" s="135"/>
      <c r="E610" s="314"/>
      <c r="F610" s="398"/>
    </row>
    <row r="611" spans="1:6" ht="18" hidden="1" customHeight="1">
      <c r="A611" s="434" t="s">
        <v>488</v>
      </c>
      <c r="B611" s="415"/>
      <c r="C611" s="419"/>
      <c r="D611" s="419"/>
      <c r="E611" s="420"/>
      <c r="F611" s="398"/>
    </row>
    <row r="612" spans="1:6" ht="18" hidden="1" customHeight="1">
      <c r="A612" s="134" t="s">
        <v>489</v>
      </c>
      <c r="B612" s="135">
        <f>'OUTSIDE GTA'!C252</f>
        <v>0</v>
      </c>
      <c r="C612" s="135" t="s">
        <v>22</v>
      </c>
      <c r="D612" s="135">
        <v>16.649999999999999</v>
      </c>
      <c r="E612" s="314">
        <f>B612*D612</f>
        <v>0</v>
      </c>
      <c r="F612" s="398"/>
    </row>
    <row r="613" spans="1:6" ht="18" hidden="1" customHeight="1">
      <c r="A613" s="404" t="s">
        <v>490</v>
      </c>
      <c r="B613" s="135">
        <f>'OUTSIDE GTA'!E252</f>
        <v>0</v>
      </c>
      <c r="C613" s="135" t="s">
        <v>22</v>
      </c>
      <c r="D613" s="135">
        <v>16.649999999999999</v>
      </c>
      <c r="E613" s="314">
        <f>B613*D613</f>
        <v>0</v>
      </c>
      <c r="F613" s="398"/>
    </row>
    <row r="614" spans="1:6" ht="18" hidden="1" customHeight="1">
      <c r="A614" s="399" t="s">
        <v>491</v>
      </c>
      <c r="B614" s="135">
        <f>'OUTSIDE GTA'!F252</f>
        <v>0</v>
      </c>
      <c r="C614" s="135" t="s">
        <v>22</v>
      </c>
      <c r="D614" s="135">
        <v>16.649999999999999</v>
      </c>
      <c r="E614" s="314">
        <f>B614*D614</f>
        <v>0</v>
      </c>
      <c r="F614" s="398"/>
    </row>
    <row r="615" spans="1:6" ht="18" hidden="1" customHeight="1">
      <c r="A615" s="404" t="s">
        <v>492</v>
      </c>
      <c r="B615" s="135">
        <f>'OUTSIDE GTA'!G252</f>
        <v>0</v>
      </c>
      <c r="C615" s="135" t="s">
        <v>22</v>
      </c>
      <c r="D615" s="135">
        <v>16.649999999999999</v>
      </c>
      <c r="E615" s="314">
        <f>B615*D615</f>
        <v>0</v>
      </c>
      <c r="F615" s="398"/>
    </row>
    <row r="616" spans="1:6" ht="18" hidden="1" customHeight="1">
      <c r="A616" s="824" t="s">
        <v>493</v>
      </c>
      <c r="B616" s="135">
        <f>'OUTSIDE GTA'!H252</f>
        <v>0</v>
      </c>
      <c r="C616" s="135" t="s">
        <v>22</v>
      </c>
      <c r="D616" s="135">
        <v>16.649999999999999</v>
      </c>
      <c r="E616" s="314">
        <f>B616*D616</f>
        <v>0</v>
      </c>
      <c r="F616" s="398"/>
    </row>
    <row r="617" spans="1:6" ht="18" hidden="1" customHeight="1">
      <c r="A617" s="439"/>
      <c r="B617" s="419"/>
      <c r="C617" s="419"/>
      <c r="D617" s="419"/>
      <c r="E617" s="420"/>
      <c r="F617" s="398"/>
    </row>
    <row r="618" spans="1:6" ht="18" hidden="1" customHeight="1">
      <c r="A618" s="434" t="s">
        <v>488</v>
      </c>
      <c r="B618" s="415">
        <f>SUM(B611:B617)</f>
        <v>0</v>
      </c>
      <c r="C618" s="419"/>
      <c r="D618" s="419"/>
      <c r="E618" s="420"/>
      <c r="F618" s="398"/>
    </row>
    <row r="619" spans="1:6" ht="18" hidden="1" customHeight="1">
      <c r="A619" s="136"/>
      <c r="B619" s="135"/>
      <c r="C619" s="135"/>
      <c r="D619" s="135"/>
      <c r="E619" s="314"/>
      <c r="F619" s="398"/>
    </row>
    <row r="620" spans="1:6" ht="18" hidden="1" customHeight="1">
      <c r="A620" s="418" t="s">
        <v>494</v>
      </c>
      <c r="B620" s="415"/>
      <c r="C620" s="419"/>
      <c r="D620" s="419"/>
      <c r="E620" s="420"/>
      <c r="F620" s="398"/>
    </row>
    <row r="621" spans="1:6" ht="18" hidden="1" customHeight="1">
      <c r="A621" s="134" t="s">
        <v>324</v>
      </c>
      <c r="B621" s="135">
        <f>GTA!C21</f>
        <v>7</v>
      </c>
      <c r="C621" s="135" t="s">
        <v>22</v>
      </c>
      <c r="D621" s="135">
        <v>16.649999999999999</v>
      </c>
      <c r="E621" s="314">
        <f>B621*D621</f>
        <v>116.54999999999998</v>
      </c>
      <c r="F621" s="398" t="s">
        <v>494</v>
      </c>
    </row>
    <row r="622" spans="1:6" ht="18" hidden="1" customHeight="1">
      <c r="A622" s="134" t="s">
        <v>730</v>
      </c>
      <c r="B622" s="135">
        <f>GTA!D21</f>
        <v>0</v>
      </c>
      <c r="C622" s="135" t="s">
        <v>22</v>
      </c>
      <c r="D622" s="135">
        <v>16.649999999999999</v>
      </c>
      <c r="E622" s="314">
        <f>(B622*D622)</f>
        <v>0</v>
      </c>
      <c r="F622" s="398" t="s">
        <v>494</v>
      </c>
    </row>
    <row r="623" spans="1:6" ht="18" hidden="1" customHeight="1">
      <c r="A623" s="134" t="s">
        <v>496</v>
      </c>
      <c r="B623" s="481">
        <f>GTA!K21</f>
        <v>0</v>
      </c>
      <c r="C623" s="481" t="s">
        <v>22</v>
      </c>
      <c r="D623" s="481">
        <v>16.649999999999999</v>
      </c>
      <c r="E623" s="482">
        <f>(B623*D623)</f>
        <v>0</v>
      </c>
      <c r="F623" s="398" t="s">
        <v>494</v>
      </c>
    </row>
    <row r="624" spans="1:6" ht="18" hidden="1" customHeight="1">
      <c r="A624" s="134" t="s">
        <v>378</v>
      </c>
      <c r="B624" s="135">
        <f>GTA!G21</f>
        <v>0</v>
      </c>
      <c r="C624" s="135" t="s">
        <v>22</v>
      </c>
      <c r="D624" s="135">
        <v>16.649999999999999</v>
      </c>
      <c r="E624" s="314">
        <f>(B624*D624)</f>
        <v>0</v>
      </c>
      <c r="F624" s="398" t="s">
        <v>494</v>
      </c>
    </row>
    <row r="625" spans="1:6" ht="18" hidden="1" customHeight="1">
      <c r="A625" s="134" t="s">
        <v>460</v>
      </c>
      <c r="B625" s="135">
        <f>GTA!H21</f>
        <v>0</v>
      </c>
      <c r="C625" s="135" t="s">
        <v>22</v>
      </c>
      <c r="D625" s="135">
        <v>16.649999999999999</v>
      </c>
      <c r="E625" s="314">
        <f t="shared" ref="E625:E656" si="18">B625*D625</f>
        <v>0</v>
      </c>
      <c r="F625" s="398" t="s">
        <v>494</v>
      </c>
    </row>
    <row r="626" spans="1:6" ht="18" customHeight="1">
      <c r="A626" s="134" t="s">
        <v>323</v>
      </c>
      <c r="B626" s="135">
        <f>GTA!C93</f>
        <v>0</v>
      </c>
      <c r="C626" s="135" t="s">
        <v>22</v>
      </c>
      <c r="D626" s="135">
        <v>16.649999999999999</v>
      </c>
      <c r="E626" s="314">
        <f t="shared" si="18"/>
        <v>0</v>
      </c>
      <c r="F626" s="398" t="s">
        <v>332</v>
      </c>
    </row>
    <row r="627" spans="1:6" ht="18" hidden="1" customHeight="1">
      <c r="A627" s="134" t="s">
        <v>725</v>
      </c>
      <c r="B627" s="135">
        <f>GTA!L21</f>
        <v>0</v>
      </c>
      <c r="C627" s="135" t="s">
        <v>22</v>
      </c>
      <c r="D627" s="135">
        <v>16.649999999999999</v>
      </c>
      <c r="E627" s="314">
        <f t="shared" si="18"/>
        <v>0</v>
      </c>
      <c r="F627" s="398" t="s">
        <v>494</v>
      </c>
    </row>
    <row r="628" spans="1:6" ht="18" hidden="1" customHeight="1">
      <c r="A628" s="134" t="s">
        <v>325</v>
      </c>
      <c r="B628" s="135">
        <f>GTA!N21</f>
        <v>0</v>
      </c>
      <c r="C628" s="135" t="s">
        <v>22</v>
      </c>
      <c r="D628" s="135">
        <v>16.649999999999999</v>
      </c>
      <c r="E628" s="314">
        <f t="shared" si="18"/>
        <v>0</v>
      </c>
      <c r="F628" s="398" t="s">
        <v>494</v>
      </c>
    </row>
    <row r="629" spans="1:6" ht="18" hidden="1" customHeight="1">
      <c r="A629" s="134" t="s">
        <v>498</v>
      </c>
      <c r="B629" s="135">
        <f>GTA!O21</f>
        <v>0</v>
      </c>
      <c r="C629" s="135" t="s">
        <v>22</v>
      </c>
      <c r="D629" s="135">
        <v>16.649999999999999</v>
      </c>
      <c r="E629" s="314">
        <f t="shared" si="18"/>
        <v>0</v>
      </c>
      <c r="F629" s="398" t="s">
        <v>494</v>
      </c>
    </row>
    <row r="630" spans="1:6" ht="18" hidden="1" customHeight="1">
      <c r="A630" s="134" t="s">
        <v>210</v>
      </c>
      <c r="B630" s="135">
        <f>GTA!Q21</f>
        <v>0</v>
      </c>
      <c r="C630" s="135" t="s">
        <v>22</v>
      </c>
      <c r="D630" s="135">
        <v>16.649999999999999</v>
      </c>
      <c r="E630" s="314">
        <f t="shared" si="18"/>
        <v>0</v>
      </c>
      <c r="F630" s="398" t="s">
        <v>494</v>
      </c>
    </row>
    <row r="631" spans="1:6" ht="18" hidden="1" customHeight="1">
      <c r="A631" s="134" t="s">
        <v>408</v>
      </c>
      <c r="B631" s="135">
        <f>GTA!R21</f>
        <v>0</v>
      </c>
      <c r="C631" s="135" t="s">
        <v>22</v>
      </c>
      <c r="D631" s="135">
        <v>16.649999999999999</v>
      </c>
      <c r="E631" s="314">
        <f t="shared" si="18"/>
        <v>0</v>
      </c>
      <c r="F631" s="398" t="s">
        <v>494</v>
      </c>
    </row>
    <row r="632" spans="1:6" ht="18" hidden="1" customHeight="1">
      <c r="A632" s="134" t="s">
        <v>255</v>
      </c>
      <c r="B632" s="135">
        <f>GTA!EA21</f>
        <v>0</v>
      </c>
      <c r="C632" s="135" t="s">
        <v>22</v>
      </c>
      <c r="D632" s="135">
        <v>20</v>
      </c>
      <c r="E632" s="314">
        <f t="shared" si="18"/>
        <v>0</v>
      </c>
      <c r="F632" s="398" t="s">
        <v>494</v>
      </c>
    </row>
    <row r="633" spans="1:6" ht="18" hidden="1" customHeight="1">
      <c r="A633" s="134" t="s">
        <v>501</v>
      </c>
      <c r="B633" s="135">
        <f>GTA!S21</f>
        <v>0</v>
      </c>
      <c r="C633" s="135" t="s">
        <v>22</v>
      </c>
      <c r="D633" s="135">
        <v>16.649999999999999</v>
      </c>
      <c r="E633" s="314">
        <f t="shared" si="18"/>
        <v>0</v>
      </c>
      <c r="F633" s="398" t="s">
        <v>494</v>
      </c>
    </row>
    <row r="634" spans="1:6" ht="18" hidden="1" customHeight="1">
      <c r="A634" s="512" t="s">
        <v>502</v>
      </c>
      <c r="B634" s="481">
        <f>GTA!T21</f>
        <v>0</v>
      </c>
      <c r="C634" s="481" t="s">
        <v>22</v>
      </c>
      <c r="D634" s="481">
        <v>16.649999999999999</v>
      </c>
      <c r="E634" s="482">
        <f t="shared" si="18"/>
        <v>0</v>
      </c>
      <c r="F634" s="398" t="s">
        <v>494</v>
      </c>
    </row>
    <row r="635" spans="1:6" ht="18" hidden="1" customHeight="1">
      <c r="A635" s="512" t="s">
        <v>731</v>
      </c>
      <c r="B635" s="481">
        <f>GTA!Y21</f>
        <v>0</v>
      </c>
      <c r="C635" s="481" t="s">
        <v>22</v>
      </c>
      <c r="D635" s="481">
        <v>16.649999999999999</v>
      </c>
      <c r="E635" s="482">
        <f t="shared" si="18"/>
        <v>0</v>
      </c>
      <c r="F635" s="398" t="s">
        <v>494</v>
      </c>
    </row>
    <row r="636" spans="1:6" ht="18" hidden="1" customHeight="1">
      <c r="A636" s="512" t="s">
        <v>464</v>
      </c>
      <c r="B636" s="481">
        <f>GTA!W21</f>
        <v>0</v>
      </c>
      <c r="C636" s="481" t="s">
        <v>22</v>
      </c>
      <c r="D636" s="481">
        <v>16.649999999999999</v>
      </c>
      <c r="E636" s="482">
        <f t="shared" si="18"/>
        <v>0</v>
      </c>
      <c r="F636" s="398" t="s">
        <v>494</v>
      </c>
    </row>
    <row r="637" spans="1:6" ht="18" hidden="1" customHeight="1">
      <c r="A637" s="398" t="s">
        <v>732</v>
      </c>
      <c r="B637" s="135">
        <f>GTA!EL21</f>
        <v>0</v>
      </c>
      <c r="C637" s="135" t="s">
        <v>22</v>
      </c>
      <c r="D637" s="135">
        <v>20</v>
      </c>
      <c r="E637" s="314">
        <f t="shared" si="18"/>
        <v>0</v>
      </c>
      <c r="F637" s="398" t="s">
        <v>494</v>
      </c>
    </row>
    <row r="638" spans="1:6" ht="18" hidden="1" customHeight="1">
      <c r="A638" s="134" t="s">
        <v>360</v>
      </c>
      <c r="B638" s="135">
        <f>GTA!U21</f>
        <v>0</v>
      </c>
      <c r="C638" s="135" t="s">
        <v>22</v>
      </c>
      <c r="D638" s="135">
        <v>16.649999999999999</v>
      </c>
      <c r="E638" s="314">
        <f t="shared" si="18"/>
        <v>0</v>
      </c>
      <c r="F638" s="398" t="s">
        <v>494</v>
      </c>
    </row>
    <row r="639" spans="1:6" ht="18" hidden="1" customHeight="1">
      <c r="A639" s="134" t="s">
        <v>505</v>
      </c>
      <c r="B639" s="135">
        <f>GTA!AA21</f>
        <v>0</v>
      </c>
      <c r="C639" s="135" t="s">
        <v>22</v>
      </c>
      <c r="D639" s="135">
        <v>16.649999999999999</v>
      </c>
      <c r="E639" s="314">
        <f t="shared" si="18"/>
        <v>0</v>
      </c>
      <c r="F639" s="398" t="s">
        <v>494</v>
      </c>
    </row>
    <row r="640" spans="1:6" ht="18" hidden="1" customHeight="1">
      <c r="A640" s="134" t="s">
        <v>506</v>
      </c>
      <c r="B640" s="135">
        <f>GTA!AB21</f>
        <v>0</v>
      </c>
      <c r="C640" s="135" t="s">
        <v>22</v>
      </c>
      <c r="D640" s="135">
        <v>16.649999999999999</v>
      </c>
      <c r="E640" s="314">
        <f t="shared" si="18"/>
        <v>0</v>
      </c>
      <c r="F640" s="398" t="s">
        <v>494</v>
      </c>
    </row>
    <row r="641" spans="1:6" ht="18" hidden="1" customHeight="1">
      <c r="A641" s="402" t="s">
        <v>640</v>
      </c>
      <c r="B641" s="135">
        <f>GTA!AC21</f>
        <v>0</v>
      </c>
      <c r="C641" s="135" t="s">
        <v>22</v>
      </c>
      <c r="D641" s="135">
        <v>16.649999999999999</v>
      </c>
      <c r="E641" s="314">
        <f t="shared" si="18"/>
        <v>0</v>
      </c>
      <c r="F641" s="398" t="s">
        <v>494</v>
      </c>
    </row>
    <row r="642" spans="1:6" ht="18" hidden="1" customHeight="1">
      <c r="A642" s="707" t="s">
        <v>336</v>
      </c>
      <c r="B642" s="481">
        <f>GTA!BI21</f>
        <v>0</v>
      </c>
      <c r="C642" s="481" t="s">
        <v>22</v>
      </c>
      <c r="D642" s="481">
        <v>16.649999999999999</v>
      </c>
      <c r="E642" s="482">
        <f t="shared" si="18"/>
        <v>0</v>
      </c>
      <c r="F642" s="398" t="s">
        <v>494</v>
      </c>
    </row>
    <row r="643" spans="1:6" ht="18" hidden="1" customHeight="1">
      <c r="A643" s="707" t="s">
        <v>540</v>
      </c>
      <c r="B643" s="481">
        <f>GTA!BW21</f>
        <v>0</v>
      </c>
      <c r="C643" s="481" t="s">
        <v>22</v>
      </c>
      <c r="D643" s="481">
        <v>16.649999999999999</v>
      </c>
      <c r="E643" s="482">
        <f t="shared" si="18"/>
        <v>0</v>
      </c>
      <c r="F643" s="398" t="s">
        <v>494</v>
      </c>
    </row>
    <row r="644" spans="1:6" ht="18" hidden="1" customHeight="1">
      <c r="A644" s="707" t="s">
        <v>541</v>
      </c>
      <c r="B644" s="481">
        <f>GTA!V21</f>
        <v>0</v>
      </c>
      <c r="C644" s="481" t="s">
        <v>22</v>
      </c>
      <c r="D644" s="481">
        <v>16.649999999999999</v>
      </c>
      <c r="E644" s="482">
        <f t="shared" si="18"/>
        <v>0</v>
      </c>
      <c r="F644" s="398" t="s">
        <v>494</v>
      </c>
    </row>
    <row r="645" spans="1:6" ht="18" hidden="1" customHeight="1">
      <c r="A645" s="398" t="s">
        <v>733</v>
      </c>
      <c r="B645" s="135">
        <f>GTA!EN21</f>
        <v>0</v>
      </c>
      <c r="C645" s="135" t="s">
        <v>22</v>
      </c>
      <c r="D645" s="135">
        <v>20</v>
      </c>
      <c r="E645" s="314">
        <f t="shared" si="18"/>
        <v>0</v>
      </c>
      <c r="F645" s="398" t="s">
        <v>494</v>
      </c>
    </row>
    <row r="646" spans="1:6" ht="18" hidden="1" customHeight="1">
      <c r="A646" s="398" t="s">
        <v>734</v>
      </c>
      <c r="B646" s="135">
        <f>GTA!EM21</f>
        <v>0</v>
      </c>
      <c r="C646" s="135" t="s">
        <v>22</v>
      </c>
      <c r="D646" s="135">
        <v>20</v>
      </c>
      <c r="E646" s="314">
        <f t="shared" si="18"/>
        <v>0</v>
      </c>
      <c r="F646" s="398" t="s">
        <v>494</v>
      </c>
    </row>
    <row r="647" spans="1:6" ht="18" hidden="1" customHeight="1">
      <c r="A647" s="398" t="s">
        <v>735</v>
      </c>
      <c r="B647" s="135">
        <f>GTA!EO21</f>
        <v>0</v>
      </c>
      <c r="C647" s="135" t="s">
        <v>22</v>
      </c>
      <c r="D647" s="135">
        <v>20</v>
      </c>
      <c r="E647" s="314">
        <f t="shared" si="18"/>
        <v>0</v>
      </c>
      <c r="F647" s="398" t="s">
        <v>494</v>
      </c>
    </row>
    <row r="648" spans="1:6" ht="18" hidden="1" customHeight="1">
      <c r="A648" s="398" t="s">
        <v>737</v>
      </c>
      <c r="B648" s="135">
        <f>GTA!AD21</f>
        <v>0</v>
      </c>
      <c r="C648" s="135" t="s">
        <v>22</v>
      </c>
      <c r="D648" s="135">
        <v>16.649999999999999</v>
      </c>
      <c r="E648" s="314">
        <f t="shared" si="18"/>
        <v>0</v>
      </c>
      <c r="F648" s="398" t="s">
        <v>494</v>
      </c>
    </row>
    <row r="649" spans="1:6" ht="18" hidden="1" customHeight="1">
      <c r="A649" s="398" t="s">
        <v>536</v>
      </c>
      <c r="B649" s="135">
        <f>GTA!CO21</f>
        <v>0</v>
      </c>
      <c r="C649" s="135" t="s">
        <v>22</v>
      </c>
      <c r="D649" s="135">
        <v>16.649999999999999</v>
      </c>
      <c r="E649" s="314">
        <f t="shared" si="18"/>
        <v>0</v>
      </c>
      <c r="F649" s="398" t="s">
        <v>494</v>
      </c>
    </row>
    <row r="650" spans="1:6" ht="18" hidden="1" customHeight="1">
      <c r="A650" s="563" t="s">
        <v>510</v>
      </c>
      <c r="B650" s="481">
        <f>GTA!AO21</f>
        <v>0</v>
      </c>
      <c r="C650" s="481" t="s">
        <v>22</v>
      </c>
      <c r="D650" s="481">
        <v>16.649999999999999</v>
      </c>
      <c r="E650" s="482">
        <f t="shared" si="18"/>
        <v>0</v>
      </c>
      <c r="F650" s="398" t="s">
        <v>494</v>
      </c>
    </row>
    <row r="651" spans="1:6" ht="18" customHeight="1">
      <c r="A651" s="134" t="s">
        <v>495</v>
      </c>
      <c r="B651" s="135">
        <f>GTA!I21</f>
        <v>0</v>
      </c>
      <c r="C651" s="135" t="s">
        <v>22</v>
      </c>
      <c r="D651" s="135">
        <v>16.649999999999999</v>
      </c>
      <c r="E651" s="314">
        <f t="shared" si="18"/>
        <v>0</v>
      </c>
      <c r="F651" s="398" t="s">
        <v>494</v>
      </c>
    </row>
    <row r="652" spans="1:6" ht="18" hidden="1" customHeight="1">
      <c r="A652" s="398" t="s">
        <v>227</v>
      </c>
      <c r="B652" s="135">
        <f>GTA!BC21</f>
        <v>0</v>
      </c>
      <c r="C652" s="135" t="s">
        <v>22</v>
      </c>
      <c r="D652" s="135">
        <v>16.649999999999999</v>
      </c>
      <c r="E652" s="314">
        <f t="shared" si="18"/>
        <v>0</v>
      </c>
      <c r="F652" s="398" t="s">
        <v>494</v>
      </c>
    </row>
    <row r="653" spans="1:6" ht="18" customHeight="1">
      <c r="A653" s="512" t="s">
        <v>130</v>
      </c>
      <c r="B653" s="481">
        <f>GTA!P21</f>
        <v>0</v>
      </c>
      <c r="C653" s="481" t="s">
        <v>22</v>
      </c>
      <c r="D653" s="481">
        <v>16.649999999999999</v>
      </c>
      <c r="E653" s="482">
        <f t="shared" si="18"/>
        <v>0</v>
      </c>
      <c r="F653" s="398" t="s">
        <v>494</v>
      </c>
    </row>
    <row r="654" spans="1:6" ht="18" hidden="1" customHeight="1">
      <c r="A654" s="398" t="s">
        <v>221</v>
      </c>
      <c r="B654" s="135">
        <f>GTA!AH21</f>
        <v>0</v>
      </c>
      <c r="C654" s="135" t="s">
        <v>22</v>
      </c>
      <c r="D654" s="135">
        <v>16.649999999999999</v>
      </c>
      <c r="E654" s="314">
        <f t="shared" si="18"/>
        <v>0</v>
      </c>
      <c r="F654" s="398" t="s">
        <v>494</v>
      </c>
    </row>
    <row r="655" spans="1:6" ht="18" hidden="1" customHeight="1">
      <c r="A655" s="134" t="s">
        <v>222</v>
      </c>
      <c r="B655" s="135">
        <f>GTA!AJ21</f>
        <v>0</v>
      </c>
      <c r="C655" s="135" t="s">
        <v>22</v>
      </c>
      <c r="D655" s="135">
        <v>16.649999999999999</v>
      </c>
      <c r="E655" s="314">
        <f t="shared" si="18"/>
        <v>0</v>
      </c>
      <c r="F655" s="398" t="s">
        <v>494</v>
      </c>
    </row>
    <row r="656" spans="1:6" ht="18" hidden="1" customHeight="1">
      <c r="A656" s="134" t="s">
        <v>413</v>
      </c>
      <c r="B656" s="135">
        <f>GTA!AL21</f>
        <v>0</v>
      </c>
      <c r="C656" s="135" t="s">
        <v>22</v>
      </c>
      <c r="D656" s="135">
        <v>16.649999999999999</v>
      </c>
      <c r="E656" s="314">
        <f t="shared" si="18"/>
        <v>0</v>
      </c>
      <c r="F656" s="398" t="s">
        <v>494</v>
      </c>
    </row>
    <row r="657" spans="1:6" ht="18" customHeight="1">
      <c r="A657" s="134" t="s">
        <v>466</v>
      </c>
      <c r="B657" s="135">
        <f>GTA!AK21</f>
        <v>0</v>
      </c>
      <c r="C657" s="135" t="s">
        <v>22</v>
      </c>
      <c r="D657" s="135">
        <v>16.649999999999999</v>
      </c>
      <c r="E657" s="314">
        <f t="shared" ref="E657:E688" si="19">B657*D657</f>
        <v>0</v>
      </c>
      <c r="F657" s="398" t="s">
        <v>494</v>
      </c>
    </row>
    <row r="658" spans="1:6" ht="18" hidden="1" customHeight="1">
      <c r="A658" s="134" t="s">
        <v>509</v>
      </c>
      <c r="B658" s="135">
        <f>GTA!AN21</f>
        <v>0</v>
      </c>
      <c r="C658" s="135" t="s">
        <v>22</v>
      </c>
      <c r="D658" s="135">
        <v>16.649999999999999</v>
      </c>
      <c r="E658" s="314">
        <f t="shared" si="19"/>
        <v>0</v>
      </c>
      <c r="F658" s="398" t="s">
        <v>494</v>
      </c>
    </row>
    <row r="659" spans="1:6" ht="18" hidden="1" customHeight="1">
      <c r="A659" s="134" t="s">
        <v>326</v>
      </c>
      <c r="B659" s="135">
        <f>GTA!AP21</f>
        <v>0</v>
      </c>
      <c r="C659" s="135" t="s">
        <v>22</v>
      </c>
      <c r="D659" s="135">
        <v>16.649999999999999</v>
      </c>
      <c r="E659" s="314">
        <f t="shared" si="19"/>
        <v>0</v>
      </c>
      <c r="F659" s="398" t="s">
        <v>494</v>
      </c>
    </row>
    <row r="660" spans="1:6" ht="18" hidden="1" customHeight="1">
      <c r="A660" s="134" t="s">
        <v>511</v>
      </c>
      <c r="B660" s="135">
        <f>GTA!AQ21</f>
        <v>0</v>
      </c>
      <c r="C660" s="135" t="s">
        <v>22</v>
      </c>
      <c r="D660" s="135">
        <v>16.649999999999999</v>
      </c>
      <c r="E660" s="314">
        <f t="shared" si="19"/>
        <v>0</v>
      </c>
      <c r="F660" s="398" t="s">
        <v>494</v>
      </c>
    </row>
    <row r="661" spans="1:6" ht="18" customHeight="1">
      <c r="A661" s="707" t="s">
        <v>532</v>
      </c>
      <c r="B661" s="481">
        <f>GTA!BO21</f>
        <v>0</v>
      </c>
      <c r="C661" s="481" t="s">
        <v>22</v>
      </c>
      <c r="D661" s="481">
        <v>16.649999999999999</v>
      </c>
      <c r="E661" s="482">
        <f t="shared" si="19"/>
        <v>0</v>
      </c>
      <c r="F661" s="398" t="s">
        <v>494</v>
      </c>
    </row>
    <row r="662" spans="1:6" ht="18" hidden="1" customHeight="1">
      <c r="A662" s="284" t="s">
        <v>399</v>
      </c>
      <c r="B662" s="135">
        <f>GTA!BN21</f>
        <v>0</v>
      </c>
      <c r="C662" s="135" t="s">
        <v>22</v>
      </c>
      <c r="D662" s="135">
        <v>16.649999999999999</v>
      </c>
      <c r="E662" s="314">
        <f t="shared" si="19"/>
        <v>0</v>
      </c>
      <c r="F662" s="398" t="s">
        <v>494</v>
      </c>
    </row>
    <row r="663" spans="1:6" ht="18" hidden="1" customHeight="1">
      <c r="A663" s="558" t="s">
        <v>525</v>
      </c>
      <c r="B663" s="481">
        <f>GTA!BR21</f>
        <v>0</v>
      </c>
      <c r="C663" s="481" t="s">
        <v>22</v>
      </c>
      <c r="D663" s="481">
        <v>16.649999999999999</v>
      </c>
      <c r="E663" s="482">
        <f t="shared" si="19"/>
        <v>0</v>
      </c>
      <c r="F663" s="398" t="s">
        <v>494</v>
      </c>
    </row>
    <row r="664" spans="1:6" ht="18" hidden="1" customHeight="1">
      <c r="A664" s="558" t="s">
        <v>740</v>
      </c>
      <c r="B664" s="481">
        <f>GTA!F21</f>
        <v>0</v>
      </c>
      <c r="C664" s="481" t="s">
        <v>22</v>
      </c>
      <c r="D664" s="481">
        <v>16.649999999999999</v>
      </c>
      <c r="E664" s="482">
        <f t="shared" si="19"/>
        <v>0</v>
      </c>
      <c r="F664" s="398" t="s">
        <v>494</v>
      </c>
    </row>
    <row r="665" spans="1:6" ht="18" hidden="1" customHeight="1">
      <c r="A665" s="558" t="s">
        <v>388</v>
      </c>
      <c r="B665" s="481">
        <f>GTA!BS21</f>
        <v>0</v>
      </c>
      <c r="C665" s="481" t="s">
        <v>22</v>
      </c>
      <c r="D665" s="481">
        <v>16.649999999999999</v>
      </c>
      <c r="E665" s="482">
        <f t="shared" si="19"/>
        <v>0</v>
      </c>
      <c r="F665" s="398" t="s">
        <v>494</v>
      </c>
    </row>
    <row r="666" spans="1:6" ht="18" hidden="1" customHeight="1">
      <c r="A666" s="558" t="s">
        <v>530</v>
      </c>
      <c r="B666" s="481">
        <f>GTA!BT21</f>
        <v>0</v>
      </c>
      <c r="C666" s="481" t="s">
        <v>22</v>
      </c>
      <c r="D666" s="481">
        <v>20</v>
      </c>
      <c r="E666" s="482">
        <f t="shared" si="19"/>
        <v>0</v>
      </c>
      <c r="F666" s="398" t="s">
        <v>494</v>
      </c>
    </row>
    <row r="667" spans="1:6" ht="18" customHeight="1">
      <c r="A667" s="707" t="s">
        <v>529</v>
      </c>
      <c r="B667" s="481">
        <f>GTA!BK21</f>
        <v>0</v>
      </c>
      <c r="C667" s="481" t="s">
        <v>22</v>
      </c>
      <c r="D667" s="481">
        <v>16.649999999999999</v>
      </c>
      <c r="E667" s="482">
        <f t="shared" si="19"/>
        <v>0</v>
      </c>
      <c r="F667" s="398" t="s">
        <v>494</v>
      </c>
    </row>
    <row r="668" spans="1:6" ht="18" hidden="1" customHeight="1">
      <c r="A668" s="558" t="s">
        <v>533</v>
      </c>
      <c r="B668" s="481">
        <f>GTA!BQ21</f>
        <v>0</v>
      </c>
      <c r="C668" s="481" t="s">
        <v>22</v>
      </c>
      <c r="D668" s="481">
        <v>16.649999999999999</v>
      </c>
      <c r="E668" s="482">
        <f t="shared" si="19"/>
        <v>0</v>
      </c>
      <c r="F668" s="398" t="s">
        <v>494</v>
      </c>
    </row>
    <row r="669" spans="1:6" ht="18" customHeight="1">
      <c r="A669" s="707" t="s">
        <v>535</v>
      </c>
      <c r="B669" s="481">
        <f>GTA!BP21</f>
        <v>0</v>
      </c>
      <c r="C669" s="481" t="s">
        <v>22</v>
      </c>
      <c r="D669" s="481">
        <v>16.649999999999999</v>
      </c>
      <c r="E669" s="482">
        <f t="shared" si="19"/>
        <v>0</v>
      </c>
      <c r="F669" s="398" t="s">
        <v>494</v>
      </c>
    </row>
    <row r="670" spans="1:6" ht="18" hidden="1" customHeight="1">
      <c r="A670" s="558" t="s">
        <v>539</v>
      </c>
      <c r="B670" s="481">
        <f>GTA!CQ21</f>
        <v>0</v>
      </c>
      <c r="C670" s="481" t="s">
        <v>22</v>
      </c>
      <c r="D670" s="481">
        <v>16.649999999999999</v>
      </c>
      <c r="E670" s="482">
        <f t="shared" si="19"/>
        <v>0</v>
      </c>
      <c r="F670" s="398" t="s">
        <v>494</v>
      </c>
    </row>
    <row r="671" spans="1:6" ht="18" customHeight="1">
      <c r="A671" s="136" t="s">
        <v>481</v>
      </c>
      <c r="B671" s="135">
        <f>GTA!AE21</f>
        <v>0</v>
      </c>
      <c r="C671" s="135" t="s">
        <v>22</v>
      </c>
      <c r="D671" s="135">
        <v>16.649999999999999</v>
      </c>
      <c r="E671" s="314">
        <f t="shared" si="19"/>
        <v>0</v>
      </c>
      <c r="F671" s="398" t="s">
        <v>494</v>
      </c>
    </row>
    <row r="672" spans="1:6" ht="18" customHeight="1">
      <c r="A672" s="398" t="s">
        <v>736</v>
      </c>
      <c r="B672" s="135">
        <f>GTA!AF21</f>
        <v>0</v>
      </c>
      <c r="C672" s="135" t="s">
        <v>22</v>
      </c>
      <c r="D672" s="135">
        <v>16.649999999999999</v>
      </c>
      <c r="E672" s="314">
        <f t="shared" si="19"/>
        <v>0</v>
      </c>
      <c r="F672" s="398" t="s">
        <v>494</v>
      </c>
    </row>
    <row r="673" spans="1:6" ht="18" hidden="1" customHeight="1">
      <c r="A673" s="512" t="s">
        <v>556</v>
      </c>
      <c r="B673" s="481">
        <f>GTA!DY21</f>
        <v>0</v>
      </c>
      <c r="C673" s="481" t="s">
        <v>22</v>
      </c>
      <c r="D673" s="481">
        <v>16.649999999999999</v>
      </c>
      <c r="E673" s="482">
        <f t="shared" si="19"/>
        <v>0</v>
      </c>
      <c r="F673" s="398" t="s">
        <v>494</v>
      </c>
    </row>
    <row r="674" spans="1:6" ht="18" customHeight="1">
      <c r="A674" s="563" t="s">
        <v>738</v>
      </c>
      <c r="B674" s="481">
        <f>GTA!AI21</f>
        <v>0</v>
      </c>
      <c r="C674" s="481" t="s">
        <v>22</v>
      </c>
      <c r="D674" s="481">
        <v>16.649999999999999</v>
      </c>
      <c r="E674" s="482">
        <f t="shared" si="19"/>
        <v>0</v>
      </c>
      <c r="F674" s="398" t="s">
        <v>494</v>
      </c>
    </row>
    <row r="675" spans="1:6" ht="18" hidden="1" customHeight="1">
      <c r="A675" s="558" t="s">
        <v>551</v>
      </c>
      <c r="B675" s="481">
        <f>GTA!DN21</f>
        <v>0</v>
      </c>
      <c r="C675" s="481" t="s">
        <v>22</v>
      </c>
      <c r="D675" s="481">
        <v>16.649999999999999</v>
      </c>
      <c r="E675" s="482">
        <f t="shared" si="19"/>
        <v>0</v>
      </c>
      <c r="F675" s="398" t="s">
        <v>494</v>
      </c>
    </row>
    <row r="676" spans="1:6" ht="18" hidden="1" customHeight="1">
      <c r="A676" s="134" t="s">
        <v>512</v>
      </c>
      <c r="B676" s="135">
        <f>GTA!AR21</f>
        <v>0</v>
      </c>
      <c r="C676" s="135" t="s">
        <v>22</v>
      </c>
      <c r="D676" s="135">
        <v>16.649999999999999</v>
      </c>
      <c r="E676" s="314">
        <f t="shared" si="19"/>
        <v>0</v>
      </c>
      <c r="F676" s="398" t="s">
        <v>494</v>
      </c>
    </row>
    <row r="677" spans="1:6" ht="18" hidden="1" customHeight="1">
      <c r="A677" s="134" t="s">
        <v>513</v>
      </c>
      <c r="B677" s="135">
        <f>GTA!AS21</f>
        <v>0</v>
      </c>
      <c r="C677" s="135" t="s">
        <v>22</v>
      </c>
      <c r="D677" s="135">
        <v>16.649999999999999</v>
      </c>
      <c r="E677" s="314">
        <f t="shared" si="19"/>
        <v>0</v>
      </c>
      <c r="F677" s="398" t="s">
        <v>494</v>
      </c>
    </row>
    <row r="678" spans="1:6" ht="18" hidden="1" customHeight="1">
      <c r="A678" s="134" t="s">
        <v>514</v>
      </c>
      <c r="B678" s="135">
        <f>GTA!AT21</f>
        <v>0</v>
      </c>
      <c r="C678" s="135" t="s">
        <v>22</v>
      </c>
      <c r="D678" s="135">
        <v>16.649999999999999</v>
      </c>
      <c r="E678" s="314">
        <f t="shared" si="19"/>
        <v>0</v>
      </c>
      <c r="F678" s="398" t="s">
        <v>494</v>
      </c>
    </row>
    <row r="679" spans="1:6" ht="18" hidden="1" customHeight="1">
      <c r="A679" s="134" t="s">
        <v>515</v>
      </c>
      <c r="B679" s="135">
        <f>GTA!AU21</f>
        <v>0</v>
      </c>
      <c r="C679" s="135" t="s">
        <v>22</v>
      </c>
      <c r="D679" s="135">
        <v>16.649999999999999</v>
      </c>
      <c r="E679" s="314">
        <f t="shared" si="19"/>
        <v>0</v>
      </c>
      <c r="F679" s="398" t="s">
        <v>494</v>
      </c>
    </row>
    <row r="680" spans="1:6" ht="18" hidden="1" customHeight="1">
      <c r="A680" s="134" t="s">
        <v>516</v>
      </c>
      <c r="B680" s="135">
        <f>GTA!AV21</f>
        <v>0</v>
      </c>
      <c r="C680" s="135" t="s">
        <v>22</v>
      </c>
      <c r="D680" s="135">
        <v>16.649999999999999</v>
      </c>
      <c r="E680" s="314">
        <f t="shared" si="19"/>
        <v>0</v>
      </c>
      <c r="F680" s="398" t="s">
        <v>494</v>
      </c>
    </row>
    <row r="681" spans="1:6" ht="18" hidden="1" customHeight="1">
      <c r="A681" s="134" t="s">
        <v>517</v>
      </c>
      <c r="B681" s="135">
        <f>GTA!AW21</f>
        <v>0</v>
      </c>
      <c r="C681" s="135" t="s">
        <v>22</v>
      </c>
      <c r="D681" s="135">
        <v>16.649999999999999</v>
      </c>
      <c r="E681" s="314">
        <f t="shared" si="19"/>
        <v>0</v>
      </c>
      <c r="F681" s="398" t="s">
        <v>494</v>
      </c>
    </row>
    <row r="682" spans="1:6" ht="18" hidden="1" customHeight="1">
      <c r="A682" s="134" t="s">
        <v>518</v>
      </c>
      <c r="B682" s="135">
        <f>GTA!AX21</f>
        <v>0</v>
      </c>
      <c r="C682" s="135" t="s">
        <v>22</v>
      </c>
      <c r="D682" s="135">
        <v>16.649999999999999</v>
      </c>
      <c r="E682" s="314">
        <f t="shared" si="19"/>
        <v>0</v>
      </c>
      <c r="F682" s="398" t="s">
        <v>494</v>
      </c>
    </row>
    <row r="683" spans="1:6" ht="18" hidden="1" customHeight="1">
      <c r="A683" s="134" t="s">
        <v>519</v>
      </c>
      <c r="B683" s="135">
        <f>GTA!AY21</f>
        <v>0</v>
      </c>
      <c r="C683" s="135" t="s">
        <v>22</v>
      </c>
      <c r="D683" s="135">
        <v>16.649999999999999</v>
      </c>
      <c r="E683" s="314">
        <f t="shared" si="19"/>
        <v>0</v>
      </c>
      <c r="F683" s="398" t="s">
        <v>494</v>
      </c>
    </row>
    <row r="684" spans="1:6" ht="18" hidden="1" customHeight="1">
      <c r="A684" s="134" t="s">
        <v>327</v>
      </c>
      <c r="B684" s="135">
        <f>GTA!AZ21</f>
        <v>0</v>
      </c>
      <c r="C684" s="135" t="s">
        <v>22</v>
      </c>
      <c r="D684" s="135">
        <v>16.649999999999999</v>
      </c>
      <c r="E684" s="314">
        <f t="shared" si="19"/>
        <v>0</v>
      </c>
      <c r="F684" s="398" t="s">
        <v>494</v>
      </c>
    </row>
    <row r="685" spans="1:6" ht="18" hidden="1" customHeight="1">
      <c r="A685" s="134" t="s">
        <v>520</v>
      </c>
      <c r="B685" s="135">
        <f>GTA!BA21</f>
        <v>0</v>
      </c>
      <c r="C685" s="135" t="s">
        <v>22</v>
      </c>
      <c r="D685" s="135">
        <v>16.649999999999999</v>
      </c>
      <c r="E685" s="314">
        <f t="shared" si="19"/>
        <v>0</v>
      </c>
      <c r="F685" s="398" t="s">
        <v>494</v>
      </c>
    </row>
    <row r="686" spans="1:6" ht="18" hidden="1" customHeight="1">
      <c r="A686" s="398" t="s">
        <v>225</v>
      </c>
      <c r="B686" s="135">
        <f>GTA!BB21</f>
        <v>0</v>
      </c>
      <c r="C686" s="135" t="s">
        <v>22</v>
      </c>
      <c r="D686" s="135">
        <v>16.649999999999999</v>
      </c>
      <c r="E686" s="314">
        <f t="shared" si="19"/>
        <v>0</v>
      </c>
      <c r="F686" s="398" t="s">
        <v>494</v>
      </c>
    </row>
    <row r="687" spans="1:6" ht="18" hidden="1" customHeight="1">
      <c r="A687" s="134" t="s">
        <v>558</v>
      </c>
      <c r="B687" s="135">
        <f>GTA!ED21</f>
        <v>0</v>
      </c>
      <c r="C687" s="135" t="s">
        <v>22</v>
      </c>
      <c r="D687" s="135">
        <v>20</v>
      </c>
      <c r="E687" s="314">
        <f t="shared" si="19"/>
        <v>0</v>
      </c>
      <c r="F687" s="398" t="s">
        <v>494</v>
      </c>
    </row>
    <row r="688" spans="1:6" ht="18" hidden="1" customHeight="1">
      <c r="A688" s="134" t="s">
        <v>522</v>
      </c>
      <c r="B688" s="135">
        <f>GTA!BD21</f>
        <v>0</v>
      </c>
      <c r="C688" s="135" t="s">
        <v>22</v>
      </c>
      <c r="D688" s="135">
        <v>16.649999999999999</v>
      </c>
      <c r="E688" s="314">
        <f t="shared" si="19"/>
        <v>0</v>
      </c>
      <c r="F688" s="398" t="s">
        <v>494</v>
      </c>
    </row>
    <row r="689" spans="1:6" ht="18" hidden="1" customHeight="1">
      <c r="A689" s="134" t="s">
        <v>524</v>
      </c>
      <c r="B689" s="135">
        <f>GTA!BE21</f>
        <v>0</v>
      </c>
      <c r="C689" s="135" t="s">
        <v>22</v>
      </c>
      <c r="D689" s="135">
        <v>16.649999999999999</v>
      </c>
      <c r="E689" s="314">
        <f t="shared" ref="E689:E720" si="20">B689*D689</f>
        <v>0</v>
      </c>
      <c r="F689" s="398" t="s">
        <v>494</v>
      </c>
    </row>
    <row r="690" spans="1:6" ht="18" hidden="1" customHeight="1">
      <c r="A690" s="134" t="s">
        <v>384</v>
      </c>
      <c r="B690" s="135">
        <f>GTA!BF21</f>
        <v>0</v>
      </c>
      <c r="C690" s="135" t="s">
        <v>22</v>
      </c>
      <c r="D690" s="135">
        <v>16.649999999999999</v>
      </c>
      <c r="E690" s="314">
        <f t="shared" si="20"/>
        <v>0</v>
      </c>
      <c r="F690" s="398" t="s">
        <v>494</v>
      </c>
    </row>
    <row r="691" spans="1:6" ht="18" hidden="1" customHeight="1">
      <c r="A691" s="134" t="s">
        <v>416</v>
      </c>
      <c r="B691" s="135">
        <f>GTA!BH21</f>
        <v>0</v>
      </c>
      <c r="C691" s="135" t="s">
        <v>22</v>
      </c>
      <c r="D691" s="135">
        <v>16.649999999999999</v>
      </c>
      <c r="E691" s="314">
        <f t="shared" si="20"/>
        <v>0</v>
      </c>
      <c r="F691" s="398" t="s">
        <v>494</v>
      </c>
    </row>
    <row r="692" spans="1:6" ht="18" customHeight="1">
      <c r="A692" s="398" t="s">
        <v>393</v>
      </c>
      <c r="B692" s="135">
        <f>GTA!CS21</f>
        <v>0</v>
      </c>
      <c r="C692" s="135" t="s">
        <v>22</v>
      </c>
      <c r="D692" s="135">
        <v>16.649999999999999</v>
      </c>
      <c r="E692" s="314">
        <f t="shared" si="20"/>
        <v>0</v>
      </c>
      <c r="F692" s="398" t="s">
        <v>494</v>
      </c>
    </row>
    <row r="693" spans="1:6" ht="18" hidden="1" customHeight="1">
      <c r="A693" s="134" t="s">
        <v>742</v>
      </c>
      <c r="B693" s="135">
        <f>GTA!CL21</f>
        <v>0</v>
      </c>
      <c r="C693" s="135" t="s">
        <v>22</v>
      </c>
      <c r="D693" s="135">
        <v>16.649999999999999</v>
      </c>
      <c r="E693" s="314">
        <f t="shared" si="20"/>
        <v>0</v>
      </c>
      <c r="F693" s="398" t="s">
        <v>494</v>
      </c>
    </row>
    <row r="694" spans="1:6" ht="18" hidden="1" customHeight="1">
      <c r="A694" s="134" t="s">
        <v>743</v>
      </c>
      <c r="B694" s="135">
        <f>GTA!CM21</f>
        <v>0</v>
      </c>
      <c r="C694" s="135" t="s">
        <v>22</v>
      </c>
      <c r="D694" s="135">
        <v>16.649999999999999</v>
      </c>
      <c r="E694" s="314">
        <f t="shared" si="20"/>
        <v>0</v>
      </c>
      <c r="F694" s="398" t="s">
        <v>494</v>
      </c>
    </row>
    <row r="695" spans="1:6" ht="18" hidden="1" customHeight="1">
      <c r="A695" s="134" t="s">
        <v>744</v>
      </c>
      <c r="B695" s="135">
        <f>GTA!BY21</f>
        <v>0</v>
      </c>
      <c r="C695" s="135" t="s">
        <v>22</v>
      </c>
      <c r="D695" s="135">
        <v>16.649999999999999</v>
      </c>
      <c r="E695" s="314">
        <f t="shared" si="20"/>
        <v>0</v>
      </c>
      <c r="F695" s="398" t="s">
        <v>494</v>
      </c>
    </row>
    <row r="696" spans="1:6" ht="18" customHeight="1">
      <c r="A696" s="134" t="s">
        <v>508</v>
      </c>
      <c r="B696" s="135">
        <f>GTA!AM21</f>
        <v>0</v>
      </c>
      <c r="C696" s="135" t="s">
        <v>22</v>
      </c>
      <c r="D696" s="135">
        <v>16.649999999999999</v>
      </c>
      <c r="E696" s="314">
        <f t="shared" si="20"/>
        <v>0</v>
      </c>
      <c r="F696" s="398" t="s">
        <v>494</v>
      </c>
    </row>
    <row r="697" spans="1:6" ht="18" hidden="1" customHeight="1">
      <c r="A697" s="398" t="s">
        <v>256</v>
      </c>
      <c r="B697" s="135">
        <f>GTA!EE21</f>
        <v>0</v>
      </c>
      <c r="C697" s="135" t="s">
        <v>22</v>
      </c>
      <c r="D697" s="135">
        <v>20</v>
      </c>
      <c r="E697" s="314">
        <f t="shared" si="20"/>
        <v>0</v>
      </c>
      <c r="F697" s="398" t="s">
        <v>494</v>
      </c>
    </row>
    <row r="698" spans="1:6" ht="18" hidden="1" customHeight="1">
      <c r="A698" s="398" t="s">
        <v>745</v>
      </c>
      <c r="B698" s="135">
        <f>GTA!DU21</f>
        <v>0</v>
      </c>
      <c r="C698" s="135" t="s">
        <v>22</v>
      </c>
      <c r="D698" s="135">
        <v>16.649999999999999</v>
      </c>
      <c r="E698" s="314">
        <f t="shared" si="20"/>
        <v>0</v>
      </c>
      <c r="F698" s="398" t="s">
        <v>494</v>
      </c>
    </row>
    <row r="699" spans="1:6" ht="18" hidden="1" customHeight="1">
      <c r="A699" s="398" t="s">
        <v>746</v>
      </c>
      <c r="B699" s="135">
        <f>GTA!CA21</f>
        <v>0</v>
      </c>
      <c r="C699" s="135" t="s">
        <v>22</v>
      </c>
      <c r="D699" s="135">
        <v>16.649999999999999</v>
      </c>
      <c r="E699" s="314">
        <f t="shared" si="20"/>
        <v>0</v>
      </c>
      <c r="F699" s="398" t="s">
        <v>494</v>
      </c>
    </row>
    <row r="700" spans="1:6" ht="18" hidden="1" customHeight="1">
      <c r="A700" s="134" t="s">
        <v>229</v>
      </c>
      <c r="B700" s="135">
        <f>GTA!CB21</f>
        <v>0</v>
      </c>
      <c r="C700" s="135" t="s">
        <v>22</v>
      </c>
      <c r="D700" s="135">
        <v>16.649999999999999</v>
      </c>
      <c r="E700" s="314">
        <f t="shared" si="20"/>
        <v>0</v>
      </c>
      <c r="F700" s="398" t="s">
        <v>494</v>
      </c>
    </row>
    <row r="701" spans="1:6" ht="18" hidden="1" customHeight="1">
      <c r="A701" s="134" t="s">
        <v>470</v>
      </c>
      <c r="B701" s="135">
        <f>GTA!CD21</f>
        <v>0</v>
      </c>
      <c r="C701" s="135" t="s">
        <v>22</v>
      </c>
      <c r="D701" s="135">
        <v>16.649999999999999</v>
      </c>
      <c r="E701" s="314">
        <f t="shared" si="20"/>
        <v>0</v>
      </c>
      <c r="F701" s="398" t="s">
        <v>494</v>
      </c>
    </row>
    <row r="702" spans="1:6" ht="18" hidden="1" customHeight="1">
      <c r="A702" s="512" t="s">
        <v>526</v>
      </c>
      <c r="B702" s="135">
        <f>GTA!CE21</f>
        <v>0</v>
      </c>
      <c r="C702" s="135" t="s">
        <v>22</v>
      </c>
      <c r="D702" s="135">
        <v>16.649999999999999</v>
      </c>
      <c r="E702" s="314">
        <f t="shared" si="20"/>
        <v>0</v>
      </c>
      <c r="F702" s="398" t="s">
        <v>494</v>
      </c>
    </row>
    <row r="703" spans="1:6" ht="18" hidden="1" customHeight="1">
      <c r="A703" s="134" t="s">
        <v>528</v>
      </c>
      <c r="B703" s="135">
        <f>GTA!CF21</f>
        <v>0</v>
      </c>
      <c r="C703" s="135" t="s">
        <v>22</v>
      </c>
      <c r="D703" s="135">
        <v>16.649999999999999</v>
      </c>
      <c r="E703" s="314">
        <f t="shared" si="20"/>
        <v>0</v>
      </c>
      <c r="F703" s="398" t="s">
        <v>494</v>
      </c>
    </row>
    <row r="704" spans="1:6" ht="18" hidden="1" customHeight="1">
      <c r="A704" s="134" t="s">
        <v>386</v>
      </c>
      <c r="B704" s="135">
        <f>GTA!CH21</f>
        <v>0</v>
      </c>
      <c r="C704" s="135" t="s">
        <v>22</v>
      </c>
      <c r="D704" s="135">
        <v>16.649999999999999</v>
      </c>
      <c r="E704" s="314">
        <f t="shared" si="20"/>
        <v>0</v>
      </c>
      <c r="F704" s="398" t="s">
        <v>494</v>
      </c>
    </row>
    <row r="705" spans="1:6" ht="18" hidden="1" customHeight="1">
      <c r="A705" s="134" t="s">
        <v>463</v>
      </c>
      <c r="B705" s="135">
        <f>GTA!CG21</f>
        <v>0</v>
      </c>
      <c r="C705" s="135" t="s">
        <v>22</v>
      </c>
      <c r="D705" s="135">
        <v>16.649999999999999</v>
      </c>
      <c r="E705" s="314">
        <f t="shared" si="20"/>
        <v>0</v>
      </c>
      <c r="F705" s="398" t="s">
        <v>494</v>
      </c>
    </row>
    <row r="706" spans="1:6" ht="18" hidden="1" customHeight="1">
      <c r="A706" s="134" t="s">
        <v>329</v>
      </c>
      <c r="B706" s="135">
        <f>GTA!CI21</f>
        <v>0</v>
      </c>
      <c r="C706" s="135" t="s">
        <v>22</v>
      </c>
      <c r="D706" s="135">
        <v>16.649999999999999</v>
      </c>
      <c r="E706" s="314">
        <f t="shared" si="20"/>
        <v>0</v>
      </c>
      <c r="F706" s="398" t="s">
        <v>494</v>
      </c>
    </row>
    <row r="707" spans="1:6" ht="18" hidden="1" customHeight="1">
      <c r="A707" s="134" t="s">
        <v>389</v>
      </c>
      <c r="B707" s="135">
        <f>GTA!CJ21</f>
        <v>0</v>
      </c>
      <c r="C707" s="135" t="s">
        <v>22</v>
      </c>
      <c r="D707" s="135">
        <v>16.649999999999999</v>
      </c>
      <c r="E707" s="314">
        <f t="shared" si="20"/>
        <v>0</v>
      </c>
      <c r="F707" s="398" t="s">
        <v>494</v>
      </c>
    </row>
    <row r="708" spans="1:6" ht="18" hidden="1" customHeight="1">
      <c r="A708" s="134" t="s">
        <v>747</v>
      </c>
      <c r="B708" s="135">
        <f>GTA!CK21</f>
        <v>0</v>
      </c>
      <c r="C708" s="135" t="s">
        <v>22</v>
      </c>
      <c r="D708" s="135">
        <v>16.649999999999999</v>
      </c>
      <c r="E708" s="314">
        <f t="shared" si="20"/>
        <v>0</v>
      </c>
      <c r="F708" s="398" t="s">
        <v>494</v>
      </c>
    </row>
    <row r="709" spans="1:6" ht="18" customHeight="1">
      <c r="A709" s="558" t="s">
        <v>739</v>
      </c>
      <c r="B709" s="481">
        <f>GTA!BM21</f>
        <v>0</v>
      </c>
      <c r="C709" s="481" t="s">
        <v>22</v>
      </c>
      <c r="D709" s="481">
        <v>16.649999999999999</v>
      </c>
      <c r="E709" s="482">
        <f t="shared" si="20"/>
        <v>0</v>
      </c>
      <c r="F709" s="398" t="s">
        <v>494</v>
      </c>
    </row>
    <row r="710" spans="1:6" ht="18" customHeight="1">
      <c r="A710" s="558" t="s">
        <v>531</v>
      </c>
      <c r="B710" s="481">
        <f>GTA!BU21</f>
        <v>0</v>
      </c>
      <c r="C710" s="481" t="s">
        <v>22</v>
      </c>
      <c r="D710" s="481">
        <v>16.649999999999999</v>
      </c>
      <c r="E710" s="482">
        <f t="shared" si="20"/>
        <v>0</v>
      </c>
      <c r="F710" s="398" t="s">
        <v>494</v>
      </c>
    </row>
    <row r="711" spans="1:6" ht="18" hidden="1" customHeight="1">
      <c r="A711" s="136" t="s">
        <v>538</v>
      </c>
      <c r="B711" s="135">
        <f>GTA!CP21</f>
        <v>0</v>
      </c>
      <c r="C711" s="135" t="s">
        <v>22</v>
      </c>
      <c r="D711" s="135">
        <v>16.649999999999999</v>
      </c>
      <c r="E711" s="314">
        <f t="shared" si="20"/>
        <v>0</v>
      </c>
      <c r="F711" s="398" t="s">
        <v>494</v>
      </c>
    </row>
    <row r="712" spans="1:6" ht="18" hidden="1" customHeight="1">
      <c r="A712" s="134" t="s">
        <v>542</v>
      </c>
      <c r="B712" s="135">
        <f>GTA!CR21</f>
        <v>0</v>
      </c>
      <c r="C712" s="135" t="s">
        <v>22</v>
      </c>
      <c r="D712" s="135">
        <v>16.649999999999999</v>
      </c>
      <c r="E712" s="314">
        <f t="shared" si="20"/>
        <v>0</v>
      </c>
      <c r="F712" s="398" t="s">
        <v>494</v>
      </c>
    </row>
    <row r="713" spans="1:6" ht="18" customHeight="1">
      <c r="A713" s="558" t="s">
        <v>419</v>
      </c>
      <c r="B713" s="481">
        <f>GTA!BV21</f>
        <v>0</v>
      </c>
      <c r="C713" s="481" t="s">
        <v>22</v>
      </c>
      <c r="D713" s="481">
        <v>16.649999999999999</v>
      </c>
      <c r="E713" s="482">
        <f t="shared" si="20"/>
        <v>0</v>
      </c>
      <c r="F713" s="398" t="s">
        <v>494</v>
      </c>
    </row>
    <row r="714" spans="1:6" ht="18" hidden="1" customHeight="1">
      <c r="A714" s="134" t="s">
        <v>550</v>
      </c>
      <c r="B714" s="135">
        <f>GTA!DK21</f>
        <v>0</v>
      </c>
      <c r="C714" s="135" t="s">
        <v>22</v>
      </c>
      <c r="D714" s="135">
        <v>16.649999999999999</v>
      </c>
      <c r="E714" s="314">
        <f t="shared" si="20"/>
        <v>0</v>
      </c>
      <c r="F714" s="398" t="s">
        <v>494</v>
      </c>
    </row>
    <row r="715" spans="1:6" ht="18" hidden="1" customHeight="1">
      <c r="A715" s="512" t="s">
        <v>485</v>
      </c>
      <c r="B715" s="481">
        <f>GTA!DR21</f>
        <v>0</v>
      </c>
      <c r="C715" s="481" t="s">
        <v>22</v>
      </c>
      <c r="D715" s="481">
        <v>16.649999999999999</v>
      </c>
      <c r="E715" s="482">
        <f t="shared" si="20"/>
        <v>0</v>
      </c>
      <c r="F715" s="398" t="s">
        <v>494</v>
      </c>
    </row>
    <row r="716" spans="1:6" ht="18" hidden="1" customHeight="1">
      <c r="A716" s="134" t="s">
        <v>479</v>
      </c>
      <c r="B716" s="135">
        <f>GTA!CX21</f>
        <v>0</v>
      </c>
      <c r="C716" s="135" t="s">
        <v>22</v>
      </c>
      <c r="D716" s="135">
        <v>16.649999999999999</v>
      </c>
      <c r="E716" s="314">
        <f t="shared" si="20"/>
        <v>0</v>
      </c>
      <c r="F716" s="398" t="s">
        <v>494</v>
      </c>
    </row>
    <row r="717" spans="1:6" ht="18" hidden="1" customHeight="1">
      <c r="A717" s="134" t="s">
        <v>330</v>
      </c>
      <c r="B717" s="135">
        <f>GTA!CY21</f>
        <v>0</v>
      </c>
      <c r="C717" s="135" t="s">
        <v>22</v>
      </c>
      <c r="D717" s="135">
        <v>16.649999999999999</v>
      </c>
      <c r="E717" s="314">
        <f t="shared" si="20"/>
        <v>0</v>
      </c>
      <c r="F717" s="398" t="s">
        <v>494</v>
      </c>
    </row>
    <row r="718" spans="1:6" ht="18" hidden="1" customHeight="1">
      <c r="A718" s="134" t="s">
        <v>544</v>
      </c>
      <c r="B718" s="135">
        <f>GTA!DA21</f>
        <v>0</v>
      </c>
      <c r="C718" s="135" t="s">
        <v>22</v>
      </c>
      <c r="D718" s="135">
        <v>16.649999999999999</v>
      </c>
      <c r="E718" s="314">
        <f t="shared" si="20"/>
        <v>0</v>
      </c>
      <c r="F718" s="398" t="s">
        <v>494</v>
      </c>
    </row>
    <row r="719" spans="1:6" ht="18" hidden="1" customHeight="1">
      <c r="A719" s="134" t="s">
        <v>338</v>
      </c>
      <c r="B719" s="135">
        <f>GTA!DB21</f>
        <v>0</v>
      </c>
      <c r="C719" s="135" t="s">
        <v>22</v>
      </c>
      <c r="D719" s="135">
        <v>16.649999999999999</v>
      </c>
      <c r="E719" s="314">
        <f t="shared" si="20"/>
        <v>0</v>
      </c>
      <c r="F719" s="398" t="s">
        <v>494</v>
      </c>
    </row>
    <row r="720" spans="1:6" ht="18" customHeight="1">
      <c r="A720" s="558" t="s">
        <v>427</v>
      </c>
      <c r="B720" s="481">
        <f>GTA!BX21</f>
        <v>0</v>
      </c>
      <c r="C720" s="481" t="s">
        <v>22</v>
      </c>
      <c r="D720" s="481">
        <v>16.649999999999999</v>
      </c>
      <c r="E720" s="482">
        <f t="shared" si="20"/>
        <v>0</v>
      </c>
      <c r="F720" s="398" t="s">
        <v>494</v>
      </c>
    </row>
    <row r="721" spans="1:6" ht="18" hidden="1" customHeight="1">
      <c r="A721" s="512" t="s">
        <v>750</v>
      </c>
      <c r="B721" s="481">
        <f>GTA!DD21</f>
        <v>0</v>
      </c>
      <c r="C721" s="481" t="s">
        <v>22</v>
      </c>
      <c r="D721" s="481">
        <v>16.649999999999999</v>
      </c>
      <c r="E721" s="482">
        <f t="shared" ref="E721:E733" si="21">B721*D721</f>
        <v>0</v>
      </c>
      <c r="F721" s="398" t="s">
        <v>494</v>
      </c>
    </row>
    <row r="722" spans="1:6" ht="18" customHeight="1">
      <c r="A722" s="558" t="s">
        <v>741</v>
      </c>
      <c r="B722" s="481">
        <f>GTA!CV21</f>
        <v>0</v>
      </c>
      <c r="C722" s="481" t="s">
        <v>22</v>
      </c>
      <c r="D722" s="481">
        <v>16.649999999999999</v>
      </c>
      <c r="E722" s="482">
        <f t="shared" si="21"/>
        <v>0</v>
      </c>
      <c r="F722" s="398" t="s">
        <v>494</v>
      </c>
    </row>
    <row r="723" spans="1:6" ht="18" hidden="1" customHeight="1">
      <c r="A723" s="134" t="s">
        <v>751</v>
      </c>
      <c r="B723" s="135">
        <f>GTA!DC21</f>
        <v>0</v>
      </c>
      <c r="C723" s="135" t="s">
        <v>22</v>
      </c>
      <c r="D723" s="135">
        <v>16.649999999999999</v>
      </c>
      <c r="E723" s="314">
        <f t="shared" si="21"/>
        <v>0</v>
      </c>
      <c r="F723" s="398" t="s">
        <v>494</v>
      </c>
    </row>
    <row r="724" spans="1:6" ht="18" hidden="1" customHeight="1">
      <c r="A724" s="134" t="s">
        <v>752</v>
      </c>
      <c r="B724" s="135">
        <f>GTA!DE21</f>
        <v>0</v>
      </c>
      <c r="C724" s="135" t="s">
        <v>22</v>
      </c>
      <c r="D724" s="135">
        <v>16.649999999999999</v>
      </c>
      <c r="E724" s="314">
        <f t="shared" si="21"/>
        <v>0</v>
      </c>
      <c r="F724" s="398" t="s">
        <v>494</v>
      </c>
    </row>
    <row r="725" spans="1:6" ht="18" hidden="1" customHeight="1">
      <c r="A725" s="134" t="s">
        <v>237</v>
      </c>
      <c r="B725" s="135">
        <f>GTA!DF21</f>
        <v>0</v>
      </c>
      <c r="C725" s="135" t="s">
        <v>22</v>
      </c>
      <c r="D725" s="135">
        <v>16.649999999999999</v>
      </c>
      <c r="E725" s="314">
        <f t="shared" si="21"/>
        <v>0</v>
      </c>
      <c r="F725" s="398" t="s">
        <v>494</v>
      </c>
    </row>
    <row r="726" spans="1:6" ht="18" hidden="1" customHeight="1">
      <c r="A726" s="134" t="s">
        <v>545</v>
      </c>
      <c r="B726" s="135">
        <f>GTA!DG21</f>
        <v>0</v>
      </c>
      <c r="C726" s="135" t="s">
        <v>22</v>
      </c>
      <c r="D726" s="135">
        <v>16.649999999999999</v>
      </c>
      <c r="E726" s="314">
        <f t="shared" si="21"/>
        <v>0</v>
      </c>
      <c r="F726" s="398" t="s">
        <v>494</v>
      </c>
    </row>
    <row r="727" spans="1:6" ht="18" hidden="1" customHeight="1">
      <c r="A727" s="398" t="s">
        <v>559</v>
      </c>
      <c r="B727" s="135">
        <f>GTA!EF21</f>
        <v>0</v>
      </c>
      <c r="C727" s="135" t="s">
        <v>22</v>
      </c>
      <c r="D727" s="135">
        <v>20</v>
      </c>
      <c r="E727" s="314">
        <f t="shared" si="21"/>
        <v>0</v>
      </c>
      <c r="F727" s="398" t="s">
        <v>494</v>
      </c>
    </row>
    <row r="728" spans="1:6" ht="18" hidden="1" customHeight="1">
      <c r="A728" s="398" t="s">
        <v>546</v>
      </c>
      <c r="B728" s="135">
        <f>GTA!DH21</f>
        <v>0</v>
      </c>
      <c r="C728" s="135" t="s">
        <v>22</v>
      </c>
      <c r="D728" s="135">
        <v>16.649999999999999</v>
      </c>
      <c r="E728" s="314">
        <f t="shared" si="21"/>
        <v>0</v>
      </c>
      <c r="F728" s="398" t="s">
        <v>494</v>
      </c>
    </row>
    <row r="729" spans="1:6" ht="18" hidden="1" customHeight="1">
      <c r="A729" s="563" t="s">
        <v>547</v>
      </c>
      <c r="B729" s="481">
        <f>GTA!DI21</f>
        <v>0</v>
      </c>
      <c r="C729" s="481" t="s">
        <v>22</v>
      </c>
      <c r="D729" s="481">
        <v>16.649999999999999</v>
      </c>
      <c r="E729" s="482">
        <f t="shared" si="21"/>
        <v>0</v>
      </c>
      <c r="F729" s="398" t="s">
        <v>494</v>
      </c>
    </row>
    <row r="730" spans="1:6" ht="18" hidden="1" customHeight="1">
      <c r="A730" s="398" t="s">
        <v>560</v>
      </c>
      <c r="B730" s="135">
        <f>GTA!EG21</f>
        <v>0</v>
      </c>
      <c r="C730" s="135" t="s">
        <v>22</v>
      </c>
      <c r="D730" s="135">
        <v>20</v>
      </c>
      <c r="E730" s="314">
        <f t="shared" si="21"/>
        <v>0</v>
      </c>
      <c r="F730" s="398" t="s">
        <v>494</v>
      </c>
    </row>
    <row r="731" spans="1:6" ht="18" hidden="1" customHeight="1">
      <c r="A731" s="512" t="s">
        <v>549</v>
      </c>
      <c r="B731" s="481">
        <f>GTA!DJ21</f>
        <v>0</v>
      </c>
      <c r="C731" s="481" t="s">
        <v>22</v>
      </c>
      <c r="D731" s="481">
        <v>16.649999999999999</v>
      </c>
      <c r="E731" s="482">
        <f t="shared" si="21"/>
        <v>0</v>
      </c>
      <c r="F731" s="398" t="s">
        <v>494</v>
      </c>
    </row>
    <row r="732" spans="1:6" ht="18" hidden="1" customHeight="1">
      <c r="A732" s="398" t="s">
        <v>753</v>
      </c>
      <c r="B732" s="135">
        <f>GTA!EB21</f>
        <v>0</v>
      </c>
      <c r="C732" s="135" t="s">
        <v>22</v>
      </c>
      <c r="D732" s="135">
        <v>20</v>
      </c>
      <c r="E732" s="314">
        <f t="shared" si="21"/>
        <v>0</v>
      </c>
      <c r="F732" s="398" t="s">
        <v>494</v>
      </c>
    </row>
    <row r="733" spans="1:6" ht="18" hidden="1" customHeight="1">
      <c r="A733" s="398" t="s">
        <v>718</v>
      </c>
      <c r="B733" s="135">
        <f>GTA!Z21</f>
        <v>0</v>
      </c>
      <c r="C733" s="135" t="s">
        <v>22</v>
      </c>
      <c r="D733" s="135">
        <v>16.649999999999999</v>
      </c>
      <c r="E733" s="314">
        <f t="shared" si="21"/>
        <v>0</v>
      </c>
      <c r="F733" s="398" t="s">
        <v>494</v>
      </c>
    </row>
    <row r="734" spans="1:6" ht="18" hidden="1" customHeight="1">
      <c r="A734" s="398" t="s">
        <v>754</v>
      </c>
      <c r="B734" s="135">
        <f>GTA!EC21</f>
        <v>0</v>
      </c>
      <c r="C734" s="135" t="s">
        <v>22</v>
      </c>
      <c r="D734" s="135">
        <v>20</v>
      </c>
      <c r="E734" s="314">
        <f>(B734*D734)</f>
        <v>0</v>
      </c>
      <c r="F734" s="398" t="s">
        <v>494</v>
      </c>
    </row>
    <row r="735" spans="1:6" ht="18" hidden="1" customHeight="1">
      <c r="A735" s="398" t="s">
        <v>755</v>
      </c>
      <c r="B735" s="135">
        <f>GTA!X21</f>
        <v>0</v>
      </c>
      <c r="C735" s="135" t="s">
        <v>22</v>
      </c>
      <c r="D735" s="135">
        <v>16.649999999999999</v>
      </c>
      <c r="E735" s="314">
        <f t="shared" ref="E735:E748" si="22">B735*D735</f>
        <v>0</v>
      </c>
      <c r="F735" s="398" t="s">
        <v>494</v>
      </c>
    </row>
    <row r="736" spans="1:6" ht="18" customHeight="1">
      <c r="A736" s="512" t="s">
        <v>480</v>
      </c>
      <c r="B736" s="481">
        <f>GTA!DP21</f>
        <v>0</v>
      </c>
      <c r="C736" s="481" t="s">
        <v>22</v>
      </c>
      <c r="D736" s="481">
        <v>16.649999999999999</v>
      </c>
      <c r="E736" s="482">
        <f t="shared" si="22"/>
        <v>0</v>
      </c>
      <c r="F736" s="398" t="s">
        <v>494</v>
      </c>
    </row>
    <row r="737" spans="1:6" ht="18" hidden="1" customHeight="1">
      <c r="A737" s="512" t="s">
        <v>449</v>
      </c>
      <c r="B737" s="481">
        <f>GTA!DL21</f>
        <v>0</v>
      </c>
      <c r="C737" s="481" t="s">
        <v>22</v>
      </c>
      <c r="D737" s="481">
        <v>16.649999999999999</v>
      </c>
      <c r="E737" s="482">
        <f t="shared" si="22"/>
        <v>0</v>
      </c>
      <c r="F737" s="398" t="s">
        <v>494</v>
      </c>
    </row>
    <row r="738" spans="1:6" ht="18" hidden="1" customHeight="1">
      <c r="A738" s="136" t="s">
        <v>239</v>
      </c>
      <c r="B738" s="135">
        <f>GTA!DM21</f>
        <v>0</v>
      </c>
      <c r="C738" s="135" t="s">
        <v>22</v>
      </c>
      <c r="D738" s="135">
        <v>16.649999999999999</v>
      </c>
      <c r="E738" s="314">
        <f t="shared" si="22"/>
        <v>0</v>
      </c>
      <c r="F738" s="398" t="s">
        <v>494</v>
      </c>
    </row>
    <row r="739" spans="1:6" ht="18" hidden="1" customHeight="1">
      <c r="A739" s="134" t="s">
        <v>374</v>
      </c>
      <c r="B739" s="135">
        <f>GTA!DO21</f>
        <v>0</v>
      </c>
      <c r="C739" s="135" t="s">
        <v>22</v>
      </c>
      <c r="D739" s="135">
        <v>16.649999999999999</v>
      </c>
      <c r="E739" s="314">
        <f t="shared" si="22"/>
        <v>0</v>
      </c>
      <c r="F739" s="398" t="s">
        <v>494</v>
      </c>
    </row>
    <row r="740" spans="1:6" ht="18" hidden="1" customHeight="1">
      <c r="A740" s="134" t="s">
        <v>756</v>
      </c>
      <c r="B740" s="135">
        <f>GTA!DS21</f>
        <v>0</v>
      </c>
      <c r="C740" s="135" t="s">
        <v>22</v>
      </c>
      <c r="D740" s="135">
        <v>16.649999999999999</v>
      </c>
      <c r="E740" s="314">
        <f t="shared" si="22"/>
        <v>0</v>
      </c>
      <c r="F740" s="398" t="s">
        <v>494</v>
      </c>
    </row>
    <row r="741" spans="1:6" ht="18" hidden="1" customHeight="1">
      <c r="A741" s="134" t="s">
        <v>430</v>
      </c>
      <c r="B741" s="135">
        <f>GTA!DT21</f>
        <v>0</v>
      </c>
      <c r="C741" s="135" t="s">
        <v>22</v>
      </c>
      <c r="D741" s="135">
        <v>16.649999999999999</v>
      </c>
      <c r="E741" s="314">
        <f t="shared" si="22"/>
        <v>0</v>
      </c>
      <c r="F741" s="398" t="s">
        <v>494</v>
      </c>
    </row>
    <row r="742" spans="1:6" ht="18" hidden="1" customHeight="1">
      <c r="A742" s="512" t="s">
        <v>757</v>
      </c>
      <c r="B742" s="481">
        <f>GTA!DV21</f>
        <v>0</v>
      </c>
      <c r="C742" s="481" t="s">
        <v>22</v>
      </c>
      <c r="D742" s="481">
        <v>16.649999999999999</v>
      </c>
      <c r="E742" s="482">
        <f t="shared" si="22"/>
        <v>0</v>
      </c>
      <c r="F742" s="398" t="s">
        <v>494</v>
      </c>
    </row>
    <row r="743" spans="1:6" ht="18" hidden="1" customHeight="1">
      <c r="A743" s="512" t="s">
        <v>561</v>
      </c>
      <c r="B743" s="481">
        <f>GTA!EI21</f>
        <v>0</v>
      </c>
      <c r="C743" s="481" t="s">
        <v>22</v>
      </c>
      <c r="D743" s="481">
        <v>20</v>
      </c>
      <c r="E743" s="482">
        <f t="shared" si="22"/>
        <v>0</v>
      </c>
      <c r="F743" s="398" t="s">
        <v>494</v>
      </c>
    </row>
    <row r="744" spans="1:6" ht="18" hidden="1" customHeight="1">
      <c r="A744" s="134" t="s">
        <v>758</v>
      </c>
      <c r="B744" s="135">
        <f>GTA!DX21</f>
        <v>0</v>
      </c>
      <c r="C744" s="135" t="s">
        <v>22</v>
      </c>
      <c r="D744" s="135">
        <v>16.649999999999999</v>
      </c>
      <c r="E744" s="314">
        <f t="shared" si="22"/>
        <v>0</v>
      </c>
      <c r="F744" s="398" t="s">
        <v>494</v>
      </c>
    </row>
    <row r="745" spans="1:6" ht="18" hidden="1" customHeight="1">
      <c r="A745" s="134" t="s">
        <v>759</v>
      </c>
      <c r="B745" s="135">
        <f>GTA!EH21</f>
        <v>0</v>
      </c>
      <c r="C745" s="135" t="s">
        <v>22</v>
      </c>
      <c r="D745" s="135">
        <v>20</v>
      </c>
      <c r="E745" s="314">
        <f t="shared" si="22"/>
        <v>0</v>
      </c>
      <c r="F745" s="398" t="s">
        <v>494</v>
      </c>
    </row>
    <row r="746" spans="1:6" ht="18" hidden="1" customHeight="1">
      <c r="A746" s="134" t="s">
        <v>403</v>
      </c>
      <c r="B746" s="135">
        <f>GTA!EJ21</f>
        <v>0</v>
      </c>
      <c r="C746" s="135" t="s">
        <v>22</v>
      </c>
      <c r="D746" s="135">
        <v>16.649999999999999</v>
      </c>
      <c r="E746" s="314">
        <f t="shared" si="22"/>
        <v>0</v>
      </c>
      <c r="F746" s="398" t="s">
        <v>494</v>
      </c>
    </row>
    <row r="747" spans="1:6" ht="18" hidden="1" customHeight="1">
      <c r="A747" s="512" t="s">
        <v>555</v>
      </c>
      <c r="B747" s="481">
        <f>GTA!EK21</f>
        <v>0</v>
      </c>
      <c r="C747" s="481" t="s">
        <v>22</v>
      </c>
      <c r="D747" s="481">
        <v>16.649999999999999</v>
      </c>
      <c r="E747" s="482">
        <f t="shared" si="22"/>
        <v>0</v>
      </c>
      <c r="F747" s="398" t="s">
        <v>494</v>
      </c>
    </row>
    <row r="748" spans="1:6" ht="18" hidden="1" customHeight="1">
      <c r="A748" s="134" t="s">
        <v>557</v>
      </c>
      <c r="B748" s="135">
        <f>GTA!DZ21</f>
        <v>0</v>
      </c>
      <c r="C748" s="135" t="s">
        <v>22</v>
      </c>
      <c r="D748" s="135">
        <v>16.649999999999999</v>
      </c>
      <c r="E748" s="314">
        <f t="shared" si="22"/>
        <v>0</v>
      </c>
      <c r="F748" s="398" t="s">
        <v>494</v>
      </c>
    </row>
    <row r="749" spans="1:6" ht="18" hidden="1" customHeight="1">
      <c r="A749" s="436"/>
      <c r="B749" s="419"/>
      <c r="C749" s="419"/>
      <c r="D749" s="419"/>
      <c r="E749" s="420"/>
      <c r="F749" s="398"/>
    </row>
    <row r="750" spans="1:6" ht="18" hidden="1" customHeight="1">
      <c r="A750" s="418" t="s">
        <v>562</v>
      </c>
      <c r="B750" s="415">
        <f>SUM(B620:B749)</f>
        <v>7</v>
      </c>
      <c r="C750" s="419"/>
      <c r="D750" s="419"/>
      <c r="E750" s="420"/>
      <c r="F750" s="398"/>
    </row>
    <row r="751" spans="1:6" ht="18" hidden="1" customHeight="1">
      <c r="A751" s="134"/>
      <c r="B751" s="135"/>
      <c r="C751" s="135"/>
      <c r="D751" s="135"/>
      <c r="E751" s="314"/>
      <c r="F751" s="398"/>
    </row>
    <row r="752" spans="1:6" ht="18" hidden="1" customHeight="1">
      <c r="A752" s="418" t="s">
        <v>563</v>
      </c>
      <c r="B752" s="415"/>
      <c r="C752" s="419"/>
      <c r="D752" s="419"/>
      <c r="E752" s="420"/>
      <c r="F752" s="398"/>
    </row>
    <row r="753" spans="1:6" ht="18" hidden="1" customHeight="1">
      <c r="A753" s="396" t="s">
        <v>324</v>
      </c>
      <c r="B753" s="135">
        <f>GTA!C475</f>
        <v>0</v>
      </c>
      <c r="C753" s="135" t="s">
        <v>22</v>
      </c>
      <c r="D753" s="135">
        <v>18</v>
      </c>
      <c r="E753" s="314">
        <f t="shared" ref="E753:E760" si="23">B753*D753</f>
        <v>0</v>
      </c>
      <c r="F753" s="398"/>
    </row>
    <row r="754" spans="1:6" ht="18" hidden="1" customHeight="1">
      <c r="A754" s="134" t="s">
        <v>379</v>
      </c>
      <c r="B754" s="135">
        <f>GTA!D475</f>
        <v>0</v>
      </c>
      <c r="C754" s="135" t="s">
        <v>22</v>
      </c>
      <c r="D754" s="135">
        <v>18</v>
      </c>
      <c r="E754" s="314">
        <f t="shared" si="23"/>
        <v>0</v>
      </c>
      <c r="F754" s="398"/>
    </row>
    <row r="755" spans="1:6" ht="18" hidden="1" customHeight="1">
      <c r="A755" s="404" t="s">
        <v>245</v>
      </c>
      <c r="B755" s="135">
        <f>GTA!E475</f>
        <v>0</v>
      </c>
      <c r="C755" s="135" t="s">
        <v>22</v>
      </c>
      <c r="D755" s="135">
        <v>18</v>
      </c>
      <c r="E755" s="314">
        <f t="shared" si="23"/>
        <v>0</v>
      </c>
      <c r="F755" s="398"/>
    </row>
    <row r="756" spans="1:6" ht="18" hidden="1" customHeight="1">
      <c r="A756" s="284" t="s">
        <v>221</v>
      </c>
      <c r="B756" s="135">
        <f>GTA!F475</f>
        <v>0</v>
      </c>
      <c r="C756" s="135" t="s">
        <v>22</v>
      </c>
      <c r="D756" s="135">
        <v>18</v>
      </c>
      <c r="E756" s="314">
        <f t="shared" si="23"/>
        <v>0</v>
      </c>
      <c r="F756" s="398"/>
    </row>
    <row r="757" spans="1:6" ht="18" hidden="1" customHeight="1">
      <c r="A757" s="284" t="s">
        <v>323</v>
      </c>
      <c r="B757" s="135">
        <f>GTA!G475</f>
        <v>0</v>
      </c>
      <c r="C757" s="135" t="s">
        <v>22</v>
      </c>
      <c r="D757" s="135">
        <v>18</v>
      </c>
      <c r="E757" s="314">
        <f t="shared" si="23"/>
        <v>0</v>
      </c>
      <c r="F757" s="398"/>
    </row>
    <row r="758" spans="1:6" ht="18" hidden="1" customHeight="1">
      <c r="A758" s="284" t="s">
        <v>237</v>
      </c>
      <c r="B758" s="135">
        <f>GTA!J475</f>
        <v>0</v>
      </c>
      <c r="C758" s="135" t="s">
        <v>22</v>
      </c>
      <c r="D758" s="135">
        <v>18</v>
      </c>
      <c r="E758" s="314">
        <f t="shared" si="23"/>
        <v>0</v>
      </c>
      <c r="F758" s="398"/>
    </row>
    <row r="759" spans="1:6" ht="18" hidden="1" customHeight="1">
      <c r="A759" s="134" t="s">
        <v>538</v>
      </c>
      <c r="B759" s="135">
        <f>GTA!H475</f>
        <v>0</v>
      </c>
      <c r="C759" s="135" t="s">
        <v>22</v>
      </c>
      <c r="D759" s="135">
        <v>18</v>
      </c>
      <c r="E759" s="314">
        <f t="shared" si="23"/>
        <v>0</v>
      </c>
      <c r="F759" s="398"/>
    </row>
    <row r="760" spans="1:6" ht="18" hidden="1" customHeight="1">
      <c r="A760" s="134" t="s">
        <v>394</v>
      </c>
      <c r="B760" s="135">
        <f>GTA!I475</f>
        <v>0</v>
      </c>
      <c r="C760" s="135" t="s">
        <v>22</v>
      </c>
      <c r="D760" s="135">
        <v>18</v>
      </c>
      <c r="E760" s="314">
        <f t="shared" si="23"/>
        <v>0</v>
      </c>
      <c r="F760" s="398"/>
    </row>
    <row r="761" spans="1:6" ht="18" hidden="1" customHeight="1">
      <c r="A761" s="436"/>
      <c r="B761" s="419"/>
      <c r="C761" s="419"/>
      <c r="D761" s="419"/>
      <c r="E761" s="420"/>
      <c r="F761" s="398"/>
    </row>
    <row r="762" spans="1:6" ht="18" hidden="1" customHeight="1">
      <c r="A762" s="418" t="s">
        <v>564</v>
      </c>
      <c r="B762" s="415">
        <f>SUM(B752:B761)</f>
        <v>0</v>
      </c>
      <c r="C762" s="419"/>
      <c r="D762" s="419"/>
      <c r="E762" s="420"/>
      <c r="F762" s="398"/>
    </row>
    <row r="763" spans="1:6" ht="18" hidden="1" customHeight="1">
      <c r="A763" s="134"/>
      <c r="B763" s="135"/>
      <c r="C763" s="135"/>
      <c r="D763" s="135"/>
      <c r="E763" s="314"/>
      <c r="F763" s="398"/>
    </row>
    <row r="764" spans="1:6" ht="18" hidden="1" customHeight="1">
      <c r="A764" s="418" t="s">
        <v>565</v>
      </c>
      <c r="B764" s="415"/>
      <c r="C764" s="419"/>
      <c r="D764" s="419"/>
      <c r="E764" s="420"/>
      <c r="F764" s="398"/>
    </row>
    <row r="765" spans="1:6" ht="18" customHeight="1">
      <c r="A765" s="134" t="s">
        <v>385</v>
      </c>
      <c r="B765" s="135">
        <f>GTA!BL21</f>
        <v>0</v>
      </c>
      <c r="C765" s="135" t="s">
        <v>22</v>
      </c>
      <c r="D765" s="135">
        <v>16.649999999999999</v>
      </c>
      <c r="E765" s="314">
        <f t="shared" ref="E765:E775" si="24">B765*D765</f>
        <v>0</v>
      </c>
      <c r="F765" s="398" t="s">
        <v>494</v>
      </c>
    </row>
    <row r="766" spans="1:6" ht="18" customHeight="1">
      <c r="A766" s="134" t="s">
        <v>439</v>
      </c>
      <c r="B766" s="135">
        <f>GTA!BZ21</f>
        <v>0</v>
      </c>
      <c r="C766" s="135" t="s">
        <v>22</v>
      </c>
      <c r="D766" s="135">
        <v>16.649999999999999</v>
      </c>
      <c r="E766" s="314">
        <f t="shared" si="24"/>
        <v>0</v>
      </c>
      <c r="F766" s="398" t="s">
        <v>494</v>
      </c>
    </row>
    <row r="767" spans="1:6" ht="18" customHeight="1">
      <c r="A767" s="134" t="s">
        <v>478</v>
      </c>
      <c r="B767" s="135">
        <f>GTA!CU21</f>
        <v>0</v>
      </c>
      <c r="C767" s="135" t="s">
        <v>22</v>
      </c>
      <c r="D767" s="135">
        <v>16.649999999999999</v>
      </c>
      <c r="E767" s="314">
        <f t="shared" si="24"/>
        <v>0</v>
      </c>
      <c r="F767" s="398" t="s">
        <v>494</v>
      </c>
    </row>
    <row r="768" spans="1:6" ht="18" customHeight="1">
      <c r="A768" s="136" t="s">
        <v>748</v>
      </c>
      <c r="B768" s="135">
        <f>GTA!CN21</f>
        <v>0</v>
      </c>
      <c r="C768" s="135" t="s">
        <v>22</v>
      </c>
      <c r="D768" s="135">
        <v>16.649999999999999</v>
      </c>
      <c r="E768" s="314">
        <f t="shared" si="24"/>
        <v>0</v>
      </c>
      <c r="F768" s="398" t="s">
        <v>494</v>
      </c>
    </row>
    <row r="769" spans="1:6" ht="18" customHeight="1">
      <c r="A769" s="134" t="s">
        <v>210</v>
      </c>
      <c r="B769" s="135">
        <f>GTA!CT21</f>
        <v>0</v>
      </c>
      <c r="C769" s="135" t="s">
        <v>22</v>
      </c>
      <c r="D769" s="135">
        <v>16.649999999999999</v>
      </c>
      <c r="E769" s="314">
        <f t="shared" si="24"/>
        <v>0</v>
      </c>
      <c r="F769" s="398" t="s">
        <v>494</v>
      </c>
    </row>
    <row r="770" spans="1:6" ht="18" customHeight="1">
      <c r="A770" s="134" t="s">
        <v>749</v>
      </c>
      <c r="B770" s="135">
        <f>GTA!BG21</f>
        <v>0</v>
      </c>
      <c r="C770" s="135" t="s">
        <v>22</v>
      </c>
      <c r="D770" s="135">
        <v>16.649999999999999</v>
      </c>
      <c r="E770" s="314">
        <f t="shared" si="24"/>
        <v>0</v>
      </c>
      <c r="F770" s="398" t="s">
        <v>494</v>
      </c>
    </row>
    <row r="771" spans="1:6" ht="18" customHeight="1">
      <c r="A771" s="512" t="s">
        <v>792</v>
      </c>
      <c r="B771" s="481">
        <f>GTA!CW21</f>
        <v>0</v>
      </c>
      <c r="C771" s="481" t="s">
        <v>22</v>
      </c>
      <c r="D771" s="481">
        <v>16.649999999999999</v>
      </c>
      <c r="E771" s="482">
        <f t="shared" si="24"/>
        <v>0</v>
      </c>
      <c r="F771" s="398" t="s">
        <v>494</v>
      </c>
    </row>
    <row r="772" spans="1:6" ht="18" customHeight="1">
      <c r="A772" s="563" t="s">
        <v>543</v>
      </c>
      <c r="B772" s="481">
        <f>GTA!CZ21</f>
        <v>0</v>
      </c>
      <c r="C772" s="481" t="s">
        <v>22</v>
      </c>
      <c r="D772" s="481">
        <v>16.649999999999999</v>
      </c>
      <c r="E772" s="482">
        <f t="shared" si="24"/>
        <v>0</v>
      </c>
      <c r="F772" s="398" t="s">
        <v>494</v>
      </c>
    </row>
    <row r="773" spans="1:6" ht="18" customHeight="1">
      <c r="A773" s="396" t="s">
        <v>323</v>
      </c>
      <c r="B773" s="135">
        <f>'OUTSIDE GTA'!C179</f>
        <v>34</v>
      </c>
      <c r="C773" s="135" t="s">
        <v>22</v>
      </c>
      <c r="D773" s="135">
        <v>18</v>
      </c>
      <c r="E773" s="314">
        <f t="shared" si="24"/>
        <v>612</v>
      </c>
      <c r="F773" s="398" t="s">
        <v>587</v>
      </c>
    </row>
    <row r="774" spans="1:6" ht="18" customHeight="1">
      <c r="A774" s="399" t="s">
        <v>354</v>
      </c>
      <c r="B774" s="135">
        <f>GTA!C237</f>
        <v>0</v>
      </c>
      <c r="C774" s="135" t="s">
        <v>22</v>
      </c>
      <c r="D774" s="135">
        <v>20</v>
      </c>
      <c r="E774" s="314">
        <f t="shared" si="24"/>
        <v>0</v>
      </c>
      <c r="F774" s="398" t="s">
        <v>353</v>
      </c>
    </row>
    <row r="775" spans="1:6" ht="18" customHeight="1">
      <c r="A775" s="134" t="s">
        <v>454</v>
      </c>
      <c r="B775" s="135">
        <f>GTA!D165</f>
        <v>0</v>
      </c>
      <c r="C775" s="135" t="s">
        <v>22</v>
      </c>
      <c r="D775" s="135">
        <v>16.649999999999999</v>
      </c>
      <c r="E775" s="314">
        <f t="shared" si="24"/>
        <v>0</v>
      </c>
      <c r="F775" s="398" t="s">
        <v>453</v>
      </c>
    </row>
    <row r="776" spans="1:6" ht="18" customHeight="1">
      <c r="A776" s="336" t="s">
        <v>646</v>
      </c>
      <c r="B776" s="337">
        <f>GTA!C309</f>
        <v>80</v>
      </c>
      <c r="C776" s="295" t="s">
        <v>22</v>
      </c>
      <c r="D776" s="295">
        <v>16</v>
      </c>
      <c r="E776" s="319">
        <f>D776*B776</f>
        <v>1280</v>
      </c>
      <c r="F776" s="398" t="s">
        <v>11</v>
      </c>
    </row>
    <row r="777" spans="1:6" ht="18" customHeight="1">
      <c r="A777" s="134" t="s">
        <v>646</v>
      </c>
      <c r="B777" s="527">
        <v>12.75</v>
      </c>
      <c r="C777" s="135" t="s">
        <v>22</v>
      </c>
      <c r="D777" s="135">
        <v>17.600000000000001</v>
      </c>
      <c r="E777" s="314">
        <f>B777*D777</f>
        <v>224.4</v>
      </c>
      <c r="F777" s="398" t="s">
        <v>647</v>
      </c>
    </row>
    <row r="778" spans="1:6" ht="18" hidden="1" customHeight="1">
      <c r="A778" s="436"/>
      <c r="B778" s="419"/>
      <c r="C778" s="419"/>
      <c r="D778" s="419"/>
      <c r="E778" s="420"/>
      <c r="F778" s="398"/>
    </row>
    <row r="779" spans="1:6" ht="18" hidden="1" customHeight="1">
      <c r="A779" s="418" t="s">
        <v>565</v>
      </c>
      <c r="B779" s="415">
        <f>SUM(B764:B778)</f>
        <v>126.75</v>
      </c>
      <c r="C779" s="419"/>
      <c r="D779" s="419"/>
      <c r="E779" s="420"/>
      <c r="F779" s="398"/>
    </row>
    <row r="780" spans="1:6" ht="18" hidden="1" customHeight="1">
      <c r="A780" s="134"/>
      <c r="B780" s="135"/>
      <c r="C780" s="135"/>
      <c r="D780" s="135"/>
      <c r="E780" s="314"/>
      <c r="F780" s="398"/>
    </row>
    <row r="781" spans="1:6" ht="18" hidden="1" customHeight="1">
      <c r="A781" s="418" t="s">
        <v>580</v>
      </c>
      <c r="B781" s="419"/>
      <c r="C781" s="419"/>
      <c r="D781" s="419"/>
      <c r="E781" s="420"/>
      <c r="F781" s="398"/>
    </row>
    <row r="782" spans="1:6" ht="18" hidden="1" customHeight="1">
      <c r="A782" s="396" t="s">
        <v>484</v>
      </c>
      <c r="B782" s="135">
        <f>GTA!C75</f>
        <v>0</v>
      </c>
      <c r="C782" s="135" t="s">
        <v>22</v>
      </c>
      <c r="D782" s="135">
        <v>18</v>
      </c>
      <c r="E782" s="314">
        <f t="shared" ref="E782:E788" si="25">B782*D782</f>
        <v>0</v>
      </c>
      <c r="F782" s="398"/>
    </row>
    <row r="783" spans="1:6" ht="18" hidden="1" customHeight="1">
      <c r="A783" s="396" t="s">
        <v>581</v>
      </c>
      <c r="B783" s="135">
        <f>GTA!D75</f>
        <v>0</v>
      </c>
      <c r="C783" s="135" t="s">
        <v>22</v>
      </c>
      <c r="D783" s="135">
        <v>18</v>
      </c>
      <c r="E783" s="314">
        <f t="shared" si="25"/>
        <v>0</v>
      </c>
      <c r="F783" s="398"/>
    </row>
    <row r="784" spans="1:6" ht="18" hidden="1" customHeight="1">
      <c r="A784" s="396" t="s">
        <v>582</v>
      </c>
      <c r="B784" s="135">
        <f>GTA!J75</f>
        <v>0</v>
      </c>
      <c r="C784" s="135" t="s">
        <v>22</v>
      </c>
      <c r="D784" s="135">
        <v>18</v>
      </c>
      <c r="E784" s="314">
        <f t="shared" si="25"/>
        <v>0</v>
      </c>
      <c r="F784" s="398"/>
    </row>
    <row r="785" spans="1:6" ht="18" hidden="1" customHeight="1">
      <c r="A785" s="396" t="s">
        <v>583</v>
      </c>
      <c r="B785" s="135">
        <f>GTA!E75</f>
        <v>0</v>
      </c>
      <c r="C785" s="135" t="s">
        <v>22</v>
      </c>
      <c r="D785" s="135">
        <v>20</v>
      </c>
      <c r="E785" s="314">
        <f t="shared" si="25"/>
        <v>0</v>
      </c>
      <c r="F785" s="398"/>
    </row>
    <row r="786" spans="1:6" ht="18" hidden="1" customHeight="1">
      <c r="A786" s="396" t="s">
        <v>584</v>
      </c>
      <c r="B786" s="405">
        <f>GTA!F75</f>
        <v>0</v>
      </c>
      <c r="C786" s="135" t="s">
        <v>22</v>
      </c>
      <c r="D786" s="135">
        <v>18</v>
      </c>
      <c r="E786" s="314">
        <f t="shared" si="25"/>
        <v>0</v>
      </c>
      <c r="F786" s="398"/>
    </row>
    <row r="787" spans="1:6" ht="18" hidden="1" customHeight="1">
      <c r="A787" s="396" t="s">
        <v>585</v>
      </c>
      <c r="B787" s="135">
        <f>GTA!G75</f>
        <v>0</v>
      </c>
      <c r="C787" s="135" t="s">
        <v>22</v>
      </c>
      <c r="D787" s="135">
        <v>18</v>
      </c>
      <c r="E787" s="314">
        <f t="shared" si="25"/>
        <v>0</v>
      </c>
      <c r="F787" s="398"/>
    </row>
    <row r="788" spans="1:6" ht="18" hidden="1" customHeight="1">
      <c r="A788" s="396" t="s">
        <v>239</v>
      </c>
      <c r="B788" s="135">
        <f>GTA!H75</f>
        <v>0</v>
      </c>
      <c r="C788" s="135" t="s">
        <v>22</v>
      </c>
      <c r="D788" s="135">
        <v>18</v>
      </c>
      <c r="E788" s="314">
        <f t="shared" si="25"/>
        <v>0</v>
      </c>
      <c r="F788" s="398"/>
    </row>
    <row r="789" spans="1:6" ht="18" hidden="1" customHeight="1">
      <c r="A789" s="437"/>
      <c r="B789" s="419"/>
      <c r="C789" s="419"/>
      <c r="D789" s="419"/>
      <c r="E789" s="420"/>
      <c r="F789" s="398"/>
    </row>
    <row r="790" spans="1:6" ht="18" hidden="1" customHeight="1">
      <c r="A790" s="418" t="s">
        <v>586</v>
      </c>
      <c r="B790" s="415">
        <f>SUM(B781:B789)</f>
        <v>0</v>
      </c>
      <c r="C790" s="419"/>
      <c r="D790" s="419"/>
      <c r="E790" s="420"/>
      <c r="F790" s="398"/>
    </row>
    <row r="791" spans="1:6" ht="18" hidden="1" customHeight="1">
      <c r="A791" s="396"/>
      <c r="B791" s="135"/>
      <c r="C791" s="135"/>
      <c r="D791" s="135"/>
      <c r="E791" s="314"/>
      <c r="F791" s="398"/>
    </row>
    <row r="792" spans="1:6" ht="18" hidden="1" customHeight="1">
      <c r="A792" s="418" t="s">
        <v>587</v>
      </c>
      <c r="B792" s="419"/>
      <c r="C792" s="419"/>
      <c r="D792" s="419"/>
      <c r="E792" s="420"/>
      <c r="F792" s="398"/>
    </row>
    <row r="793" spans="1:6" ht="18" hidden="1" customHeight="1">
      <c r="A793" s="396" t="s">
        <v>588</v>
      </c>
      <c r="B793" s="135">
        <f>'OUTSIDE GTA'!N179</f>
        <v>0</v>
      </c>
      <c r="C793" s="135" t="s">
        <v>22</v>
      </c>
      <c r="D793" s="135">
        <v>18</v>
      </c>
      <c r="E793" s="314">
        <f>B793*D793</f>
        <v>0</v>
      </c>
      <c r="F793" s="398" t="s">
        <v>587</v>
      </c>
    </row>
    <row r="794" spans="1:6" ht="18" customHeight="1">
      <c r="A794" s="284" t="s">
        <v>439</v>
      </c>
      <c r="B794" s="135">
        <f>'OUTSIDE GTA'!C215</f>
        <v>0</v>
      </c>
      <c r="C794" s="135" t="s">
        <v>22</v>
      </c>
      <c r="D794" s="135">
        <v>18</v>
      </c>
      <c r="E794" s="314">
        <f>B794*D794</f>
        <v>0</v>
      </c>
      <c r="F794" s="398" t="s">
        <v>438</v>
      </c>
    </row>
    <row r="795" spans="1:6" ht="18" hidden="1" customHeight="1">
      <c r="A795" s="437"/>
      <c r="B795" s="419"/>
      <c r="C795" s="419"/>
      <c r="D795" s="419"/>
      <c r="E795" s="420"/>
      <c r="F795" s="398"/>
    </row>
    <row r="796" spans="1:6" ht="18" hidden="1" customHeight="1">
      <c r="A796" s="418" t="s">
        <v>589</v>
      </c>
      <c r="B796" s="415">
        <f>SUM(B792:B795)</f>
        <v>0</v>
      </c>
      <c r="C796" s="419"/>
      <c r="D796" s="419"/>
      <c r="E796" s="420"/>
      <c r="F796" s="398"/>
    </row>
    <row r="797" spans="1:6" ht="18" hidden="1" customHeight="1">
      <c r="A797" s="396"/>
      <c r="B797" s="135"/>
      <c r="C797" s="135"/>
      <c r="D797" s="135"/>
      <c r="E797" s="314"/>
      <c r="F797" s="398"/>
    </row>
    <row r="798" spans="1:6" ht="18" hidden="1" customHeight="1">
      <c r="A798" s="418" t="s">
        <v>590</v>
      </c>
      <c r="B798" s="419"/>
      <c r="C798" s="419"/>
      <c r="D798" s="419"/>
      <c r="E798" s="420"/>
      <c r="F798" s="398"/>
    </row>
    <row r="799" spans="1:6" ht="18" hidden="1" customHeight="1">
      <c r="A799" s="320" t="s">
        <v>591</v>
      </c>
      <c r="B799" s="135">
        <f>'OUTSIDE GTA'!C325</f>
        <v>0</v>
      </c>
      <c r="C799" s="135" t="s">
        <v>22</v>
      </c>
      <c r="D799" s="135">
        <v>20</v>
      </c>
      <c r="E799" s="314">
        <f>B799*D799</f>
        <v>0</v>
      </c>
      <c r="F799" s="398"/>
    </row>
    <row r="800" spans="1:6" ht="18" hidden="1" customHeight="1">
      <c r="A800" s="396"/>
      <c r="B800" s="135"/>
      <c r="C800" s="135"/>
      <c r="D800" s="135"/>
      <c r="E800" s="314"/>
      <c r="F800" s="398"/>
    </row>
    <row r="801" spans="1:6" ht="18" hidden="1" customHeight="1">
      <c r="A801" s="437"/>
      <c r="B801" s="419"/>
      <c r="C801" s="419"/>
      <c r="D801" s="419"/>
      <c r="E801" s="420"/>
      <c r="F801" s="398"/>
    </row>
    <row r="802" spans="1:6" ht="18" hidden="1" customHeight="1">
      <c r="A802" s="418" t="s">
        <v>590</v>
      </c>
      <c r="B802" s="415">
        <f>SUM(B798:B801)</f>
        <v>0</v>
      </c>
      <c r="C802" s="419"/>
      <c r="D802" s="419"/>
      <c r="E802" s="420"/>
      <c r="F802" s="398"/>
    </row>
    <row r="803" spans="1:6" ht="18" hidden="1" customHeight="1">
      <c r="A803" s="396"/>
      <c r="B803" s="135"/>
      <c r="C803" s="135"/>
      <c r="D803" s="135"/>
      <c r="E803" s="314"/>
      <c r="F803" s="398"/>
    </row>
    <row r="804" spans="1:6" ht="18" hidden="1" customHeight="1">
      <c r="A804" s="418" t="s">
        <v>592</v>
      </c>
      <c r="B804" s="419"/>
      <c r="C804" s="419"/>
      <c r="D804" s="419"/>
      <c r="E804" s="420"/>
      <c r="F804" s="398"/>
    </row>
    <row r="805" spans="1:6" ht="18" hidden="1" customHeight="1">
      <c r="A805" s="396" t="s">
        <v>593</v>
      </c>
      <c r="B805" s="135">
        <f>'OUTSIDE GTA'!C343</f>
        <v>0</v>
      </c>
      <c r="C805" s="135" t="s">
        <v>22</v>
      </c>
      <c r="D805" s="135">
        <v>16.649999999999999</v>
      </c>
      <c r="E805" s="314">
        <f>B805*D805</f>
        <v>0</v>
      </c>
      <c r="F805" s="398"/>
    </row>
    <row r="806" spans="1:6" ht="18" hidden="1" customHeight="1">
      <c r="A806" s="396"/>
      <c r="B806" s="135">
        <f>'OUTSIDE GTA'!C331</f>
        <v>0</v>
      </c>
      <c r="C806" s="135" t="s">
        <v>22</v>
      </c>
      <c r="D806" s="135">
        <v>18</v>
      </c>
      <c r="E806" s="314">
        <f>B806*D806</f>
        <v>0</v>
      </c>
      <c r="F806" s="398"/>
    </row>
    <row r="807" spans="1:6" ht="18" hidden="1" customHeight="1">
      <c r="A807" s="437"/>
      <c r="B807" s="419"/>
      <c r="C807" s="419"/>
      <c r="D807" s="419"/>
      <c r="E807" s="420"/>
      <c r="F807" s="398"/>
    </row>
    <row r="808" spans="1:6" ht="18" hidden="1" customHeight="1">
      <c r="A808" s="418" t="s">
        <v>592</v>
      </c>
      <c r="B808" s="415">
        <f>SUM(B804:B807)</f>
        <v>0</v>
      </c>
      <c r="C808" s="419"/>
      <c r="D808" s="419"/>
      <c r="E808" s="420"/>
      <c r="F808" s="398"/>
    </row>
    <row r="809" spans="1:6" ht="18" hidden="1" customHeight="1">
      <c r="A809" s="396"/>
      <c r="B809" s="135"/>
      <c r="C809" s="135"/>
      <c r="D809" s="135"/>
      <c r="E809" s="314"/>
      <c r="F809" s="398"/>
    </row>
    <row r="810" spans="1:6" ht="18" hidden="1" customHeight="1">
      <c r="A810" s="418" t="s">
        <v>594</v>
      </c>
      <c r="B810" s="419"/>
      <c r="C810" s="419"/>
      <c r="D810" s="419"/>
      <c r="E810" s="420"/>
      <c r="F810" s="398"/>
    </row>
    <row r="811" spans="1:6" ht="18" hidden="1" customHeight="1">
      <c r="A811" s="517" t="s">
        <v>595</v>
      </c>
      <c r="B811" s="135">
        <f>'OUTSIDE GTA'!C161</f>
        <v>0</v>
      </c>
      <c r="C811" s="135" t="s">
        <v>22</v>
      </c>
      <c r="D811" s="135">
        <v>16.649999999999999</v>
      </c>
      <c r="E811" s="314">
        <f t="shared" ref="E811:E823" si="26">B811*D811</f>
        <v>0</v>
      </c>
      <c r="F811" s="398"/>
    </row>
    <row r="812" spans="1:6" ht="18" hidden="1" customHeight="1">
      <c r="A812" s="517" t="s">
        <v>596</v>
      </c>
      <c r="B812" s="135">
        <f>'OUTSIDE GTA'!N161</f>
        <v>0</v>
      </c>
      <c r="C812" s="135" t="s">
        <v>22</v>
      </c>
      <c r="D812" s="135">
        <v>16.649999999999999</v>
      </c>
      <c r="E812" s="314">
        <f t="shared" si="26"/>
        <v>0</v>
      </c>
      <c r="F812" s="398"/>
    </row>
    <row r="813" spans="1:6" ht="18" hidden="1" customHeight="1">
      <c r="A813" s="517" t="s">
        <v>598</v>
      </c>
      <c r="B813" s="135">
        <f>'OUTSIDE GTA'!D161</f>
        <v>0</v>
      </c>
      <c r="C813" s="135" t="s">
        <v>22</v>
      </c>
      <c r="D813" s="135">
        <v>16.649999999999999</v>
      </c>
      <c r="E813" s="314">
        <f t="shared" si="26"/>
        <v>0</v>
      </c>
      <c r="F813" s="398"/>
    </row>
    <row r="814" spans="1:6" ht="18" hidden="1" customHeight="1">
      <c r="A814" s="517" t="s">
        <v>599</v>
      </c>
      <c r="B814" s="135">
        <f>'OUTSIDE GTA'!E161</f>
        <v>0</v>
      </c>
      <c r="C814" s="135" t="s">
        <v>22</v>
      </c>
      <c r="D814" s="135">
        <v>16.649999999999999</v>
      </c>
      <c r="E814" s="314">
        <f t="shared" si="26"/>
        <v>0</v>
      </c>
      <c r="F814" s="398"/>
    </row>
    <row r="815" spans="1:6" ht="18" hidden="1" customHeight="1">
      <c r="A815" s="517" t="s">
        <v>600</v>
      </c>
      <c r="B815" s="135">
        <f>'OUTSIDE GTA'!F161</f>
        <v>0</v>
      </c>
      <c r="C815" s="135" t="s">
        <v>22</v>
      </c>
      <c r="D815" s="135">
        <v>16.649999999999999</v>
      </c>
      <c r="E815" s="314">
        <f t="shared" si="26"/>
        <v>0</v>
      </c>
      <c r="F815" s="398"/>
    </row>
    <row r="816" spans="1:6" ht="18" hidden="1" customHeight="1">
      <c r="A816" s="517" t="s">
        <v>601</v>
      </c>
      <c r="B816" s="135">
        <f>'OUTSIDE GTA'!G161</f>
        <v>0</v>
      </c>
      <c r="C816" s="135" t="s">
        <v>22</v>
      </c>
      <c r="D816" s="135">
        <v>16.649999999999999</v>
      </c>
      <c r="E816" s="314">
        <f t="shared" si="26"/>
        <v>0</v>
      </c>
      <c r="F816" s="398"/>
    </row>
    <row r="817" spans="1:6" ht="18" hidden="1" customHeight="1">
      <c r="A817" s="517" t="s">
        <v>602</v>
      </c>
      <c r="B817" s="135">
        <f>'OUTSIDE GTA'!H161</f>
        <v>0</v>
      </c>
      <c r="C817" s="135" t="s">
        <v>22</v>
      </c>
      <c r="D817" s="135">
        <v>16.649999999999999</v>
      </c>
      <c r="E817" s="314">
        <f t="shared" si="26"/>
        <v>0</v>
      </c>
      <c r="F817" s="398"/>
    </row>
    <row r="818" spans="1:6" ht="18" hidden="1" customHeight="1">
      <c r="A818" s="517" t="s">
        <v>603</v>
      </c>
      <c r="B818" s="135">
        <f>'OUTSIDE GTA'!I161</f>
        <v>0</v>
      </c>
      <c r="C818" s="135" t="s">
        <v>22</v>
      </c>
      <c r="D818" s="135">
        <v>16.649999999999999</v>
      </c>
      <c r="E818" s="314">
        <f t="shared" si="26"/>
        <v>0</v>
      </c>
      <c r="F818" s="398"/>
    </row>
    <row r="819" spans="1:6" ht="18" hidden="1" customHeight="1">
      <c r="A819" s="517" t="s">
        <v>604</v>
      </c>
      <c r="B819" s="135">
        <f>'OUTSIDE GTA'!J161</f>
        <v>0</v>
      </c>
      <c r="C819" s="135" t="s">
        <v>22</v>
      </c>
      <c r="D819" s="135">
        <v>16.649999999999999</v>
      </c>
      <c r="E819" s="314">
        <f t="shared" si="26"/>
        <v>0</v>
      </c>
      <c r="F819" s="398"/>
    </row>
    <row r="820" spans="1:6" ht="18" hidden="1" customHeight="1">
      <c r="A820" s="517" t="s">
        <v>605</v>
      </c>
      <c r="B820" s="135">
        <f>'OUTSIDE GTA'!K161</f>
        <v>0</v>
      </c>
      <c r="C820" s="135" t="s">
        <v>22</v>
      </c>
      <c r="D820" s="135">
        <v>16.649999999999999</v>
      </c>
      <c r="E820" s="314">
        <f t="shared" si="26"/>
        <v>0</v>
      </c>
      <c r="F820" s="398"/>
    </row>
    <row r="821" spans="1:6" ht="18" hidden="1" customHeight="1">
      <c r="A821" s="517" t="s">
        <v>606</v>
      </c>
      <c r="B821" s="135">
        <f>'OUTSIDE GTA'!L161</f>
        <v>0</v>
      </c>
      <c r="C821" s="135" t="s">
        <v>22</v>
      </c>
      <c r="D821" s="135">
        <v>16.649999999999999</v>
      </c>
      <c r="E821" s="314">
        <f t="shared" si="26"/>
        <v>0</v>
      </c>
      <c r="F821" s="398"/>
    </row>
    <row r="822" spans="1:6" ht="18" hidden="1" customHeight="1">
      <c r="A822" s="517" t="s">
        <v>607</v>
      </c>
      <c r="B822" s="135">
        <f>'OUTSIDE GTA'!M161</f>
        <v>0</v>
      </c>
      <c r="C822" s="135" t="s">
        <v>22</v>
      </c>
      <c r="D822" s="135">
        <v>16.649999999999999</v>
      </c>
      <c r="E822" s="314">
        <f t="shared" si="26"/>
        <v>0</v>
      </c>
      <c r="F822" s="398"/>
    </row>
    <row r="823" spans="1:6" ht="18" hidden="1" customHeight="1">
      <c r="A823" s="517" t="s">
        <v>608</v>
      </c>
      <c r="B823" s="135">
        <f>'OUTSIDE GTA'!O161</f>
        <v>0</v>
      </c>
      <c r="C823" s="135" t="s">
        <v>22</v>
      </c>
      <c r="D823" s="135">
        <v>16.649999999999999</v>
      </c>
      <c r="E823" s="314">
        <f t="shared" si="26"/>
        <v>0</v>
      </c>
      <c r="F823" s="398"/>
    </row>
    <row r="824" spans="1:6" ht="18" hidden="1" customHeight="1">
      <c r="A824" s="437"/>
      <c r="B824" s="419"/>
      <c r="C824" s="419"/>
      <c r="D824" s="419"/>
      <c r="E824" s="420"/>
      <c r="F824" s="398"/>
    </row>
    <row r="825" spans="1:6" ht="18" hidden="1" customHeight="1">
      <c r="A825" s="418" t="s">
        <v>609</v>
      </c>
      <c r="B825" s="415">
        <f>SUM(B810:B824)</f>
        <v>0</v>
      </c>
      <c r="C825" s="419"/>
      <c r="D825" s="419"/>
      <c r="E825" s="420"/>
      <c r="F825" s="398"/>
    </row>
    <row r="826" spans="1:6" ht="18" hidden="1" customHeight="1">
      <c r="A826" s="396"/>
      <c r="B826" s="135"/>
      <c r="C826" s="135"/>
      <c r="D826" s="135"/>
      <c r="E826" s="314"/>
      <c r="F826" s="398"/>
    </row>
    <row r="827" spans="1:6" ht="18" hidden="1" customHeight="1">
      <c r="A827" s="418" t="s">
        <v>610</v>
      </c>
      <c r="B827" s="419"/>
      <c r="C827" s="419"/>
      <c r="D827" s="419"/>
      <c r="E827" s="420"/>
      <c r="F827" s="398"/>
    </row>
    <row r="828" spans="1:6" ht="18" hidden="1" customHeight="1">
      <c r="A828" s="134" t="s">
        <v>611</v>
      </c>
      <c r="B828" s="135">
        <f>'OUTSIDE GTA'!C89</f>
        <v>0</v>
      </c>
      <c r="C828" s="135" t="s">
        <v>22</v>
      </c>
      <c r="D828" s="135">
        <v>16.649999999999999</v>
      </c>
      <c r="E828" s="314">
        <f t="shared" ref="E828:E847" si="27">B828*D828</f>
        <v>0</v>
      </c>
      <c r="F828" s="398"/>
    </row>
    <row r="829" spans="1:6" ht="18" hidden="1" customHeight="1">
      <c r="A829" s="134" t="s">
        <v>612</v>
      </c>
      <c r="B829" s="135">
        <f>'OUTSIDE GTA'!D89</f>
        <v>0</v>
      </c>
      <c r="C829" s="135" t="s">
        <v>22</v>
      </c>
      <c r="D829" s="135">
        <v>16.649999999999999</v>
      </c>
      <c r="E829" s="314">
        <f t="shared" si="27"/>
        <v>0</v>
      </c>
      <c r="F829" s="398"/>
    </row>
    <row r="830" spans="1:6" ht="18" hidden="1" customHeight="1">
      <c r="A830" s="134" t="s">
        <v>613</v>
      </c>
      <c r="B830" s="135">
        <f>'OUTSIDE GTA'!E89</f>
        <v>0</v>
      </c>
      <c r="C830" s="135" t="s">
        <v>22</v>
      </c>
      <c r="D830" s="135">
        <v>16.649999999999999</v>
      </c>
      <c r="E830" s="314">
        <f t="shared" si="27"/>
        <v>0</v>
      </c>
      <c r="F830" s="398"/>
    </row>
    <row r="831" spans="1:6" ht="18" hidden="1" customHeight="1">
      <c r="A831" s="134" t="s">
        <v>614</v>
      </c>
      <c r="B831" s="135">
        <f>'OUTSIDE GTA'!F89</f>
        <v>0</v>
      </c>
      <c r="C831" s="135" t="s">
        <v>22</v>
      </c>
      <c r="D831" s="135">
        <v>16.649999999999999</v>
      </c>
      <c r="E831" s="314">
        <f t="shared" si="27"/>
        <v>0</v>
      </c>
      <c r="F831" s="398"/>
    </row>
    <row r="832" spans="1:6" ht="18" hidden="1" customHeight="1">
      <c r="A832" s="134" t="s">
        <v>615</v>
      </c>
      <c r="B832" s="135">
        <f>'OUTSIDE GTA'!G89</f>
        <v>0</v>
      </c>
      <c r="C832" s="135" t="s">
        <v>22</v>
      </c>
      <c r="D832" s="135">
        <v>16.649999999999999</v>
      </c>
      <c r="E832" s="314">
        <f t="shared" si="27"/>
        <v>0</v>
      </c>
      <c r="F832" s="398"/>
    </row>
    <row r="833" spans="1:6" ht="18" hidden="1" customHeight="1">
      <c r="A833" s="134" t="s">
        <v>616</v>
      </c>
      <c r="B833" s="135">
        <f>'OUTSIDE GTA'!H89</f>
        <v>0</v>
      </c>
      <c r="C833" s="135" t="s">
        <v>22</v>
      </c>
      <c r="D833" s="135">
        <v>16.649999999999999</v>
      </c>
      <c r="E833" s="314">
        <f t="shared" si="27"/>
        <v>0</v>
      </c>
      <c r="F833" s="398"/>
    </row>
    <row r="834" spans="1:6" ht="18" hidden="1" customHeight="1">
      <c r="A834" s="134" t="s">
        <v>617</v>
      </c>
      <c r="B834" s="135">
        <f>'OUTSIDE GTA'!I89</f>
        <v>0</v>
      </c>
      <c r="C834" s="135" t="s">
        <v>22</v>
      </c>
      <c r="D834" s="135">
        <v>16.649999999999999</v>
      </c>
      <c r="E834" s="314">
        <f t="shared" si="27"/>
        <v>0</v>
      </c>
      <c r="F834" s="398"/>
    </row>
    <row r="835" spans="1:6" ht="18" hidden="1" customHeight="1">
      <c r="A835" s="134" t="s">
        <v>618</v>
      </c>
      <c r="B835" s="135">
        <f>'OUTSIDE GTA'!J89</f>
        <v>0</v>
      </c>
      <c r="C835" s="135" t="s">
        <v>22</v>
      </c>
      <c r="D835" s="135">
        <v>16.649999999999999</v>
      </c>
      <c r="E835" s="314">
        <f t="shared" si="27"/>
        <v>0</v>
      </c>
      <c r="F835" s="398"/>
    </row>
    <row r="836" spans="1:6" ht="18" hidden="1" customHeight="1">
      <c r="A836" s="134" t="s">
        <v>619</v>
      </c>
      <c r="B836" s="135">
        <f>'OUTSIDE GTA'!K89</f>
        <v>0</v>
      </c>
      <c r="C836" s="135" t="s">
        <v>22</v>
      </c>
      <c r="D836" s="135">
        <v>16.649999999999999</v>
      </c>
      <c r="E836" s="314">
        <f t="shared" si="27"/>
        <v>0</v>
      </c>
      <c r="F836" s="398"/>
    </row>
    <row r="837" spans="1:6" ht="18" hidden="1" customHeight="1">
      <c r="A837" s="134" t="s">
        <v>620</v>
      </c>
      <c r="B837" s="135">
        <f>'OUTSIDE GTA'!L89</f>
        <v>0</v>
      </c>
      <c r="C837" s="135" t="s">
        <v>22</v>
      </c>
      <c r="D837" s="135">
        <v>16.649999999999999</v>
      </c>
      <c r="E837" s="314">
        <f t="shared" si="27"/>
        <v>0</v>
      </c>
      <c r="F837" s="398"/>
    </row>
    <row r="838" spans="1:6" ht="18" hidden="1" customHeight="1">
      <c r="A838" s="134" t="s">
        <v>621</v>
      </c>
      <c r="B838" s="135">
        <f>'OUTSIDE GTA'!M89</f>
        <v>0</v>
      </c>
      <c r="C838" s="135" t="s">
        <v>22</v>
      </c>
      <c r="D838" s="135">
        <v>16.649999999999999</v>
      </c>
      <c r="E838" s="314">
        <f t="shared" si="27"/>
        <v>0</v>
      </c>
      <c r="F838" s="398"/>
    </row>
    <row r="839" spans="1:6" ht="18" hidden="1" customHeight="1">
      <c r="A839" s="134" t="s">
        <v>622</v>
      </c>
      <c r="B839" s="135">
        <f>'OUTSIDE GTA'!N89</f>
        <v>0</v>
      </c>
      <c r="C839" s="135" t="s">
        <v>22</v>
      </c>
      <c r="D839" s="135">
        <v>16.649999999999999</v>
      </c>
      <c r="E839" s="314">
        <f t="shared" si="27"/>
        <v>0</v>
      </c>
      <c r="F839" s="398"/>
    </row>
    <row r="840" spans="1:6" ht="18" hidden="1" customHeight="1">
      <c r="A840" s="134" t="s">
        <v>623</v>
      </c>
      <c r="B840" s="135">
        <f>'OUTSIDE GTA'!O89</f>
        <v>0</v>
      </c>
      <c r="C840" s="135" t="s">
        <v>22</v>
      </c>
      <c r="D840" s="135">
        <v>16.649999999999999</v>
      </c>
      <c r="E840" s="314">
        <f t="shared" si="27"/>
        <v>0</v>
      </c>
      <c r="F840" s="398"/>
    </row>
    <row r="841" spans="1:6" ht="18" hidden="1" customHeight="1">
      <c r="A841" s="134" t="s">
        <v>624</v>
      </c>
      <c r="B841" s="135">
        <f>'OUTSIDE GTA'!Q89</f>
        <v>0</v>
      </c>
      <c r="C841" s="135" t="s">
        <v>22</v>
      </c>
      <c r="D841" s="135">
        <v>16.649999999999999</v>
      </c>
      <c r="E841" s="314">
        <f t="shared" si="27"/>
        <v>0</v>
      </c>
      <c r="F841" s="398"/>
    </row>
    <row r="842" spans="1:6" ht="18" hidden="1" customHeight="1">
      <c r="A842" s="134" t="s">
        <v>625</v>
      </c>
      <c r="B842" s="135">
        <f>'OUTSIDE GTA'!P89</f>
        <v>0</v>
      </c>
      <c r="C842" s="135" t="s">
        <v>22</v>
      </c>
      <c r="D842" s="135">
        <v>16.649999999999999</v>
      </c>
      <c r="E842" s="314">
        <f t="shared" si="27"/>
        <v>0</v>
      </c>
      <c r="F842" s="398"/>
    </row>
    <row r="843" spans="1:6" ht="18" hidden="1" customHeight="1">
      <c r="A843" s="134" t="s">
        <v>626</v>
      </c>
      <c r="B843" s="135">
        <f>'OUTSIDE GTA'!R89</f>
        <v>0</v>
      </c>
      <c r="C843" s="135" t="s">
        <v>22</v>
      </c>
      <c r="D843" s="135">
        <v>16.649999999999999</v>
      </c>
      <c r="E843" s="314">
        <f t="shared" si="27"/>
        <v>0</v>
      </c>
      <c r="F843" s="398"/>
    </row>
    <row r="844" spans="1:6" ht="18" hidden="1" customHeight="1">
      <c r="A844" s="134" t="s">
        <v>627</v>
      </c>
      <c r="B844" s="135">
        <f>'OUTSIDE GTA'!S89+'OUTSIDE GTA'!Y89</f>
        <v>0</v>
      </c>
      <c r="C844" s="135" t="s">
        <v>22</v>
      </c>
      <c r="D844" s="135">
        <v>16.649999999999999</v>
      </c>
      <c r="E844" s="314">
        <f t="shared" si="27"/>
        <v>0</v>
      </c>
      <c r="F844" s="398"/>
    </row>
    <row r="845" spans="1:6" ht="18" hidden="1" customHeight="1">
      <c r="A845" s="134" t="s">
        <v>628</v>
      </c>
      <c r="B845" s="135">
        <f>'OUTSIDE GTA'!T89</f>
        <v>0</v>
      </c>
      <c r="C845" s="135" t="s">
        <v>22</v>
      </c>
      <c r="D845" s="135">
        <v>16.649999999999999</v>
      </c>
      <c r="E845" s="314">
        <f t="shared" si="27"/>
        <v>0</v>
      </c>
      <c r="F845" s="398"/>
    </row>
    <row r="846" spans="1:6" ht="18" hidden="1" customHeight="1">
      <c r="A846" s="134" t="s">
        <v>629</v>
      </c>
      <c r="B846" s="135">
        <f>'OUTSIDE GTA'!U89</f>
        <v>0</v>
      </c>
      <c r="C846" s="135" t="s">
        <v>22</v>
      </c>
      <c r="D846" s="135">
        <v>16.649999999999999</v>
      </c>
      <c r="E846" s="314">
        <f t="shared" si="27"/>
        <v>0</v>
      </c>
      <c r="F846" s="398"/>
    </row>
    <row r="847" spans="1:6" ht="18" hidden="1" customHeight="1">
      <c r="A847" s="134" t="s">
        <v>630</v>
      </c>
      <c r="B847" s="135">
        <f>'OUTSIDE GTA'!V89</f>
        <v>0</v>
      </c>
      <c r="C847" s="135" t="s">
        <v>22</v>
      </c>
      <c r="D847" s="135">
        <v>16.649999999999999</v>
      </c>
      <c r="E847" s="314">
        <f t="shared" si="27"/>
        <v>0</v>
      </c>
      <c r="F847" s="398"/>
    </row>
    <row r="848" spans="1:6" ht="18" hidden="1" customHeight="1">
      <c r="A848" s="134"/>
      <c r="B848" s="135"/>
      <c r="C848" s="135"/>
      <c r="D848" s="135"/>
      <c r="E848" s="314"/>
      <c r="F848" s="398"/>
    </row>
    <row r="849" spans="1:6" ht="18" hidden="1" customHeight="1">
      <c r="A849" s="436"/>
      <c r="B849" s="419"/>
      <c r="C849" s="419"/>
      <c r="D849" s="419"/>
      <c r="E849" s="420"/>
      <c r="F849" s="398"/>
    </row>
    <row r="850" spans="1:6" ht="18" hidden="1" customHeight="1">
      <c r="A850" s="418" t="s">
        <v>631</v>
      </c>
      <c r="B850" s="415">
        <f>SUM(B827:B849)</f>
        <v>0</v>
      </c>
      <c r="C850" s="419"/>
      <c r="D850" s="419"/>
      <c r="E850" s="420"/>
      <c r="F850" s="398"/>
    </row>
    <row r="851" spans="1:6" ht="18" hidden="1" customHeight="1">
      <c r="A851" s="134"/>
      <c r="B851" s="135"/>
      <c r="C851" s="135"/>
      <c r="D851" s="135"/>
      <c r="E851" s="314"/>
      <c r="F851" s="398"/>
    </row>
    <row r="852" spans="1:6" ht="18" hidden="1" customHeight="1">
      <c r="A852" s="427" t="s">
        <v>632</v>
      </c>
      <c r="B852" s="419"/>
      <c r="C852" s="419"/>
      <c r="D852" s="419"/>
      <c r="E852" s="420"/>
      <c r="F852" s="398"/>
    </row>
    <row r="853" spans="1:6" ht="18" hidden="1" customHeight="1">
      <c r="A853" s="399" t="s">
        <v>486</v>
      </c>
      <c r="B853" s="135">
        <f>GTA!C183</f>
        <v>0</v>
      </c>
      <c r="C853" s="135" t="s">
        <v>22</v>
      </c>
      <c r="D853" s="135">
        <v>18</v>
      </c>
      <c r="E853" s="314">
        <f t="shared" ref="E853:E868" si="28">B853*D853</f>
        <v>0</v>
      </c>
      <c r="F853" s="398"/>
    </row>
    <row r="854" spans="1:6" ht="18" hidden="1" customHeight="1">
      <c r="A854" s="399" t="s">
        <v>325</v>
      </c>
      <c r="B854" s="135">
        <f>GTA!D183</f>
        <v>0</v>
      </c>
      <c r="C854" s="135" t="s">
        <v>22</v>
      </c>
      <c r="D854" s="135">
        <v>18</v>
      </c>
      <c r="E854" s="314">
        <f t="shared" si="28"/>
        <v>0</v>
      </c>
      <c r="F854" s="398"/>
    </row>
    <row r="855" spans="1:6" ht="18" hidden="1" customHeight="1">
      <c r="A855" s="399" t="s">
        <v>441</v>
      </c>
      <c r="B855" s="135">
        <f>GTA!E183</f>
        <v>0</v>
      </c>
      <c r="C855" s="135" t="s">
        <v>22</v>
      </c>
      <c r="D855" s="135">
        <v>18</v>
      </c>
      <c r="E855" s="314">
        <f t="shared" si="28"/>
        <v>0</v>
      </c>
      <c r="F855" s="398"/>
    </row>
    <row r="856" spans="1:6" ht="18" hidden="1" customHeight="1">
      <c r="A856" s="399" t="s">
        <v>210</v>
      </c>
      <c r="B856" s="135">
        <f>GTA!F183</f>
        <v>0</v>
      </c>
      <c r="C856" s="135" t="s">
        <v>22</v>
      </c>
      <c r="D856" s="135">
        <v>18</v>
      </c>
      <c r="E856" s="314">
        <f t="shared" si="28"/>
        <v>0</v>
      </c>
      <c r="F856" s="398"/>
    </row>
    <row r="857" spans="1:6" ht="18" hidden="1" customHeight="1">
      <c r="A857" s="399" t="s">
        <v>633</v>
      </c>
      <c r="B857" s="135">
        <f>GTA!O183</f>
        <v>0</v>
      </c>
      <c r="C857" s="135" t="s">
        <v>22</v>
      </c>
      <c r="D857" s="135">
        <v>18</v>
      </c>
      <c r="E857" s="314">
        <f t="shared" si="28"/>
        <v>0</v>
      </c>
      <c r="F857" s="398"/>
    </row>
    <row r="858" spans="1:6" ht="18" hidden="1" customHeight="1">
      <c r="A858" s="399" t="s">
        <v>221</v>
      </c>
      <c r="B858" s="135">
        <f>GTA!G183</f>
        <v>0</v>
      </c>
      <c r="C858" s="135" t="s">
        <v>22</v>
      </c>
      <c r="D858" s="135">
        <v>18</v>
      </c>
      <c r="E858" s="314">
        <f t="shared" si="28"/>
        <v>0</v>
      </c>
      <c r="F858" s="398"/>
    </row>
    <row r="859" spans="1:6" ht="18" hidden="1" customHeight="1">
      <c r="A859" s="399" t="s">
        <v>327</v>
      </c>
      <c r="B859" s="135">
        <f>GTA!H183</f>
        <v>0</v>
      </c>
      <c r="C859" s="135" t="s">
        <v>22</v>
      </c>
      <c r="D859" s="135">
        <v>20</v>
      </c>
      <c r="E859" s="314">
        <f t="shared" si="28"/>
        <v>0</v>
      </c>
      <c r="F859" s="398"/>
    </row>
    <row r="860" spans="1:6" ht="18" hidden="1" customHeight="1">
      <c r="A860" s="399" t="s">
        <v>634</v>
      </c>
      <c r="B860" s="135">
        <f>GTA!I183</f>
        <v>0</v>
      </c>
      <c r="C860" s="135" t="s">
        <v>22</v>
      </c>
      <c r="D860" s="135">
        <v>20</v>
      </c>
      <c r="E860" s="314">
        <f t="shared" si="28"/>
        <v>0</v>
      </c>
      <c r="F860" s="398"/>
    </row>
    <row r="861" spans="1:6" ht="18" hidden="1" customHeight="1">
      <c r="A861" s="399" t="s">
        <v>584</v>
      </c>
      <c r="B861" s="135">
        <f>GTA!P183</f>
        <v>0</v>
      </c>
      <c r="C861" s="135" t="s">
        <v>22</v>
      </c>
      <c r="D861" s="135">
        <v>18</v>
      </c>
      <c r="E861" s="314">
        <f t="shared" si="28"/>
        <v>0</v>
      </c>
      <c r="F861" s="398"/>
    </row>
    <row r="862" spans="1:6" ht="18" hidden="1" customHeight="1">
      <c r="A862" s="399" t="s">
        <v>635</v>
      </c>
      <c r="B862" s="135">
        <f>GTA!J183</f>
        <v>0</v>
      </c>
      <c r="C862" s="135" t="s">
        <v>22</v>
      </c>
      <c r="D862" s="135">
        <v>20</v>
      </c>
      <c r="E862" s="314">
        <f t="shared" si="28"/>
        <v>0</v>
      </c>
      <c r="F862" s="398"/>
    </row>
    <row r="863" spans="1:6" ht="18" hidden="1" customHeight="1">
      <c r="A863" s="399" t="s">
        <v>479</v>
      </c>
      <c r="B863" s="135">
        <f>GTA!K183</f>
        <v>0</v>
      </c>
      <c r="C863" s="135" t="s">
        <v>22</v>
      </c>
      <c r="D863" s="135">
        <v>18</v>
      </c>
      <c r="E863" s="314">
        <f t="shared" si="28"/>
        <v>0</v>
      </c>
      <c r="F863" s="398"/>
    </row>
    <row r="864" spans="1:6" ht="18" hidden="1" customHeight="1">
      <c r="A864" s="399" t="s">
        <v>237</v>
      </c>
      <c r="B864" s="135">
        <f>GTA!L183</f>
        <v>0</v>
      </c>
      <c r="C864" s="135" t="s">
        <v>22</v>
      </c>
      <c r="D864" s="135">
        <v>18</v>
      </c>
      <c r="E864" s="314">
        <f t="shared" si="28"/>
        <v>0</v>
      </c>
      <c r="F864" s="398"/>
    </row>
    <row r="865" spans="1:6" ht="18" hidden="1" customHeight="1">
      <c r="A865" s="399" t="s">
        <v>354</v>
      </c>
      <c r="B865" s="135">
        <f>GTA!M183</f>
        <v>0</v>
      </c>
      <c r="C865" s="135" t="s">
        <v>22</v>
      </c>
      <c r="D865" s="135">
        <v>20</v>
      </c>
      <c r="E865" s="314">
        <f t="shared" si="28"/>
        <v>0</v>
      </c>
      <c r="F865" s="398"/>
    </row>
    <row r="866" spans="1:6" ht="18" hidden="1" customHeight="1">
      <c r="A866" s="399" t="s">
        <v>636</v>
      </c>
      <c r="B866" s="135">
        <f>GTA!N183</f>
        <v>0</v>
      </c>
      <c r="C866" s="135" t="s">
        <v>22</v>
      </c>
      <c r="D866" s="135">
        <v>18</v>
      </c>
      <c r="E866" s="314">
        <f t="shared" si="28"/>
        <v>0</v>
      </c>
      <c r="F866" s="398"/>
    </row>
    <row r="867" spans="1:6" ht="18" hidden="1" customHeight="1">
      <c r="A867" s="399" t="s">
        <v>403</v>
      </c>
      <c r="B867" s="135">
        <f>GTA!Q183</f>
        <v>0</v>
      </c>
      <c r="C867" s="135" t="s">
        <v>22</v>
      </c>
      <c r="D867" s="135">
        <v>18</v>
      </c>
      <c r="E867" s="314">
        <f t="shared" si="28"/>
        <v>0</v>
      </c>
      <c r="F867" s="398"/>
    </row>
    <row r="868" spans="1:6" ht="18" hidden="1" customHeight="1">
      <c r="A868" s="399" t="s">
        <v>637</v>
      </c>
      <c r="B868" s="135">
        <f>GTA!R183</f>
        <v>0</v>
      </c>
      <c r="C868" s="135" t="s">
        <v>22</v>
      </c>
      <c r="D868" s="135">
        <v>18</v>
      </c>
      <c r="E868" s="314">
        <f t="shared" si="28"/>
        <v>0</v>
      </c>
      <c r="F868" s="398"/>
    </row>
    <row r="869" spans="1:6" ht="18" hidden="1" customHeight="1">
      <c r="A869" s="435"/>
      <c r="B869" s="419"/>
      <c r="C869" s="419"/>
      <c r="D869" s="419"/>
      <c r="E869" s="420"/>
      <c r="F869" s="398"/>
    </row>
    <row r="870" spans="1:6" ht="18" hidden="1" customHeight="1">
      <c r="A870" s="427" t="s">
        <v>638</v>
      </c>
      <c r="B870" s="415">
        <f>SUM(B852:B869)</f>
        <v>0</v>
      </c>
      <c r="C870" s="419"/>
      <c r="D870" s="419"/>
      <c r="E870" s="420"/>
      <c r="F870" s="398"/>
    </row>
    <row r="871" spans="1:6" ht="18" hidden="1" customHeight="1">
      <c r="A871" s="136"/>
      <c r="B871" s="135"/>
      <c r="C871" s="135"/>
      <c r="D871" s="135"/>
      <c r="E871" s="314"/>
      <c r="F871" s="398"/>
    </row>
    <row r="872" spans="1:6" ht="18" hidden="1" customHeight="1">
      <c r="A872" s="415" t="s">
        <v>639</v>
      </c>
      <c r="B872" s="419"/>
      <c r="C872" s="419"/>
      <c r="D872" s="419"/>
      <c r="E872" s="420"/>
      <c r="F872" s="398"/>
    </row>
    <row r="873" spans="1:6" ht="18" hidden="1" customHeight="1">
      <c r="A873" s="134" t="s">
        <v>416</v>
      </c>
      <c r="B873" s="135">
        <f>GTA!D674</f>
        <v>0</v>
      </c>
      <c r="C873" s="135" t="s">
        <v>22</v>
      </c>
      <c r="D873" s="135">
        <v>18</v>
      </c>
      <c r="E873" s="314">
        <f>B873*D873</f>
        <v>0</v>
      </c>
      <c r="F873" s="398"/>
    </row>
    <row r="874" spans="1:6" ht="18" hidden="1" customHeight="1">
      <c r="A874" s="134" t="s">
        <v>385</v>
      </c>
      <c r="B874" s="135">
        <f>GTA!E674</f>
        <v>0</v>
      </c>
      <c r="C874" s="135" t="s">
        <v>22</v>
      </c>
      <c r="D874" s="135">
        <v>18</v>
      </c>
      <c r="E874" s="314">
        <f>B874*D874</f>
        <v>0</v>
      </c>
      <c r="F874" s="398"/>
    </row>
    <row r="875" spans="1:6" ht="18" hidden="1" customHeight="1">
      <c r="A875" s="134" t="s">
        <v>640</v>
      </c>
      <c r="B875" s="135">
        <f>GTA!F674</f>
        <v>0</v>
      </c>
      <c r="C875" s="135" t="s">
        <v>22</v>
      </c>
      <c r="D875" s="135">
        <v>16.649999999999999</v>
      </c>
      <c r="E875" s="314">
        <f>B875*D875</f>
        <v>0</v>
      </c>
      <c r="F875" s="398"/>
    </row>
    <row r="876" spans="1:6" ht="18" hidden="1" customHeight="1">
      <c r="A876" s="436"/>
      <c r="B876" s="419"/>
      <c r="C876" s="419"/>
      <c r="D876" s="419"/>
      <c r="E876" s="420"/>
      <c r="F876" s="398"/>
    </row>
    <row r="877" spans="1:6" ht="18" hidden="1" customHeight="1">
      <c r="A877" s="415" t="s">
        <v>639</v>
      </c>
      <c r="B877" s="415">
        <f>SUM(B872:B876)</f>
        <v>0</v>
      </c>
      <c r="C877" s="419"/>
      <c r="D877" s="419"/>
      <c r="E877" s="420"/>
      <c r="F877" s="398"/>
    </row>
    <row r="878" spans="1:6" ht="18" hidden="1" customHeight="1">
      <c r="A878" s="132"/>
      <c r="B878" s="135"/>
      <c r="C878" s="135"/>
      <c r="D878" s="135"/>
      <c r="E878" s="314"/>
      <c r="F878" s="398"/>
    </row>
    <row r="879" spans="1:6" ht="18" hidden="1" customHeight="1">
      <c r="A879" s="134"/>
      <c r="B879" s="135"/>
      <c r="C879" s="135"/>
      <c r="D879" s="135"/>
      <c r="E879" s="314"/>
      <c r="F879" s="398"/>
    </row>
    <row r="880" spans="1:6" ht="18" hidden="1" customHeight="1">
      <c r="A880" s="415" t="s">
        <v>641</v>
      </c>
      <c r="B880" s="419"/>
      <c r="C880" s="419"/>
      <c r="D880" s="419"/>
      <c r="E880" s="420"/>
      <c r="F880" s="398"/>
    </row>
    <row r="881" spans="1:6" ht="18" hidden="1" customHeight="1">
      <c r="A881" s="134" t="s">
        <v>416</v>
      </c>
      <c r="B881" s="135">
        <f>GTA!D219</f>
        <v>0</v>
      </c>
      <c r="C881" s="135" t="s">
        <v>22</v>
      </c>
      <c r="D881" s="135">
        <v>18</v>
      </c>
      <c r="E881" s="314">
        <f>B881*D881</f>
        <v>0</v>
      </c>
      <c r="F881" s="398"/>
    </row>
    <row r="882" spans="1:6" ht="18" hidden="1" customHeight="1">
      <c r="A882" s="134" t="s">
        <v>385</v>
      </c>
      <c r="B882" s="135">
        <f>GTA!E219</f>
        <v>0</v>
      </c>
      <c r="C882" s="135" t="s">
        <v>22</v>
      </c>
      <c r="D882" s="135">
        <v>18</v>
      </c>
      <c r="E882" s="314">
        <f>B882*D882</f>
        <v>0</v>
      </c>
      <c r="F882" s="398"/>
    </row>
    <row r="883" spans="1:6" ht="18" hidden="1" customHeight="1">
      <c r="A883" s="134" t="s">
        <v>384</v>
      </c>
      <c r="B883" s="135">
        <f>GTA!F219</f>
        <v>0</v>
      </c>
      <c r="C883" s="135" t="s">
        <v>22</v>
      </c>
      <c r="D883" s="135">
        <v>18</v>
      </c>
      <c r="E883" s="314">
        <f>B883*D883</f>
        <v>0</v>
      </c>
      <c r="F883" s="398"/>
    </row>
    <row r="884" spans="1:6" ht="18" hidden="1" customHeight="1">
      <c r="A884" s="134" t="s">
        <v>218</v>
      </c>
      <c r="B884" s="135">
        <f>GTA!G219</f>
        <v>0</v>
      </c>
      <c r="C884" s="135" t="s">
        <v>22</v>
      </c>
      <c r="D884" s="135">
        <v>16.649999999999999</v>
      </c>
      <c r="E884" s="314">
        <f>B884*D884</f>
        <v>0</v>
      </c>
      <c r="F884" s="398"/>
    </row>
    <row r="885" spans="1:6" ht="18" hidden="1" customHeight="1">
      <c r="A885" s="436"/>
      <c r="B885" s="419"/>
      <c r="C885" s="419"/>
      <c r="D885" s="419"/>
      <c r="E885" s="420"/>
      <c r="F885" s="398"/>
    </row>
    <row r="886" spans="1:6" ht="18" hidden="1" customHeight="1">
      <c r="A886" s="415" t="s">
        <v>641</v>
      </c>
      <c r="B886" s="415">
        <f>SUM(B880:B885)</f>
        <v>0</v>
      </c>
      <c r="C886" s="419"/>
      <c r="D886" s="419"/>
      <c r="E886" s="420"/>
      <c r="F886" s="398"/>
    </row>
    <row r="887" spans="1:6" ht="18" hidden="1" customHeight="1">
      <c r="A887" s="132"/>
      <c r="B887" s="135"/>
      <c r="C887" s="135"/>
      <c r="D887" s="135"/>
      <c r="E887" s="314"/>
      <c r="F887" s="398"/>
    </row>
    <row r="888" spans="1:6" ht="18" hidden="1" customHeight="1">
      <c r="A888" s="134"/>
      <c r="B888" s="135"/>
      <c r="C888" s="135"/>
      <c r="D888" s="135"/>
      <c r="E888" s="314"/>
      <c r="F888" s="398"/>
    </row>
    <row r="889" spans="1:6" ht="18" hidden="1" customHeight="1">
      <c r="A889" s="415" t="s">
        <v>642</v>
      </c>
      <c r="B889" s="419"/>
      <c r="C889" s="419"/>
      <c r="D889" s="419"/>
      <c r="E889" s="420"/>
      <c r="F889" s="398"/>
    </row>
    <row r="890" spans="1:6" ht="18" hidden="1" customHeight="1">
      <c r="A890" s="134" t="s">
        <v>643</v>
      </c>
      <c r="B890" s="135">
        <f>GTA!C548</f>
        <v>0</v>
      </c>
      <c r="C890" s="135" t="s">
        <v>22</v>
      </c>
      <c r="D890" s="135">
        <v>16.649999999999999</v>
      </c>
      <c r="E890" s="314">
        <f>B890*D890</f>
        <v>0</v>
      </c>
      <c r="F890" s="398"/>
    </row>
    <row r="891" spans="1:6" ht="18" hidden="1" customHeight="1">
      <c r="A891" s="134" t="s">
        <v>644</v>
      </c>
      <c r="B891" s="135">
        <f>GTA!D548</f>
        <v>0</v>
      </c>
      <c r="C891" s="135" t="s">
        <v>22</v>
      </c>
      <c r="D891" s="135">
        <v>18</v>
      </c>
      <c r="E891" s="314">
        <f>B891*D891</f>
        <v>0</v>
      </c>
      <c r="F891" s="398"/>
    </row>
    <row r="892" spans="1:6" ht="18" hidden="1" customHeight="1">
      <c r="A892" s="134" t="s">
        <v>210</v>
      </c>
      <c r="B892" s="135">
        <f>GTA!E548</f>
        <v>0</v>
      </c>
      <c r="C892" s="135" t="s">
        <v>22</v>
      </c>
      <c r="D892" s="135">
        <v>16.649999999999999</v>
      </c>
      <c r="E892" s="314">
        <f>B892*D892</f>
        <v>0</v>
      </c>
      <c r="F892" s="398"/>
    </row>
    <row r="893" spans="1:6" ht="18" hidden="1" customHeight="1">
      <c r="A893" s="134" t="s">
        <v>403</v>
      </c>
      <c r="B893" s="135">
        <f>GTA!F548</f>
        <v>0</v>
      </c>
      <c r="C893" s="135" t="s">
        <v>22</v>
      </c>
      <c r="D893" s="135">
        <v>16.649999999999999</v>
      </c>
      <c r="E893" s="314">
        <f>B893*D893</f>
        <v>0</v>
      </c>
      <c r="F893" s="398"/>
    </row>
    <row r="894" spans="1:6" ht="18" hidden="1" customHeight="1">
      <c r="A894" s="436"/>
      <c r="B894" s="419"/>
      <c r="C894" s="419"/>
      <c r="D894" s="419"/>
      <c r="E894" s="420"/>
      <c r="F894" s="398"/>
    </row>
    <row r="895" spans="1:6" ht="18" hidden="1" customHeight="1">
      <c r="A895" s="415" t="s">
        <v>642</v>
      </c>
      <c r="B895" s="415">
        <f>SUM(B889:B894)</f>
        <v>0</v>
      </c>
      <c r="C895" s="419"/>
      <c r="D895" s="419"/>
      <c r="E895" s="420"/>
      <c r="F895" s="398"/>
    </row>
    <row r="896" spans="1:6" ht="18" hidden="1" customHeight="1">
      <c r="A896" s="134"/>
      <c r="B896" s="135"/>
      <c r="C896" s="135"/>
      <c r="D896" s="135"/>
      <c r="E896" s="314"/>
      <c r="F896" s="398"/>
    </row>
    <row r="897" spans="1:6" ht="18" hidden="1" customHeight="1">
      <c r="A897" s="330" t="s">
        <v>645</v>
      </c>
      <c r="B897" s="331"/>
      <c r="C897" s="331"/>
      <c r="D897" s="331"/>
      <c r="E897" s="332"/>
      <c r="F897" s="398"/>
    </row>
    <row r="898" spans="1:6" ht="18" hidden="1" customHeight="1">
      <c r="A898" s="333" t="s">
        <v>646</v>
      </c>
      <c r="B898" s="334">
        <f>GTA!C436</f>
        <v>0</v>
      </c>
      <c r="C898" s="331" t="s">
        <v>22</v>
      </c>
      <c r="D898" s="331">
        <v>20</v>
      </c>
      <c r="E898" s="332">
        <f>B898*D898</f>
        <v>0</v>
      </c>
      <c r="F898" s="398"/>
    </row>
    <row r="899" spans="1:6" ht="18" hidden="1" customHeight="1">
      <c r="A899" s="136"/>
      <c r="B899" s="135"/>
      <c r="C899" s="135"/>
      <c r="D899" s="135"/>
      <c r="E899" s="314"/>
      <c r="F899" s="398"/>
    </row>
    <row r="900" spans="1:6" ht="18" hidden="1" customHeight="1">
      <c r="A900" s="294" t="s">
        <v>11</v>
      </c>
      <c r="B900" s="295"/>
      <c r="C900" s="295"/>
      <c r="D900" s="295"/>
      <c r="E900" s="319"/>
      <c r="F900" s="398"/>
    </row>
    <row r="901" spans="1:6" ht="18" customHeight="1">
      <c r="A901" s="284" t="s">
        <v>386</v>
      </c>
      <c r="B901" s="135">
        <f>GTA!C291</f>
        <v>0</v>
      </c>
      <c r="C901" s="135" t="s">
        <v>22</v>
      </c>
      <c r="D901" s="135">
        <v>16.649999999999999</v>
      </c>
      <c r="E901" s="314">
        <f>B901*D901</f>
        <v>0</v>
      </c>
      <c r="F901" s="398" t="s">
        <v>435</v>
      </c>
    </row>
    <row r="902" spans="1:6" ht="18" hidden="1" customHeight="1">
      <c r="A902" s="136"/>
      <c r="B902" s="135"/>
      <c r="C902" s="135"/>
      <c r="D902" s="135"/>
      <c r="E902" s="314"/>
      <c r="F902" s="398"/>
    </row>
    <row r="903" spans="1:6" ht="18" hidden="1" customHeight="1">
      <c r="A903" s="133" t="s">
        <v>647</v>
      </c>
      <c r="B903" s="135"/>
      <c r="C903" s="135"/>
      <c r="D903" s="135"/>
      <c r="E903" s="314"/>
      <c r="F903" s="398"/>
    </row>
    <row r="904" spans="1:6" ht="18" customHeight="1">
      <c r="A904" s="284" t="s">
        <v>436</v>
      </c>
      <c r="B904" s="135">
        <f>GTA!D291</f>
        <v>0</v>
      </c>
      <c r="C904" s="135" t="s">
        <v>22</v>
      </c>
      <c r="D904" s="135">
        <v>16.649999999999999</v>
      </c>
      <c r="E904" s="314">
        <f>B904*D904</f>
        <v>0</v>
      </c>
      <c r="F904" s="398" t="s">
        <v>435</v>
      </c>
    </row>
    <row r="905" spans="1:6" ht="18" hidden="1" customHeight="1">
      <c r="A905" s="134"/>
      <c r="B905" s="150"/>
      <c r="C905" s="135"/>
      <c r="D905" s="135"/>
      <c r="E905" s="314"/>
      <c r="F905" s="398"/>
    </row>
    <row r="906" spans="1:6" ht="18" hidden="1" customHeight="1">
      <c r="A906" s="313"/>
      <c r="B906" s="313"/>
      <c r="C906" s="313"/>
      <c r="D906" s="313"/>
      <c r="E906" s="313"/>
    </row>
    <row r="907" spans="1:6" ht="18" hidden="1" customHeight="1"/>
    <row r="908" spans="1:6" ht="18" hidden="1" customHeight="1"/>
    <row r="909" spans="1:6" ht="18" hidden="1" customHeight="1"/>
    <row r="910" spans="1:6" ht="18" hidden="1" customHeight="1"/>
    <row r="911" spans="1:6" ht="18" hidden="1" customHeight="1"/>
    <row r="912" spans="1:6" ht="18" hidden="1" customHeight="1"/>
    <row r="913" ht="18" hidden="1" customHeight="1"/>
    <row r="914" ht="18" hidden="1" customHeight="1"/>
    <row r="915" ht="18" hidden="1" customHeight="1"/>
    <row r="916" ht="18" hidden="1" customHeight="1"/>
    <row r="917" ht="18" hidden="1" customHeight="1"/>
    <row r="918" ht="18" hidden="1" customHeight="1"/>
    <row r="919" ht="18" hidden="1" customHeight="1"/>
    <row r="920" ht="18" hidden="1" customHeight="1"/>
    <row r="921" ht="18" hidden="1" customHeight="1"/>
    <row r="922" ht="18" hidden="1" customHeight="1"/>
    <row r="923" ht="18" hidden="1" customHeight="1"/>
    <row r="924" ht="18" hidden="1" customHeight="1"/>
    <row r="925" ht="18" hidden="1" customHeight="1"/>
    <row r="926" ht="18" hidden="1" customHeight="1"/>
    <row r="927" ht="18" hidden="1" customHeight="1"/>
    <row r="928" ht="18" hidden="1" customHeight="1"/>
    <row r="929" ht="18" hidden="1" customHeight="1"/>
    <row r="930" ht="18" hidden="1" customHeight="1"/>
    <row r="931" ht="18" hidden="1" customHeight="1"/>
    <row r="932" ht="18" hidden="1" customHeight="1"/>
    <row r="933" ht="18" hidden="1" customHeight="1"/>
    <row r="934" ht="18" hidden="1" customHeight="1"/>
    <row r="935" ht="18" hidden="1" customHeight="1"/>
    <row r="936" ht="18" hidden="1" customHeight="1"/>
    <row r="937" ht="18" hidden="1" customHeight="1"/>
    <row r="938" ht="18" hidden="1" customHeight="1"/>
    <row r="939" ht="18" hidden="1" customHeight="1"/>
    <row r="940" ht="18" hidden="1" customHeight="1"/>
    <row r="941" ht="18" hidden="1" customHeight="1"/>
    <row r="942" ht="18" hidden="1" customHeight="1"/>
    <row r="943" ht="18" hidden="1" customHeight="1"/>
    <row r="944" ht="18" hidden="1" customHeight="1"/>
    <row r="945" ht="18" hidden="1" customHeight="1"/>
    <row r="946" ht="18" hidden="1" customHeight="1"/>
    <row r="947" ht="18" hidden="1" customHeight="1"/>
    <row r="948" ht="18" hidden="1" customHeight="1"/>
    <row r="949" ht="18" hidden="1" customHeight="1"/>
    <row r="950" ht="18" hidden="1" customHeight="1"/>
    <row r="951" ht="18" hidden="1" customHeight="1"/>
    <row r="952" ht="18" hidden="1" customHeight="1"/>
    <row r="953" ht="18" hidden="1" customHeight="1"/>
    <row r="954" ht="18" hidden="1" customHeight="1"/>
    <row r="955" ht="18" hidden="1" customHeight="1"/>
    <row r="956" ht="18" hidden="1" customHeight="1"/>
    <row r="957" ht="18" hidden="1" customHeight="1"/>
  </sheetData>
  <conditionalFormatting sqref="A46:A53">
    <cfRule type="duplicateValues" dxfId="184" priority="547"/>
  </conditionalFormatting>
  <conditionalFormatting sqref="A66:A74">
    <cfRule type="duplicateValues" dxfId="183" priority="546"/>
  </conditionalFormatting>
  <conditionalFormatting sqref="A79">
    <cfRule type="duplicateValues" dxfId="182" priority="530"/>
  </conditionalFormatting>
  <conditionalFormatting sqref="A105 A94:A98 A84:A88">
    <cfRule type="duplicateValues" dxfId="181" priority="6"/>
  </conditionalFormatting>
  <conditionalFormatting sqref="A105">
    <cfRule type="duplicateValues" dxfId="180" priority="7"/>
    <cfRule type="duplicateValues" dxfId="179" priority="8"/>
  </conditionalFormatting>
  <conditionalFormatting sqref="A139">
    <cfRule type="duplicateValues" dxfId="178" priority="13"/>
  </conditionalFormatting>
  <conditionalFormatting sqref="A261:A263">
    <cfRule type="duplicateValues" dxfId="177" priority="12"/>
  </conditionalFormatting>
  <conditionalFormatting sqref="A274">
    <cfRule type="duplicateValues" dxfId="176" priority="10"/>
  </conditionalFormatting>
  <conditionalFormatting sqref="A347:A350">
    <cfRule type="duplicateValues" dxfId="175" priority="4"/>
  </conditionalFormatting>
  <conditionalFormatting sqref="A357:A358">
    <cfRule type="duplicateValues" dxfId="174" priority="9"/>
  </conditionalFormatting>
  <conditionalFormatting sqref="A529">
    <cfRule type="duplicateValues" dxfId="173" priority="1"/>
  </conditionalFormatting>
  <conditionalFormatting sqref="A614 A616">
    <cfRule type="duplicateValues" dxfId="172" priority="17"/>
  </conditionalFormatting>
  <conditionalFormatting sqref="A627:A748 A621:A624">
    <cfRule type="duplicateValues" dxfId="171" priority="552"/>
  </conditionalFormatting>
  <conditionalFormatting sqref="A799">
    <cfRule type="duplicateValues" dxfId="170" priority="5"/>
  </conditionalFormatting>
  <pageMargins left="0.7" right="0.7" top="0.75" bottom="0.75" header="0.3" footer="0.3"/>
  <pageSetup scale="60" orientation="landscape" horizontalDpi="4294967292" verticalDpi="1200"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1A28E-2EA9-40B1-A0FF-CDDDC6A6D496}">
  <sheetPr codeName="Sheet11">
    <tabColor rgb="FFF785E9"/>
  </sheetPr>
  <dimension ref="A1:H197"/>
  <sheetViews>
    <sheetView view="pageBreakPreview" zoomScale="55" zoomScaleNormal="70" zoomScaleSheetLayoutView="55" workbookViewId="0">
      <selection activeCell="F167" sqref="F167"/>
    </sheetView>
  </sheetViews>
  <sheetFormatPr defaultColWidth="9" defaultRowHeight="35.25" customHeight="1"/>
  <cols>
    <col min="1" max="1" width="38.42578125" style="276" customWidth="1"/>
    <col min="2" max="2" width="9.7109375" style="276" customWidth="1"/>
    <col min="3" max="3" width="14" style="276" customWidth="1"/>
    <col min="4" max="4" width="10.5703125" style="276" customWidth="1"/>
    <col min="5" max="5" width="20.5703125" style="276" customWidth="1"/>
    <col min="6" max="6" width="62.5703125" style="321" customWidth="1"/>
    <col min="7" max="7" width="42.42578125" style="321" customWidth="1"/>
    <col min="8" max="8" width="25.140625" style="321" customWidth="1"/>
    <col min="9" max="16384" width="9" style="321"/>
  </cols>
  <sheetData>
    <row r="1" spans="1:7" ht="35.25" customHeight="1" thickBot="1">
      <c r="A1" s="1006" t="s">
        <v>764</v>
      </c>
      <c r="B1" s="1007"/>
      <c r="C1" s="1007"/>
      <c r="D1" s="1007"/>
      <c r="E1" s="1007"/>
      <c r="F1" s="1008"/>
    </row>
    <row r="2" spans="1:7" ht="35.25" hidden="1" customHeight="1" thickBot="1">
      <c r="A2" s="1009" t="s">
        <v>25</v>
      </c>
      <c r="B2" s="1010"/>
      <c r="C2" s="1010"/>
      <c r="D2" s="1010"/>
      <c r="E2" s="1010"/>
      <c r="F2" s="1011"/>
    </row>
    <row r="3" spans="1:7" ht="35.25" hidden="1" customHeight="1" thickBot="1">
      <c r="A3" s="474" t="str">
        <f>MMJ!B1</f>
        <v>PAY PERIOD January 10 - 23, 2025</v>
      </c>
      <c r="B3" s="475" t="s">
        <v>0</v>
      </c>
      <c r="C3" s="475" t="s">
        <v>1</v>
      </c>
      <c r="D3" s="475" t="s">
        <v>2</v>
      </c>
      <c r="E3" s="476" t="s">
        <v>19</v>
      </c>
      <c r="F3" s="476" t="s">
        <v>764</v>
      </c>
      <c r="G3" s="477" t="s">
        <v>794</v>
      </c>
    </row>
    <row r="4" spans="1:7" s="344" customFormat="1" ht="35.25" hidden="1" customHeight="1">
      <c r="A4" s="270"/>
      <c r="B4" s="272"/>
      <c r="C4" s="272"/>
      <c r="D4" s="272"/>
      <c r="E4" s="300"/>
      <c r="F4" s="534"/>
      <c r="G4" s="335">
        <f>VLOOKUP(A4,'[1]Interac Details'!$A:$B, 2, FALSE)</f>
        <v>0</v>
      </c>
    </row>
    <row r="5" spans="1:7" s="344" customFormat="1" ht="35.25" hidden="1" customHeight="1">
      <c r="A5" s="270"/>
      <c r="B5" s="272"/>
      <c r="C5" s="272"/>
      <c r="D5" s="272"/>
      <c r="E5" s="300"/>
      <c r="F5" s="534"/>
      <c r="G5" s="335">
        <f>VLOOKUP(A5,'[1]Interac Details'!$A:$B, 2, FALSE)</f>
        <v>0</v>
      </c>
    </row>
    <row r="6" spans="1:7" s="344" customFormat="1" ht="35.25" hidden="1" customHeight="1">
      <c r="A6" s="270"/>
      <c r="B6" s="272"/>
      <c r="C6" s="272"/>
      <c r="D6" s="272"/>
      <c r="E6" s="300"/>
      <c r="F6" s="534"/>
      <c r="G6" s="335">
        <f>VLOOKUP(A6,'[1]Interac Details'!$A:$B, 2, FALSE)</f>
        <v>0</v>
      </c>
    </row>
    <row r="7" spans="1:7" s="344" customFormat="1" ht="35.25" hidden="1" customHeight="1">
      <c r="A7" s="270"/>
      <c r="B7" s="272"/>
      <c r="C7" s="272"/>
      <c r="D7" s="272"/>
      <c r="E7" s="300"/>
      <c r="F7" s="534"/>
      <c r="G7" s="335">
        <f>VLOOKUP(A7,'[1]Interac Details'!$A:$B, 2, FALSE)</f>
        <v>0</v>
      </c>
    </row>
    <row r="8" spans="1:7" s="344" customFormat="1" ht="35.25" hidden="1" customHeight="1">
      <c r="A8" s="270"/>
      <c r="B8" s="272"/>
      <c r="C8" s="272"/>
      <c r="D8" s="272"/>
      <c r="E8" s="300"/>
      <c r="F8" s="534"/>
      <c r="G8" s="335">
        <f>VLOOKUP(A8,'[1]Interac Details'!$A:$B, 2, FALSE)</f>
        <v>0</v>
      </c>
    </row>
    <row r="9" spans="1:7" s="344" customFormat="1" ht="35.25" hidden="1" customHeight="1">
      <c r="A9" s="270"/>
      <c r="B9" s="272"/>
      <c r="C9" s="272"/>
      <c r="D9" s="272"/>
      <c r="E9" s="300"/>
      <c r="F9" s="534"/>
      <c r="G9" s="335">
        <f>VLOOKUP(A9,'[1]Interac Details'!$A:$B, 2, FALSE)</f>
        <v>0</v>
      </c>
    </row>
    <row r="10" spans="1:7" s="344" customFormat="1" ht="35.25" hidden="1" customHeight="1">
      <c r="A10" s="270"/>
      <c r="B10" s="272"/>
      <c r="C10" s="272"/>
      <c r="D10" s="272"/>
      <c r="E10" s="300"/>
      <c r="F10" s="534"/>
      <c r="G10" s="335">
        <f>VLOOKUP(A10,'[1]Interac Details'!$A:$B, 2, FALSE)</f>
        <v>0</v>
      </c>
    </row>
    <row r="11" spans="1:7" s="344" customFormat="1" ht="35.25" hidden="1" customHeight="1">
      <c r="A11" s="270"/>
      <c r="B11" s="272"/>
      <c r="C11" s="272"/>
      <c r="D11" s="272"/>
      <c r="E11" s="300"/>
      <c r="F11" s="534"/>
      <c r="G11" s="335">
        <f>VLOOKUP(A11,'[1]Interac Details'!$A:$B, 2, FALSE)</f>
        <v>0</v>
      </c>
    </row>
    <row r="12" spans="1:7" s="344" customFormat="1" ht="35.25" hidden="1" customHeight="1">
      <c r="A12" s="270"/>
      <c r="B12" s="272"/>
      <c r="C12" s="272"/>
      <c r="D12" s="272"/>
      <c r="E12" s="300"/>
      <c r="F12" s="534"/>
      <c r="G12" s="335">
        <f>VLOOKUP(A12,'[1]Interac Details'!$A:$B, 2, FALSE)</f>
        <v>0</v>
      </c>
    </row>
    <row r="13" spans="1:7" s="344" customFormat="1" ht="35.25" hidden="1" customHeight="1">
      <c r="A13" s="270"/>
      <c r="B13" s="272"/>
      <c r="C13" s="272"/>
      <c r="D13" s="272"/>
      <c r="E13" s="300"/>
      <c r="F13" s="534"/>
      <c r="G13" s="335">
        <f>VLOOKUP(A13,'[1]Interac Details'!$A:$B, 2, FALSE)</f>
        <v>0</v>
      </c>
    </row>
    <row r="14" spans="1:7" s="344" customFormat="1" ht="35.25" hidden="1" customHeight="1">
      <c r="A14" s="270"/>
      <c r="B14" s="272"/>
      <c r="C14" s="272"/>
      <c r="D14" s="272"/>
      <c r="E14" s="300"/>
      <c r="F14" s="534"/>
      <c r="G14" s="335">
        <f>VLOOKUP(A14,'[1]Interac Details'!$A:$B, 2, FALSE)</f>
        <v>0</v>
      </c>
    </row>
    <row r="15" spans="1:7" s="344" customFormat="1" ht="35.25" hidden="1" customHeight="1">
      <c r="A15" s="270"/>
      <c r="B15" s="272"/>
      <c r="C15" s="272"/>
      <c r="D15" s="272"/>
      <c r="E15" s="300"/>
      <c r="F15" s="534"/>
      <c r="G15" s="335">
        <f>VLOOKUP(A15,'[1]Interac Details'!$A:$B, 2, FALSE)</f>
        <v>0</v>
      </c>
    </row>
    <row r="16" spans="1:7" s="344" customFormat="1" ht="35.25" hidden="1" customHeight="1">
      <c r="A16" s="270"/>
      <c r="B16" s="272"/>
      <c r="C16" s="272"/>
      <c r="D16" s="272"/>
      <c r="E16" s="300"/>
      <c r="F16" s="534"/>
      <c r="G16" s="335">
        <f>VLOOKUP(A16,'[1]Interac Details'!$A:$B, 2, FALSE)</f>
        <v>0</v>
      </c>
    </row>
    <row r="17" spans="1:8" s="344" customFormat="1" ht="35.25" hidden="1" customHeight="1">
      <c r="A17" s="270"/>
      <c r="B17" s="272"/>
      <c r="C17" s="272"/>
      <c r="D17" s="272"/>
      <c r="E17" s="300"/>
      <c r="F17" s="534"/>
      <c r="G17" s="335">
        <f>VLOOKUP(A17,'[1]Interac Details'!$A:$B, 2, FALSE)</f>
        <v>0</v>
      </c>
    </row>
    <row r="18" spans="1:8" s="344" customFormat="1" ht="35.25" hidden="1" customHeight="1" thickBot="1">
      <c r="A18" s="345"/>
      <c r="B18" s="323"/>
      <c r="C18" s="323"/>
      <c r="D18" s="324"/>
      <c r="E18" s="296"/>
      <c r="F18" s="346"/>
      <c r="G18" s="346"/>
    </row>
    <row r="19" spans="1:8" s="344" customFormat="1" ht="35.25" hidden="1" customHeight="1" thickBot="1">
      <c r="A19" s="473"/>
      <c r="B19" s="1001" t="s">
        <v>791</v>
      </c>
      <c r="C19" s="1002"/>
      <c r="D19" s="1003">
        <f>SUM(E4:E17)</f>
        <v>0</v>
      </c>
      <c r="E19" s="1004"/>
      <c r="F19" s="297"/>
      <c r="G19" s="297"/>
      <c r="H19" s="779">
        <f>D19</f>
        <v>0</v>
      </c>
    </row>
    <row r="20" spans="1:8" s="344" customFormat="1" ht="35.25" hidden="1" customHeight="1" thickBot="1">
      <c r="A20" s="1009" t="s">
        <v>136</v>
      </c>
      <c r="B20" s="1010"/>
      <c r="C20" s="1010"/>
      <c r="D20" s="1010"/>
      <c r="E20" s="1010"/>
      <c r="F20" s="1011"/>
    </row>
    <row r="21" spans="1:8" s="344" customFormat="1" ht="35.25" hidden="1" customHeight="1" thickBot="1">
      <c r="A21" s="271" t="str">
        <f>A3</f>
        <v>PAY PERIOD January 10 - 23, 2025</v>
      </c>
      <c r="B21" s="271" t="s">
        <v>0</v>
      </c>
      <c r="C21" s="271" t="s">
        <v>1</v>
      </c>
      <c r="D21" s="271" t="s">
        <v>2</v>
      </c>
      <c r="E21" s="303" t="s">
        <v>19</v>
      </c>
      <c r="F21" s="303" t="s">
        <v>764</v>
      </c>
      <c r="G21" s="477" t="s">
        <v>794</v>
      </c>
    </row>
    <row r="22" spans="1:8" ht="24" hidden="1" customHeight="1">
      <c r="A22" s="270"/>
      <c r="B22" s="272"/>
      <c r="C22" s="272"/>
      <c r="D22" s="272"/>
      <c r="E22" s="300"/>
      <c r="F22" s="534"/>
      <c r="G22" s="335">
        <f>VLOOKUP(A22,'[1]Interac Details'!$A:$B, 2, FALSE)</f>
        <v>0</v>
      </c>
    </row>
    <row r="23" spans="1:8" s="344" customFormat="1" ht="24" hidden="1" customHeight="1">
      <c r="A23" s="270"/>
      <c r="B23" s="272"/>
      <c r="C23" s="272"/>
      <c r="D23" s="272"/>
      <c r="E23" s="300"/>
      <c r="F23" s="534"/>
      <c r="G23" s="335">
        <f>VLOOKUP(A23,'[1]Interac Details'!$A:$B, 2, FALSE)</f>
        <v>0</v>
      </c>
    </row>
    <row r="24" spans="1:8" ht="24" hidden="1" customHeight="1">
      <c r="A24" s="270"/>
      <c r="B24" s="272"/>
      <c r="C24" s="272"/>
      <c r="D24" s="272"/>
      <c r="E24" s="300"/>
      <c r="F24" s="534"/>
      <c r="G24" s="335">
        <f>VLOOKUP(A24,'[1]Interac Details'!$A:$B, 2, FALSE)</f>
        <v>0</v>
      </c>
    </row>
    <row r="25" spans="1:8" ht="24" hidden="1" customHeight="1">
      <c r="A25" s="270"/>
      <c r="B25" s="272"/>
      <c r="C25" s="272"/>
      <c r="D25" s="272"/>
      <c r="E25" s="300"/>
      <c r="F25" s="534"/>
      <c r="G25" s="335">
        <f>VLOOKUP(A25,'[1]Interac Details'!$A:$B, 2, FALSE)</f>
        <v>0</v>
      </c>
    </row>
    <row r="26" spans="1:8" ht="24" hidden="1" customHeight="1">
      <c r="A26" s="270"/>
      <c r="B26" s="272"/>
      <c r="C26" s="272"/>
      <c r="D26" s="272"/>
      <c r="E26" s="300"/>
      <c r="F26" s="534"/>
      <c r="G26" s="335">
        <f>VLOOKUP(A26,'[1]Interac Details'!$A:$B, 2, FALSE)</f>
        <v>0</v>
      </c>
    </row>
    <row r="27" spans="1:8" ht="24" hidden="1" customHeight="1">
      <c r="A27" s="270"/>
      <c r="B27" s="272"/>
      <c r="C27" s="272"/>
      <c r="D27" s="272"/>
      <c r="E27" s="300"/>
      <c r="F27" s="534"/>
      <c r="G27" s="335">
        <f>VLOOKUP(A27,'[1]Interac Details'!$A:$B, 2, FALSE)</f>
        <v>0</v>
      </c>
    </row>
    <row r="28" spans="1:8" ht="24" hidden="1" customHeight="1">
      <c r="A28" s="270"/>
      <c r="B28" s="272"/>
      <c r="C28" s="272"/>
      <c r="D28" s="272"/>
      <c r="E28" s="300"/>
      <c r="F28" s="534"/>
      <c r="G28" s="335">
        <f>VLOOKUP(A28,'[1]Interac Details'!$A:$B, 2, FALSE)</f>
        <v>0</v>
      </c>
    </row>
    <row r="29" spans="1:8" ht="24" hidden="1" customHeight="1">
      <c r="A29" s="270"/>
      <c r="B29" s="272"/>
      <c r="C29" s="272"/>
      <c r="D29" s="272"/>
      <c r="E29" s="300"/>
      <c r="F29" s="534"/>
      <c r="G29" s="335">
        <f>VLOOKUP(A29,'[1]Interac Details'!$A:$B, 2, FALSE)</f>
        <v>0</v>
      </c>
    </row>
    <row r="30" spans="1:8" ht="24" hidden="1" customHeight="1">
      <c r="A30" s="270"/>
      <c r="B30" s="272"/>
      <c r="C30" s="272"/>
      <c r="D30" s="272"/>
      <c r="E30" s="300"/>
      <c r="F30" s="534"/>
      <c r="G30" s="335">
        <f>VLOOKUP(A30,'[1]Interac Details'!$A:$B, 2, FALSE)</f>
        <v>0</v>
      </c>
    </row>
    <row r="31" spans="1:8" ht="24" hidden="1" customHeight="1">
      <c r="A31" s="270"/>
      <c r="B31" s="272"/>
      <c r="C31" s="272"/>
      <c r="D31" s="272"/>
      <c r="E31" s="300"/>
      <c r="F31" s="534"/>
      <c r="G31" s="335">
        <f>VLOOKUP(A31,'[1]Interac Details'!$A:$B, 2, FALSE)</f>
        <v>0</v>
      </c>
    </row>
    <row r="32" spans="1:8" ht="24" hidden="1" customHeight="1">
      <c r="A32" s="270"/>
      <c r="B32" s="272"/>
      <c r="C32" s="272"/>
      <c r="D32" s="272"/>
      <c r="E32" s="300"/>
      <c r="F32" s="534"/>
      <c r="G32" s="335">
        <f>VLOOKUP(A32,'[1]Interac Details'!$A:$B, 2, FALSE)</f>
        <v>0</v>
      </c>
    </row>
    <row r="33" spans="1:8" ht="24" hidden="1" customHeight="1">
      <c r="A33" s="270"/>
      <c r="B33" s="272"/>
      <c r="C33" s="272"/>
      <c r="D33" s="272"/>
      <c r="E33" s="300"/>
      <c r="F33" s="534"/>
      <c r="G33" s="335">
        <f>VLOOKUP(A33,'[1]Interac Details'!$A:$B, 2, FALSE)</f>
        <v>0</v>
      </c>
    </row>
    <row r="34" spans="1:8" ht="24" hidden="1" customHeight="1">
      <c r="A34" s="270"/>
      <c r="B34" s="272"/>
      <c r="C34" s="272"/>
      <c r="D34" s="272"/>
      <c r="E34" s="300"/>
      <c r="F34" s="534"/>
      <c r="G34" s="335">
        <f>VLOOKUP(A34,'[1]Interac Details'!$A:$B, 2, FALSE)</f>
        <v>0</v>
      </c>
    </row>
    <row r="35" spans="1:8" ht="30.75" hidden="1" customHeight="1" thickBot="1">
      <c r="A35" s="345"/>
      <c r="B35" s="323"/>
      <c r="C35" s="323"/>
      <c r="D35" s="323"/>
      <c r="E35" s="301"/>
      <c r="F35" s="346"/>
      <c r="G35" s="346"/>
    </row>
    <row r="36" spans="1:8" ht="35.25" hidden="1" customHeight="1" thickBot="1">
      <c r="A36" s="473"/>
      <c r="B36" s="1001" t="s">
        <v>791</v>
      </c>
      <c r="C36" s="1002"/>
      <c r="D36" s="1003">
        <f>SUM(E22:E35)</f>
        <v>0</v>
      </c>
      <c r="E36" s="1004"/>
      <c r="F36" s="346"/>
      <c r="G36" s="346"/>
      <c r="H36" s="779">
        <f>D36</f>
        <v>0</v>
      </c>
    </row>
    <row r="37" spans="1:8" ht="35.25" hidden="1" customHeight="1" thickBot="1">
      <c r="A37" s="998" t="s">
        <v>795</v>
      </c>
      <c r="B37" s="999"/>
      <c r="C37" s="999"/>
      <c r="D37" s="999"/>
      <c r="E37" s="999"/>
      <c r="F37" s="1000"/>
    </row>
    <row r="38" spans="1:8" ht="35.25" hidden="1" customHeight="1" thickBot="1">
      <c r="A38" s="343" t="str">
        <f>A3</f>
        <v>PAY PERIOD January 10 - 23, 2025</v>
      </c>
      <c r="B38" s="343" t="s">
        <v>0</v>
      </c>
      <c r="C38" s="343" t="s">
        <v>1</v>
      </c>
      <c r="D38" s="343" t="s">
        <v>2</v>
      </c>
      <c r="E38" s="299" t="s">
        <v>19</v>
      </c>
      <c r="F38" s="299" t="s">
        <v>764</v>
      </c>
      <c r="G38" s="477" t="s">
        <v>794</v>
      </c>
    </row>
    <row r="39" spans="1:8" ht="35.25" hidden="1" customHeight="1">
      <c r="A39" s="320"/>
      <c r="B39" s="272"/>
      <c r="C39" s="272"/>
      <c r="D39" s="272"/>
      <c r="E39" s="300"/>
      <c r="F39" s="493"/>
      <c r="G39" s="335">
        <f>VLOOKUP(A39,'Interac Details'!A:B, 2, FALSE)</f>
        <v>0</v>
      </c>
    </row>
    <row r="40" spans="1:8" ht="35.25" hidden="1" customHeight="1">
      <c r="A40" s="320"/>
      <c r="B40" s="272"/>
      <c r="C40" s="272"/>
      <c r="D40" s="272"/>
      <c r="E40" s="300"/>
      <c r="F40" s="493"/>
      <c r="G40" s="335">
        <f>VLOOKUP(A40,'Interac Details'!A:B, 2, FALSE)</f>
        <v>0</v>
      </c>
    </row>
    <row r="41" spans="1:8" s="326" customFormat="1" ht="33" hidden="1" customHeight="1">
      <c r="A41" s="270"/>
      <c r="B41" s="272"/>
      <c r="C41" s="272"/>
      <c r="D41" s="272"/>
      <c r="E41" s="300"/>
      <c r="F41" s="492"/>
      <c r="G41" s="335"/>
    </row>
    <row r="42" spans="1:8" s="326" customFormat="1" ht="33" hidden="1" customHeight="1" thickBot="1">
      <c r="A42" s="345"/>
      <c r="B42" s="490"/>
      <c r="C42" s="323"/>
      <c r="D42" s="323"/>
      <c r="E42" s="301"/>
      <c r="F42" s="346"/>
      <c r="G42" s="491"/>
    </row>
    <row r="43" spans="1:8" ht="35.25" hidden="1" customHeight="1" thickBot="1">
      <c r="A43" s="473"/>
      <c r="B43" s="1001" t="s">
        <v>791</v>
      </c>
      <c r="C43" s="1002"/>
      <c r="D43" s="1003">
        <f>SUM(E39:E41)</f>
        <v>0</v>
      </c>
      <c r="E43" s="1004"/>
      <c r="F43" s="346"/>
      <c r="G43" s="346"/>
    </row>
    <row r="44" spans="1:8" ht="35.25" hidden="1" customHeight="1" thickBot="1">
      <c r="A44" s="321"/>
      <c r="B44" s="321"/>
      <c r="C44" s="321"/>
      <c r="D44" s="321"/>
      <c r="E44" s="321"/>
    </row>
    <row r="45" spans="1:8" ht="35.25" customHeight="1" thickBot="1">
      <c r="A45" s="998" t="s">
        <v>172</v>
      </c>
      <c r="B45" s="999"/>
      <c r="C45" s="999"/>
      <c r="D45" s="999"/>
      <c r="E45" s="999"/>
      <c r="F45" s="1000"/>
    </row>
    <row r="46" spans="1:8" ht="35.25" customHeight="1" thickBot="1">
      <c r="A46" s="343" t="str">
        <f>A3</f>
        <v>PAY PERIOD January 10 - 23, 2025</v>
      </c>
      <c r="B46" s="343" t="s">
        <v>0</v>
      </c>
      <c r="C46" s="343" t="s">
        <v>1</v>
      </c>
      <c r="D46" s="343" t="s">
        <v>2</v>
      </c>
      <c r="E46" s="299" t="s">
        <v>19</v>
      </c>
      <c r="F46" s="349"/>
      <c r="G46" s="477" t="s">
        <v>794</v>
      </c>
    </row>
    <row r="47" spans="1:8" ht="35.25" customHeight="1">
      <c r="A47" s="270" t="s">
        <v>441</v>
      </c>
      <c r="B47" s="272">
        <v>82</v>
      </c>
      <c r="C47" s="272" t="s">
        <v>22</v>
      </c>
      <c r="D47" s="272">
        <v>16.649999999999999</v>
      </c>
      <c r="E47" s="300">
        <v>1365.3</v>
      </c>
      <c r="F47" s="534" t="s">
        <v>440</v>
      </c>
      <c r="G47" s="335" t="s">
        <v>1125</v>
      </c>
    </row>
    <row r="48" spans="1:8" ht="35.25" customHeight="1">
      <c r="A48" s="270" t="s">
        <v>338</v>
      </c>
      <c r="B48" s="272">
        <v>78.5</v>
      </c>
      <c r="C48" s="272" t="s">
        <v>22</v>
      </c>
      <c r="D48" s="272">
        <v>16.649999999999999</v>
      </c>
      <c r="E48" s="300">
        <v>1307.0249999999999</v>
      </c>
      <c r="F48" s="534" t="s">
        <v>440</v>
      </c>
      <c r="G48" s="335" t="s">
        <v>6194</v>
      </c>
    </row>
    <row r="49" spans="1:8" ht="35.25" customHeight="1" thickBot="1">
      <c r="A49" s="322"/>
      <c r="B49" s="323"/>
      <c r="C49" s="323"/>
      <c r="D49" s="323"/>
      <c r="E49" s="301"/>
      <c r="F49" s="297"/>
      <c r="G49" s="297"/>
    </row>
    <row r="50" spans="1:8" ht="35.25" customHeight="1" thickBot="1">
      <c r="A50" s="473"/>
      <c r="B50" s="1001" t="s">
        <v>791</v>
      </c>
      <c r="C50" s="1002"/>
      <c r="D50" s="1003">
        <f>SUM(E47:E48)</f>
        <v>2672.3249999999998</v>
      </c>
      <c r="E50" s="1005"/>
      <c r="F50" s="346"/>
      <c r="G50" s="346"/>
      <c r="H50" s="779">
        <f>D50</f>
        <v>2672.3249999999998</v>
      </c>
    </row>
    <row r="51" spans="1:8" ht="35.25" hidden="1" customHeight="1" thickBot="1">
      <c r="A51" s="998" t="s">
        <v>17</v>
      </c>
      <c r="B51" s="999"/>
      <c r="C51" s="999"/>
      <c r="D51" s="999"/>
      <c r="E51" s="999"/>
      <c r="F51" s="1000"/>
    </row>
    <row r="52" spans="1:8" ht="35.25" hidden="1" customHeight="1" thickBot="1">
      <c r="A52" s="343" t="str">
        <f>A3</f>
        <v>PAY PERIOD January 10 - 23, 2025</v>
      </c>
      <c r="B52" s="343" t="s">
        <v>0</v>
      </c>
      <c r="C52" s="343" t="s">
        <v>1</v>
      </c>
      <c r="D52" s="343" t="s">
        <v>2</v>
      </c>
      <c r="E52" s="299" t="s">
        <v>19</v>
      </c>
      <c r="F52" s="299" t="s">
        <v>764</v>
      </c>
      <c r="G52" s="477" t="s">
        <v>794</v>
      </c>
    </row>
    <row r="53" spans="1:8" ht="35.25" hidden="1" customHeight="1">
      <c r="A53" s="270"/>
      <c r="B53" s="272"/>
      <c r="C53" s="272"/>
      <c r="D53" s="272"/>
      <c r="E53" s="300"/>
      <c r="F53" s="534"/>
      <c r="G53" s="335">
        <f>VLOOKUP(A53,'[1]Interac Details'!$A:$B, 2, FALSE)</f>
        <v>0</v>
      </c>
    </row>
    <row r="54" spans="1:8" ht="35.25" hidden="1" customHeight="1">
      <c r="A54" s="270"/>
      <c r="B54" s="272"/>
      <c r="C54" s="272"/>
      <c r="D54" s="272"/>
      <c r="E54" s="300"/>
      <c r="F54" s="534"/>
      <c r="G54" s="335">
        <f>VLOOKUP(A54,'[1]Interac Details'!$A:$B, 2, FALSE)</f>
        <v>0</v>
      </c>
    </row>
    <row r="55" spans="1:8" ht="35.25" hidden="1" customHeight="1" thickBot="1">
      <c r="A55" s="345"/>
      <c r="B55" s="323"/>
      <c r="C55" s="323"/>
      <c r="D55" s="323"/>
      <c r="E55" s="301"/>
      <c r="F55" s="297"/>
      <c r="G55" s="478"/>
    </row>
    <row r="56" spans="1:8" ht="35.25" hidden="1" customHeight="1" thickBot="1">
      <c r="A56" s="473"/>
      <c r="B56" s="1001" t="s">
        <v>791</v>
      </c>
      <c r="C56" s="1002"/>
      <c r="D56" s="1003">
        <f>SUM(E53:E54)</f>
        <v>0</v>
      </c>
      <c r="E56" s="1004"/>
      <c r="F56" s="297"/>
      <c r="G56" s="478"/>
      <c r="H56" s="779">
        <f>D56</f>
        <v>0</v>
      </c>
    </row>
    <row r="57" spans="1:8" ht="35.25" hidden="1" customHeight="1" thickBot="1">
      <c r="A57" s="350"/>
      <c r="B57" s="351"/>
      <c r="C57" s="352"/>
      <c r="D57" s="351"/>
      <c r="E57" s="302"/>
      <c r="F57" s="297"/>
      <c r="G57" s="478"/>
    </row>
    <row r="58" spans="1:8" ht="35.25" hidden="1" customHeight="1" thickBot="1">
      <c r="A58" s="998" t="s">
        <v>796</v>
      </c>
      <c r="B58" s="999"/>
      <c r="C58" s="999"/>
      <c r="D58" s="999"/>
      <c r="E58" s="999"/>
      <c r="F58" s="1000"/>
    </row>
    <row r="59" spans="1:8" ht="35.25" hidden="1" customHeight="1" thickBot="1">
      <c r="A59" s="343" t="str">
        <f>A3</f>
        <v>PAY PERIOD January 10 - 23, 2025</v>
      </c>
      <c r="B59" s="343" t="s">
        <v>0</v>
      </c>
      <c r="C59" s="343" t="s">
        <v>1</v>
      </c>
      <c r="D59" s="343" t="s">
        <v>2</v>
      </c>
      <c r="E59" s="299" t="s">
        <v>19</v>
      </c>
      <c r="F59" s="299" t="s">
        <v>764</v>
      </c>
      <c r="G59" s="477" t="s">
        <v>794</v>
      </c>
    </row>
    <row r="60" spans="1:8" ht="35.25" hidden="1" customHeight="1">
      <c r="A60" s="270" t="s">
        <v>39</v>
      </c>
      <c r="B60" s="272"/>
      <c r="C60" s="272"/>
      <c r="D60" s="272"/>
      <c r="E60" s="300"/>
      <c r="F60" s="534"/>
      <c r="G60" s="335" t="str">
        <f>VLOOKUP(A60,'[1]Interac Details'!$A:$B, 2, FALSE)</f>
        <v>ellehci_m@yahoo.com.ph</v>
      </c>
    </row>
    <row r="61" spans="1:8" ht="35.25" hidden="1" customHeight="1">
      <c r="A61" s="270" t="s">
        <v>43</v>
      </c>
      <c r="B61" s="272"/>
      <c r="C61" s="272"/>
      <c r="D61" s="272"/>
      <c r="E61" s="300"/>
      <c r="F61" s="534"/>
      <c r="G61" s="335" t="str">
        <f>VLOOKUP(A61,'[1]Interac Details'!$A:$B, 2, FALSE)</f>
        <v>ellehci_m@yahoo.com.ph</v>
      </c>
    </row>
    <row r="62" spans="1:8" ht="35.25" hidden="1" customHeight="1">
      <c r="A62" s="270"/>
      <c r="B62" s="272"/>
      <c r="C62" s="272"/>
      <c r="D62" s="272"/>
      <c r="E62" s="300"/>
      <c r="F62" s="534"/>
      <c r="G62" s="335"/>
    </row>
    <row r="63" spans="1:8" ht="35.25" hidden="1" customHeight="1" thickBot="1">
      <c r="A63" s="345"/>
      <c r="B63" s="323"/>
      <c r="C63" s="323"/>
      <c r="D63" s="323"/>
      <c r="E63" s="301"/>
      <c r="F63" s="297"/>
      <c r="G63" s="478"/>
    </row>
    <row r="64" spans="1:8" ht="35.25" hidden="1" customHeight="1" thickBot="1">
      <c r="A64" s="473"/>
      <c r="B64" s="1001" t="s">
        <v>791</v>
      </c>
      <c r="C64" s="1002"/>
      <c r="D64" s="1003">
        <f>SUM(E60:E61)</f>
        <v>0</v>
      </c>
      <c r="E64" s="1004"/>
      <c r="F64" s="297"/>
      <c r="G64" s="478"/>
      <c r="H64" s="779">
        <f>D64</f>
        <v>0</v>
      </c>
    </row>
    <row r="65" spans="1:8" ht="35.25" hidden="1" customHeight="1" thickBot="1">
      <c r="A65" s="350"/>
      <c r="B65" s="351"/>
      <c r="C65" s="352"/>
      <c r="D65" s="351"/>
      <c r="E65" s="302"/>
      <c r="F65" s="297"/>
      <c r="G65" s="478"/>
    </row>
    <row r="66" spans="1:8" ht="35.25" hidden="1" customHeight="1" thickBot="1">
      <c r="A66" s="998" t="s">
        <v>797</v>
      </c>
      <c r="B66" s="999"/>
      <c r="C66" s="999"/>
      <c r="D66" s="999"/>
      <c r="E66" s="999"/>
      <c r="F66" s="1000"/>
    </row>
    <row r="67" spans="1:8" ht="35.25" hidden="1" customHeight="1" thickBot="1">
      <c r="A67" s="343" t="str">
        <f>A3</f>
        <v>PAY PERIOD January 10 - 23, 2025</v>
      </c>
      <c r="B67" s="343" t="s">
        <v>0</v>
      </c>
      <c r="C67" s="343" t="s">
        <v>1</v>
      </c>
      <c r="D67" s="343" t="s">
        <v>2</v>
      </c>
      <c r="E67" s="299" t="s">
        <v>19</v>
      </c>
      <c r="F67" s="299" t="s">
        <v>764</v>
      </c>
      <c r="G67" s="477" t="s">
        <v>794</v>
      </c>
    </row>
    <row r="68" spans="1:8" ht="35.25" hidden="1" customHeight="1">
      <c r="A68" s="270" t="s">
        <v>56</v>
      </c>
      <c r="B68" s="272"/>
      <c r="C68" s="272"/>
      <c r="D68" s="272"/>
      <c r="E68" s="300"/>
      <c r="F68" s="534"/>
      <c r="G68" s="335" t="str">
        <f>VLOOKUP(A68,'[1]Interac Details'!$A:$B, 2, FALSE)</f>
        <v>cathypundz@gmail.com</v>
      </c>
    </row>
    <row r="69" spans="1:8" ht="35.25" hidden="1" customHeight="1" thickBot="1">
      <c r="A69" s="345"/>
      <c r="B69" s="323"/>
      <c r="C69" s="323"/>
      <c r="D69" s="323"/>
      <c r="E69" s="301"/>
      <c r="F69" s="297"/>
      <c r="G69" s="478"/>
    </row>
    <row r="70" spans="1:8" ht="35.25" hidden="1" customHeight="1" thickBot="1">
      <c r="A70" s="473"/>
      <c r="B70" s="1001" t="s">
        <v>791</v>
      </c>
      <c r="C70" s="1002"/>
      <c r="D70" s="1003">
        <f>SUM(E68:E68)</f>
        <v>0</v>
      </c>
      <c r="E70" s="1004"/>
      <c r="F70" s="297"/>
      <c r="G70" s="478"/>
      <c r="H70" s="779">
        <f>D70</f>
        <v>0</v>
      </c>
    </row>
    <row r="71" spans="1:8" ht="35.25" hidden="1" customHeight="1" thickBot="1">
      <c r="A71" s="350"/>
      <c r="B71" s="351"/>
      <c r="C71" s="352"/>
      <c r="D71" s="351"/>
      <c r="E71" s="302"/>
      <c r="F71" s="297"/>
      <c r="G71" s="478"/>
    </row>
    <row r="72" spans="1:8" ht="35.25" hidden="1" customHeight="1" thickBot="1">
      <c r="A72" s="998" t="s">
        <v>694</v>
      </c>
      <c r="B72" s="999"/>
      <c r="C72" s="999"/>
      <c r="D72" s="999"/>
      <c r="E72" s="999"/>
      <c r="F72" s="1000"/>
    </row>
    <row r="73" spans="1:8" ht="35.25" hidden="1" customHeight="1" thickBot="1">
      <c r="A73" s="343" t="str">
        <f>A3</f>
        <v>PAY PERIOD January 10 - 23, 2025</v>
      </c>
      <c r="B73" s="343" t="s">
        <v>0</v>
      </c>
      <c r="C73" s="343" t="s">
        <v>1</v>
      </c>
      <c r="D73" s="343" t="s">
        <v>2</v>
      </c>
      <c r="E73" s="299" t="s">
        <v>19</v>
      </c>
      <c r="F73" s="299" t="s">
        <v>764</v>
      </c>
      <c r="G73" s="477" t="s">
        <v>794</v>
      </c>
    </row>
    <row r="74" spans="1:8" ht="35.25" hidden="1" customHeight="1">
      <c r="A74" s="284"/>
      <c r="B74" s="347"/>
      <c r="C74" s="347"/>
      <c r="D74" s="347"/>
      <c r="E74" s="298"/>
      <c r="F74" s="348"/>
      <c r="G74" s="335"/>
    </row>
    <row r="75" spans="1:8" ht="35.25" hidden="1" customHeight="1">
      <c r="A75" s="284"/>
      <c r="B75" s="347"/>
      <c r="C75" s="347"/>
      <c r="D75" s="347"/>
      <c r="E75" s="298"/>
      <c r="F75" s="348"/>
      <c r="G75" s="335"/>
    </row>
    <row r="76" spans="1:8" ht="35.25" hidden="1" customHeight="1">
      <c r="A76" s="316"/>
      <c r="B76" s="347"/>
      <c r="C76" s="347"/>
      <c r="D76" s="347"/>
      <c r="E76" s="298"/>
      <c r="F76" s="348"/>
      <c r="G76" s="335"/>
    </row>
    <row r="77" spans="1:8" ht="35.25" hidden="1" customHeight="1" thickBot="1">
      <c r="A77" s="345"/>
      <c r="B77" s="323"/>
      <c r="C77" s="323"/>
      <c r="D77" s="323"/>
      <c r="E77" s="301"/>
      <c r="F77" s="297"/>
      <c r="G77" s="478"/>
    </row>
    <row r="78" spans="1:8" ht="35.25" hidden="1" customHeight="1" thickBot="1">
      <c r="A78" s="473"/>
      <c r="B78" s="1001" t="s">
        <v>791</v>
      </c>
      <c r="C78" s="1002"/>
      <c r="D78" s="1003">
        <f>SUM(E74:E76)</f>
        <v>0</v>
      </c>
      <c r="E78" s="1004"/>
      <c r="F78" s="297"/>
      <c r="G78" s="478"/>
      <c r="H78" s="779">
        <f>D78</f>
        <v>0</v>
      </c>
    </row>
    <row r="79" spans="1:8" ht="35.25" hidden="1" customHeight="1" thickBot="1">
      <c r="A79" s="473"/>
      <c r="B79" s="900"/>
      <c r="C79" s="900"/>
      <c r="D79" s="901"/>
      <c r="E79" s="628"/>
      <c r="F79" s="297"/>
      <c r="G79" s="478"/>
    </row>
    <row r="80" spans="1:8" ht="35.25" hidden="1" customHeight="1" thickBot="1">
      <c r="A80" s="473"/>
      <c r="B80" s="900"/>
      <c r="C80" s="900"/>
      <c r="D80" s="901"/>
      <c r="E80" s="628"/>
      <c r="F80" s="297"/>
      <c r="G80" s="478"/>
    </row>
    <row r="81" spans="1:8" ht="35.25" hidden="1" customHeight="1" thickBot="1">
      <c r="A81" s="998" t="s">
        <v>798</v>
      </c>
      <c r="B81" s="999"/>
      <c r="C81" s="999"/>
      <c r="D81" s="999"/>
      <c r="E81" s="999"/>
      <c r="F81" s="1000"/>
    </row>
    <row r="82" spans="1:8" ht="35.25" hidden="1" customHeight="1" thickBot="1">
      <c r="A82" s="343" t="str">
        <f>A3</f>
        <v>PAY PERIOD January 10 - 23, 2025</v>
      </c>
      <c r="B82" s="343" t="s">
        <v>0</v>
      </c>
      <c r="C82" s="343" t="s">
        <v>1</v>
      </c>
      <c r="D82" s="343" t="s">
        <v>2</v>
      </c>
      <c r="E82" s="299" t="s">
        <v>19</v>
      </c>
      <c r="F82" s="299" t="s">
        <v>764</v>
      </c>
      <c r="G82" s="477" t="s">
        <v>794</v>
      </c>
    </row>
    <row r="83" spans="1:8" ht="35.25" hidden="1" customHeight="1">
      <c r="A83" s="270" t="s">
        <v>799</v>
      </c>
      <c r="B83" s="272"/>
      <c r="C83" s="272"/>
      <c r="D83" s="272"/>
      <c r="E83" s="300"/>
      <c r="F83" s="534"/>
      <c r="G83" s="335" t="s">
        <v>800</v>
      </c>
    </row>
    <row r="84" spans="1:8" ht="35.25" hidden="1" customHeight="1">
      <c r="A84" s="270" t="s">
        <v>801</v>
      </c>
      <c r="B84" s="272"/>
      <c r="C84" s="272"/>
      <c r="D84" s="272"/>
      <c r="E84" s="300"/>
      <c r="F84" s="534"/>
      <c r="G84" s="335" t="e">
        <f>VLOOKUP(A84, [2]!Table4[[Name]:[Interac Email Final]], 3, FALSE)</f>
        <v>#REF!</v>
      </c>
    </row>
    <row r="85" spans="1:8" ht="35.25" hidden="1" customHeight="1">
      <c r="A85" s="270" t="s">
        <v>802</v>
      </c>
      <c r="B85" s="272"/>
      <c r="C85" s="272"/>
      <c r="D85" s="272"/>
      <c r="E85" s="300"/>
      <c r="F85" s="534"/>
      <c r="G85" s="335" t="e">
        <f>VLOOKUP(A85, [2]!Table4[[Name]:[Interac Email Final]], 3, FALSE)</f>
        <v>#REF!</v>
      </c>
    </row>
    <row r="86" spans="1:8" ht="35.25" hidden="1" customHeight="1">
      <c r="A86" s="270" t="s">
        <v>116</v>
      </c>
      <c r="B86" s="272"/>
      <c r="C86" s="272"/>
      <c r="D86" s="272"/>
      <c r="E86" s="300"/>
      <c r="F86" s="534"/>
      <c r="G86" s="335" t="e">
        <f>VLOOKUP(A86, [2]!Table4[[Name]:[Interac Email Final]], 3, FALSE)</f>
        <v>#REF!</v>
      </c>
    </row>
    <row r="87" spans="1:8" ht="35.25" hidden="1" customHeight="1">
      <c r="A87" s="270" t="s">
        <v>803</v>
      </c>
      <c r="B87" s="272"/>
      <c r="C87" s="272"/>
      <c r="D87" s="272"/>
      <c r="E87" s="300"/>
      <c r="F87" s="534"/>
      <c r="G87" s="335" t="e">
        <f>VLOOKUP(A87, [2]!Table4[[Name]:[Interac Email Final]], 3, FALSE)</f>
        <v>#REF!</v>
      </c>
    </row>
    <row r="88" spans="1:8" ht="35.25" hidden="1" customHeight="1" thickBot="1">
      <c r="A88" s="345"/>
      <c r="B88" s="323"/>
      <c r="C88" s="323"/>
      <c r="D88" s="323"/>
      <c r="E88" s="301"/>
      <c r="F88" s="297"/>
      <c r="G88" s="478"/>
    </row>
    <row r="89" spans="1:8" ht="35.25" hidden="1" customHeight="1" thickBot="1">
      <c r="A89" s="473"/>
      <c r="B89" s="1001" t="s">
        <v>791</v>
      </c>
      <c r="C89" s="1002"/>
      <c r="D89" s="1003">
        <f>SUM(E83:E87)</f>
        <v>0</v>
      </c>
      <c r="E89" s="1004"/>
      <c r="F89" s="297"/>
      <c r="G89" s="478"/>
      <c r="H89" s="779">
        <f>D89</f>
        <v>0</v>
      </c>
    </row>
    <row r="90" spans="1:8" ht="35.25" hidden="1" customHeight="1" thickBot="1">
      <c r="A90" s="350"/>
      <c r="B90" s="351"/>
      <c r="C90" s="352"/>
      <c r="D90" s="351"/>
      <c r="E90" s="302"/>
      <c r="F90" s="297"/>
      <c r="G90" s="478"/>
    </row>
    <row r="91" spans="1:8" ht="35.25" hidden="1" customHeight="1" thickBot="1">
      <c r="A91" s="998" t="s">
        <v>594</v>
      </c>
      <c r="B91" s="999"/>
      <c r="C91" s="999"/>
      <c r="D91" s="999"/>
      <c r="E91" s="999"/>
      <c r="F91" s="1000"/>
    </row>
    <row r="92" spans="1:8" ht="35.25" hidden="1" customHeight="1" thickBot="1">
      <c r="A92" s="343" t="str">
        <f>A3</f>
        <v>PAY PERIOD January 10 - 23, 2025</v>
      </c>
      <c r="B92" s="343" t="s">
        <v>0</v>
      </c>
      <c r="C92" s="343" t="s">
        <v>1</v>
      </c>
      <c r="D92" s="343" t="s">
        <v>2</v>
      </c>
      <c r="E92" s="299" t="s">
        <v>19</v>
      </c>
      <c r="F92" s="299" t="s">
        <v>764</v>
      </c>
      <c r="G92" s="477" t="s">
        <v>794</v>
      </c>
    </row>
    <row r="93" spans="1:8" ht="35.25" hidden="1" customHeight="1">
      <c r="A93" s="270"/>
      <c r="B93" s="272"/>
      <c r="C93" s="272"/>
      <c r="D93" s="272"/>
      <c r="E93" s="300"/>
      <c r="F93" s="534"/>
      <c r="G93" s="335"/>
    </row>
    <row r="94" spans="1:8" ht="35.25" hidden="1" customHeight="1">
      <c r="A94" s="270"/>
      <c r="B94" s="272"/>
      <c r="C94" s="272"/>
      <c r="D94" s="272"/>
      <c r="E94" s="300"/>
      <c r="F94" s="534"/>
      <c r="G94" s="335"/>
    </row>
    <row r="95" spans="1:8" ht="35.25" hidden="1" customHeight="1">
      <c r="A95" s="270"/>
      <c r="B95" s="272"/>
      <c r="C95" s="272"/>
      <c r="D95" s="272"/>
      <c r="E95" s="300"/>
      <c r="F95" s="534"/>
      <c r="G95" s="335"/>
    </row>
    <row r="96" spans="1:8" ht="35.25" hidden="1" customHeight="1" thickBot="1">
      <c r="A96" s="345"/>
      <c r="B96" s="323"/>
      <c r="C96" s="323"/>
      <c r="D96" s="323"/>
      <c r="E96" s="301"/>
      <c r="F96" s="297"/>
      <c r="G96" s="478"/>
    </row>
    <row r="97" spans="1:8" ht="35.25" hidden="1" customHeight="1" thickBot="1">
      <c r="A97" s="473"/>
      <c r="B97" s="1001" t="s">
        <v>791</v>
      </c>
      <c r="C97" s="1002"/>
      <c r="D97" s="1003">
        <f>SUM(E93:E95)</f>
        <v>0</v>
      </c>
      <c r="E97" s="1005"/>
      <c r="F97" s="297"/>
      <c r="G97" s="478"/>
      <c r="H97" s="779">
        <f>D97</f>
        <v>0</v>
      </c>
    </row>
    <row r="98" spans="1:8" ht="35.25" hidden="1" customHeight="1" thickBot="1">
      <c r="A98" s="350"/>
      <c r="B98" s="351"/>
      <c r="C98" s="352"/>
      <c r="D98" s="351"/>
      <c r="E98" s="302"/>
      <c r="F98" s="297"/>
      <c r="G98" s="478"/>
    </row>
    <row r="99" spans="1:8" ht="35.25" hidden="1" customHeight="1" thickBot="1">
      <c r="A99" s="998" t="s">
        <v>610</v>
      </c>
      <c r="B99" s="999"/>
      <c r="C99" s="999"/>
      <c r="D99" s="999"/>
      <c r="E99" s="999"/>
      <c r="F99" s="1000"/>
    </row>
    <row r="100" spans="1:8" ht="35.25" hidden="1" customHeight="1" thickBot="1">
      <c r="A100" s="343" t="str">
        <f>A3</f>
        <v>PAY PERIOD January 10 - 23, 2025</v>
      </c>
      <c r="B100" s="343" t="s">
        <v>0</v>
      </c>
      <c r="C100" s="343" t="s">
        <v>1</v>
      </c>
      <c r="D100" s="343" t="s">
        <v>2</v>
      </c>
      <c r="E100" s="299" t="s">
        <v>19</v>
      </c>
      <c r="F100" s="299" t="s">
        <v>764</v>
      </c>
      <c r="G100" s="477" t="s">
        <v>794</v>
      </c>
    </row>
    <row r="101" spans="1:8" ht="35.25" hidden="1" customHeight="1">
      <c r="A101" s="270"/>
      <c r="B101" s="272"/>
      <c r="C101" s="272"/>
      <c r="D101" s="272"/>
      <c r="E101" s="300"/>
      <c r="F101" s="534"/>
      <c r="G101" s="335"/>
    </row>
    <row r="102" spans="1:8" ht="35.25" hidden="1" customHeight="1" thickBot="1">
      <c r="A102" s="345"/>
      <c r="B102" s="323"/>
      <c r="C102" s="323"/>
      <c r="D102" s="323"/>
      <c r="E102" s="301"/>
      <c r="F102" s="297"/>
      <c r="G102" s="478"/>
    </row>
    <row r="103" spans="1:8" ht="35.25" hidden="1" customHeight="1" thickBot="1">
      <c r="A103" s="473"/>
      <c r="B103" s="1001" t="s">
        <v>791</v>
      </c>
      <c r="C103" s="1002"/>
      <c r="D103" s="1003">
        <f>SUM(E101:E101)</f>
        <v>0</v>
      </c>
      <c r="E103" s="1005"/>
      <c r="F103" s="297"/>
      <c r="G103" s="478"/>
      <c r="H103" s="779">
        <f>D103</f>
        <v>0</v>
      </c>
    </row>
    <row r="104" spans="1:8" ht="35.25" hidden="1" customHeight="1" thickBot="1">
      <c r="A104" s="350"/>
      <c r="B104" s="351"/>
      <c r="C104" s="352"/>
      <c r="D104" s="351"/>
      <c r="E104" s="302"/>
      <c r="F104" s="297"/>
      <c r="G104" s="478"/>
    </row>
    <row r="105" spans="1:8" ht="35.25" hidden="1" customHeight="1" thickBot="1">
      <c r="A105" s="998" t="s">
        <v>804</v>
      </c>
      <c r="B105" s="999"/>
      <c r="C105" s="999"/>
      <c r="D105" s="999"/>
      <c r="E105" s="999"/>
      <c r="F105" s="1000"/>
    </row>
    <row r="106" spans="1:8" ht="35.25" hidden="1" customHeight="1" thickBot="1">
      <c r="A106" s="343" t="str">
        <f>A3</f>
        <v>PAY PERIOD January 10 - 23, 2025</v>
      </c>
      <c r="B106" s="343" t="s">
        <v>0</v>
      </c>
      <c r="C106" s="343" t="s">
        <v>1</v>
      </c>
      <c r="D106" s="343" t="s">
        <v>2</v>
      </c>
      <c r="E106" s="299" t="s">
        <v>19</v>
      </c>
      <c r="F106" s="299" t="s">
        <v>764</v>
      </c>
      <c r="G106" s="477" t="s">
        <v>794</v>
      </c>
    </row>
    <row r="107" spans="1:8" ht="35.25" hidden="1" customHeight="1">
      <c r="A107" s="270" t="s">
        <v>70</v>
      </c>
      <c r="B107" s="272"/>
      <c r="C107" s="272"/>
      <c r="D107" s="272"/>
      <c r="E107" s="300"/>
      <c r="F107" s="534"/>
      <c r="G107" s="335" t="str">
        <f>VLOOKUP(A107,'[1]Interac Details'!$A:$B, 2, FALSE)</f>
        <v>Omoyeletimi03@gmail.com</v>
      </c>
    </row>
    <row r="108" spans="1:8" ht="35.25" hidden="1" customHeight="1">
      <c r="A108" s="316"/>
      <c r="B108" s="347"/>
      <c r="C108" s="347"/>
      <c r="D108" s="347"/>
      <c r="E108" s="298"/>
      <c r="F108" s="348"/>
      <c r="G108" s="335"/>
    </row>
    <row r="109" spans="1:8" ht="35.25" hidden="1" customHeight="1" thickBot="1">
      <c r="A109" s="345"/>
      <c r="B109" s="323"/>
      <c r="C109" s="323"/>
      <c r="D109" s="323"/>
      <c r="E109" s="301"/>
      <c r="F109" s="297"/>
      <c r="G109" s="478"/>
    </row>
    <row r="110" spans="1:8" ht="35.25" hidden="1" customHeight="1" thickBot="1">
      <c r="A110" s="473"/>
      <c r="B110" s="1001" t="s">
        <v>791</v>
      </c>
      <c r="C110" s="1002"/>
      <c r="D110" s="1003">
        <f>SUM(E107:E108)</f>
        <v>0</v>
      </c>
      <c r="E110" s="1005"/>
      <c r="F110" s="297"/>
      <c r="G110" s="478"/>
      <c r="H110" s="779">
        <f>D110</f>
        <v>0</v>
      </c>
    </row>
    <row r="111" spans="1:8" ht="35.25" hidden="1" customHeight="1" thickBot="1">
      <c r="A111" s="998" t="s">
        <v>805</v>
      </c>
      <c r="B111" s="999"/>
      <c r="C111" s="999"/>
      <c r="D111" s="999"/>
      <c r="E111" s="999"/>
      <c r="F111" s="1000"/>
    </row>
    <row r="112" spans="1:8" ht="35.25" hidden="1" customHeight="1" thickBot="1">
      <c r="A112" s="343" t="str">
        <f>A3</f>
        <v>PAY PERIOD January 10 - 23, 2025</v>
      </c>
      <c r="B112" s="343" t="s">
        <v>0</v>
      </c>
      <c r="C112" s="343" t="s">
        <v>1</v>
      </c>
      <c r="D112" s="343" t="s">
        <v>2</v>
      </c>
      <c r="E112" s="299" t="s">
        <v>19</v>
      </c>
      <c r="F112" s="299" t="s">
        <v>764</v>
      </c>
      <c r="G112" s="477" t="s">
        <v>794</v>
      </c>
    </row>
    <row r="113" spans="1:8" ht="35.25" hidden="1" customHeight="1">
      <c r="A113" s="270" t="s">
        <v>88</v>
      </c>
      <c r="B113" s="272"/>
      <c r="C113" s="272"/>
      <c r="D113" s="272"/>
      <c r="E113" s="300"/>
      <c r="F113" s="534" t="s">
        <v>72</v>
      </c>
      <c r="G113" s="335" t="e">
        <f>VLOOKUP(A113, [3]!Table4[[Name]:[Interac Email Final]], 3, FALSE)</f>
        <v>#REF!</v>
      </c>
    </row>
    <row r="114" spans="1:8" ht="35.25" hidden="1" customHeight="1">
      <c r="A114" s="270" t="s">
        <v>705</v>
      </c>
      <c r="B114" s="272"/>
      <c r="C114" s="272"/>
      <c r="D114" s="272"/>
      <c r="E114" s="300"/>
      <c r="F114" s="534" t="s">
        <v>72</v>
      </c>
      <c r="G114" s="335" t="e">
        <f>VLOOKUP(A114, [3]!Table4[[Name]:[Interac Email Final]], 3, FALSE)</f>
        <v>#REF!</v>
      </c>
    </row>
    <row r="115" spans="1:8" ht="35.25" hidden="1" customHeight="1">
      <c r="A115" s="270" t="s">
        <v>85</v>
      </c>
      <c r="B115" s="272"/>
      <c r="C115" s="272"/>
      <c r="D115" s="272"/>
      <c r="E115" s="300"/>
      <c r="F115" s="534" t="s">
        <v>72</v>
      </c>
      <c r="G115" s="335" t="e">
        <f>VLOOKUP(A115, [3]!Table4[[Name]:[Interac Email Final]], 3, FALSE)</f>
        <v>#REF!</v>
      </c>
    </row>
    <row r="116" spans="1:8" ht="35.25" hidden="1" customHeight="1">
      <c r="A116" s="270" t="s">
        <v>89</v>
      </c>
      <c r="B116" s="272"/>
      <c r="C116" s="272"/>
      <c r="D116" s="272"/>
      <c r="E116" s="300"/>
      <c r="F116" s="534" t="s">
        <v>72</v>
      </c>
      <c r="G116" s="335" t="e">
        <f>VLOOKUP(A116, [3]!Table4[[Name]:[Interac Email Final]], 3, FALSE)</f>
        <v>#REF!</v>
      </c>
    </row>
    <row r="117" spans="1:8" ht="35.25" hidden="1" customHeight="1">
      <c r="A117" s="270" t="s">
        <v>75</v>
      </c>
      <c r="B117" s="272"/>
      <c r="C117" s="272"/>
      <c r="D117" s="272"/>
      <c r="E117" s="300"/>
      <c r="F117" s="534" t="s">
        <v>72</v>
      </c>
      <c r="G117" s="335" t="e">
        <f>VLOOKUP(A117, [3]!Table4[[Name]:[Interac Email Final]], 3, FALSE)</f>
        <v>#REF!</v>
      </c>
    </row>
    <row r="118" spans="1:8" ht="35.25" hidden="1" customHeight="1">
      <c r="A118" s="270" t="s">
        <v>806</v>
      </c>
      <c r="B118" s="272"/>
      <c r="C118" s="272"/>
      <c r="D118" s="272"/>
      <c r="E118" s="300"/>
      <c r="F118" s="534" t="s">
        <v>72</v>
      </c>
      <c r="G118" s="335" t="e">
        <f>VLOOKUP(A118, [3]!Table4[[Name]:[Interac Email Final]], 3, FALSE)</f>
        <v>#REF!</v>
      </c>
    </row>
    <row r="119" spans="1:8" ht="35.25" hidden="1" customHeight="1">
      <c r="A119" s="270" t="s">
        <v>79</v>
      </c>
      <c r="B119" s="272"/>
      <c r="C119" s="272"/>
      <c r="D119" s="272"/>
      <c r="E119" s="300"/>
      <c r="F119" s="534" t="s">
        <v>72</v>
      </c>
      <c r="G119" s="335" t="e">
        <f>VLOOKUP(A119, [3]!Table4[[Name]:[Interac Email Final]], 3, FALSE)</f>
        <v>#REF!</v>
      </c>
    </row>
    <row r="120" spans="1:8" ht="35.25" hidden="1" customHeight="1">
      <c r="A120" s="270" t="s">
        <v>807</v>
      </c>
      <c r="B120" s="272"/>
      <c r="C120" s="272"/>
      <c r="D120" s="272"/>
      <c r="E120" s="300"/>
      <c r="F120" s="534" t="s">
        <v>72</v>
      </c>
      <c r="G120" s="335" t="e">
        <f>VLOOKUP(A120, [3]!Table4[[Name]:[Interac Email Final]], 3, FALSE)</f>
        <v>#REF!</v>
      </c>
    </row>
    <row r="121" spans="1:8" ht="35.25" hidden="1" customHeight="1">
      <c r="A121" s="270" t="s">
        <v>82</v>
      </c>
      <c r="B121" s="272"/>
      <c r="C121" s="272"/>
      <c r="D121" s="272"/>
      <c r="E121" s="300"/>
      <c r="F121" s="534" t="s">
        <v>72</v>
      </c>
      <c r="G121" s="335" t="e">
        <f>VLOOKUP(A121, [3]!Table4[[Name]:[Interac Email Final]], 3, FALSE)</f>
        <v>#REF!</v>
      </c>
    </row>
    <row r="122" spans="1:8" ht="35.25" hidden="1" customHeight="1" thickBot="1">
      <c r="A122" s="345"/>
      <c r="B122" s="323"/>
      <c r="C122" s="323"/>
      <c r="D122" s="323"/>
      <c r="E122" s="301"/>
      <c r="F122" s="297"/>
      <c r="G122" s="478"/>
    </row>
    <row r="123" spans="1:8" ht="35.25" hidden="1" customHeight="1" thickBot="1">
      <c r="A123" s="473"/>
      <c r="B123" s="1001" t="s">
        <v>791</v>
      </c>
      <c r="C123" s="1002"/>
      <c r="D123" s="1003">
        <f>SUM(E113:E122)</f>
        <v>0</v>
      </c>
      <c r="E123" s="1004"/>
      <c r="F123" s="297"/>
      <c r="G123" s="478"/>
      <c r="H123" s="779">
        <f>D123</f>
        <v>0</v>
      </c>
    </row>
    <row r="124" spans="1:8" ht="35.25" hidden="1" customHeight="1" thickBot="1">
      <c r="A124" s="998" t="s">
        <v>808</v>
      </c>
      <c r="B124" s="999"/>
      <c r="C124" s="999"/>
      <c r="D124" s="999"/>
      <c r="E124" s="999"/>
      <c r="F124" s="1000"/>
    </row>
    <row r="125" spans="1:8" ht="35.25" hidden="1" customHeight="1" thickBot="1">
      <c r="A125" s="343" t="str">
        <f>A3</f>
        <v>PAY PERIOD January 10 - 23, 2025</v>
      </c>
      <c r="B125" s="343" t="s">
        <v>0</v>
      </c>
      <c r="C125" s="343" t="s">
        <v>1</v>
      </c>
      <c r="D125" s="343" t="s">
        <v>2</v>
      </c>
      <c r="E125" s="299" t="s">
        <v>19</v>
      </c>
      <c r="F125" s="299" t="s">
        <v>764</v>
      </c>
      <c r="G125" s="477" t="s">
        <v>794</v>
      </c>
    </row>
    <row r="126" spans="1:8" ht="35.25" hidden="1" customHeight="1">
      <c r="A126" s="270"/>
      <c r="B126" s="272"/>
      <c r="C126" s="272"/>
      <c r="D126" s="272"/>
      <c r="E126" s="300"/>
      <c r="F126" s="629"/>
      <c r="G126" s="335"/>
    </row>
    <row r="127" spans="1:8" ht="35.25" hidden="1" customHeight="1">
      <c r="A127" s="316"/>
      <c r="B127" s="347"/>
      <c r="C127" s="347"/>
      <c r="D127" s="347"/>
      <c r="E127" s="298"/>
      <c r="F127" s="348"/>
      <c r="G127" s="335"/>
    </row>
    <row r="128" spans="1:8" ht="35.25" hidden="1" customHeight="1" thickBot="1">
      <c r="A128" s="345"/>
      <c r="B128" s="323"/>
      <c r="C128" s="323"/>
      <c r="D128" s="323"/>
      <c r="E128" s="301"/>
      <c r="F128" s="297"/>
      <c r="G128" s="478"/>
    </row>
    <row r="129" spans="1:7" ht="35.25" hidden="1" customHeight="1" thickBot="1">
      <c r="A129" s="473"/>
      <c r="B129" s="1001" t="s">
        <v>791</v>
      </c>
      <c r="C129" s="1002"/>
      <c r="D129" s="1003">
        <f>SUM(E126:E127)</f>
        <v>0</v>
      </c>
      <c r="E129" s="1004"/>
      <c r="F129" s="297"/>
      <c r="G129" s="478"/>
    </row>
    <row r="130" spans="1:7" ht="35.25" hidden="1" customHeight="1">
      <c r="A130" s="350"/>
      <c r="B130" s="351"/>
      <c r="C130" s="352"/>
      <c r="D130" s="351"/>
      <c r="E130" s="302"/>
      <c r="F130" s="297"/>
      <c r="G130" s="478"/>
    </row>
    <row r="131" spans="1:7" ht="35.25" hidden="1" customHeight="1" thickBot="1">
      <c r="A131" s="350"/>
      <c r="B131" s="351"/>
      <c r="C131" s="352"/>
      <c r="D131" s="351"/>
      <c r="E131" s="302"/>
      <c r="F131" s="297"/>
      <c r="G131" s="478"/>
    </row>
    <row r="132" spans="1:7" ht="35.25" hidden="1" customHeight="1" thickBot="1">
      <c r="A132" s="998" t="s">
        <v>565</v>
      </c>
      <c r="B132" s="999"/>
      <c r="C132" s="999"/>
      <c r="D132" s="999"/>
      <c r="E132" s="999"/>
      <c r="F132" s="1000"/>
    </row>
    <row r="133" spans="1:7" ht="35.25" hidden="1" customHeight="1" thickBot="1">
      <c r="A133" s="343" t="str">
        <f>A3</f>
        <v>PAY PERIOD January 10 - 23, 2025</v>
      </c>
      <c r="B133" s="343" t="s">
        <v>0</v>
      </c>
      <c r="C133" s="343" t="s">
        <v>1</v>
      </c>
      <c r="D133" s="343" t="s">
        <v>2</v>
      </c>
      <c r="E133" s="299" t="s">
        <v>19</v>
      </c>
      <c r="F133" s="299" t="s">
        <v>764</v>
      </c>
      <c r="G133" s="477" t="s">
        <v>794</v>
      </c>
    </row>
    <row r="134" spans="1:7" ht="35.25" hidden="1" customHeight="1">
      <c r="A134" s="270" t="s">
        <v>324</v>
      </c>
      <c r="B134" s="272"/>
      <c r="C134" s="272"/>
      <c r="D134" s="272"/>
      <c r="E134" s="300"/>
      <c r="F134" s="534"/>
      <c r="G134" s="335" t="e">
        <f>VLOOKUP(A134, [2]!Table4[[Name]:[Interac Email Final]], 3, FALSE)</f>
        <v>#REF!</v>
      </c>
    </row>
    <row r="135" spans="1:7" ht="35.25" hidden="1" customHeight="1">
      <c r="A135" s="270" t="s">
        <v>379</v>
      </c>
      <c r="B135" s="272"/>
      <c r="C135" s="272"/>
      <c r="D135" s="272"/>
      <c r="E135" s="300"/>
      <c r="F135" s="534"/>
      <c r="G135" s="335" t="e">
        <f>VLOOKUP(A135, [2]!Table4[[Name]:[Interac Email Final]], 3, FALSE)</f>
        <v>#REF!</v>
      </c>
    </row>
    <row r="136" spans="1:7" ht="35.25" hidden="1" customHeight="1">
      <c r="A136" s="270" t="s">
        <v>567</v>
      </c>
      <c r="B136" s="272"/>
      <c r="C136" s="272"/>
      <c r="D136" s="272"/>
      <c r="E136" s="300"/>
      <c r="F136" s="534"/>
      <c r="G136" s="335" t="e">
        <f>VLOOKUP(A136, [2]!Table4[[Name]:[Interac Email Final]], 3, FALSE)</f>
        <v>#REF!</v>
      </c>
    </row>
    <row r="137" spans="1:7" ht="35.25" hidden="1" customHeight="1">
      <c r="A137" s="270" t="s">
        <v>809</v>
      </c>
      <c r="B137" s="272"/>
      <c r="C137" s="272"/>
      <c r="D137" s="272"/>
      <c r="E137" s="300"/>
      <c r="F137" s="534"/>
      <c r="G137" s="335" t="e">
        <f>VLOOKUP(A137, [2]!Table4[[Name]:[Interac Email Final]], 3, FALSE)</f>
        <v>#REF!</v>
      </c>
    </row>
    <row r="138" spans="1:7" ht="35.25" hidden="1" customHeight="1">
      <c r="A138" s="270" t="s">
        <v>810</v>
      </c>
      <c r="B138" s="272"/>
      <c r="C138" s="272"/>
      <c r="D138" s="272"/>
      <c r="E138" s="300"/>
      <c r="F138" s="534"/>
      <c r="G138" s="335" t="e">
        <f>VLOOKUP(A138, [2]!Table4[[Name]:[Interac Email Final]], 3, FALSE)</f>
        <v>#REF!</v>
      </c>
    </row>
    <row r="139" spans="1:7" ht="35.25" hidden="1" customHeight="1">
      <c r="A139" s="270" t="s">
        <v>466</v>
      </c>
      <c r="B139" s="272"/>
      <c r="C139" s="272"/>
      <c r="D139" s="272"/>
      <c r="E139" s="300"/>
      <c r="F139" s="534"/>
      <c r="G139" s="335" t="e">
        <f>VLOOKUP(A139, [2]!Table4[[Name]:[Interac Email Final]], 3, FALSE)</f>
        <v>#REF!</v>
      </c>
    </row>
    <row r="140" spans="1:7" ht="35.25" hidden="1" customHeight="1">
      <c r="A140" s="270" t="s">
        <v>417</v>
      </c>
      <c r="B140" s="272"/>
      <c r="C140" s="272"/>
      <c r="D140" s="272"/>
      <c r="E140" s="300"/>
      <c r="F140" s="534"/>
      <c r="G140" s="335" t="e">
        <f>VLOOKUP(A140, [2]!Table4[[Name]:[Interac Email Final]], 3, FALSE)</f>
        <v>#REF!</v>
      </c>
    </row>
    <row r="141" spans="1:7" ht="35.25" hidden="1" customHeight="1">
      <c r="A141" s="270" t="s">
        <v>570</v>
      </c>
      <c r="B141" s="272"/>
      <c r="C141" s="272"/>
      <c r="D141" s="272"/>
      <c r="E141" s="300"/>
      <c r="F141" s="534"/>
      <c r="G141" s="335" t="e">
        <f>VLOOKUP(A141, [2]!Table4[[Name]:[Interac Email Final]], 3, FALSE)</f>
        <v>#REF!</v>
      </c>
    </row>
    <row r="142" spans="1:7" ht="35.25" hidden="1" customHeight="1">
      <c r="A142" s="270" t="s">
        <v>231</v>
      </c>
      <c r="B142" s="272"/>
      <c r="C142" s="272"/>
      <c r="D142" s="272"/>
      <c r="E142" s="300"/>
      <c r="F142" s="534"/>
      <c r="G142" s="335" t="e">
        <f>VLOOKUP(A142, [2]!Table4[[Name]:[Interac Email Final]], 3, FALSE)</f>
        <v>#REF!</v>
      </c>
    </row>
    <row r="143" spans="1:7" ht="35.25" hidden="1" customHeight="1">
      <c r="A143" s="270" t="s">
        <v>811</v>
      </c>
      <c r="B143" s="272"/>
      <c r="C143" s="272"/>
      <c r="D143" s="272"/>
      <c r="E143" s="300"/>
      <c r="F143" s="534"/>
      <c r="G143" s="335" t="e">
        <f>VLOOKUP(A143, [2]!Table4[[Name]:[Interac Email Final]], 3, FALSE)</f>
        <v>#REF!</v>
      </c>
    </row>
    <row r="144" spans="1:7" ht="35.25" hidden="1" customHeight="1">
      <c r="A144" s="270" t="s">
        <v>572</v>
      </c>
      <c r="B144" s="272"/>
      <c r="C144" s="272"/>
      <c r="D144" s="272"/>
      <c r="E144" s="300"/>
      <c r="F144" s="534"/>
      <c r="G144" s="335" t="e">
        <f>VLOOKUP(A144, [2]!Table4[[Name]:[Interac Email Final]], 3, FALSE)</f>
        <v>#REF!</v>
      </c>
    </row>
    <row r="145" spans="1:8" ht="35.25" hidden="1" customHeight="1">
      <c r="A145" s="270" t="s">
        <v>573</v>
      </c>
      <c r="B145" s="272"/>
      <c r="C145" s="272"/>
      <c r="D145" s="272"/>
      <c r="E145" s="300"/>
      <c r="F145" s="534"/>
      <c r="G145" s="335" t="e">
        <f>VLOOKUP(A145, [2]!Table4[[Name]:[Interac Email Final]], 3, FALSE)</f>
        <v>#REF!</v>
      </c>
    </row>
    <row r="146" spans="1:8" ht="35.25" hidden="1" customHeight="1">
      <c r="A146" s="270" t="s">
        <v>396</v>
      </c>
      <c r="B146" s="272"/>
      <c r="C146" s="272"/>
      <c r="D146" s="272"/>
      <c r="E146" s="300"/>
      <c r="F146" s="534"/>
      <c r="G146" s="335" t="e">
        <f>VLOOKUP(A146, [2]!Table4[[Name]:[Interac Email Final]], 3, FALSE)</f>
        <v>#REF!</v>
      </c>
    </row>
    <row r="147" spans="1:8" ht="35.25" hidden="1" customHeight="1">
      <c r="A147" s="270" t="s">
        <v>238</v>
      </c>
      <c r="B147" s="272"/>
      <c r="C147" s="272"/>
      <c r="D147" s="272"/>
      <c r="E147" s="300"/>
      <c r="F147" s="534"/>
      <c r="G147" s="335" t="e">
        <f>VLOOKUP(A147, [2]!Table4[[Name]:[Interac Email Final]], 3, FALSE)</f>
        <v>#REF!</v>
      </c>
    </row>
    <row r="148" spans="1:8" ht="35.25" hidden="1" customHeight="1">
      <c r="A148" s="270" t="s">
        <v>812</v>
      </c>
      <c r="B148" s="272"/>
      <c r="C148" s="272"/>
      <c r="D148" s="272"/>
      <c r="E148" s="300"/>
      <c r="F148" s="534"/>
      <c r="G148" s="335" t="e">
        <f>VLOOKUP(A148, [2]!Table4[[Name]:[Interac Email Final]], 3, FALSE)</f>
        <v>#REF!</v>
      </c>
    </row>
    <row r="149" spans="1:8" ht="35.25" hidden="1" customHeight="1">
      <c r="A149" s="270" t="s">
        <v>576</v>
      </c>
      <c r="B149" s="272"/>
      <c r="C149" s="272"/>
      <c r="D149" s="272"/>
      <c r="E149" s="300"/>
      <c r="F149" s="534"/>
      <c r="G149" s="335" t="e">
        <f>VLOOKUP(A149, [2]!Table4[[Name]:[Interac Email Final]], 3, FALSE)</f>
        <v>#REF!</v>
      </c>
    </row>
    <row r="150" spans="1:8" ht="35.25" hidden="1" customHeight="1">
      <c r="A150" s="270" t="s">
        <v>577</v>
      </c>
      <c r="B150" s="272"/>
      <c r="C150" s="272"/>
      <c r="D150" s="272"/>
      <c r="E150" s="300"/>
      <c r="F150" s="534"/>
      <c r="G150" s="335" t="e">
        <f>VLOOKUP(A150, [2]!Table4[[Name]:[Interac Email Final]], 3, FALSE)</f>
        <v>#REF!</v>
      </c>
    </row>
    <row r="151" spans="1:8" ht="35.25" hidden="1" customHeight="1">
      <c r="A151" s="270" t="s">
        <v>722</v>
      </c>
      <c r="B151" s="272"/>
      <c r="C151" s="272"/>
      <c r="D151" s="272"/>
      <c r="E151" s="300"/>
      <c r="F151" s="534"/>
      <c r="G151" s="335" t="e">
        <f>VLOOKUP(A151, [2]!Table4[[Name]:[Interac Email Final]], 3, FALSE)</f>
        <v>#REF!</v>
      </c>
    </row>
    <row r="152" spans="1:8" ht="35.25" hidden="1" customHeight="1">
      <c r="A152" s="270" t="s">
        <v>579</v>
      </c>
      <c r="B152" s="272"/>
      <c r="C152" s="272"/>
      <c r="D152" s="272"/>
      <c r="E152" s="300"/>
      <c r="F152" s="534"/>
      <c r="G152" s="335" t="e">
        <f>VLOOKUP(A152, [2]!Table4[[Name]:[Interac Email Final]], 3, FALSE)</f>
        <v>#REF!</v>
      </c>
    </row>
    <row r="153" spans="1:8" ht="35.25" hidden="1" customHeight="1">
      <c r="A153" s="270"/>
      <c r="B153" s="272"/>
      <c r="C153" s="272"/>
      <c r="D153" s="272"/>
      <c r="E153" s="300"/>
      <c r="F153" s="534"/>
      <c r="G153" s="335">
        <f>VLOOKUP(A153,'[1]Interac Details'!$A:$B, 2, FALSE)</f>
        <v>0</v>
      </c>
    </row>
    <row r="154" spans="1:8" ht="35.25" hidden="1" customHeight="1" thickBot="1">
      <c r="A154" s="345"/>
      <c r="B154" s="323"/>
      <c r="C154" s="323"/>
      <c r="D154" s="323"/>
      <c r="E154" s="301"/>
      <c r="F154" s="297"/>
      <c r="G154" s="478"/>
    </row>
    <row r="155" spans="1:8" ht="35.25" hidden="1" customHeight="1" thickBot="1">
      <c r="A155" s="473"/>
      <c r="B155" s="1001" t="s">
        <v>791</v>
      </c>
      <c r="C155" s="1002"/>
      <c r="D155" s="1003">
        <f>SUM(E134:E154)</f>
        <v>0</v>
      </c>
      <c r="E155" s="1004"/>
      <c r="F155" s="297"/>
      <c r="G155" s="478"/>
      <c r="H155" s="779">
        <f>D155</f>
        <v>0</v>
      </c>
    </row>
    <row r="156" spans="1:8" ht="35.25" customHeight="1" thickBot="1">
      <c r="A156" s="350"/>
      <c r="B156" s="351"/>
      <c r="C156" s="352"/>
      <c r="D156" s="351"/>
      <c r="E156" s="302"/>
      <c r="F156" s="297"/>
      <c r="G156" s="478"/>
    </row>
    <row r="157" spans="1:8" ht="35.25" hidden="1" customHeight="1" thickBot="1">
      <c r="A157" s="998" t="s">
        <v>7173</v>
      </c>
      <c r="B157" s="999"/>
      <c r="C157" s="999"/>
      <c r="D157" s="999"/>
      <c r="E157" s="999"/>
      <c r="F157" s="1000"/>
    </row>
    <row r="158" spans="1:8" ht="35.25" hidden="1" customHeight="1" thickBot="1">
      <c r="A158" s="343" t="str">
        <f>A3</f>
        <v>PAY PERIOD January 10 - 23, 2025</v>
      </c>
      <c r="B158" s="343" t="s">
        <v>0</v>
      </c>
      <c r="C158" s="343" t="s">
        <v>1</v>
      </c>
      <c r="D158" s="343" t="s">
        <v>2</v>
      </c>
      <c r="E158" s="299" t="s">
        <v>19</v>
      </c>
      <c r="F158" s="299" t="s">
        <v>764</v>
      </c>
      <c r="G158" s="477" t="s">
        <v>794</v>
      </c>
    </row>
    <row r="159" spans="1:8" ht="35.25" hidden="1" customHeight="1">
      <c r="A159" s="270" t="s">
        <v>7172</v>
      </c>
      <c r="B159" s="272"/>
      <c r="C159" s="272"/>
      <c r="D159" s="272"/>
      <c r="E159" s="300"/>
      <c r="F159" s="534" t="s">
        <v>7173</v>
      </c>
      <c r="G159" s="335"/>
    </row>
    <row r="160" spans="1:8" ht="35.25" hidden="1" customHeight="1">
      <c r="A160" s="270" t="s">
        <v>7171</v>
      </c>
      <c r="B160" s="272"/>
      <c r="C160" s="272"/>
      <c r="D160" s="272"/>
      <c r="E160" s="300"/>
      <c r="F160" s="534" t="s">
        <v>7173</v>
      </c>
      <c r="G160" s="335"/>
    </row>
    <row r="161" spans="1:8" ht="35.25" hidden="1" customHeight="1" thickBot="1">
      <c r="A161" s="345"/>
      <c r="B161" s="323"/>
      <c r="C161" s="323"/>
      <c r="D161" s="323"/>
      <c r="E161" s="301"/>
      <c r="F161" s="297"/>
      <c r="G161" s="478"/>
    </row>
    <row r="162" spans="1:8" ht="35.25" hidden="1" customHeight="1" thickBot="1">
      <c r="A162" s="473"/>
      <c r="B162" s="1001" t="s">
        <v>791</v>
      </c>
      <c r="C162" s="1002"/>
      <c r="D162" s="1003">
        <f>SUM(E159:E161)</f>
        <v>0</v>
      </c>
      <c r="E162" s="1004"/>
      <c r="F162" s="297"/>
      <c r="G162" s="478"/>
      <c r="H162" s="779">
        <f>D162</f>
        <v>0</v>
      </c>
    </row>
    <row r="163" spans="1:8" ht="35.25" customHeight="1" thickBot="1">
      <c r="A163" s="998" t="s">
        <v>15</v>
      </c>
      <c r="B163" s="999"/>
      <c r="C163" s="999"/>
      <c r="D163" s="999"/>
      <c r="E163" s="999"/>
      <c r="F163" s="1000"/>
    </row>
    <row r="164" spans="1:8" ht="35.25" customHeight="1" thickBot="1">
      <c r="A164" s="343" t="str">
        <f>A3</f>
        <v>PAY PERIOD January 10 - 23, 2025</v>
      </c>
      <c r="B164" s="343" t="s">
        <v>0</v>
      </c>
      <c r="C164" s="343" t="s">
        <v>1</v>
      </c>
      <c r="D164" s="343" t="s">
        <v>2</v>
      </c>
      <c r="E164" s="299" t="s">
        <v>19</v>
      </c>
      <c r="F164" s="299" t="s">
        <v>764</v>
      </c>
      <c r="G164" s="477" t="s">
        <v>794</v>
      </c>
    </row>
    <row r="165" spans="1:8" ht="35.25" customHeight="1">
      <c r="A165" s="270" t="s">
        <v>16</v>
      </c>
      <c r="B165" s="347">
        <v>32</v>
      </c>
      <c r="C165" s="347" t="s">
        <v>14</v>
      </c>
      <c r="D165" s="347">
        <v>18</v>
      </c>
      <c r="E165" s="298">
        <v>589.28</v>
      </c>
      <c r="F165" s="534" t="s">
        <v>15</v>
      </c>
      <c r="G165" s="335" t="str">
        <f>VLOOKUP(A165,'[1]Interac Details'!$A:$B, 2, FALSE)</f>
        <v>pauline.v.patterson@gmail.com</v>
      </c>
    </row>
    <row r="166" spans="1:8" ht="35.25" customHeight="1" thickBot="1">
      <c r="A166" s="345"/>
      <c r="B166" s="323"/>
      <c r="C166" s="323"/>
      <c r="D166" s="323"/>
      <c r="E166" s="301"/>
      <c r="F166" s="297"/>
      <c r="G166" s="478"/>
    </row>
    <row r="167" spans="1:8" ht="35.25" customHeight="1" thickBot="1">
      <c r="A167" s="473"/>
      <c r="B167" s="1001" t="s">
        <v>791</v>
      </c>
      <c r="C167" s="1002"/>
      <c r="D167" s="1003">
        <f>SUM(E165)</f>
        <v>589.28</v>
      </c>
      <c r="E167" s="1004"/>
      <c r="F167" s="297"/>
      <c r="G167" s="478"/>
      <c r="H167" s="779">
        <f>D167</f>
        <v>589.28</v>
      </c>
    </row>
    <row r="168" spans="1:8" ht="35.25" customHeight="1">
      <c r="A168" s="350"/>
      <c r="B168" s="351"/>
      <c r="C168" s="352"/>
      <c r="D168" s="351"/>
      <c r="E168" s="302"/>
      <c r="F168" s="297"/>
      <c r="G168" s="478"/>
    </row>
    <row r="169" spans="1:8" ht="35.25" hidden="1" customHeight="1" thickBot="1">
      <c r="A169" s="998" t="s">
        <v>52</v>
      </c>
      <c r="B169" s="999"/>
      <c r="C169" s="999"/>
      <c r="D169" s="999"/>
      <c r="E169" s="999"/>
      <c r="F169" s="1000"/>
    </row>
    <row r="170" spans="1:8" ht="35.25" hidden="1" customHeight="1" thickBot="1">
      <c r="A170" s="343" t="s">
        <v>793</v>
      </c>
      <c r="B170" s="343" t="s">
        <v>0</v>
      </c>
      <c r="C170" s="343" t="s">
        <v>1</v>
      </c>
      <c r="D170" s="343" t="s">
        <v>2</v>
      </c>
      <c r="E170" s="299" t="s">
        <v>19</v>
      </c>
      <c r="F170" s="299" t="s">
        <v>764</v>
      </c>
      <c r="G170" s="477" t="s">
        <v>794</v>
      </c>
    </row>
    <row r="171" spans="1:8" ht="35.25" hidden="1" customHeight="1">
      <c r="A171" s="270"/>
      <c r="B171" s="272"/>
      <c r="C171" s="272"/>
      <c r="D171" s="272"/>
      <c r="E171" s="300"/>
      <c r="F171" s="534"/>
      <c r="G171" s="335">
        <f>VLOOKUP(A171,'[1]Interac Details'!$A:$B, 2, FALSE)</f>
        <v>0</v>
      </c>
    </row>
    <row r="172" spans="1:8" ht="35.25" hidden="1" customHeight="1">
      <c r="A172" s="270"/>
      <c r="B172" s="272"/>
      <c r="C172" s="272"/>
      <c r="D172" s="272"/>
      <c r="E172" s="300"/>
      <c r="F172" s="534"/>
      <c r="G172" s="335">
        <f>VLOOKUP(A172,'[1]Interac Details'!$A:$B, 2, FALSE)</f>
        <v>0</v>
      </c>
    </row>
    <row r="173" spans="1:8" ht="35.25" hidden="1" customHeight="1" thickBot="1">
      <c r="A173" s="345"/>
      <c r="B173" s="323"/>
      <c r="C173" s="323"/>
      <c r="D173" s="323"/>
      <c r="E173" s="301"/>
      <c r="F173" s="297"/>
      <c r="G173" s="478"/>
    </row>
    <row r="174" spans="1:8" ht="35.25" hidden="1" customHeight="1" thickBot="1">
      <c r="A174" s="473"/>
      <c r="B174" s="1001" t="s">
        <v>791</v>
      </c>
      <c r="C174" s="1002"/>
      <c r="D174" s="1003">
        <f>SUM(E171:E172)</f>
        <v>0</v>
      </c>
      <c r="E174" s="1004"/>
      <c r="F174" s="297"/>
      <c r="G174" s="478"/>
      <c r="H174" s="779">
        <f>D174</f>
        <v>0</v>
      </c>
    </row>
    <row r="175" spans="1:8" ht="35.25" hidden="1" customHeight="1" thickBot="1">
      <c r="A175" s="350"/>
      <c r="B175" s="351"/>
      <c r="C175" s="352"/>
      <c r="D175" s="351"/>
      <c r="E175" s="302"/>
      <c r="F175" s="297"/>
      <c r="G175" s="478"/>
    </row>
    <row r="176" spans="1:8" ht="35.25" hidden="1" customHeight="1" thickBot="1">
      <c r="A176" s="998" t="s">
        <v>438</v>
      </c>
      <c r="B176" s="999"/>
      <c r="C176" s="999"/>
      <c r="D176" s="999"/>
      <c r="E176" s="999"/>
      <c r="F176" s="1000"/>
    </row>
    <row r="177" spans="1:8" ht="35.25" hidden="1" customHeight="1" thickBot="1">
      <c r="A177" s="343" t="s">
        <v>793</v>
      </c>
      <c r="B177" s="343" t="s">
        <v>0</v>
      </c>
      <c r="C177" s="343" t="s">
        <v>1</v>
      </c>
      <c r="D177" s="343" t="s">
        <v>2</v>
      </c>
      <c r="E177" s="299" t="s">
        <v>19</v>
      </c>
      <c r="F177" s="299" t="s">
        <v>764</v>
      </c>
      <c r="G177" s="477" t="s">
        <v>794</v>
      </c>
    </row>
    <row r="178" spans="1:8" ht="35.25" hidden="1" customHeight="1">
      <c r="A178" s="270" t="s">
        <v>417</v>
      </c>
      <c r="B178" s="272"/>
      <c r="C178" s="272"/>
      <c r="D178" s="272"/>
      <c r="E178" s="300"/>
      <c r="F178" s="534"/>
      <c r="G178" s="335" t="e">
        <f>VLOOKUP(A178, [2]!Table4[[Name]:[Interac Email Final]], 3, FALSE)</f>
        <v>#REF!</v>
      </c>
    </row>
    <row r="179" spans="1:8" ht="35.25" hidden="1" customHeight="1" thickBot="1">
      <c r="A179" s="345"/>
      <c r="B179" s="323"/>
      <c r="C179" s="323"/>
      <c r="D179" s="323"/>
      <c r="E179" s="301"/>
      <c r="F179" s="297"/>
      <c r="G179" s="478"/>
    </row>
    <row r="180" spans="1:8" ht="35.25" hidden="1" customHeight="1" thickBot="1">
      <c r="A180" s="473"/>
      <c r="B180" s="1001" t="s">
        <v>791</v>
      </c>
      <c r="C180" s="1002"/>
      <c r="D180" s="1003">
        <f>SUM(E178)</f>
        <v>0</v>
      </c>
      <c r="E180" s="1004"/>
      <c r="F180" s="297"/>
      <c r="G180" s="478"/>
      <c r="H180" s="779">
        <f>D180</f>
        <v>0</v>
      </c>
    </row>
    <row r="181" spans="1:8" ht="35.25" hidden="1" customHeight="1" thickBot="1">
      <c r="A181" s="350"/>
      <c r="B181" s="351"/>
      <c r="C181" s="352"/>
      <c r="D181" s="351"/>
      <c r="E181" s="302"/>
      <c r="F181" s="297"/>
      <c r="G181" s="478"/>
    </row>
    <row r="182" spans="1:8" ht="35.25" hidden="1" customHeight="1" thickBot="1">
      <c r="A182" s="998" t="s">
        <v>121</v>
      </c>
      <c r="B182" s="999"/>
      <c r="C182" s="999"/>
      <c r="D182" s="999"/>
      <c r="E182" s="999"/>
      <c r="F182" s="1000"/>
    </row>
    <row r="183" spans="1:8" ht="35.25" hidden="1" customHeight="1" thickBot="1">
      <c r="A183" s="343" t="s">
        <v>793</v>
      </c>
      <c r="B183" s="343" t="s">
        <v>0</v>
      </c>
      <c r="C183" s="343" t="s">
        <v>1</v>
      </c>
      <c r="D183" s="343" t="s">
        <v>2</v>
      </c>
      <c r="E183" s="299" t="s">
        <v>19</v>
      </c>
      <c r="F183" s="299" t="s">
        <v>764</v>
      </c>
      <c r="G183" s="477" t="s">
        <v>794</v>
      </c>
    </row>
    <row r="184" spans="1:8" ht="35.25" hidden="1" customHeight="1">
      <c r="A184" s="397" t="s">
        <v>122</v>
      </c>
      <c r="B184" s="347"/>
      <c r="C184" s="347"/>
      <c r="D184" s="347"/>
      <c r="E184" s="298"/>
      <c r="F184" s="778" t="s">
        <v>121</v>
      </c>
      <c r="G184" s="335" t="e">
        <f>VLOOKUP(A184,'[1]Interac Details'!$A:$B, 2, FALSE)</f>
        <v>#N/A</v>
      </c>
    </row>
    <row r="185" spans="1:8" ht="35.25" hidden="1" customHeight="1">
      <c r="A185" s="397" t="s">
        <v>125</v>
      </c>
      <c r="B185" s="347"/>
      <c r="C185" s="347"/>
      <c r="D185" s="347"/>
      <c r="E185" s="298"/>
      <c r="F185" s="778" t="s">
        <v>121</v>
      </c>
      <c r="G185" s="335" t="e">
        <f>VLOOKUP(A185,'[1]Interac Details'!$A:$B, 2, FALSE)</f>
        <v>#N/A</v>
      </c>
    </row>
    <row r="186" spans="1:8" ht="35.25" hidden="1" customHeight="1">
      <c r="A186" s="397" t="s">
        <v>123</v>
      </c>
      <c r="B186" s="347"/>
      <c r="C186" s="347"/>
      <c r="D186" s="347"/>
      <c r="E186" s="298"/>
      <c r="F186" s="778" t="s">
        <v>121</v>
      </c>
      <c r="G186" s="335" t="e">
        <f>VLOOKUP(A186,'[1]Interac Details'!$A:$B, 2, FALSE)</f>
        <v>#N/A</v>
      </c>
    </row>
    <row r="187" spans="1:8" ht="35.25" hidden="1" customHeight="1">
      <c r="A187" s="397" t="s">
        <v>124</v>
      </c>
      <c r="B187" s="347"/>
      <c r="C187" s="347"/>
      <c r="D187" s="347"/>
      <c r="E187" s="298"/>
      <c r="F187" s="778" t="s">
        <v>121</v>
      </c>
      <c r="G187" s="335" t="e">
        <f>VLOOKUP(A187,'[1]Interac Details'!$A:$B, 2, FALSE)</f>
        <v>#N/A</v>
      </c>
    </row>
    <row r="188" spans="1:8" ht="35.25" hidden="1" customHeight="1" thickBot="1">
      <c r="A188" s="345"/>
      <c r="B188" s="323"/>
      <c r="C188" s="323"/>
      <c r="D188" s="323"/>
      <c r="E188" s="301"/>
      <c r="F188" s="297"/>
      <c r="G188" s="478"/>
    </row>
    <row r="189" spans="1:8" ht="35.25" hidden="1" customHeight="1" thickBot="1">
      <c r="A189" s="473"/>
      <c r="B189" s="1001" t="s">
        <v>791</v>
      </c>
      <c r="C189" s="1002"/>
      <c r="D189" s="1003">
        <f>SUM(E184:E187)</f>
        <v>0</v>
      </c>
      <c r="E189" s="1004"/>
      <c r="F189" s="297"/>
      <c r="G189" s="478"/>
      <c r="H189" s="779">
        <f>D189</f>
        <v>0</v>
      </c>
    </row>
    <row r="190" spans="1:8" ht="35.25" customHeight="1" thickBot="1">
      <c r="A190" s="350"/>
      <c r="B190" s="351"/>
      <c r="C190" s="352"/>
      <c r="D190" s="351"/>
      <c r="E190" s="302"/>
      <c r="F190" s="297"/>
      <c r="G190" s="478"/>
    </row>
    <row r="191" spans="1:8" ht="35.25" customHeight="1" thickBot="1">
      <c r="A191" s="322"/>
      <c r="B191" s="1018" t="s">
        <v>815</v>
      </c>
      <c r="C191" s="1019"/>
      <c r="D191" s="1022">
        <f>SUM(D174,D167,D123,D110,D97,D89,D70,D64,D56,D50,D36,D19,D162,D103,D189,D78,D180, D155)</f>
        <v>3261.6049999999996</v>
      </c>
      <c r="E191" s="1023"/>
      <c r="H191" s="780">
        <f>SUM(H1:H190)</f>
        <v>3261.6049999999996</v>
      </c>
    </row>
    <row r="192" spans="1:8" ht="35.25" customHeight="1" thickBot="1">
      <c r="A192" s="322"/>
      <c r="B192" s="1020" t="s">
        <v>816</v>
      </c>
      <c r="C192" s="1021"/>
      <c r="D192" s="1016">
        <f>'SUMMARY A-Z'!F8</f>
        <v>1093.3249999999998</v>
      </c>
      <c r="E192" s="1017"/>
    </row>
    <row r="193" spans="1:5" ht="35.25" customHeight="1" thickBot="1">
      <c r="B193" s="1012" t="s">
        <v>817</v>
      </c>
      <c r="C193" s="1013"/>
      <c r="D193" s="1014">
        <f>SUM(D191:E192)</f>
        <v>4354.9299999999994</v>
      </c>
      <c r="E193" s="1015"/>
    </row>
    <row r="194" spans="1:5" ht="35.25" customHeight="1">
      <c r="A194" s="321"/>
      <c r="B194" s="321"/>
      <c r="C194" s="321"/>
      <c r="D194" s="321"/>
      <c r="E194" s="353"/>
    </row>
    <row r="195" spans="1:5" ht="35.25" customHeight="1">
      <c r="A195" s="321"/>
      <c r="B195" s="321"/>
      <c r="C195" s="321"/>
      <c r="D195" s="321"/>
      <c r="E195" s="353"/>
    </row>
    <row r="196" spans="1:5" ht="35.25" customHeight="1">
      <c r="A196" s="321"/>
      <c r="B196" s="321"/>
      <c r="C196" s="321"/>
      <c r="D196" s="321"/>
      <c r="E196" s="353"/>
    </row>
    <row r="197" spans="1:5" ht="35.25" customHeight="1">
      <c r="A197" s="321"/>
      <c r="B197" s="321"/>
      <c r="C197" s="321"/>
      <c r="D197" s="321"/>
      <c r="E197" s="353"/>
    </row>
  </sheetData>
  <autoFilter ref="A21:G34" xr:uid="{58E1A28E-2EA9-40B1-A0FF-CDDDC6A6D496}">
    <sortState xmlns:xlrd2="http://schemas.microsoft.com/office/spreadsheetml/2017/richdata2" ref="A22:G34">
      <sortCondition ref="A21:A34"/>
    </sortState>
  </autoFilter>
  <mergeCells count="67">
    <mergeCell ref="A132:F132"/>
    <mergeCell ref="B155:C155"/>
    <mergeCell ref="D155:E155"/>
    <mergeCell ref="B129:C129"/>
    <mergeCell ref="A105:F105"/>
    <mergeCell ref="D129:E129"/>
    <mergeCell ref="A111:F111"/>
    <mergeCell ref="B123:C123"/>
    <mergeCell ref="D123:E123"/>
    <mergeCell ref="B110:C110"/>
    <mergeCell ref="D110:E110"/>
    <mergeCell ref="A72:F72"/>
    <mergeCell ref="B78:C78"/>
    <mergeCell ref="D78:E78"/>
    <mergeCell ref="A81:F81"/>
    <mergeCell ref="B89:C89"/>
    <mergeCell ref="D89:E89"/>
    <mergeCell ref="B193:C193"/>
    <mergeCell ref="D193:E193"/>
    <mergeCell ref="D192:E192"/>
    <mergeCell ref="B191:C191"/>
    <mergeCell ref="B192:C192"/>
    <mergeCell ref="D191:E191"/>
    <mergeCell ref="A1:F1"/>
    <mergeCell ref="A2:F2"/>
    <mergeCell ref="A20:F20"/>
    <mergeCell ref="A37:F37"/>
    <mergeCell ref="A45:F45"/>
    <mergeCell ref="D19:E19"/>
    <mergeCell ref="D36:E36"/>
    <mergeCell ref="D43:E43"/>
    <mergeCell ref="D50:E50"/>
    <mergeCell ref="A51:F51"/>
    <mergeCell ref="D56:E56"/>
    <mergeCell ref="B56:C56"/>
    <mergeCell ref="B19:C19"/>
    <mergeCell ref="B36:C36"/>
    <mergeCell ref="B43:C43"/>
    <mergeCell ref="B50:C50"/>
    <mergeCell ref="A91:F91"/>
    <mergeCell ref="B97:C97"/>
    <mergeCell ref="D97:E97"/>
    <mergeCell ref="A169:F169"/>
    <mergeCell ref="B174:C174"/>
    <mergeCell ref="D174:E174"/>
    <mergeCell ref="A163:F163"/>
    <mergeCell ref="B167:C167"/>
    <mergeCell ref="D167:E167"/>
    <mergeCell ref="A157:F157"/>
    <mergeCell ref="B162:C162"/>
    <mergeCell ref="D162:E162"/>
    <mergeCell ref="A99:F99"/>
    <mergeCell ref="B103:C103"/>
    <mergeCell ref="D103:E103"/>
    <mergeCell ref="A124:F124"/>
    <mergeCell ref="A58:F58"/>
    <mergeCell ref="B64:C64"/>
    <mergeCell ref="D64:E64"/>
    <mergeCell ref="A66:F66"/>
    <mergeCell ref="B70:C70"/>
    <mergeCell ref="D70:E70"/>
    <mergeCell ref="A176:F176"/>
    <mergeCell ref="B180:C180"/>
    <mergeCell ref="D180:E180"/>
    <mergeCell ref="A182:F182"/>
    <mergeCell ref="B189:C189"/>
    <mergeCell ref="D189:E189"/>
  </mergeCells>
  <conditionalFormatting sqref="A4:A17">
    <cfRule type="duplicateValues" dxfId="169" priority="352"/>
  </conditionalFormatting>
  <conditionalFormatting sqref="A19">
    <cfRule type="duplicateValues" dxfId="168" priority="81"/>
  </conditionalFormatting>
  <conditionalFormatting sqref="A22:A34">
    <cfRule type="duplicateValues" dxfId="167" priority="456"/>
  </conditionalFormatting>
  <conditionalFormatting sqref="A36">
    <cfRule type="duplicateValues" dxfId="166" priority="79"/>
  </conditionalFormatting>
  <conditionalFormatting sqref="A39:A40">
    <cfRule type="duplicateValues" dxfId="165" priority="346"/>
  </conditionalFormatting>
  <conditionalFormatting sqref="A41">
    <cfRule type="duplicateValues" dxfId="164" priority="323"/>
  </conditionalFormatting>
  <conditionalFormatting sqref="A43">
    <cfRule type="duplicateValues" dxfId="163" priority="77"/>
  </conditionalFormatting>
  <conditionalFormatting sqref="A47:A48">
    <cfRule type="duplicateValues" dxfId="162" priority="666"/>
  </conditionalFormatting>
  <conditionalFormatting sqref="A50">
    <cfRule type="duplicateValues" dxfId="161" priority="75"/>
  </conditionalFormatting>
  <conditionalFormatting sqref="A53:A54">
    <cfRule type="duplicateValues" dxfId="160" priority="21"/>
  </conditionalFormatting>
  <conditionalFormatting sqref="A56">
    <cfRule type="duplicateValues" dxfId="159" priority="69"/>
  </conditionalFormatting>
  <conditionalFormatting sqref="A60:A62">
    <cfRule type="duplicateValues" dxfId="158" priority="24"/>
  </conditionalFormatting>
  <conditionalFormatting sqref="A64">
    <cfRule type="duplicateValues" dxfId="157" priority="61"/>
  </conditionalFormatting>
  <conditionalFormatting sqref="A68">
    <cfRule type="duplicateValues" dxfId="156" priority="23"/>
  </conditionalFormatting>
  <conditionalFormatting sqref="A70">
    <cfRule type="duplicateValues" dxfId="155" priority="59"/>
  </conditionalFormatting>
  <conditionalFormatting sqref="A78:A80">
    <cfRule type="duplicateValues" dxfId="154" priority="57"/>
  </conditionalFormatting>
  <conditionalFormatting sqref="A83:A87">
    <cfRule type="duplicateValues" dxfId="153" priority="20"/>
  </conditionalFormatting>
  <conditionalFormatting sqref="A89">
    <cfRule type="duplicateValues" dxfId="152" priority="55"/>
  </conditionalFormatting>
  <conditionalFormatting sqref="A93:A95">
    <cfRule type="duplicateValues" dxfId="151" priority="457"/>
  </conditionalFormatting>
  <conditionalFormatting sqref="A97">
    <cfRule type="duplicateValues" dxfId="150" priority="35"/>
  </conditionalFormatting>
  <conditionalFormatting sqref="A101">
    <cfRule type="duplicateValues" dxfId="149" priority="459"/>
  </conditionalFormatting>
  <conditionalFormatting sqref="A103">
    <cfRule type="duplicateValues" dxfId="148" priority="14"/>
  </conditionalFormatting>
  <conditionalFormatting sqref="A107">
    <cfRule type="duplicateValues" dxfId="147" priority="22"/>
  </conditionalFormatting>
  <conditionalFormatting sqref="A110">
    <cfRule type="duplicateValues" dxfId="146" priority="51"/>
  </conditionalFormatting>
  <conditionalFormatting sqref="A113:A121">
    <cfRule type="duplicateValues" dxfId="145" priority="659"/>
  </conditionalFormatting>
  <conditionalFormatting sqref="A123">
    <cfRule type="duplicateValues" dxfId="144" priority="43"/>
  </conditionalFormatting>
  <conditionalFormatting sqref="A126">
    <cfRule type="duplicateValues" dxfId="143" priority="44"/>
  </conditionalFormatting>
  <conditionalFormatting sqref="A129">
    <cfRule type="duplicateValues" dxfId="142" priority="49"/>
  </conditionalFormatting>
  <conditionalFormatting sqref="A134:A153">
    <cfRule type="duplicateValues" dxfId="141" priority="527"/>
  </conditionalFormatting>
  <conditionalFormatting sqref="A155">
    <cfRule type="duplicateValues" dxfId="140" priority="2"/>
  </conditionalFormatting>
  <conditionalFormatting sqref="A159:A160">
    <cfRule type="duplicateValues" dxfId="139" priority="401"/>
  </conditionalFormatting>
  <conditionalFormatting sqref="A162">
    <cfRule type="duplicateValues" dxfId="138" priority="18"/>
  </conditionalFormatting>
  <conditionalFormatting sqref="A165">
    <cfRule type="duplicateValues" dxfId="137" priority="29"/>
  </conditionalFormatting>
  <conditionalFormatting sqref="A167">
    <cfRule type="duplicateValues" dxfId="136" priority="47"/>
  </conditionalFormatting>
  <conditionalFormatting sqref="A171:A172">
    <cfRule type="duplicateValues" dxfId="135" priority="19"/>
  </conditionalFormatting>
  <conditionalFormatting sqref="A173 A169:A170">
    <cfRule type="duplicateValues" dxfId="134" priority="37"/>
  </conditionalFormatting>
  <conditionalFormatting sqref="A174">
    <cfRule type="duplicateValues" dxfId="133" priority="39"/>
  </conditionalFormatting>
  <conditionalFormatting sqref="A178">
    <cfRule type="duplicateValues" dxfId="132" priority="4"/>
  </conditionalFormatting>
  <conditionalFormatting sqref="A179:A181 A176:A177">
    <cfRule type="duplicateValues" dxfId="131" priority="8"/>
  </conditionalFormatting>
  <conditionalFormatting sqref="A180">
    <cfRule type="duplicateValues" dxfId="130" priority="6"/>
  </conditionalFormatting>
  <conditionalFormatting sqref="A181 A179 A176:A177">
    <cfRule type="duplicateValues" dxfId="129" priority="7"/>
  </conditionalFormatting>
  <conditionalFormatting sqref="A188 A182:A183">
    <cfRule type="duplicateValues" dxfId="128" priority="10"/>
  </conditionalFormatting>
  <conditionalFormatting sqref="A188:A190 A169:A170 A173:A175 A182:A183">
    <cfRule type="duplicateValues" dxfId="127" priority="41"/>
  </conditionalFormatting>
  <conditionalFormatting sqref="A189">
    <cfRule type="duplicateValues" dxfId="126" priority="12"/>
  </conditionalFormatting>
  <conditionalFormatting sqref="A190 A175">
    <cfRule type="duplicateValues" dxfId="125" priority="40"/>
  </conditionalFormatting>
  <conditionalFormatting sqref="A191:A1048576 A166:A168 A42:A46 A1:A3 A49:A52 A18:A21 A35:A38 A122:A125 A63:A67 A69:A82 A108:A112 A55:A59 A88:A92 A161:A164 A102:A106 A96:A100 A154:A158 A127:A133">
    <cfRule type="duplicateValues" dxfId="124" priority="347"/>
  </conditionalFormatting>
  <conditionalFormatting sqref="A191:A1048576 A168 A81:A82 A49 A37:A38 A44:A46 A42 A1:A3 A20:A21 A51:A52 A57:A59 A65:A67 A71:A77 A166 A127:A128 A111:A112 A124:A125 A90:A92 A18 A35 A96 A122 A63 A69 A108:A109 A55 A88 A163:A164 A161 A98:A100 A104:A106 A102 A156:A158 A130:A133 A154">
    <cfRule type="duplicateValues" dxfId="123" priority="308"/>
  </conditionalFormatting>
  <conditionalFormatting sqref="B19">
    <cfRule type="duplicateValues" dxfId="122" priority="80"/>
  </conditionalFormatting>
  <conditionalFormatting sqref="B36">
    <cfRule type="duplicateValues" dxfId="121" priority="78"/>
  </conditionalFormatting>
  <conditionalFormatting sqref="B43">
    <cfRule type="duplicateValues" dxfId="120" priority="76"/>
  </conditionalFormatting>
  <conditionalFormatting sqref="B50">
    <cfRule type="duplicateValues" dxfId="119" priority="74"/>
  </conditionalFormatting>
  <conditionalFormatting sqref="B56">
    <cfRule type="duplicateValues" dxfId="118" priority="68"/>
  </conditionalFormatting>
  <conditionalFormatting sqref="B64">
    <cfRule type="duplicateValues" dxfId="117" priority="60"/>
  </conditionalFormatting>
  <conditionalFormatting sqref="B70">
    <cfRule type="duplicateValues" dxfId="116" priority="58"/>
  </conditionalFormatting>
  <conditionalFormatting sqref="B78:B80">
    <cfRule type="duplicateValues" dxfId="115" priority="56"/>
  </conditionalFormatting>
  <conditionalFormatting sqref="B89">
    <cfRule type="duplicateValues" dxfId="114" priority="54"/>
  </conditionalFormatting>
  <conditionalFormatting sqref="B97">
    <cfRule type="duplicateValues" dxfId="113" priority="34"/>
  </conditionalFormatting>
  <conditionalFormatting sqref="B103">
    <cfRule type="duplicateValues" dxfId="112" priority="13"/>
  </conditionalFormatting>
  <conditionalFormatting sqref="B110">
    <cfRule type="duplicateValues" dxfId="111" priority="50"/>
  </conditionalFormatting>
  <conditionalFormatting sqref="B123">
    <cfRule type="duplicateValues" dxfId="110" priority="42"/>
  </conditionalFormatting>
  <conditionalFormatting sqref="B129">
    <cfRule type="duplicateValues" dxfId="109" priority="48"/>
  </conditionalFormatting>
  <conditionalFormatting sqref="B155">
    <cfRule type="duplicateValues" dxfId="108" priority="1"/>
  </conditionalFormatting>
  <conditionalFormatting sqref="B162">
    <cfRule type="duplicateValues" dxfId="107" priority="17"/>
  </conditionalFormatting>
  <conditionalFormatting sqref="B167">
    <cfRule type="duplicateValues" dxfId="106" priority="46"/>
  </conditionalFormatting>
  <conditionalFormatting sqref="B174">
    <cfRule type="duplicateValues" dxfId="105" priority="38"/>
  </conditionalFormatting>
  <conditionalFormatting sqref="B180">
    <cfRule type="duplicateValues" dxfId="104" priority="5"/>
  </conditionalFormatting>
  <conditionalFormatting sqref="B189">
    <cfRule type="duplicateValues" dxfId="103" priority="11"/>
  </conditionalFormatting>
  <pageMargins left="0.23622047244094491" right="0.23622047244094491" top="0.74803149606299213" bottom="0.74803149606299213" header="0.31496062992125984" footer="0.31496062992125984"/>
  <pageSetup scale="67" orientation="landscape" horizontalDpi="4294967292" verticalDpi="120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A14E-04CD-4B4B-BB08-8B61587BCE72}">
  <sheetPr filterMode="1">
    <tabColor theme="4"/>
  </sheetPr>
  <dimension ref="A1:F1028"/>
  <sheetViews>
    <sheetView zoomScale="70" zoomScaleNormal="70" workbookViewId="0">
      <selection activeCell="A120" sqref="A120"/>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1.5703125" style="313" bestFit="1" customWidth="1"/>
    <col min="7" max="16384" width="9" style="313"/>
  </cols>
  <sheetData>
    <row r="1" spans="1:6" ht="18" customHeight="1">
      <c r="A1" s="131" t="s">
        <v>702</v>
      </c>
      <c r="B1" s="131" t="s">
        <v>0</v>
      </c>
      <c r="C1" s="131" t="s">
        <v>1</v>
      </c>
      <c r="D1" s="131" t="s">
        <v>2</v>
      </c>
      <c r="E1" s="312" t="s">
        <v>19</v>
      </c>
      <c r="F1" s="312" t="s">
        <v>648</v>
      </c>
    </row>
    <row r="2" spans="1:6" ht="18" hidden="1" customHeight="1">
      <c r="A2" s="414" t="s">
        <v>20</v>
      </c>
      <c r="B2" s="415"/>
      <c r="C2" s="415"/>
      <c r="D2" s="415"/>
      <c r="E2" s="416"/>
    </row>
    <row r="3" spans="1:6" ht="18" hidden="1" customHeight="1">
      <c r="A3" s="394" t="s">
        <v>21</v>
      </c>
      <c r="B3" s="135">
        <f>GTA!F201</f>
        <v>0</v>
      </c>
      <c r="C3" s="135" t="s">
        <v>22</v>
      </c>
      <c r="D3" s="135">
        <v>16.649999999999999</v>
      </c>
      <c r="E3" s="314">
        <f>B3*D3</f>
        <v>0</v>
      </c>
    </row>
    <row r="4" spans="1:6" ht="18" hidden="1" customHeight="1">
      <c r="A4" s="423"/>
      <c r="B4" s="419"/>
      <c r="C4" s="419"/>
      <c r="D4" s="419"/>
      <c r="E4" s="420"/>
    </row>
    <row r="5" spans="1:6" ht="18" hidden="1" customHeight="1">
      <c r="A5" s="414" t="s">
        <v>24</v>
      </c>
      <c r="B5" s="415">
        <f>SUM(B2:B4)</f>
        <v>0</v>
      </c>
      <c r="C5" s="415"/>
      <c r="D5" s="415"/>
      <c r="E5" s="415"/>
    </row>
    <row r="6" spans="1:6" ht="18" hidden="1" customHeight="1">
      <c r="A6" s="394"/>
      <c r="B6" s="135"/>
      <c r="C6" s="135"/>
      <c r="D6" s="135"/>
      <c r="E6" s="314"/>
    </row>
    <row r="7" spans="1:6" ht="18" hidden="1" customHeight="1">
      <c r="A7" s="414" t="s">
        <v>26</v>
      </c>
      <c r="B7" s="415"/>
      <c r="C7" s="415"/>
      <c r="D7" s="415"/>
      <c r="E7" s="416"/>
    </row>
    <row r="8" spans="1:6" ht="18" hidden="1" customHeight="1">
      <c r="A8" s="136" t="s">
        <v>27</v>
      </c>
      <c r="B8" s="135">
        <f>OTTAWA!C72</f>
        <v>0</v>
      </c>
      <c r="C8" s="135" t="s">
        <v>22</v>
      </c>
      <c r="D8" s="135">
        <v>18</v>
      </c>
      <c r="E8" s="314">
        <f>B8*D8</f>
        <v>0</v>
      </c>
    </row>
    <row r="9" spans="1:6" ht="18" hidden="1" customHeight="1">
      <c r="A9" s="423"/>
      <c r="B9" s="419"/>
      <c r="C9" s="419"/>
      <c r="D9" s="419"/>
      <c r="E9" s="420"/>
    </row>
    <row r="10" spans="1:6" ht="18" hidden="1" customHeight="1">
      <c r="A10" s="414" t="s">
        <v>28</v>
      </c>
      <c r="B10" s="415">
        <f>SUM(B7:B9)</f>
        <v>0</v>
      </c>
      <c r="C10" s="415"/>
      <c r="D10" s="415"/>
      <c r="E10" s="415"/>
    </row>
    <row r="11" spans="1:6" ht="18" hidden="1" customHeight="1">
      <c r="A11" s="394"/>
      <c r="B11" s="135"/>
      <c r="C11" s="135"/>
      <c r="D11" s="135"/>
      <c r="E11" s="314"/>
    </row>
    <row r="12" spans="1:6" ht="18" hidden="1" customHeight="1">
      <c r="A12" s="414" t="s">
        <v>29</v>
      </c>
      <c r="B12" s="415"/>
      <c r="C12" s="415"/>
      <c r="D12" s="415"/>
      <c r="E12" s="416"/>
    </row>
    <row r="13" spans="1:6" ht="18" hidden="1" customHeight="1">
      <c r="A13" s="394" t="s">
        <v>30</v>
      </c>
      <c r="B13" s="135">
        <f>'OUTSIDE GTA'!C197</f>
        <v>0</v>
      </c>
      <c r="C13" s="135" t="s">
        <v>22</v>
      </c>
      <c r="D13" s="135">
        <v>16.649999999999999</v>
      </c>
      <c r="E13" s="314">
        <f t="shared" ref="E13:E20" si="0">B13*D13</f>
        <v>0</v>
      </c>
    </row>
    <row r="14" spans="1:6" ht="18" hidden="1" customHeight="1">
      <c r="A14" s="394" t="s">
        <v>31</v>
      </c>
      <c r="B14" s="135">
        <f>'OUTSIDE GTA'!J197</f>
        <v>0</v>
      </c>
      <c r="C14" s="135" t="s">
        <v>22</v>
      </c>
      <c r="D14" s="135">
        <v>16.649999999999999</v>
      </c>
      <c r="E14" s="314">
        <f>B14*D14</f>
        <v>0</v>
      </c>
    </row>
    <row r="15" spans="1:6" ht="18" hidden="1" customHeight="1">
      <c r="A15" s="395" t="s">
        <v>32</v>
      </c>
      <c r="B15" s="135">
        <f>'OUTSIDE GTA'!G197</f>
        <v>0</v>
      </c>
      <c r="C15" s="135" t="s">
        <v>22</v>
      </c>
      <c r="D15" s="135">
        <v>16.649999999999999</v>
      </c>
      <c r="E15" s="314">
        <f t="shared" si="0"/>
        <v>0</v>
      </c>
    </row>
    <row r="16" spans="1:6" ht="18" hidden="1" customHeight="1">
      <c r="A16" s="395" t="s">
        <v>33</v>
      </c>
      <c r="B16" s="135">
        <f>'OUTSIDE GTA'!E197</f>
        <v>0</v>
      </c>
      <c r="C16" s="135" t="s">
        <v>22</v>
      </c>
      <c r="D16" s="135">
        <v>16.649999999999999</v>
      </c>
      <c r="E16" s="314">
        <f t="shared" si="0"/>
        <v>0</v>
      </c>
    </row>
    <row r="17" spans="1:6" ht="18" hidden="1" customHeight="1">
      <c r="A17" s="395" t="s">
        <v>34</v>
      </c>
      <c r="B17" s="135">
        <f>'OUTSIDE GTA'!D197</f>
        <v>0</v>
      </c>
      <c r="C17" s="135" t="s">
        <v>22</v>
      </c>
      <c r="D17" s="135">
        <v>16.649999999999999</v>
      </c>
      <c r="E17" s="314">
        <f t="shared" si="0"/>
        <v>0</v>
      </c>
    </row>
    <row r="18" spans="1:6" ht="18" hidden="1" customHeight="1">
      <c r="A18" s="395" t="s">
        <v>35</v>
      </c>
      <c r="B18" s="135">
        <f>'OUTSIDE GTA'!H197</f>
        <v>0</v>
      </c>
      <c r="C18" s="135" t="s">
        <v>22</v>
      </c>
      <c r="D18" s="135">
        <v>16.649999999999999</v>
      </c>
      <c r="E18" s="314">
        <f t="shared" si="0"/>
        <v>0</v>
      </c>
    </row>
    <row r="19" spans="1:6" s="529" customFormat="1" ht="18" hidden="1" customHeight="1">
      <c r="A19" s="395" t="s">
        <v>36</v>
      </c>
      <c r="B19" s="135">
        <f>'OUTSIDE GTA'!F197</f>
        <v>0</v>
      </c>
      <c r="C19" s="135" t="s">
        <v>22</v>
      </c>
      <c r="D19" s="135">
        <v>16.649999999999999</v>
      </c>
      <c r="E19" s="314">
        <f t="shared" si="0"/>
        <v>0</v>
      </c>
    </row>
    <row r="20" spans="1:6" s="529" customFormat="1" ht="18" hidden="1" customHeight="1">
      <c r="A20" s="395" t="s">
        <v>37</v>
      </c>
      <c r="B20" s="135">
        <f>'OUTSIDE GTA'!I197</f>
        <v>0</v>
      </c>
      <c r="C20" s="135" t="s">
        <v>22</v>
      </c>
      <c r="D20" s="135">
        <v>16.649999999999999</v>
      </c>
      <c r="E20" s="314">
        <f t="shared" si="0"/>
        <v>0</v>
      </c>
    </row>
    <row r="21" spans="1:6" ht="18" hidden="1" customHeight="1">
      <c r="A21" s="423"/>
      <c r="B21" s="419"/>
      <c r="C21" s="419"/>
      <c r="D21" s="419"/>
      <c r="E21" s="420"/>
    </row>
    <row r="22" spans="1:6" ht="18" hidden="1" customHeight="1">
      <c r="A22" s="414" t="s">
        <v>29</v>
      </c>
      <c r="B22" s="415">
        <f>SUM(B12:B21)</f>
        <v>0</v>
      </c>
      <c r="C22" s="415"/>
      <c r="D22" s="415"/>
      <c r="E22" s="415"/>
    </row>
    <row r="23" spans="1:6" ht="18" hidden="1" customHeight="1">
      <c r="A23" s="394"/>
      <c r="B23" s="135"/>
      <c r="C23" s="135"/>
      <c r="D23" s="135"/>
      <c r="E23" s="314"/>
    </row>
    <row r="24" spans="1:6" ht="18" hidden="1" customHeight="1">
      <c r="A24" s="414" t="s">
        <v>38</v>
      </c>
      <c r="B24" s="415"/>
      <c r="C24" s="415"/>
      <c r="D24" s="415"/>
      <c r="E24" s="416"/>
    </row>
    <row r="25" spans="1:6" ht="18" customHeight="1">
      <c r="A25" s="602" t="s">
        <v>93</v>
      </c>
      <c r="B25" s="481">
        <f>'OUTSIDE GTA'!C143</f>
        <v>0</v>
      </c>
      <c r="C25" s="481" t="s">
        <v>22</v>
      </c>
      <c r="D25" s="481">
        <v>20</v>
      </c>
      <c r="E25" s="482">
        <f>B25*D25</f>
        <v>0</v>
      </c>
      <c r="F25" s="414" t="s">
        <v>92</v>
      </c>
    </row>
    <row r="26" spans="1:6" ht="18" hidden="1" customHeight="1">
      <c r="A26" s="394" t="s">
        <v>40</v>
      </c>
      <c r="B26" s="135">
        <f>'OUTSIDE GTA'!Q17</f>
        <v>0</v>
      </c>
      <c r="C26" s="135" t="s">
        <v>22</v>
      </c>
      <c r="D26" s="135">
        <v>17</v>
      </c>
      <c r="E26" s="314">
        <f>B26*D26</f>
        <v>0</v>
      </c>
      <c r="F26" s="414" t="s">
        <v>38</v>
      </c>
    </row>
    <row r="27" spans="1:6" ht="18" hidden="1" customHeight="1">
      <c r="A27" s="395" t="s">
        <v>41</v>
      </c>
      <c r="B27" s="135">
        <f>'OUTSIDE GTA'!P17</f>
        <v>0</v>
      </c>
      <c r="C27" s="135" t="s">
        <v>22</v>
      </c>
      <c r="D27" s="135">
        <v>16.649999999999999</v>
      </c>
      <c r="E27" s="314">
        <f>B27*D27</f>
        <v>0</v>
      </c>
      <c r="F27" s="414" t="s">
        <v>38</v>
      </c>
    </row>
    <row r="28" spans="1:6" ht="18" customHeight="1">
      <c r="A28" s="603" t="s">
        <v>486</v>
      </c>
      <c r="B28" s="135">
        <f>'OUTSIDE GTA'!C107</f>
        <v>0</v>
      </c>
      <c r="C28" s="135" t="s">
        <v>22</v>
      </c>
      <c r="D28" s="135">
        <v>16.649999999999999</v>
      </c>
      <c r="E28" s="314">
        <f>B28*D28</f>
        <v>0</v>
      </c>
      <c r="F28" s="816" t="s">
        <v>565</v>
      </c>
    </row>
    <row r="29" spans="1:6" ht="18" hidden="1" customHeight="1">
      <c r="A29" s="423"/>
      <c r="B29" s="419"/>
      <c r="C29" s="419"/>
      <c r="D29" s="419"/>
      <c r="E29" s="420"/>
    </row>
    <row r="30" spans="1:6" ht="18" hidden="1" customHeight="1">
      <c r="A30" s="414" t="s">
        <v>44</v>
      </c>
      <c r="B30" s="415">
        <f>SUM(B24:B29)</f>
        <v>0</v>
      </c>
      <c r="C30" s="415"/>
      <c r="D30" s="415"/>
      <c r="E30" s="415"/>
    </row>
    <row r="31" spans="1:6" ht="18" hidden="1" customHeight="1">
      <c r="A31" s="394"/>
      <c r="B31" s="135"/>
      <c r="C31" s="135"/>
      <c r="D31" s="135"/>
      <c r="E31" s="314"/>
    </row>
    <row r="32" spans="1:6" ht="18" hidden="1" customHeight="1">
      <c r="A32" s="414" t="s">
        <v>45</v>
      </c>
      <c r="B32" s="415"/>
      <c r="C32" s="415"/>
      <c r="D32" s="415"/>
      <c r="E32" s="415"/>
    </row>
    <row r="33" spans="1:6" ht="18" hidden="1" customHeight="1">
      <c r="A33" s="394" t="s">
        <v>46</v>
      </c>
      <c r="B33" s="135">
        <f>'OUTSIDE GTA'!C270</f>
        <v>0</v>
      </c>
      <c r="C33" s="135" t="s">
        <v>22</v>
      </c>
      <c r="D33" s="135">
        <v>18</v>
      </c>
      <c r="E33" s="314">
        <f>B33*D33</f>
        <v>0</v>
      </c>
    </row>
    <row r="34" spans="1:6" ht="18" hidden="1" customHeight="1">
      <c r="A34" s="395" t="s">
        <v>47</v>
      </c>
      <c r="B34" s="135">
        <f>'OUTSIDE GTA'!D270</f>
        <v>0</v>
      </c>
      <c r="C34" s="135" t="s">
        <v>22</v>
      </c>
      <c r="D34" s="135">
        <v>18</v>
      </c>
      <c r="E34" s="314">
        <f>B34*D34</f>
        <v>0</v>
      </c>
    </row>
    <row r="35" spans="1:6" ht="18" hidden="1" customHeight="1">
      <c r="A35" s="395" t="s">
        <v>48</v>
      </c>
      <c r="B35" s="135">
        <f>'OUTSIDE GTA'!E270</f>
        <v>0</v>
      </c>
      <c r="C35" s="135" t="s">
        <v>22</v>
      </c>
      <c r="D35" s="135">
        <v>18</v>
      </c>
      <c r="E35" s="314">
        <f>B35*D35</f>
        <v>0</v>
      </c>
    </row>
    <row r="36" spans="1:6" ht="18" hidden="1" customHeight="1">
      <c r="A36" s="395" t="s">
        <v>49</v>
      </c>
      <c r="B36" s="135">
        <f>'OUTSIDE GTA'!F270</f>
        <v>0</v>
      </c>
      <c r="C36" s="135" t="s">
        <v>22</v>
      </c>
      <c r="D36" s="135">
        <v>18</v>
      </c>
      <c r="E36" s="314">
        <f>B36*D36</f>
        <v>0</v>
      </c>
    </row>
    <row r="37" spans="1:6" ht="18" hidden="1" customHeight="1">
      <c r="A37" s="395" t="s">
        <v>50</v>
      </c>
      <c r="B37" s="135">
        <f>'OUTSIDE GTA'!G270</f>
        <v>0</v>
      </c>
      <c r="C37" s="135" t="s">
        <v>22</v>
      </c>
      <c r="D37" s="135">
        <v>18</v>
      </c>
      <c r="E37" s="314">
        <f>B37*D37</f>
        <v>0</v>
      </c>
    </row>
    <row r="38" spans="1:6" ht="18" hidden="1" customHeight="1">
      <c r="A38" s="423"/>
      <c r="B38" s="419"/>
      <c r="C38" s="419"/>
      <c r="D38" s="419"/>
      <c r="E38" s="420"/>
    </row>
    <row r="39" spans="1:6" ht="18" hidden="1" customHeight="1">
      <c r="A39" s="414" t="s">
        <v>51</v>
      </c>
      <c r="B39" s="415">
        <f>SUM(B32:B38)</f>
        <v>0</v>
      </c>
      <c r="C39" s="415"/>
      <c r="D39" s="415"/>
      <c r="E39" s="415"/>
    </row>
    <row r="40" spans="1:6" ht="18" hidden="1" customHeight="1">
      <c r="A40" s="394"/>
      <c r="B40" s="135"/>
      <c r="C40" s="135"/>
      <c r="D40" s="135"/>
      <c r="E40" s="314"/>
    </row>
    <row r="41" spans="1:6" ht="18" hidden="1" customHeight="1">
      <c r="A41" s="414" t="s">
        <v>52</v>
      </c>
      <c r="B41" s="415"/>
      <c r="C41" s="415"/>
      <c r="D41" s="415"/>
      <c r="E41" s="416"/>
    </row>
    <row r="42" spans="1:6" ht="18" hidden="1" customHeight="1">
      <c r="A42" s="394" t="s">
        <v>53</v>
      </c>
      <c r="B42" s="135">
        <f>'OUTSIDE GTA'!C288</f>
        <v>0</v>
      </c>
      <c r="C42" s="135" t="s">
        <v>22</v>
      </c>
      <c r="D42" s="135">
        <v>16.649999999999999</v>
      </c>
      <c r="E42" s="314">
        <f>B42*D42</f>
        <v>0</v>
      </c>
    </row>
    <row r="43" spans="1:6" ht="18" hidden="1" customHeight="1">
      <c r="A43" s="395" t="s">
        <v>54</v>
      </c>
      <c r="B43" s="135">
        <f>'OUTSIDE GTA'!D288</f>
        <v>0</v>
      </c>
      <c r="C43" s="135" t="s">
        <v>22</v>
      </c>
      <c r="D43" s="135">
        <v>16.649999999999999</v>
      </c>
      <c r="E43" s="314">
        <f>B43*D43</f>
        <v>0</v>
      </c>
    </row>
    <row r="44" spans="1:6" ht="18" hidden="1" customHeight="1">
      <c r="A44" s="423"/>
      <c r="B44" s="419"/>
      <c r="C44" s="419"/>
      <c r="D44" s="419"/>
      <c r="E44" s="420"/>
    </row>
    <row r="45" spans="1:6" ht="18" hidden="1" customHeight="1">
      <c r="A45" s="414" t="s">
        <v>52</v>
      </c>
      <c r="B45" s="415">
        <f>SUM(B41:B44)</f>
        <v>0</v>
      </c>
      <c r="C45" s="415"/>
      <c r="D45" s="415"/>
      <c r="E45" s="415"/>
    </row>
    <row r="46" spans="1:6" ht="18" hidden="1" customHeight="1">
      <c r="A46" s="394"/>
      <c r="B46" s="135"/>
      <c r="C46" s="135"/>
      <c r="D46" s="135"/>
      <c r="E46" s="314"/>
    </row>
    <row r="47" spans="1:6" ht="18" hidden="1" customHeight="1">
      <c r="A47" s="414" t="s">
        <v>55</v>
      </c>
      <c r="B47" s="415"/>
      <c r="C47" s="415"/>
      <c r="D47" s="415"/>
      <c r="E47" s="416"/>
    </row>
    <row r="48" spans="1:6" ht="18" hidden="1" customHeight="1">
      <c r="A48" s="601" t="s">
        <v>41</v>
      </c>
      <c r="B48" s="135">
        <f>'OUTSIDE GTA'!C35</f>
        <v>0</v>
      </c>
      <c r="C48" s="135" t="s">
        <v>22</v>
      </c>
      <c r="D48" s="135">
        <v>16.649999999999999</v>
      </c>
      <c r="E48" s="482">
        <f t="shared" ref="E48:E56" si="1">B48*D48</f>
        <v>0</v>
      </c>
      <c r="F48" s="414" t="s">
        <v>55</v>
      </c>
    </row>
    <row r="49" spans="1:6" ht="18" customHeight="1">
      <c r="A49" s="603" t="s">
        <v>566</v>
      </c>
      <c r="B49" s="135">
        <f>'OUTSIDE GTA'!D107</f>
        <v>0</v>
      </c>
      <c r="C49" s="135" t="s">
        <v>22</v>
      </c>
      <c r="D49" s="135">
        <v>16.649999999999999</v>
      </c>
      <c r="E49" s="314">
        <f t="shared" si="1"/>
        <v>0</v>
      </c>
      <c r="F49" s="816" t="s">
        <v>565</v>
      </c>
    </row>
    <row r="50" spans="1:6" ht="18" hidden="1" customHeight="1">
      <c r="A50" s="601" t="s">
        <v>57</v>
      </c>
      <c r="B50" s="135">
        <f>'OUTSIDE GTA'!D35</f>
        <v>0</v>
      </c>
      <c r="C50" s="135" t="s">
        <v>22</v>
      </c>
      <c r="D50" s="135">
        <v>16.649999999999999</v>
      </c>
      <c r="E50" s="314">
        <f t="shared" si="1"/>
        <v>0</v>
      </c>
      <c r="F50" s="414" t="s">
        <v>55</v>
      </c>
    </row>
    <row r="51" spans="1:6" ht="18" hidden="1" customHeight="1">
      <c r="A51" s="667" t="s">
        <v>58</v>
      </c>
      <c r="B51" s="135">
        <f>'OUTSIDE GTA'!E35</f>
        <v>0</v>
      </c>
      <c r="C51" s="135" t="s">
        <v>22</v>
      </c>
      <c r="D51" s="135">
        <v>16.649999999999999</v>
      </c>
      <c r="E51" s="314">
        <f t="shared" si="1"/>
        <v>0</v>
      </c>
      <c r="F51" s="414" t="s">
        <v>55</v>
      </c>
    </row>
    <row r="52" spans="1:6" ht="18" hidden="1" customHeight="1">
      <c r="A52" s="601" t="s">
        <v>59</v>
      </c>
      <c r="B52" s="135">
        <f>'OUTSIDE GTA'!F35</f>
        <v>0</v>
      </c>
      <c r="C52" s="135" t="s">
        <v>22</v>
      </c>
      <c r="D52" s="135">
        <v>16.649999999999999</v>
      </c>
      <c r="E52" s="314">
        <f t="shared" si="1"/>
        <v>0</v>
      </c>
      <c r="F52" s="414" t="s">
        <v>55</v>
      </c>
    </row>
    <row r="53" spans="1:6" ht="18" hidden="1" customHeight="1">
      <c r="A53" s="601" t="s">
        <v>60</v>
      </c>
      <c r="B53" s="135">
        <f>'OUTSIDE GTA'!H35</f>
        <v>0</v>
      </c>
      <c r="C53" s="135" t="s">
        <v>22</v>
      </c>
      <c r="D53" s="135">
        <v>16.649999999999999</v>
      </c>
      <c r="E53" s="314">
        <f t="shared" si="1"/>
        <v>0</v>
      </c>
      <c r="F53" s="414" t="s">
        <v>55</v>
      </c>
    </row>
    <row r="54" spans="1:6" ht="18" hidden="1" customHeight="1">
      <c r="A54" s="601" t="s">
        <v>61</v>
      </c>
      <c r="B54" s="135">
        <f>'OUTSIDE GTA'!I35</f>
        <v>0</v>
      </c>
      <c r="C54" s="135" t="s">
        <v>22</v>
      </c>
      <c r="D54" s="135">
        <v>16.649999999999999</v>
      </c>
      <c r="E54" s="314">
        <f t="shared" si="1"/>
        <v>0</v>
      </c>
      <c r="F54" s="414" t="s">
        <v>55</v>
      </c>
    </row>
    <row r="55" spans="1:6" ht="18" hidden="1" customHeight="1">
      <c r="A55" s="601" t="s">
        <v>62</v>
      </c>
      <c r="B55" s="135">
        <f>'OUTSIDE GTA'!J35</f>
        <v>0</v>
      </c>
      <c r="C55" s="135" t="s">
        <v>22</v>
      </c>
      <c r="D55" s="135">
        <v>16.649999999999999</v>
      </c>
      <c r="E55" s="314">
        <f t="shared" si="1"/>
        <v>0</v>
      </c>
      <c r="F55" s="414" t="s">
        <v>55</v>
      </c>
    </row>
    <row r="56" spans="1:6" ht="18" hidden="1" customHeight="1">
      <c r="A56" s="601" t="s">
        <v>63</v>
      </c>
      <c r="B56" s="135">
        <f>'OUTSIDE GTA'!K35</f>
        <v>0</v>
      </c>
      <c r="C56" s="135" t="s">
        <v>22</v>
      </c>
      <c r="D56" s="135">
        <v>16.649999999999999</v>
      </c>
      <c r="E56" s="314">
        <f t="shared" si="1"/>
        <v>0</v>
      </c>
      <c r="F56" s="414" t="s">
        <v>55</v>
      </c>
    </row>
    <row r="57" spans="1:6" ht="18" hidden="1" customHeight="1">
      <c r="A57" s="423"/>
      <c r="B57" s="419"/>
      <c r="C57" s="419"/>
      <c r="D57" s="419"/>
      <c r="E57" s="420"/>
    </row>
    <row r="58" spans="1:6" ht="18" hidden="1" customHeight="1">
      <c r="A58" s="414" t="s">
        <v>64</v>
      </c>
      <c r="B58" s="415">
        <f>SUM(B47:B57)</f>
        <v>0</v>
      </c>
      <c r="C58" s="415"/>
      <c r="D58" s="415"/>
      <c r="E58" s="415"/>
    </row>
    <row r="59" spans="1:6" ht="18" hidden="1" customHeight="1">
      <c r="A59" s="394"/>
      <c r="B59" s="135"/>
      <c r="C59" s="135"/>
      <c r="D59" s="135"/>
      <c r="E59" s="314"/>
    </row>
    <row r="60" spans="1:6" ht="18" hidden="1" customHeight="1">
      <c r="A60" s="414" t="s">
        <v>66</v>
      </c>
      <c r="B60" s="415"/>
      <c r="C60" s="415"/>
      <c r="D60" s="415"/>
      <c r="E60" s="416"/>
      <c r="F60" s="414" t="s">
        <v>66</v>
      </c>
    </row>
    <row r="61" spans="1:6" s="529" customFormat="1" ht="18" hidden="1" customHeight="1">
      <c r="A61" s="394" t="s">
        <v>67</v>
      </c>
      <c r="B61" s="135">
        <f>'OUTSIDE GTA'!D125</f>
        <v>0</v>
      </c>
      <c r="C61" s="135" t="s">
        <v>22</v>
      </c>
      <c r="D61" s="135">
        <v>17</v>
      </c>
      <c r="E61" s="314">
        <f>B61*D61</f>
        <v>0</v>
      </c>
      <c r="F61" s="414" t="s">
        <v>66</v>
      </c>
    </row>
    <row r="62" spans="1:6" ht="18" hidden="1" customHeight="1">
      <c r="A62" s="394" t="s">
        <v>68</v>
      </c>
      <c r="B62" s="135">
        <f>'OUTSIDE GTA'!C125</f>
        <v>0</v>
      </c>
      <c r="C62" s="135" t="s">
        <v>22</v>
      </c>
      <c r="D62" s="135">
        <v>15.5</v>
      </c>
      <c r="E62" s="314">
        <f>B62*D62</f>
        <v>0</v>
      </c>
      <c r="F62" s="414" t="s">
        <v>66</v>
      </c>
    </row>
    <row r="63" spans="1:6" ht="18" hidden="1" customHeight="1">
      <c r="A63" s="394" t="s">
        <v>69</v>
      </c>
      <c r="B63" s="135">
        <f>'OUTSIDE GTA'!E125</f>
        <v>0</v>
      </c>
      <c r="C63" s="135" t="s">
        <v>22</v>
      </c>
      <c r="D63" s="135">
        <v>15.5</v>
      </c>
      <c r="E63" s="314">
        <f>B63*D63</f>
        <v>0</v>
      </c>
      <c r="F63" s="414" t="s">
        <v>66</v>
      </c>
    </row>
    <row r="64" spans="1:6" ht="18" customHeight="1">
      <c r="A64" s="394" t="s">
        <v>567</v>
      </c>
      <c r="B64" s="135">
        <f>'OUTSIDE GTA'!E107</f>
        <v>0</v>
      </c>
      <c r="C64" s="135" t="s">
        <v>22</v>
      </c>
      <c r="D64" s="135">
        <v>18</v>
      </c>
      <c r="E64" s="314">
        <f>B64*D64</f>
        <v>0</v>
      </c>
      <c r="F64" s="816" t="s">
        <v>565</v>
      </c>
    </row>
    <row r="65" spans="1:6" ht="18" hidden="1" customHeight="1">
      <c r="A65" s="394" t="s">
        <v>71</v>
      </c>
      <c r="B65" s="135">
        <f>'OUTSIDE GTA'!G125</f>
        <v>0</v>
      </c>
      <c r="C65" s="135" t="s">
        <v>22</v>
      </c>
      <c r="D65" s="135">
        <v>15.5</v>
      </c>
      <c r="E65" s="314">
        <f>B65*D65</f>
        <v>0</v>
      </c>
      <c r="F65" s="414" t="s">
        <v>66</v>
      </c>
    </row>
    <row r="66" spans="1:6" ht="18" hidden="1" customHeight="1">
      <c r="A66" s="423"/>
      <c r="B66" s="419"/>
      <c r="C66" s="419"/>
      <c r="D66" s="419"/>
      <c r="E66" s="420"/>
    </row>
    <row r="67" spans="1:6" ht="18" hidden="1" customHeight="1">
      <c r="A67" s="414" t="s">
        <v>66</v>
      </c>
      <c r="B67" s="415">
        <f>SUM(B61:B66)</f>
        <v>0</v>
      </c>
      <c r="C67" s="415"/>
      <c r="D67" s="415"/>
      <c r="E67" s="415"/>
    </row>
    <row r="68" spans="1:6" ht="18" hidden="1" customHeight="1">
      <c r="A68" s="394"/>
      <c r="B68" s="135"/>
      <c r="C68" s="135"/>
      <c r="D68" s="135"/>
      <c r="E68" s="314"/>
    </row>
    <row r="69" spans="1:6" ht="18" hidden="1" customHeight="1">
      <c r="A69" s="414" t="s">
        <v>72</v>
      </c>
      <c r="B69" s="415"/>
      <c r="C69" s="415"/>
      <c r="D69" s="415"/>
      <c r="E69" s="416"/>
    </row>
    <row r="70" spans="1:6" s="529" customFormat="1" ht="18" hidden="1" customHeight="1">
      <c r="A70" s="602" t="s">
        <v>703</v>
      </c>
      <c r="B70" s="481">
        <f>'OUTSIDE GTA'!C71</f>
        <v>0</v>
      </c>
      <c r="C70" s="481" t="s">
        <v>22</v>
      </c>
      <c r="D70" s="481">
        <v>20</v>
      </c>
      <c r="E70" s="482">
        <f t="shared" ref="E70:E88" si="2">B70*D70</f>
        <v>0</v>
      </c>
      <c r="F70" s="414" t="s">
        <v>72</v>
      </c>
    </row>
    <row r="71" spans="1:6" s="529" customFormat="1" ht="18" customHeight="1">
      <c r="A71" s="394" t="s">
        <v>568</v>
      </c>
      <c r="B71" s="135">
        <f>'OUTSIDE GTA'!F107</f>
        <v>0</v>
      </c>
      <c r="C71" s="135" t="s">
        <v>22</v>
      </c>
      <c r="D71" s="135">
        <v>16.649999999999999</v>
      </c>
      <c r="E71" s="314">
        <f t="shared" si="2"/>
        <v>0</v>
      </c>
      <c r="F71" s="816" t="s">
        <v>565</v>
      </c>
    </row>
    <row r="72" spans="1:6" s="529" customFormat="1" ht="18" customHeight="1">
      <c r="A72" s="603" t="s">
        <v>569</v>
      </c>
      <c r="B72" s="135">
        <f>'OUTSIDE GTA'!G107</f>
        <v>0</v>
      </c>
      <c r="C72" s="135" t="s">
        <v>22</v>
      </c>
      <c r="D72" s="135">
        <v>16.649999999999999</v>
      </c>
      <c r="E72" s="314">
        <f t="shared" si="2"/>
        <v>0</v>
      </c>
      <c r="F72" s="816" t="s">
        <v>565</v>
      </c>
    </row>
    <row r="73" spans="1:6" s="529" customFormat="1" ht="18" customHeight="1">
      <c r="A73" s="394" t="s">
        <v>466</v>
      </c>
      <c r="B73" s="135">
        <f>'OUTSIDE GTA'!H107</f>
        <v>0</v>
      </c>
      <c r="C73" s="135" t="s">
        <v>22</v>
      </c>
      <c r="D73" s="135">
        <v>16.649999999999999</v>
      </c>
      <c r="E73" s="314">
        <f t="shared" si="2"/>
        <v>0</v>
      </c>
      <c r="F73" s="816" t="s">
        <v>565</v>
      </c>
    </row>
    <row r="74" spans="1:6" s="529" customFormat="1" ht="18" customHeight="1">
      <c r="A74" s="394" t="s">
        <v>417</v>
      </c>
      <c r="B74" s="135">
        <f>'OUTSIDE GTA'!I107</f>
        <v>0</v>
      </c>
      <c r="C74" s="135" t="s">
        <v>22</v>
      </c>
      <c r="D74" s="135">
        <v>16.649999999999999</v>
      </c>
      <c r="E74" s="314">
        <f t="shared" si="2"/>
        <v>0</v>
      </c>
      <c r="F74" s="816" t="s">
        <v>565</v>
      </c>
    </row>
    <row r="75" spans="1:6" s="529" customFormat="1" ht="18" customHeight="1">
      <c r="A75" s="395" t="s">
        <v>570</v>
      </c>
      <c r="B75" s="135">
        <f>'OUTSIDE GTA'!J107</f>
        <v>0</v>
      </c>
      <c r="C75" s="135" t="s">
        <v>22</v>
      </c>
      <c r="D75" s="135">
        <v>18</v>
      </c>
      <c r="E75" s="314">
        <f t="shared" si="2"/>
        <v>0</v>
      </c>
      <c r="F75" s="816" t="s">
        <v>565</v>
      </c>
    </row>
    <row r="76" spans="1:6" s="529" customFormat="1" ht="18" customHeight="1">
      <c r="A76" s="603" t="s">
        <v>231</v>
      </c>
      <c r="B76" s="135">
        <f>'OUTSIDE GTA'!K107</f>
        <v>0</v>
      </c>
      <c r="C76" s="135" t="s">
        <v>22</v>
      </c>
      <c r="D76" s="135">
        <v>16.649999999999999</v>
      </c>
      <c r="E76" s="314">
        <f t="shared" si="2"/>
        <v>0</v>
      </c>
      <c r="F76" s="816" t="s">
        <v>565</v>
      </c>
    </row>
    <row r="77" spans="1:6" s="529" customFormat="1" ht="18" hidden="1" customHeight="1">
      <c r="A77" s="602" t="s">
        <v>80</v>
      </c>
      <c r="B77" s="481">
        <f>'OUTSIDE GTA'!P71</f>
        <v>0</v>
      </c>
      <c r="C77" s="481" t="s">
        <v>22</v>
      </c>
      <c r="D77" s="481">
        <v>16.649999999999999</v>
      </c>
      <c r="E77" s="482">
        <f t="shared" si="2"/>
        <v>0</v>
      </c>
      <c r="F77" s="414" t="s">
        <v>72</v>
      </c>
    </row>
    <row r="78" spans="1:6" s="529" customFormat="1" ht="18" customHeight="1">
      <c r="A78" s="603" t="s">
        <v>571</v>
      </c>
      <c r="B78" s="135">
        <f>'OUTSIDE GTA'!L107</f>
        <v>0</v>
      </c>
      <c r="C78" s="135" t="s">
        <v>22</v>
      </c>
      <c r="D78" s="135">
        <v>16.649999999999999</v>
      </c>
      <c r="E78" s="314">
        <f t="shared" si="2"/>
        <v>0</v>
      </c>
      <c r="F78" s="816" t="s">
        <v>565</v>
      </c>
    </row>
    <row r="79" spans="1:6" s="529" customFormat="1" ht="18" hidden="1" customHeight="1">
      <c r="A79" s="602" t="s">
        <v>78</v>
      </c>
      <c r="B79" s="481">
        <f>'OUTSIDE GTA'!Q71</f>
        <v>0</v>
      </c>
      <c r="C79" s="481" t="s">
        <v>22</v>
      </c>
      <c r="D79" s="481">
        <v>16.649999999999999</v>
      </c>
      <c r="E79" s="482">
        <f t="shared" si="2"/>
        <v>0</v>
      </c>
      <c r="F79" s="414" t="s">
        <v>72</v>
      </c>
    </row>
    <row r="80" spans="1:6" s="529" customFormat="1" ht="18" customHeight="1">
      <c r="A80" s="603" t="s">
        <v>572</v>
      </c>
      <c r="B80" s="135">
        <f>'OUTSIDE GTA'!M107</f>
        <v>0</v>
      </c>
      <c r="C80" s="135" t="s">
        <v>22</v>
      </c>
      <c r="D80" s="135">
        <v>18</v>
      </c>
      <c r="E80" s="314">
        <f t="shared" si="2"/>
        <v>0</v>
      </c>
      <c r="F80" s="816" t="s">
        <v>565</v>
      </c>
    </row>
    <row r="81" spans="1:6" s="529" customFormat="1" ht="18" customHeight="1">
      <c r="A81" s="603" t="s">
        <v>573</v>
      </c>
      <c r="B81" s="135">
        <f>'OUTSIDE GTA'!N107</f>
        <v>0</v>
      </c>
      <c r="C81" s="135" t="s">
        <v>22</v>
      </c>
      <c r="D81" s="135">
        <v>16.649999999999999</v>
      </c>
      <c r="E81" s="314">
        <f t="shared" si="2"/>
        <v>0</v>
      </c>
      <c r="F81" s="816" t="s">
        <v>565</v>
      </c>
    </row>
    <row r="82" spans="1:6" s="529" customFormat="1" ht="18" hidden="1" customHeight="1">
      <c r="A82" s="602" t="s">
        <v>710</v>
      </c>
      <c r="B82" s="481">
        <f>'OUTSIDE GTA'!T71</f>
        <v>0</v>
      </c>
      <c r="C82" s="481" t="s">
        <v>22</v>
      </c>
      <c r="D82" s="481">
        <v>16.649999999999999</v>
      </c>
      <c r="E82" s="482">
        <f t="shared" si="2"/>
        <v>0</v>
      </c>
      <c r="F82" s="414" t="s">
        <v>72</v>
      </c>
    </row>
    <row r="83" spans="1:6" s="529" customFormat="1" ht="18" hidden="1" customHeight="1">
      <c r="A83" s="602" t="s">
        <v>711</v>
      </c>
      <c r="B83" s="481">
        <f>'OUTSIDE GTA'!U71</f>
        <v>0</v>
      </c>
      <c r="C83" s="481" t="s">
        <v>22</v>
      </c>
      <c r="D83" s="481">
        <v>16.649999999999999</v>
      </c>
      <c r="E83" s="482">
        <f t="shared" si="2"/>
        <v>0</v>
      </c>
      <c r="F83" s="414" t="s">
        <v>72</v>
      </c>
    </row>
    <row r="84" spans="1:6" s="529" customFormat="1" ht="18" customHeight="1">
      <c r="A84" s="394" t="s">
        <v>396</v>
      </c>
      <c r="B84" s="135">
        <f>'OUTSIDE GTA'!O107</f>
        <v>0</v>
      </c>
      <c r="C84" s="135" t="s">
        <v>22</v>
      </c>
      <c r="D84" s="135">
        <v>16.649999999999999</v>
      </c>
      <c r="E84" s="314">
        <f t="shared" si="2"/>
        <v>0</v>
      </c>
      <c r="F84" s="816" t="s">
        <v>565</v>
      </c>
    </row>
    <row r="85" spans="1:6" s="529" customFormat="1" ht="18" hidden="1" customHeight="1">
      <c r="A85" s="602" t="s">
        <v>713</v>
      </c>
      <c r="B85" s="481">
        <f>'OUTSIDE GTA'!L71</f>
        <v>0</v>
      </c>
      <c r="C85" s="481" t="s">
        <v>22</v>
      </c>
      <c r="D85" s="481">
        <v>16.649999999999999</v>
      </c>
      <c r="E85" s="482">
        <f t="shared" si="2"/>
        <v>0</v>
      </c>
      <c r="F85" s="414" t="s">
        <v>72</v>
      </c>
    </row>
    <row r="86" spans="1:6" s="529" customFormat="1" ht="18" hidden="1" customHeight="1">
      <c r="A86" s="602" t="s">
        <v>714</v>
      </c>
      <c r="B86" s="481">
        <f>'OUTSIDE GTA'!O71</f>
        <v>0</v>
      </c>
      <c r="C86" s="481" t="s">
        <v>22</v>
      </c>
      <c r="D86" s="481">
        <v>20</v>
      </c>
      <c r="E86" s="482">
        <f t="shared" si="2"/>
        <v>0</v>
      </c>
      <c r="F86" s="414" t="s">
        <v>72</v>
      </c>
    </row>
    <row r="87" spans="1:6" s="529" customFormat="1" ht="18" hidden="1" customHeight="1">
      <c r="A87" s="602" t="s">
        <v>715</v>
      </c>
      <c r="B87" s="481">
        <f>'OUTSIDE GTA'!R71</f>
        <v>0</v>
      </c>
      <c r="C87" s="481" t="s">
        <v>22</v>
      </c>
      <c r="D87" s="481">
        <v>20</v>
      </c>
      <c r="E87" s="482">
        <f t="shared" si="2"/>
        <v>0</v>
      </c>
      <c r="F87" s="414" t="s">
        <v>72</v>
      </c>
    </row>
    <row r="88" spans="1:6" s="529" customFormat="1" ht="18" hidden="1" customHeight="1">
      <c r="A88" s="602" t="s">
        <v>716</v>
      </c>
      <c r="B88" s="481">
        <f>'OUTSIDE GTA'!S71</f>
        <v>0</v>
      </c>
      <c r="C88" s="481" t="s">
        <v>22</v>
      </c>
      <c r="D88" s="481">
        <v>20</v>
      </c>
      <c r="E88" s="482">
        <f t="shared" si="2"/>
        <v>0</v>
      </c>
      <c r="F88" s="414" t="s">
        <v>72</v>
      </c>
    </row>
    <row r="89" spans="1:6" ht="18" hidden="1" customHeight="1">
      <c r="A89" s="423"/>
      <c r="B89" s="419"/>
      <c r="C89" s="419"/>
      <c r="D89" s="419"/>
      <c r="E89" s="420"/>
    </row>
    <row r="90" spans="1:6" ht="18" hidden="1" customHeight="1">
      <c r="A90" s="414" t="s">
        <v>72</v>
      </c>
      <c r="B90" s="415">
        <f>SUM(B70:B89)</f>
        <v>0</v>
      </c>
      <c r="C90" s="415"/>
      <c r="D90" s="415"/>
      <c r="E90" s="415"/>
    </row>
    <row r="91" spans="1:6" ht="18" hidden="1" customHeight="1">
      <c r="A91" s="394"/>
      <c r="B91" s="135"/>
      <c r="C91" s="135"/>
      <c r="D91" s="135"/>
      <c r="E91" s="314"/>
    </row>
    <row r="92" spans="1:6" ht="18" hidden="1" customHeight="1">
      <c r="A92" s="414" t="s">
        <v>92</v>
      </c>
      <c r="B92" s="415"/>
      <c r="C92" s="415"/>
      <c r="D92" s="415"/>
      <c r="E92" s="416"/>
    </row>
    <row r="93" spans="1:6" s="529" customFormat="1" ht="18" customHeight="1">
      <c r="A93" s="394" t="s">
        <v>574</v>
      </c>
      <c r="B93" s="135">
        <f>'OUTSIDE GTA'!P107</f>
        <v>0</v>
      </c>
      <c r="C93" s="135" t="s">
        <v>22</v>
      </c>
      <c r="D93" s="135">
        <v>16.649999999999999</v>
      </c>
      <c r="E93" s="314">
        <f>B93*D93</f>
        <v>0</v>
      </c>
      <c r="F93" s="816" t="s">
        <v>565</v>
      </c>
    </row>
    <row r="94" spans="1:6" s="529" customFormat="1" ht="18" hidden="1" customHeight="1">
      <c r="A94" s="602" t="s">
        <v>94</v>
      </c>
      <c r="B94" s="481">
        <f>'OUTSIDE GTA'!D143</f>
        <v>0</v>
      </c>
      <c r="C94" s="481" t="s">
        <v>22</v>
      </c>
      <c r="D94" s="481">
        <v>16.649999999999999</v>
      </c>
      <c r="E94" s="482">
        <f>B94*D94</f>
        <v>0</v>
      </c>
      <c r="F94" s="414" t="s">
        <v>92</v>
      </c>
    </row>
    <row r="95" spans="1:6" ht="18" hidden="1" customHeight="1">
      <c r="A95" s="423"/>
      <c r="B95" s="419"/>
      <c r="C95" s="419"/>
      <c r="D95" s="419"/>
      <c r="E95" s="420"/>
    </row>
    <row r="96" spans="1:6" ht="18" hidden="1" customHeight="1">
      <c r="A96" s="414" t="s">
        <v>92</v>
      </c>
      <c r="B96" s="415">
        <f>SUM(B93:B95)</f>
        <v>0</v>
      </c>
      <c r="C96" s="415"/>
      <c r="D96" s="415"/>
      <c r="E96" s="415"/>
    </row>
    <row r="97" spans="1:6" ht="18" hidden="1" customHeight="1">
      <c r="A97" s="394"/>
      <c r="B97" s="135"/>
      <c r="C97" s="135"/>
      <c r="D97" s="135"/>
      <c r="E97" s="314"/>
    </row>
    <row r="98" spans="1:6" ht="18" hidden="1" customHeight="1">
      <c r="A98" s="414" t="s">
        <v>95</v>
      </c>
      <c r="B98" s="415"/>
      <c r="C98" s="415"/>
      <c r="D98" s="415"/>
      <c r="E98" s="416"/>
    </row>
    <row r="99" spans="1:6" ht="18" hidden="1" customHeight="1">
      <c r="A99" s="601" t="s">
        <v>96</v>
      </c>
      <c r="B99" s="135">
        <f>'OUTSIDE GTA'!C53</f>
        <v>0</v>
      </c>
      <c r="C99" s="135" t="s">
        <v>22</v>
      </c>
      <c r="D99" s="135">
        <v>16.649999999999999</v>
      </c>
      <c r="E99" s="314">
        <f t="shared" ref="E99:E125" si="3">B99*D99</f>
        <v>0</v>
      </c>
      <c r="F99" s="414" t="s">
        <v>95</v>
      </c>
    </row>
    <row r="100" spans="1:6" ht="18" customHeight="1">
      <c r="A100" s="395" t="s">
        <v>575</v>
      </c>
      <c r="B100" s="135">
        <f>'OUTSIDE GTA'!Q107</f>
        <v>0</v>
      </c>
      <c r="C100" s="135" t="s">
        <v>22</v>
      </c>
      <c r="D100" s="135">
        <v>16.649999999999999</v>
      </c>
      <c r="E100" s="314">
        <f t="shared" si="3"/>
        <v>0</v>
      </c>
      <c r="F100" s="816" t="s">
        <v>565</v>
      </c>
    </row>
    <row r="101" spans="1:6" ht="18" hidden="1" customHeight="1">
      <c r="A101" s="601" t="s">
        <v>62</v>
      </c>
      <c r="B101" s="135">
        <f>'OUTSIDE GTA'!I53</f>
        <v>0</v>
      </c>
      <c r="C101" s="135" t="s">
        <v>22</v>
      </c>
      <c r="D101" s="135">
        <v>16.649999999999999</v>
      </c>
      <c r="E101" s="314">
        <f t="shared" si="3"/>
        <v>0</v>
      </c>
      <c r="F101" s="414" t="s">
        <v>95</v>
      </c>
    </row>
    <row r="102" spans="1:6" ht="18" hidden="1" customHeight="1">
      <c r="A102" s="601" t="s">
        <v>98</v>
      </c>
      <c r="B102" s="135">
        <f>'OUTSIDE GTA'!E53</f>
        <v>0</v>
      </c>
      <c r="C102" s="135" t="s">
        <v>22</v>
      </c>
      <c r="D102" s="135">
        <v>16.649999999999999</v>
      </c>
      <c r="E102" s="314">
        <f t="shared" si="3"/>
        <v>0</v>
      </c>
      <c r="F102" s="414" t="s">
        <v>95</v>
      </c>
    </row>
    <row r="103" spans="1:6" ht="18" hidden="1" customHeight="1">
      <c r="A103" s="667" t="s">
        <v>99</v>
      </c>
      <c r="B103" s="135">
        <f>'OUTSIDE GTA'!G53</f>
        <v>0</v>
      </c>
      <c r="C103" s="135" t="s">
        <v>22</v>
      </c>
      <c r="D103" s="135">
        <v>16.649999999999999</v>
      </c>
      <c r="E103" s="314">
        <f t="shared" si="3"/>
        <v>0</v>
      </c>
      <c r="F103" s="414" t="s">
        <v>95</v>
      </c>
    </row>
    <row r="104" spans="1:6" ht="18" hidden="1" customHeight="1">
      <c r="A104" s="601" t="s">
        <v>100</v>
      </c>
      <c r="B104" s="135">
        <f>'OUTSIDE GTA'!H53</f>
        <v>0</v>
      </c>
      <c r="C104" s="135" t="s">
        <v>22</v>
      </c>
      <c r="D104" s="135">
        <v>16.649999999999999</v>
      </c>
      <c r="E104" s="314">
        <f t="shared" si="3"/>
        <v>0</v>
      </c>
      <c r="F104" s="414" t="s">
        <v>95</v>
      </c>
    </row>
    <row r="105" spans="1:6" ht="18" hidden="1" customHeight="1">
      <c r="A105" s="649" t="s">
        <v>101</v>
      </c>
      <c r="B105" s="135">
        <f>'OUTSIDE GTA'!N53</f>
        <v>0</v>
      </c>
      <c r="C105" s="135" t="s">
        <v>22</v>
      </c>
      <c r="D105" s="135">
        <v>16.649999999999999</v>
      </c>
      <c r="E105" s="314">
        <f t="shared" si="3"/>
        <v>0</v>
      </c>
      <c r="F105" s="414" t="s">
        <v>95</v>
      </c>
    </row>
    <row r="106" spans="1:6" ht="18" hidden="1" customHeight="1">
      <c r="A106" s="649" t="s">
        <v>102</v>
      </c>
      <c r="B106" s="135">
        <f>'OUTSIDE GTA'!M53</f>
        <v>0</v>
      </c>
      <c r="C106" s="135" t="s">
        <v>22</v>
      </c>
      <c r="D106" s="135">
        <v>16.649999999999999</v>
      </c>
      <c r="E106" s="314">
        <f t="shared" si="3"/>
        <v>0</v>
      </c>
      <c r="F106" s="414" t="s">
        <v>95</v>
      </c>
    </row>
    <row r="107" spans="1:6" ht="18" hidden="1" customHeight="1">
      <c r="A107" s="649" t="s">
        <v>103</v>
      </c>
      <c r="B107" s="135">
        <f>'OUTSIDE GTA'!K53</f>
        <v>0</v>
      </c>
      <c r="C107" s="135" t="s">
        <v>22</v>
      </c>
      <c r="D107" s="135">
        <v>16.649999999999999</v>
      </c>
      <c r="E107" s="314">
        <f t="shared" si="3"/>
        <v>0</v>
      </c>
      <c r="F107" s="414" t="s">
        <v>95</v>
      </c>
    </row>
    <row r="108" spans="1:6" ht="18" hidden="1" customHeight="1">
      <c r="A108" s="649" t="s">
        <v>104</v>
      </c>
      <c r="B108" s="135">
        <f>'OUTSIDE GTA'!O53</f>
        <v>0</v>
      </c>
      <c r="C108" s="135" t="s">
        <v>22</v>
      </c>
      <c r="D108" s="135">
        <v>16.649999999999999</v>
      </c>
      <c r="E108" s="314">
        <f t="shared" si="3"/>
        <v>0</v>
      </c>
      <c r="F108" s="414" t="s">
        <v>95</v>
      </c>
    </row>
    <row r="109" spans="1:6" ht="18" hidden="1" customHeight="1">
      <c r="A109" s="649" t="s">
        <v>60</v>
      </c>
      <c r="B109" s="135">
        <f>'OUTSIDE GTA'!P53</f>
        <v>0</v>
      </c>
      <c r="C109" s="135" t="s">
        <v>22</v>
      </c>
      <c r="D109" s="135">
        <v>16.649999999999999</v>
      </c>
      <c r="E109" s="314">
        <f t="shared" si="3"/>
        <v>0</v>
      </c>
      <c r="F109" s="414" t="s">
        <v>95</v>
      </c>
    </row>
    <row r="110" spans="1:6" ht="18" hidden="1" customHeight="1">
      <c r="A110" s="601" t="s">
        <v>105</v>
      </c>
      <c r="B110" s="135">
        <f>'OUTSIDE GTA'!Q53</f>
        <v>0</v>
      </c>
      <c r="C110" s="135" t="s">
        <v>22</v>
      </c>
      <c r="D110" s="135">
        <v>16.649999999999999</v>
      </c>
      <c r="E110" s="314">
        <f t="shared" si="3"/>
        <v>0</v>
      </c>
      <c r="F110" s="414" t="s">
        <v>95</v>
      </c>
    </row>
    <row r="111" spans="1:6" ht="18" hidden="1" customHeight="1">
      <c r="A111" s="601" t="s">
        <v>106</v>
      </c>
      <c r="B111" s="135">
        <f>'OUTSIDE GTA'!R53</f>
        <v>0</v>
      </c>
      <c r="C111" s="135" t="s">
        <v>22</v>
      </c>
      <c r="D111" s="135">
        <v>16.649999999999999</v>
      </c>
      <c r="E111" s="314">
        <f t="shared" si="3"/>
        <v>0</v>
      </c>
      <c r="F111" s="414" t="s">
        <v>95</v>
      </c>
    </row>
    <row r="112" spans="1:6" ht="18" hidden="1" customHeight="1">
      <c r="A112" s="601" t="s">
        <v>107</v>
      </c>
      <c r="B112" s="135">
        <f>'OUTSIDE GTA'!S53</f>
        <v>0</v>
      </c>
      <c r="C112" s="135" t="s">
        <v>22</v>
      </c>
      <c r="D112" s="135">
        <v>16.649999999999999</v>
      </c>
      <c r="E112" s="314">
        <f t="shared" si="3"/>
        <v>0</v>
      </c>
      <c r="F112" s="414" t="s">
        <v>95</v>
      </c>
    </row>
    <row r="113" spans="1:6" ht="18" hidden="1" customHeight="1">
      <c r="A113" s="602" t="s">
        <v>108</v>
      </c>
      <c r="B113" s="481">
        <f>'OUTSIDE GTA'!L53</f>
        <v>0</v>
      </c>
      <c r="C113" s="481" t="s">
        <v>22</v>
      </c>
      <c r="D113" s="481">
        <v>16.649999999999999</v>
      </c>
      <c r="E113" s="482">
        <f t="shared" si="3"/>
        <v>0</v>
      </c>
      <c r="F113" s="414" t="s">
        <v>95</v>
      </c>
    </row>
    <row r="114" spans="1:6" ht="18" hidden="1" customHeight="1">
      <c r="A114" s="601" t="s">
        <v>109</v>
      </c>
      <c r="B114" s="135">
        <f>'OUTSIDE GTA'!T53</f>
        <v>0</v>
      </c>
      <c r="C114" s="135" t="s">
        <v>22</v>
      </c>
      <c r="D114" s="135">
        <v>16.649999999999999</v>
      </c>
      <c r="E114" s="314">
        <f t="shared" si="3"/>
        <v>0</v>
      </c>
      <c r="F114" s="414" t="s">
        <v>95</v>
      </c>
    </row>
    <row r="115" spans="1:6" ht="18" hidden="1" customHeight="1">
      <c r="A115" s="649" t="s">
        <v>110</v>
      </c>
      <c r="B115" s="135">
        <f>'OUTSIDE GTA'!V53</f>
        <v>0</v>
      </c>
      <c r="C115" s="135" t="s">
        <v>22</v>
      </c>
      <c r="D115" s="135">
        <v>16.649999999999999</v>
      </c>
      <c r="E115" s="314">
        <f t="shared" si="3"/>
        <v>0</v>
      </c>
      <c r="F115" s="414" t="s">
        <v>95</v>
      </c>
    </row>
    <row r="116" spans="1:6" ht="18" hidden="1" customHeight="1">
      <c r="A116" s="649" t="s">
        <v>111</v>
      </c>
      <c r="B116" s="135">
        <f>'OUTSIDE GTA'!X53</f>
        <v>0</v>
      </c>
      <c r="C116" s="135" t="s">
        <v>22</v>
      </c>
      <c r="D116" s="135">
        <v>16.649999999999999</v>
      </c>
      <c r="E116" s="314">
        <f t="shared" si="3"/>
        <v>0</v>
      </c>
      <c r="F116" s="414" t="s">
        <v>95</v>
      </c>
    </row>
    <row r="117" spans="1:6" ht="18" hidden="1" customHeight="1">
      <c r="A117" s="650" t="s">
        <v>112</v>
      </c>
      <c r="B117" s="481">
        <f>'OUTSIDE GTA'!Y53</f>
        <v>0</v>
      </c>
      <c r="C117" s="481" t="s">
        <v>22</v>
      </c>
      <c r="D117" s="481">
        <v>16.649999999999999</v>
      </c>
      <c r="E117" s="482">
        <f t="shared" si="3"/>
        <v>0</v>
      </c>
      <c r="F117" s="414" t="s">
        <v>95</v>
      </c>
    </row>
    <row r="118" spans="1:6" ht="18" customHeight="1">
      <c r="A118" s="603" t="s">
        <v>576</v>
      </c>
      <c r="B118" s="135">
        <f>'OUTSIDE GTA'!R107</f>
        <v>0</v>
      </c>
      <c r="C118" s="135" t="s">
        <v>22</v>
      </c>
      <c r="D118" s="135">
        <v>16.649999999999999</v>
      </c>
      <c r="E118" s="314">
        <f t="shared" si="3"/>
        <v>0</v>
      </c>
      <c r="F118" s="816" t="s">
        <v>565</v>
      </c>
    </row>
    <row r="119" spans="1:6" ht="18" hidden="1" customHeight="1">
      <c r="A119" s="649" t="s">
        <v>114</v>
      </c>
      <c r="B119" s="135">
        <f>'OUTSIDE GTA'!Z53</f>
        <v>0</v>
      </c>
      <c r="C119" s="135" t="s">
        <v>22</v>
      </c>
      <c r="D119" s="135">
        <v>16.649999999999999</v>
      </c>
      <c r="E119" s="314">
        <f t="shared" si="3"/>
        <v>0</v>
      </c>
      <c r="F119" s="414" t="s">
        <v>95</v>
      </c>
    </row>
    <row r="120" spans="1:6" ht="18" customHeight="1">
      <c r="A120" s="603" t="s">
        <v>577</v>
      </c>
      <c r="B120" s="135">
        <f>'OUTSIDE GTA'!S107</f>
        <v>0</v>
      </c>
      <c r="C120" s="135" t="s">
        <v>22</v>
      </c>
      <c r="D120" s="135">
        <v>16.649999999999999</v>
      </c>
      <c r="E120" s="314">
        <f t="shared" si="3"/>
        <v>0</v>
      </c>
      <c r="F120" s="816" t="s">
        <v>565</v>
      </c>
    </row>
    <row r="121" spans="1:6" ht="18" customHeight="1">
      <c r="A121" s="603" t="s">
        <v>578</v>
      </c>
      <c r="B121" s="135">
        <f>'OUTSIDE GTA'!T107</f>
        <v>0</v>
      </c>
      <c r="C121" s="135" t="s">
        <v>22</v>
      </c>
      <c r="D121" s="135">
        <v>16.649999999999999</v>
      </c>
      <c r="E121" s="314">
        <f t="shared" si="3"/>
        <v>0</v>
      </c>
      <c r="F121" s="816" t="s">
        <v>565</v>
      </c>
    </row>
    <row r="122" spans="1:6" ht="18" customHeight="1">
      <c r="A122" s="394" t="s">
        <v>579</v>
      </c>
      <c r="B122" s="135">
        <f>'OUTSIDE GTA'!U107</f>
        <v>0</v>
      </c>
      <c r="C122" s="135" t="s">
        <v>22</v>
      </c>
      <c r="D122" s="135">
        <v>18</v>
      </c>
      <c r="E122" s="314">
        <f t="shared" si="3"/>
        <v>0</v>
      </c>
      <c r="F122" s="816" t="s">
        <v>565</v>
      </c>
    </row>
    <row r="123" spans="1:6" ht="18" hidden="1" customHeight="1">
      <c r="A123" s="649" t="s">
        <v>57</v>
      </c>
      <c r="B123" s="135">
        <f>'OUTSIDE GTA'!AA53</f>
        <v>0</v>
      </c>
      <c r="C123" s="135" t="s">
        <v>22</v>
      </c>
      <c r="D123" s="135">
        <v>16.649999999999999</v>
      </c>
      <c r="E123" s="314">
        <f t="shared" si="3"/>
        <v>0</v>
      </c>
      <c r="F123" s="414" t="s">
        <v>95</v>
      </c>
    </row>
    <row r="124" spans="1:6" ht="18" hidden="1" customHeight="1">
      <c r="A124" s="649" t="s">
        <v>118</v>
      </c>
      <c r="B124" s="135">
        <f>'OUTSIDE GTA'!AC53</f>
        <v>0</v>
      </c>
      <c r="C124" s="135" t="s">
        <v>22</v>
      </c>
      <c r="D124" s="135">
        <v>16.649999999999999</v>
      </c>
      <c r="E124" s="314">
        <f t="shared" si="3"/>
        <v>0</v>
      </c>
      <c r="F124" s="414" t="s">
        <v>95</v>
      </c>
    </row>
    <row r="125" spans="1:6" ht="18" hidden="1" customHeight="1">
      <c r="A125" s="601" t="s">
        <v>119</v>
      </c>
      <c r="B125" s="135">
        <f>'OUTSIDE GTA'!AB53</f>
        <v>0</v>
      </c>
      <c r="C125" s="135" t="s">
        <v>22</v>
      </c>
      <c r="D125" s="135">
        <v>16.649999999999999</v>
      </c>
      <c r="E125" s="314">
        <f t="shared" si="3"/>
        <v>0</v>
      </c>
      <c r="F125" s="414" t="s">
        <v>95</v>
      </c>
    </row>
    <row r="126" spans="1:6" ht="18" hidden="1" customHeight="1">
      <c r="A126" s="423"/>
      <c r="B126" s="419"/>
      <c r="C126" s="419"/>
      <c r="D126" s="419"/>
      <c r="E126" s="420"/>
    </row>
    <row r="127" spans="1:6" ht="18" hidden="1" customHeight="1">
      <c r="A127" s="414" t="s">
        <v>120</v>
      </c>
      <c r="B127" s="415">
        <f>SUM(B98:B126)</f>
        <v>0</v>
      </c>
      <c r="C127" s="415"/>
      <c r="D127" s="415"/>
      <c r="E127" s="415"/>
    </row>
    <row r="128" spans="1:6" ht="18" hidden="1" customHeight="1">
      <c r="A128" s="394"/>
      <c r="B128" s="135"/>
      <c r="C128" s="135"/>
      <c r="D128" s="135"/>
      <c r="E128" s="314"/>
    </row>
    <row r="129" spans="1:5" ht="18" hidden="1" customHeight="1">
      <c r="A129" s="414" t="s">
        <v>121</v>
      </c>
      <c r="B129" s="415"/>
      <c r="C129" s="415"/>
      <c r="D129" s="415"/>
      <c r="E129" s="416"/>
    </row>
    <row r="130" spans="1:5" ht="18" hidden="1" customHeight="1">
      <c r="A130" s="649" t="s">
        <v>122</v>
      </c>
      <c r="B130" s="135">
        <f>OTTAWA!C54</f>
        <v>0</v>
      </c>
      <c r="C130" s="135" t="s">
        <v>22</v>
      </c>
      <c r="D130" s="135">
        <v>16.649999999999999</v>
      </c>
      <c r="E130" s="314">
        <f>B130*D130</f>
        <v>0</v>
      </c>
    </row>
    <row r="131" spans="1:5" ht="18" hidden="1" customHeight="1">
      <c r="A131" s="649" t="s">
        <v>123</v>
      </c>
      <c r="B131" s="135">
        <f>OTTAWA!D54</f>
        <v>0</v>
      </c>
      <c r="C131" s="135" t="s">
        <v>22</v>
      </c>
      <c r="D131" s="135">
        <v>16.649999999999999</v>
      </c>
      <c r="E131" s="314">
        <f>B131*D131</f>
        <v>0</v>
      </c>
    </row>
    <row r="132" spans="1:5" ht="18" hidden="1" customHeight="1">
      <c r="A132" s="649" t="s">
        <v>124</v>
      </c>
      <c r="B132" s="135">
        <f>OTTAWA!E54</f>
        <v>0</v>
      </c>
      <c r="C132" s="135" t="s">
        <v>22</v>
      </c>
      <c r="D132" s="135">
        <v>16.649999999999999</v>
      </c>
      <c r="E132" s="314">
        <f>B132*D132</f>
        <v>0</v>
      </c>
    </row>
    <row r="133" spans="1:5" ht="18" hidden="1" customHeight="1">
      <c r="A133" s="649" t="s">
        <v>125</v>
      </c>
      <c r="B133" s="135">
        <f>OTTAWA!F54</f>
        <v>0</v>
      </c>
      <c r="C133" s="135" t="s">
        <v>22</v>
      </c>
      <c r="D133" s="135">
        <v>20</v>
      </c>
      <c r="E133" s="314">
        <f>B133*D133</f>
        <v>0</v>
      </c>
    </row>
    <row r="134" spans="1:5" ht="18" hidden="1" customHeight="1">
      <c r="A134" s="423"/>
      <c r="B134" s="419"/>
      <c r="C134" s="419"/>
      <c r="D134" s="419"/>
      <c r="E134" s="420"/>
    </row>
    <row r="135" spans="1:5" ht="18" hidden="1" customHeight="1">
      <c r="A135" s="414" t="s">
        <v>121</v>
      </c>
      <c r="B135" s="415">
        <f>SUM(B129:B134)</f>
        <v>0</v>
      </c>
      <c r="C135" s="415"/>
      <c r="D135" s="415"/>
      <c r="E135" s="415"/>
    </row>
    <row r="136" spans="1:5" ht="18" hidden="1" customHeight="1">
      <c r="A136" s="394"/>
      <c r="B136" s="135"/>
      <c r="C136" s="135"/>
      <c r="D136" s="135"/>
      <c r="E136" s="314"/>
    </row>
    <row r="137" spans="1:5" ht="18" hidden="1" customHeight="1">
      <c r="A137" s="418" t="s">
        <v>126</v>
      </c>
      <c r="B137" s="419"/>
      <c r="C137" s="419"/>
      <c r="D137" s="419"/>
      <c r="E137" s="420"/>
    </row>
    <row r="138" spans="1:5" s="529" customFormat="1" ht="18" hidden="1" customHeight="1">
      <c r="A138" s="395" t="s">
        <v>128</v>
      </c>
      <c r="B138" s="135">
        <f>OTTAWA!D18</f>
        <v>0</v>
      </c>
      <c r="C138" s="135" t="s">
        <v>22</v>
      </c>
      <c r="D138" s="135">
        <v>16.649999999999999</v>
      </c>
      <c r="E138" s="314">
        <f t="shared" ref="E138:E169" si="4">B138*D138</f>
        <v>0</v>
      </c>
    </row>
    <row r="139" spans="1:5" ht="18" hidden="1" customHeight="1">
      <c r="A139" s="395" t="s">
        <v>129</v>
      </c>
      <c r="B139" s="135">
        <f>OTTAWA!C18</f>
        <v>0</v>
      </c>
      <c r="C139" s="135" t="s">
        <v>22</v>
      </c>
      <c r="D139" s="135">
        <v>16.649999999999999</v>
      </c>
      <c r="E139" s="314">
        <f t="shared" si="4"/>
        <v>0</v>
      </c>
    </row>
    <row r="140" spans="1:5" s="529" customFormat="1" ht="18" hidden="1" customHeight="1">
      <c r="A140" s="560" t="s">
        <v>130</v>
      </c>
      <c r="B140" s="481">
        <f>OTTAWA!E18</f>
        <v>0</v>
      </c>
      <c r="C140" s="481" t="s">
        <v>22</v>
      </c>
      <c r="D140" s="481">
        <v>16.649999999999999</v>
      </c>
      <c r="E140" s="482">
        <f t="shared" si="4"/>
        <v>0</v>
      </c>
    </row>
    <row r="141" spans="1:5" s="529" customFormat="1" ht="18" hidden="1" customHeight="1">
      <c r="A141" s="560" t="s">
        <v>131</v>
      </c>
      <c r="B141" s="481">
        <f>OTTAWA!F18</f>
        <v>0</v>
      </c>
      <c r="C141" s="481" t="s">
        <v>22</v>
      </c>
      <c r="D141" s="481">
        <v>16.649999999999999</v>
      </c>
      <c r="E141" s="482">
        <f t="shared" si="4"/>
        <v>0</v>
      </c>
    </row>
    <row r="142" spans="1:5" s="529" customFormat="1" ht="18" hidden="1" customHeight="1">
      <c r="A142" s="395" t="s">
        <v>132</v>
      </c>
      <c r="B142" s="135">
        <f>OTTAWA!G18</f>
        <v>0</v>
      </c>
      <c r="C142" s="135" t="s">
        <v>22</v>
      </c>
      <c r="D142" s="135">
        <v>16.649999999999999</v>
      </c>
      <c r="E142" s="314">
        <f t="shared" si="4"/>
        <v>0</v>
      </c>
    </row>
    <row r="143" spans="1:5" ht="18" hidden="1" customHeight="1">
      <c r="A143" s="136" t="s">
        <v>133</v>
      </c>
      <c r="B143" s="135">
        <f>OTTAWA!H18</f>
        <v>0</v>
      </c>
      <c r="C143" s="135" t="s">
        <v>22</v>
      </c>
      <c r="D143" s="135">
        <v>16.649999999999999</v>
      </c>
      <c r="E143" s="314">
        <f t="shared" si="4"/>
        <v>0</v>
      </c>
    </row>
    <row r="144" spans="1:5" s="529" customFormat="1" ht="18" hidden="1" customHeight="1">
      <c r="A144" s="480" t="s">
        <v>134</v>
      </c>
      <c r="B144" s="481">
        <f>OTTAWA!I18</f>
        <v>0</v>
      </c>
      <c r="C144" s="481" t="s">
        <v>22</v>
      </c>
      <c r="D144" s="481">
        <v>16.649999999999999</v>
      </c>
      <c r="E144" s="482">
        <f t="shared" si="4"/>
        <v>0</v>
      </c>
    </row>
    <row r="145" spans="1:5" ht="18" hidden="1" customHeight="1">
      <c r="A145" s="649" t="s">
        <v>135</v>
      </c>
      <c r="B145" s="135">
        <f>OTTAWA!J18</f>
        <v>0</v>
      </c>
      <c r="C145" s="135" t="s">
        <v>22</v>
      </c>
      <c r="D145" s="135">
        <v>16.649999999999999</v>
      </c>
      <c r="E145" s="314">
        <f t="shared" si="4"/>
        <v>0</v>
      </c>
    </row>
    <row r="146" spans="1:5" s="529" customFormat="1" ht="18" hidden="1" customHeight="1">
      <c r="A146" s="396" t="s">
        <v>137</v>
      </c>
      <c r="B146" s="135">
        <f>OTTAWA!K18</f>
        <v>0</v>
      </c>
      <c r="C146" s="135" t="s">
        <v>22</v>
      </c>
      <c r="D146" s="135">
        <v>16.649999999999999</v>
      </c>
      <c r="E146" s="314">
        <f t="shared" si="4"/>
        <v>0</v>
      </c>
    </row>
    <row r="147" spans="1:5" ht="18" hidden="1" customHeight="1">
      <c r="A147" s="395" t="s">
        <v>138</v>
      </c>
      <c r="B147" s="135">
        <f>OTTAWA!L18</f>
        <v>0</v>
      </c>
      <c r="C147" s="135" t="s">
        <v>22</v>
      </c>
      <c r="D147" s="135">
        <v>16.649999999999999</v>
      </c>
      <c r="E147" s="314">
        <f t="shared" si="4"/>
        <v>0</v>
      </c>
    </row>
    <row r="148" spans="1:5" ht="18" hidden="1" customHeight="1">
      <c r="A148" s="395" t="s">
        <v>139</v>
      </c>
      <c r="B148" s="135">
        <f>OTTAWA!O18</f>
        <v>0</v>
      </c>
      <c r="C148" s="135" t="s">
        <v>22</v>
      </c>
      <c r="D148" s="135">
        <v>16.649999999999999</v>
      </c>
      <c r="E148" s="314">
        <f t="shared" si="4"/>
        <v>0</v>
      </c>
    </row>
    <row r="149" spans="1:5" ht="18" hidden="1" customHeight="1">
      <c r="A149" s="397" t="s">
        <v>140</v>
      </c>
      <c r="B149" s="135">
        <f>OTTAWA!M18</f>
        <v>0</v>
      </c>
      <c r="C149" s="135" t="s">
        <v>22</v>
      </c>
      <c r="D149" s="135">
        <v>16.649999999999999</v>
      </c>
      <c r="E149" s="314">
        <f t="shared" si="4"/>
        <v>0</v>
      </c>
    </row>
    <row r="150" spans="1:5" ht="18" hidden="1" customHeight="1">
      <c r="A150" s="136" t="s">
        <v>142</v>
      </c>
      <c r="B150" s="135">
        <f>OTTAWA!N18</f>
        <v>0</v>
      </c>
      <c r="C150" s="135" t="s">
        <v>22</v>
      </c>
      <c r="D150" s="135">
        <v>16.649999999999999</v>
      </c>
      <c r="E150" s="314">
        <f t="shared" si="4"/>
        <v>0</v>
      </c>
    </row>
    <row r="151" spans="1:5" ht="18" hidden="1" customHeight="1">
      <c r="A151" s="136" t="s">
        <v>143</v>
      </c>
      <c r="B151" s="135">
        <f>OTTAWA!T18</f>
        <v>0</v>
      </c>
      <c r="C151" s="135" t="s">
        <v>22</v>
      </c>
      <c r="D151" s="135">
        <v>16.649999999999999</v>
      </c>
      <c r="E151" s="314">
        <f t="shared" si="4"/>
        <v>0</v>
      </c>
    </row>
    <row r="152" spans="1:5" s="315" customFormat="1" ht="18" hidden="1" customHeight="1">
      <c r="A152" s="397" t="s">
        <v>145</v>
      </c>
      <c r="B152" s="135">
        <f>OTTAWA!Q18</f>
        <v>0</v>
      </c>
      <c r="C152" s="135" t="s">
        <v>22</v>
      </c>
      <c r="D152" s="135">
        <v>16.649999999999999</v>
      </c>
      <c r="E152" s="314">
        <f t="shared" si="4"/>
        <v>0</v>
      </c>
    </row>
    <row r="153" spans="1:5" ht="18" hidden="1" customHeight="1">
      <c r="A153" s="517" t="s">
        <v>146</v>
      </c>
      <c r="B153" s="481">
        <f>OTTAWA!AC18</f>
        <v>0</v>
      </c>
      <c r="C153" s="481" t="s">
        <v>22</v>
      </c>
      <c r="D153" s="481">
        <v>16.649999999999999</v>
      </c>
      <c r="E153" s="482">
        <f t="shared" si="4"/>
        <v>0</v>
      </c>
    </row>
    <row r="154" spans="1:5" ht="18" hidden="1" customHeight="1">
      <c r="A154" s="136" t="s">
        <v>147</v>
      </c>
      <c r="B154" s="135">
        <f>OTTAWA!S18</f>
        <v>0</v>
      </c>
      <c r="C154" s="135" t="s">
        <v>22</v>
      </c>
      <c r="D154" s="135">
        <v>16.649999999999999</v>
      </c>
      <c r="E154" s="314">
        <f t="shared" si="4"/>
        <v>0</v>
      </c>
    </row>
    <row r="155" spans="1:5" ht="18" hidden="1" customHeight="1">
      <c r="A155" s="136" t="s">
        <v>148</v>
      </c>
      <c r="B155" s="135">
        <f>OTTAWA!U18</f>
        <v>0</v>
      </c>
      <c r="C155" s="135" t="s">
        <v>22</v>
      </c>
      <c r="D155" s="135">
        <v>16.649999999999999</v>
      </c>
      <c r="E155" s="314">
        <f t="shared" si="4"/>
        <v>0</v>
      </c>
    </row>
    <row r="156" spans="1:5" ht="18" hidden="1" customHeight="1">
      <c r="A156" s="136" t="s">
        <v>149</v>
      </c>
      <c r="B156" s="135">
        <f>OTTAWA!V18</f>
        <v>0</v>
      </c>
      <c r="C156" s="135" t="s">
        <v>22</v>
      </c>
      <c r="D156" s="135">
        <v>16.649999999999999</v>
      </c>
      <c r="E156" s="314">
        <f t="shared" si="4"/>
        <v>0</v>
      </c>
    </row>
    <row r="157" spans="1:5" ht="18" hidden="1" customHeight="1">
      <c r="A157" s="136" t="s">
        <v>150</v>
      </c>
      <c r="B157" s="135">
        <f>OTTAWA!W18</f>
        <v>0</v>
      </c>
      <c r="C157" s="135" t="s">
        <v>22</v>
      </c>
      <c r="D157" s="135">
        <v>20</v>
      </c>
      <c r="E157" s="314">
        <f t="shared" si="4"/>
        <v>0</v>
      </c>
    </row>
    <row r="158" spans="1:5" ht="18" hidden="1" customHeight="1">
      <c r="A158" s="136" t="s">
        <v>151</v>
      </c>
      <c r="B158" s="135">
        <f>OTTAWA!R18</f>
        <v>0</v>
      </c>
      <c r="C158" s="135" t="s">
        <v>22</v>
      </c>
      <c r="D158" s="135">
        <v>20</v>
      </c>
      <c r="E158" s="314">
        <f t="shared" si="4"/>
        <v>0</v>
      </c>
    </row>
    <row r="159" spans="1:5" ht="18" hidden="1" customHeight="1">
      <c r="A159" s="317" t="s">
        <v>152</v>
      </c>
      <c r="B159" s="135">
        <f>OTTAWA!Y18</f>
        <v>0</v>
      </c>
      <c r="C159" s="135" t="s">
        <v>22</v>
      </c>
      <c r="D159" s="135">
        <v>16.649999999999999</v>
      </c>
      <c r="E159" s="314">
        <f t="shared" si="4"/>
        <v>0</v>
      </c>
    </row>
    <row r="160" spans="1:5" ht="18" hidden="1" customHeight="1">
      <c r="A160" s="136" t="s">
        <v>153</v>
      </c>
      <c r="B160" s="135">
        <f>OTTAWA!X18</f>
        <v>0</v>
      </c>
      <c r="C160" s="135" t="s">
        <v>22</v>
      </c>
      <c r="D160" s="135">
        <v>16.649999999999999</v>
      </c>
      <c r="E160" s="314">
        <f t="shared" si="4"/>
        <v>0</v>
      </c>
    </row>
    <row r="161" spans="1:5" s="529" customFormat="1" ht="18" hidden="1" customHeight="1">
      <c r="A161" s="136" t="s">
        <v>155</v>
      </c>
      <c r="B161" s="135">
        <f>OTTAWA!Z18</f>
        <v>0</v>
      </c>
      <c r="C161" s="135" t="s">
        <v>22</v>
      </c>
      <c r="D161" s="135">
        <v>16.649999999999999</v>
      </c>
      <c r="E161" s="314">
        <f t="shared" si="4"/>
        <v>0</v>
      </c>
    </row>
    <row r="162" spans="1:5" s="315" customFormat="1" ht="18" hidden="1" customHeight="1">
      <c r="A162" s="136" t="s">
        <v>156</v>
      </c>
      <c r="B162" s="135">
        <f>OTTAWA!AA18</f>
        <v>0</v>
      </c>
      <c r="C162" s="135" t="s">
        <v>22</v>
      </c>
      <c r="D162" s="135">
        <v>16.649999999999999</v>
      </c>
      <c r="E162" s="314">
        <f t="shared" si="4"/>
        <v>0</v>
      </c>
    </row>
    <row r="163" spans="1:5" s="315" customFormat="1" ht="18" hidden="1" customHeight="1">
      <c r="A163" s="396" t="s">
        <v>158</v>
      </c>
      <c r="B163" s="135">
        <f>OTTAWA!AB18+OTTAWA!BP18</f>
        <v>0</v>
      </c>
      <c r="C163" s="135" t="s">
        <v>22</v>
      </c>
      <c r="D163" s="135">
        <v>17</v>
      </c>
      <c r="E163" s="314">
        <f t="shared" si="4"/>
        <v>0</v>
      </c>
    </row>
    <row r="164" spans="1:5" s="315" customFormat="1" ht="18" hidden="1" customHeight="1">
      <c r="A164" s="350" t="s">
        <v>160</v>
      </c>
      <c r="B164" s="409">
        <f>OTTAWA!AH18</f>
        <v>0</v>
      </c>
      <c r="C164" s="409" t="s">
        <v>22</v>
      </c>
      <c r="D164" s="409">
        <v>16.649999999999999</v>
      </c>
      <c r="E164" s="410">
        <f t="shared" si="4"/>
        <v>0</v>
      </c>
    </row>
    <row r="165" spans="1:5" s="529" customFormat="1" ht="18" hidden="1" customHeight="1">
      <c r="A165" s="664" t="s">
        <v>162</v>
      </c>
      <c r="B165" s="665">
        <f>OTTAWA!AM18</f>
        <v>0</v>
      </c>
      <c r="C165" s="665" t="s">
        <v>22</v>
      </c>
      <c r="D165" s="665">
        <v>16.649999999999999</v>
      </c>
      <c r="E165" s="666">
        <f t="shared" si="4"/>
        <v>0</v>
      </c>
    </row>
    <row r="166" spans="1:5" s="315" customFormat="1" ht="18" hidden="1" customHeight="1">
      <c r="A166" s="397" t="s">
        <v>163</v>
      </c>
      <c r="B166" s="135">
        <f>OTTAWA!AJ18</f>
        <v>0</v>
      </c>
      <c r="C166" s="135" t="s">
        <v>22</v>
      </c>
      <c r="D166" s="135">
        <v>16.649999999999999</v>
      </c>
      <c r="E166" s="314">
        <f t="shared" si="4"/>
        <v>0</v>
      </c>
    </row>
    <row r="167" spans="1:5" s="315" customFormat="1" ht="18" hidden="1" customHeight="1">
      <c r="A167" s="397" t="s">
        <v>164</v>
      </c>
      <c r="B167" s="135">
        <f>OTTAWA!AG18</f>
        <v>0</v>
      </c>
      <c r="C167" s="135" t="s">
        <v>22</v>
      </c>
      <c r="D167" s="135">
        <v>16.649999999999999</v>
      </c>
      <c r="E167" s="314">
        <f t="shared" si="4"/>
        <v>0</v>
      </c>
    </row>
    <row r="168" spans="1:5" s="315" customFormat="1" ht="18" hidden="1" customHeight="1">
      <c r="A168" s="397" t="s">
        <v>165</v>
      </c>
      <c r="B168" s="135">
        <f>OTTAWA!AE18</f>
        <v>0</v>
      </c>
      <c r="C168" s="135" t="s">
        <v>22</v>
      </c>
      <c r="D168" s="135">
        <v>17</v>
      </c>
      <c r="E168" s="314">
        <f t="shared" si="4"/>
        <v>0</v>
      </c>
    </row>
    <row r="169" spans="1:5" s="315" customFormat="1" ht="18" hidden="1" customHeight="1">
      <c r="A169" s="397" t="s">
        <v>166</v>
      </c>
      <c r="B169" s="135">
        <f>OTTAWA!AF18</f>
        <v>0</v>
      </c>
      <c r="C169" s="135" t="s">
        <v>22</v>
      </c>
      <c r="D169" s="135">
        <v>17</v>
      </c>
      <c r="E169" s="314">
        <f t="shared" si="4"/>
        <v>0</v>
      </c>
    </row>
    <row r="170" spans="1:5" ht="18" hidden="1" customHeight="1">
      <c r="A170" s="136" t="s">
        <v>167</v>
      </c>
      <c r="B170" s="135">
        <f>OTTAWA!AK18</f>
        <v>0</v>
      </c>
      <c r="C170" s="135" t="s">
        <v>22</v>
      </c>
      <c r="D170" s="135">
        <v>20</v>
      </c>
      <c r="E170" s="314">
        <f t="shared" ref="E170:E199" si="5">B170*D170</f>
        <v>0</v>
      </c>
    </row>
    <row r="171" spans="1:5" ht="18" hidden="1" customHeight="1">
      <c r="A171" s="136" t="s">
        <v>168</v>
      </c>
      <c r="B171" s="135">
        <f>OTTAWA!AI18</f>
        <v>0</v>
      </c>
      <c r="C171" s="135" t="s">
        <v>22</v>
      </c>
      <c r="D171" s="135">
        <v>16.649999999999999</v>
      </c>
      <c r="E171" s="314">
        <f t="shared" si="5"/>
        <v>0</v>
      </c>
    </row>
    <row r="172" spans="1:5" s="315" customFormat="1" ht="18" hidden="1" customHeight="1">
      <c r="A172" s="397" t="s">
        <v>169</v>
      </c>
      <c r="B172" s="135">
        <f>OTTAWA!AL18</f>
        <v>0</v>
      </c>
      <c r="C172" s="135" t="s">
        <v>22</v>
      </c>
      <c r="D172" s="135">
        <v>16.649999999999999</v>
      </c>
      <c r="E172" s="314">
        <f t="shared" si="5"/>
        <v>0</v>
      </c>
    </row>
    <row r="173" spans="1:5" s="315" customFormat="1" ht="18" hidden="1" customHeight="1">
      <c r="A173" s="136" t="s">
        <v>171</v>
      </c>
      <c r="B173" s="135">
        <f>OTTAWA!AN18</f>
        <v>0</v>
      </c>
      <c r="C173" s="135" t="s">
        <v>22</v>
      </c>
      <c r="D173" s="135">
        <v>16.649999999999999</v>
      </c>
      <c r="E173" s="314">
        <f t="shared" si="5"/>
        <v>0</v>
      </c>
    </row>
    <row r="174" spans="1:5" s="315" customFormat="1" ht="18" hidden="1" customHeight="1">
      <c r="A174" s="136" t="s">
        <v>173</v>
      </c>
      <c r="B174" s="135">
        <f>OTTAWA!AO18</f>
        <v>0</v>
      </c>
      <c r="C174" s="135" t="s">
        <v>22</v>
      </c>
      <c r="D174" s="135">
        <v>16.649999999999999</v>
      </c>
      <c r="E174" s="314">
        <f t="shared" si="5"/>
        <v>0</v>
      </c>
    </row>
    <row r="175" spans="1:5" s="529" customFormat="1" ht="18" hidden="1" customHeight="1">
      <c r="A175" s="480" t="s">
        <v>174</v>
      </c>
      <c r="B175" s="481">
        <f>OTTAWA!AQ18</f>
        <v>0</v>
      </c>
      <c r="C175" s="481" t="s">
        <v>22</v>
      </c>
      <c r="D175" s="481">
        <v>16.649999999999999</v>
      </c>
      <c r="E175" s="482">
        <f t="shared" si="5"/>
        <v>0</v>
      </c>
    </row>
    <row r="176" spans="1:5" ht="18" hidden="1" customHeight="1">
      <c r="A176" s="136" t="s">
        <v>175</v>
      </c>
      <c r="B176" s="135">
        <f>OTTAWA!AP18</f>
        <v>0</v>
      </c>
      <c r="C176" s="135" t="s">
        <v>22</v>
      </c>
      <c r="D176" s="135">
        <v>16.649999999999999</v>
      </c>
      <c r="E176" s="314">
        <f t="shared" si="5"/>
        <v>0</v>
      </c>
    </row>
    <row r="177" spans="1:5" ht="18" hidden="1" customHeight="1">
      <c r="A177" s="136" t="s">
        <v>177</v>
      </c>
      <c r="B177" s="135">
        <f>OTTAWA!AR18</f>
        <v>0</v>
      </c>
      <c r="C177" s="135" t="s">
        <v>22</v>
      </c>
      <c r="D177" s="135">
        <v>16.649999999999999</v>
      </c>
      <c r="E177" s="314">
        <f t="shared" si="5"/>
        <v>0</v>
      </c>
    </row>
    <row r="178" spans="1:5" ht="18" hidden="1" customHeight="1">
      <c r="A178" s="136" t="s">
        <v>179</v>
      </c>
      <c r="B178" s="135">
        <f>OTTAWA!AS18</f>
        <v>0</v>
      </c>
      <c r="C178" s="135" t="s">
        <v>22</v>
      </c>
      <c r="D178" s="135">
        <v>16.649999999999999</v>
      </c>
      <c r="E178" s="314">
        <f t="shared" si="5"/>
        <v>0</v>
      </c>
    </row>
    <row r="179" spans="1:5" ht="18" hidden="1" customHeight="1">
      <c r="A179" s="136" t="s">
        <v>180</v>
      </c>
      <c r="B179" s="135">
        <f>OTTAWA!BH18</f>
        <v>0</v>
      </c>
      <c r="C179" s="135" t="s">
        <v>22</v>
      </c>
      <c r="D179" s="135">
        <v>16.649999999999999</v>
      </c>
      <c r="E179" s="314">
        <f t="shared" si="5"/>
        <v>0</v>
      </c>
    </row>
    <row r="180" spans="1:5" s="529" customFormat="1" ht="18" hidden="1" customHeight="1">
      <c r="A180" s="136" t="s">
        <v>182</v>
      </c>
      <c r="B180" s="135">
        <f>OTTAWA!BK18</f>
        <v>0</v>
      </c>
      <c r="C180" s="135" t="s">
        <v>22</v>
      </c>
      <c r="D180" s="135">
        <v>16.649999999999999</v>
      </c>
      <c r="E180" s="314">
        <f t="shared" si="5"/>
        <v>0</v>
      </c>
    </row>
    <row r="181" spans="1:5" ht="18" hidden="1" customHeight="1">
      <c r="A181" s="136" t="s">
        <v>183</v>
      </c>
      <c r="B181" s="135">
        <f>OTTAWA!AT18</f>
        <v>0</v>
      </c>
      <c r="C181" s="135" t="s">
        <v>22</v>
      </c>
      <c r="D181" s="135">
        <v>16.649999999999999</v>
      </c>
      <c r="E181" s="314">
        <f t="shared" si="5"/>
        <v>0</v>
      </c>
    </row>
    <row r="182" spans="1:5" s="529" customFormat="1" ht="18" hidden="1" customHeight="1">
      <c r="A182" s="136" t="s">
        <v>184</v>
      </c>
      <c r="B182" s="135">
        <f>OTTAWA!AU18</f>
        <v>0</v>
      </c>
      <c r="C182" s="135" t="s">
        <v>22</v>
      </c>
      <c r="D182" s="135">
        <v>16.649999999999999</v>
      </c>
      <c r="E182" s="314">
        <f t="shared" si="5"/>
        <v>0</v>
      </c>
    </row>
    <row r="183" spans="1:5" ht="18" hidden="1" customHeight="1">
      <c r="A183" s="136" t="s">
        <v>185</v>
      </c>
      <c r="B183" s="135">
        <f>OTTAWA!AV18</f>
        <v>0</v>
      </c>
      <c r="C183" s="135" t="s">
        <v>22</v>
      </c>
      <c r="D183" s="135">
        <v>16.649999999999999</v>
      </c>
      <c r="E183" s="314">
        <f t="shared" si="5"/>
        <v>0</v>
      </c>
    </row>
    <row r="184" spans="1:5" ht="18" hidden="1" customHeight="1">
      <c r="A184" s="136" t="s">
        <v>186</v>
      </c>
      <c r="B184" s="135">
        <f>OTTAWA!BF18</f>
        <v>0</v>
      </c>
      <c r="C184" s="135" t="s">
        <v>22</v>
      </c>
      <c r="D184" s="135">
        <v>16.649999999999999</v>
      </c>
      <c r="E184" s="314">
        <f t="shared" si="5"/>
        <v>0</v>
      </c>
    </row>
    <row r="185" spans="1:5" ht="18" hidden="1" customHeight="1">
      <c r="A185" s="136" t="s">
        <v>187</v>
      </c>
      <c r="B185" s="135">
        <f>OTTAWA!AW18</f>
        <v>0</v>
      </c>
      <c r="C185" s="135" t="s">
        <v>22</v>
      </c>
      <c r="D185" s="135">
        <v>16.649999999999999</v>
      </c>
      <c r="E185" s="314">
        <f t="shared" si="5"/>
        <v>0</v>
      </c>
    </row>
    <row r="186" spans="1:5" ht="18" hidden="1" customHeight="1">
      <c r="A186" s="136" t="s">
        <v>188</v>
      </c>
      <c r="B186" s="135">
        <f>OTTAWA!AX18</f>
        <v>0</v>
      </c>
      <c r="C186" s="135" t="s">
        <v>22</v>
      </c>
      <c r="D186" s="135">
        <v>16.649999999999999</v>
      </c>
      <c r="E186" s="314">
        <f t="shared" si="5"/>
        <v>0</v>
      </c>
    </row>
    <row r="187" spans="1:5" s="529" customFormat="1" ht="18" hidden="1" customHeight="1">
      <c r="A187" s="480" t="s">
        <v>189</v>
      </c>
      <c r="B187" s="481">
        <f>OTTAWA!AD18</f>
        <v>0</v>
      </c>
      <c r="C187" s="481" t="s">
        <v>22</v>
      </c>
      <c r="D187" s="481">
        <v>16.649999999999999</v>
      </c>
      <c r="E187" s="482">
        <f t="shared" si="5"/>
        <v>0</v>
      </c>
    </row>
    <row r="188" spans="1:5" ht="18" hidden="1" customHeight="1">
      <c r="A188" s="136" t="s">
        <v>190</v>
      </c>
      <c r="B188" s="135">
        <f>OTTAWA!AY18</f>
        <v>0</v>
      </c>
      <c r="C188" s="135" t="s">
        <v>22</v>
      </c>
      <c r="D188" s="135">
        <v>16.649999999999999</v>
      </c>
      <c r="E188" s="314">
        <f t="shared" si="5"/>
        <v>0</v>
      </c>
    </row>
    <row r="189" spans="1:5" s="529" customFormat="1" ht="18" hidden="1" customHeight="1">
      <c r="A189" s="480" t="s">
        <v>191</v>
      </c>
      <c r="B189" s="481">
        <f>OTTAWA!AZ18</f>
        <v>0</v>
      </c>
      <c r="C189" s="481" t="s">
        <v>22</v>
      </c>
      <c r="D189" s="481">
        <v>16.649999999999999</v>
      </c>
      <c r="E189" s="482">
        <f t="shared" si="5"/>
        <v>0</v>
      </c>
    </row>
    <row r="190" spans="1:5" ht="18" hidden="1" customHeight="1">
      <c r="A190" s="136" t="s">
        <v>192</v>
      </c>
      <c r="B190" s="135">
        <f>OTTAWA!BB18</f>
        <v>0</v>
      </c>
      <c r="C190" s="135" t="s">
        <v>22</v>
      </c>
      <c r="D190" s="135">
        <v>16.649999999999999</v>
      </c>
      <c r="E190" s="314">
        <f t="shared" si="5"/>
        <v>0</v>
      </c>
    </row>
    <row r="191" spans="1:5" ht="18" hidden="1" customHeight="1">
      <c r="A191" s="136" t="s">
        <v>193</v>
      </c>
      <c r="B191" s="135">
        <f>OTTAWA!BE18</f>
        <v>0</v>
      </c>
      <c r="C191" s="135" t="s">
        <v>22</v>
      </c>
      <c r="D191" s="135">
        <v>16.649999999999999</v>
      </c>
      <c r="E191" s="314">
        <f t="shared" si="5"/>
        <v>0</v>
      </c>
    </row>
    <row r="192" spans="1:5" ht="18" hidden="1" customHeight="1">
      <c r="A192" s="136" t="s">
        <v>194</v>
      </c>
      <c r="B192" s="135">
        <f>OTTAWA!BA18</f>
        <v>0</v>
      </c>
      <c r="C192" s="135" t="s">
        <v>22</v>
      </c>
      <c r="D192" s="135">
        <v>16.649999999999999</v>
      </c>
      <c r="E192" s="314">
        <f t="shared" si="5"/>
        <v>0</v>
      </c>
    </row>
    <row r="193" spans="1:6" ht="18" hidden="1" customHeight="1">
      <c r="A193" s="136" t="s">
        <v>195</v>
      </c>
      <c r="B193" s="135">
        <f>OTTAWA!BC18</f>
        <v>0</v>
      </c>
      <c r="C193" s="135" t="s">
        <v>22</v>
      </c>
      <c r="D193" s="135">
        <v>16.649999999999999</v>
      </c>
      <c r="E193" s="314">
        <f t="shared" si="5"/>
        <v>0</v>
      </c>
    </row>
    <row r="194" spans="1:6" ht="18" hidden="1" customHeight="1">
      <c r="A194" s="136" t="s">
        <v>196</v>
      </c>
      <c r="B194" s="135">
        <f>OTTAWA!BG18</f>
        <v>0</v>
      </c>
      <c r="C194" s="135" t="s">
        <v>22</v>
      </c>
      <c r="D194" s="135">
        <v>16.649999999999999</v>
      </c>
      <c r="E194" s="314">
        <f t="shared" si="5"/>
        <v>0</v>
      </c>
    </row>
    <row r="195" spans="1:6" ht="18" hidden="1" customHeight="1">
      <c r="A195" s="136" t="s">
        <v>197</v>
      </c>
      <c r="B195" s="135">
        <f>OTTAWA!BD18</f>
        <v>0</v>
      </c>
      <c r="C195" s="135" t="s">
        <v>22</v>
      </c>
      <c r="D195" s="135">
        <v>16.649999999999999</v>
      </c>
      <c r="E195" s="314">
        <f t="shared" si="5"/>
        <v>0</v>
      </c>
    </row>
    <row r="196" spans="1:6" ht="18" hidden="1" customHeight="1">
      <c r="A196" s="396" t="s">
        <v>198</v>
      </c>
      <c r="B196" s="135">
        <f>OTTAWA!BI18</f>
        <v>0</v>
      </c>
      <c r="C196" s="135" t="s">
        <v>22</v>
      </c>
      <c r="D196" s="135">
        <v>16.649999999999999</v>
      </c>
      <c r="E196" s="314">
        <f t="shared" si="5"/>
        <v>0</v>
      </c>
    </row>
    <row r="197" spans="1:6" s="529" customFormat="1" ht="18" hidden="1" customHeight="1">
      <c r="A197" s="517" t="s">
        <v>200</v>
      </c>
      <c r="B197" s="481">
        <f>OTTAWA!BJ18</f>
        <v>0</v>
      </c>
      <c r="C197" s="481" t="s">
        <v>22</v>
      </c>
      <c r="D197" s="481">
        <v>16.649999999999999</v>
      </c>
      <c r="E197" s="482">
        <f t="shared" si="5"/>
        <v>0</v>
      </c>
    </row>
    <row r="198" spans="1:6" ht="18" hidden="1" customHeight="1">
      <c r="A198" s="396" t="s">
        <v>148</v>
      </c>
      <c r="B198" s="135">
        <f>OTTAWA!BL18</f>
        <v>0</v>
      </c>
      <c r="C198" s="135" t="s">
        <v>22</v>
      </c>
      <c r="D198" s="135">
        <v>20</v>
      </c>
      <c r="E198" s="314">
        <f t="shared" si="5"/>
        <v>0</v>
      </c>
    </row>
    <row r="199" spans="1:6" ht="18" hidden="1" customHeight="1">
      <c r="A199" s="396" t="s">
        <v>201</v>
      </c>
      <c r="B199" s="135">
        <f>OTTAWA!P18</f>
        <v>0</v>
      </c>
      <c r="C199" s="135" t="s">
        <v>22</v>
      </c>
      <c r="D199" s="135">
        <v>16.649999999999999</v>
      </c>
      <c r="E199" s="314">
        <f t="shared" si="5"/>
        <v>0</v>
      </c>
    </row>
    <row r="200" spans="1:6" ht="18" hidden="1" customHeight="1">
      <c r="A200" s="437"/>
      <c r="B200" s="419"/>
      <c r="C200" s="419"/>
      <c r="D200" s="419"/>
      <c r="E200" s="420"/>
    </row>
    <row r="201" spans="1:6" ht="18" hidden="1" customHeight="1">
      <c r="A201" s="427" t="s">
        <v>203</v>
      </c>
      <c r="B201" s="415">
        <f>SUM(B137:B200)</f>
        <v>0</v>
      </c>
      <c r="C201" s="415"/>
      <c r="D201" s="415"/>
      <c r="E201" s="415"/>
    </row>
    <row r="202" spans="1:6" ht="18" hidden="1" customHeight="1">
      <c r="A202" s="136"/>
      <c r="B202" s="135"/>
      <c r="C202" s="135"/>
      <c r="D202" s="135"/>
      <c r="E202" s="314"/>
    </row>
    <row r="203" spans="1:6" ht="18" hidden="1" customHeight="1">
      <c r="A203" s="418" t="s">
        <v>206</v>
      </c>
      <c r="B203" s="419"/>
      <c r="C203" s="419"/>
      <c r="D203" s="419"/>
      <c r="E203" s="420"/>
    </row>
    <row r="204" spans="1:6" ht="18" hidden="1" customHeight="1">
      <c r="A204" s="136" t="s">
        <v>207</v>
      </c>
      <c r="B204" s="135">
        <f>GTA!R129</f>
        <v>0</v>
      </c>
      <c r="C204" s="135" t="s">
        <v>22</v>
      </c>
      <c r="D204" s="135">
        <v>16.649999999999999</v>
      </c>
      <c r="E204" s="314">
        <f t="shared" ref="E204:E235" si="6">B204*D204</f>
        <v>0</v>
      </c>
      <c r="F204" s="418" t="s">
        <v>206</v>
      </c>
    </row>
    <row r="205" spans="1:6" ht="18" hidden="1" customHeight="1">
      <c r="A205" s="134" t="s">
        <v>462</v>
      </c>
      <c r="B205" s="135">
        <f>GTA!E129</f>
        <v>0</v>
      </c>
      <c r="C205" s="135" t="s">
        <v>22</v>
      </c>
      <c r="D205" s="135">
        <v>16.649999999999999</v>
      </c>
      <c r="E205" s="314">
        <f t="shared" si="6"/>
        <v>0</v>
      </c>
      <c r="F205" s="418" t="s">
        <v>206</v>
      </c>
    </row>
    <row r="206" spans="1:6" ht="18" hidden="1" customHeight="1">
      <c r="A206" s="136" t="s">
        <v>463</v>
      </c>
      <c r="B206" s="135">
        <f>GTA!D129</f>
        <v>0</v>
      </c>
      <c r="C206" s="135" t="s">
        <v>22</v>
      </c>
      <c r="D206" s="135">
        <v>16.649999999999999</v>
      </c>
      <c r="E206" s="314">
        <f t="shared" si="6"/>
        <v>0</v>
      </c>
      <c r="F206" s="418" t="s">
        <v>206</v>
      </c>
    </row>
    <row r="207" spans="1:6" ht="18" hidden="1" customHeight="1">
      <c r="A207" s="134" t="s">
        <v>215</v>
      </c>
      <c r="B207" s="135">
        <f>GTA!S129</f>
        <v>0</v>
      </c>
      <c r="C207" s="135" t="s">
        <v>22</v>
      </c>
      <c r="D207" s="135">
        <v>16.649999999999999</v>
      </c>
      <c r="E207" s="314">
        <f t="shared" si="6"/>
        <v>0</v>
      </c>
      <c r="F207" s="418" t="s">
        <v>206</v>
      </c>
    </row>
    <row r="208" spans="1:6" ht="18" hidden="1" customHeight="1">
      <c r="A208" s="134" t="s">
        <v>218</v>
      </c>
      <c r="B208" s="135">
        <f>GTA!T129</f>
        <v>0</v>
      </c>
      <c r="C208" s="135" t="s">
        <v>22</v>
      </c>
      <c r="D208" s="135">
        <v>16.649999999999999</v>
      </c>
      <c r="E208" s="314">
        <f t="shared" si="6"/>
        <v>0</v>
      </c>
      <c r="F208" s="418" t="s">
        <v>206</v>
      </c>
    </row>
    <row r="209" spans="1:6" ht="18" hidden="1" customHeight="1">
      <c r="A209" s="134" t="s">
        <v>219</v>
      </c>
      <c r="B209" s="135">
        <f>GTA!U129</f>
        <v>0</v>
      </c>
      <c r="C209" s="135" t="s">
        <v>22</v>
      </c>
      <c r="D209" s="135">
        <v>16.649999999999999</v>
      </c>
      <c r="E209" s="314">
        <f t="shared" si="6"/>
        <v>0</v>
      </c>
      <c r="F209" s="418" t="s">
        <v>206</v>
      </c>
    </row>
    <row r="210" spans="1:6" ht="18" hidden="1" customHeight="1">
      <c r="A210" s="134" t="s">
        <v>717</v>
      </c>
      <c r="B210" s="135">
        <f>GTA!V129</f>
        <v>0</v>
      </c>
      <c r="C210" s="135" t="s">
        <v>22</v>
      </c>
      <c r="D210" s="135">
        <v>16.649999999999999</v>
      </c>
      <c r="E210" s="314">
        <f t="shared" si="6"/>
        <v>0</v>
      </c>
      <c r="F210" s="418" t="s">
        <v>206</v>
      </c>
    </row>
    <row r="211" spans="1:6" ht="18" hidden="1" customHeight="1">
      <c r="A211" s="134" t="s">
        <v>211</v>
      </c>
      <c r="B211" s="135">
        <f>GTA!I129</f>
        <v>0</v>
      </c>
      <c r="C211" s="135" t="s">
        <v>22</v>
      </c>
      <c r="D211" s="135">
        <v>16.649999999999999</v>
      </c>
      <c r="E211" s="314">
        <f t="shared" si="6"/>
        <v>0</v>
      </c>
      <c r="F211" s="418" t="s">
        <v>206</v>
      </c>
    </row>
    <row r="212" spans="1:6" ht="18" hidden="1" customHeight="1">
      <c r="A212" s="134" t="s">
        <v>213</v>
      </c>
      <c r="B212" s="135">
        <f>GTA!M129</f>
        <v>0</v>
      </c>
      <c r="C212" s="135" t="s">
        <v>22</v>
      </c>
      <c r="D212" s="135">
        <v>16.649999999999999</v>
      </c>
      <c r="E212" s="314">
        <f t="shared" si="6"/>
        <v>0</v>
      </c>
      <c r="F212" s="418" t="s">
        <v>206</v>
      </c>
    </row>
    <row r="213" spans="1:6" ht="18" hidden="1" customHeight="1">
      <c r="A213" s="136" t="s">
        <v>222</v>
      </c>
      <c r="B213" s="135">
        <f>GTA!C129</f>
        <v>0</v>
      </c>
      <c r="C213" s="135" t="s">
        <v>22</v>
      </c>
      <c r="D213" s="135">
        <v>16.649999999999999</v>
      </c>
      <c r="E213" s="314">
        <f t="shared" si="6"/>
        <v>0</v>
      </c>
      <c r="F213" s="418" t="s">
        <v>206</v>
      </c>
    </row>
    <row r="214" spans="1:6" ht="18" hidden="1" customHeight="1">
      <c r="A214" s="134" t="s">
        <v>224</v>
      </c>
      <c r="B214" s="135">
        <f>GTA!X129</f>
        <v>0</v>
      </c>
      <c r="C214" s="135" t="s">
        <v>22</v>
      </c>
      <c r="D214" s="135">
        <v>16.649999999999999</v>
      </c>
      <c r="E214" s="314">
        <f t="shared" si="6"/>
        <v>0</v>
      </c>
      <c r="F214" s="418" t="s">
        <v>206</v>
      </c>
    </row>
    <row r="215" spans="1:6" ht="18" hidden="1" customHeight="1">
      <c r="A215" s="398" t="s">
        <v>718</v>
      </c>
      <c r="B215" s="135">
        <f>GTA!N129</f>
        <v>0</v>
      </c>
      <c r="C215" s="135" t="s">
        <v>22</v>
      </c>
      <c r="D215" s="135">
        <v>16.649999999999999</v>
      </c>
      <c r="E215" s="314">
        <f t="shared" si="6"/>
        <v>0</v>
      </c>
      <c r="F215" s="418" t="s">
        <v>206</v>
      </c>
    </row>
    <row r="216" spans="1:6" ht="18" hidden="1" customHeight="1">
      <c r="A216" s="398" t="s">
        <v>719</v>
      </c>
      <c r="B216" s="135">
        <f>GTA!O129</f>
        <v>0</v>
      </c>
      <c r="C216" s="135" t="s">
        <v>22</v>
      </c>
      <c r="D216" s="135">
        <v>16.649999999999999</v>
      </c>
      <c r="E216" s="314">
        <f t="shared" si="6"/>
        <v>0</v>
      </c>
      <c r="F216" s="418" t="s">
        <v>206</v>
      </c>
    </row>
    <row r="217" spans="1:6" ht="18" hidden="1" customHeight="1">
      <c r="A217" s="136" t="s">
        <v>225</v>
      </c>
      <c r="B217" s="135">
        <f>GTA!Y129</f>
        <v>0</v>
      </c>
      <c r="C217" s="135" t="s">
        <v>22</v>
      </c>
      <c r="D217" s="135">
        <v>16.649999999999999</v>
      </c>
      <c r="E217" s="314">
        <f t="shared" si="6"/>
        <v>0</v>
      </c>
      <c r="F217" s="418" t="s">
        <v>206</v>
      </c>
    </row>
    <row r="218" spans="1:6" ht="18" hidden="1" customHeight="1">
      <c r="A218" s="134" t="s">
        <v>223</v>
      </c>
      <c r="B218" s="135">
        <f>GTA!W129</f>
        <v>0</v>
      </c>
      <c r="C218" s="135" t="s">
        <v>22</v>
      </c>
      <c r="D218" s="135">
        <v>16.649999999999999</v>
      </c>
      <c r="E218" s="314">
        <f t="shared" si="6"/>
        <v>0</v>
      </c>
      <c r="F218" s="418" t="s">
        <v>206</v>
      </c>
    </row>
    <row r="219" spans="1:6" ht="18" hidden="1" customHeight="1">
      <c r="A219" s="134" t="s">
        <v>720</v>
      </c>
      <c r="B219" s="135">
        <f>GTA!K129</f>
        <v>0</v>
      </c>
      <c r="C219" s="135" t="s">
        <v>22</v>
      </c>
      <c r="D219" s="135">
        <v>16.649999999999999</v>
      </c>
      <c r="E219" s="314">
        <f t="shared" si="6"/>
        <v>0</v>
      </c>
      <c r="F219" s="418" t="s">
        <v>206</v>
      </c>
    </row>
    <row r="220" spans="1:6" ht="18" customHeight="1">
      <c r="A220" s="134" t="s">
        <v>721</v>
      </c>
      <c r="B220" s="135">
        <f>GTA!J129</f>
        <v>0</v>
      </c>
      <c r="C220" s="135" t="s">
        <v>22</v>
      </c>
      <c r="D220" s="135">
        <v>16.649999999999999</v>
      </c>
      <c r="E220" s="314">
        <f t="shared" si="6"/>
        <v>0</v>
      </c>
      <c r="F220" s="418" t="s">
        <v>206</v>
      </c>
    </row>
    <row r="221" spans="1:6" ht="18" hidden="1" customHeight="1">
      <c r="A221" s="134" t="s">
        <v>227</v>
      </c>
      <c r="B221" s="135">
        <f>GTA!Z129</f>
        <v>0</v>
      </c>
      <c r="C221" s="135" t="s">
        <v>22</v>
      </c>
      <c r="D221" s="135">
        <v>16.649999999999999</v>
      </c>
      <c r="E221" s="314">
        <f t="shared" si="6"/>
        <v>0</v>
      </c>
      <c r="F221" s="418" t="s">
        <v>206</v>
      </c>
    </row>
    <row r="222" spans="1:6" ht="18" hidden="1" customHeight="1">
      <c r="A222" s="134" t="s">
        <v>229</v>
      </c>
      <c r="B222" s="135">
        <f>GTA!F129</f>
        <v>0</v>
      </c>
      <c r="C222" s="135" t="s">
        <v>22</v>
      </c>
      <c r="D222" s="135">
        <v>16.649999999999999</v>
      </c>
      <c r="E222" s="314">
        <f t="shared" si="6"/>
        <v>0</v>
      </c>
      <c r="F222" s="418" t="s">
        <v>206</v>
      </c>
    </row>
    <row r="223" spans="1:6" ht="18" hidden="1" customHeight="1">
      <c r="A223" s="134" t="s">
        <v>231</v>
      </c>
      <c r="B223" s="135">
        <f>GTA!AA129</f>
        <v>0</v>
      </c>
      <c r="C223" s="135" t="s">
        <v>22</v>
      </c>
      <c r="D223" s="135">
        <v>16.649999999999999</v>
      </c>
      <c r="E223" s="314">
        <f t="shared" si="6"/>
        <v>0</v>
      </c>
      <c r="F223" s="418" t="s">
        <v>206</v>
      </c>
    </row>
    <row r="224" spans="1:6" ht="18" hidden="1" customHeight="1">
      <c r="A224" s="134" t="s">
        <v>232</v>
      </c>
      <c r="B224" s="135">
        <f>GTA!AB129</f>
        <v>0</v>
      </c>
      <c r="C224" s="135" t="s">
        <v>22</v>
      </c>
      <c r="D224" s="135">
        <v>16.649999999999999</v>
      </c>
      <c r="E224" s="314">
        <f t="shared" si="6"/>
        <v>0</v>
      </c>
      <c r="F224" s="418" t="s">
        <v>206</v>
      </c>
    </row>
    <row r="225" spans="1:6" ht="18" hidden="1" customHeight="1">
      <c r="A225" s="134" t="s">
        <v>233</v>
      </c>
      <c r="B225" s="135">
        <f>GTA!AC129</f>
        <v>0</v>
      </c>
      <c r="C225" s="135" t="s">
        <v>22</v>
      </c>
      <c r="D225" s="135">
        <v>16.649999999999999</v>
      </c>
      <c r="E225" s="314">
        <f t="shared" si="6"/>
        <v>0</v>
      </c>
      <c r="F225" s="418" t="s">
        <v>206</v>
      </c>
    </row>
    <row r="226" spans="1:6" ht="18" hidden="1" customHeight="1">
      <c r="A226" s="134" t="s">
        <v>447</v>
      </c>
      <c r="B226" s="135">
        <f>GTA!P129</f>
        <v>0</v>
      </c>
      <c r="C226" s="135" t="s">
        <v>22</v>
      </c>
      <c r="D226" s="135">
        <v>16.649999999999999</v>
      </c>
      <c r="E226" s="314">
        <f t="shared" si="6"/>
        <v>0</v>
      </c>
      <c r="F226" s="418" t="s">
        <v>206</v>
      </c>
    </row>
    <row r="227" spans="1:6" ht="18" hidden="1" customHeight="1">
      <c r="A227" s="134" t="s">
        <v>380</v>
      </c>
      <c r="B227" s="135">
        <f>GTA!G129</f>
        <v>0</v>
      </c>
      <c r="C227" s="135" t="s">
        <v>22</v>
      </c>
      <c r="D227" s="135">
        <v>16.649999999999999</v>
      </c>
      <c r="E227" s="314">
        <f t="shared" si="6"/>
        <v>0</v>
      </c>
      <c r="F227" s="418" t="s">
        <v>206</v>
      </c>
    </row>
    <row r="228" spans="1:6" ht="18" hidden="1" customHeight="1">
      <c r="A228" s="134" t="s">
        <v>210</v>
      </c>
      <c r="B228" s="135">
        <f>GTA!L129</f>
        <v>0</v>
      </c>
      <c r="C228" s="135" t="s">
        <v>22</v>
      </c>
      <c r="D228" s="135">
        <v>16.649999999999999</v>
      </c>
      <c r="E228" s="314">
        <f t="shared" si="6"/>
        <v>0</v>
      </c>
      <c r="F228" s="418" t="s">
        <v>206</v>
      </c>
    </row>
    <row r="229" spans="1:6" ht="18" hidden="1" customHeight="1">
      <c r="A229" s="270" t="s">
        <v>385</v>
      </c>
      <c r="B229" s="135">
        <f>GTA!H129</f>
        <v>0</v>
      </c>
      <c r="C229" s="135" t="s">
        <v>22</v>
      </c>
      <c r="D229" s="135">
        <v>16.649999999999999</v>
      </c>
      <c r="E229" s="314">
        <f t="shared" si="6"/>
        <v>0</v>
      </c>
      <c r="F229" s="418" t="s">
        <v>206</v>
      </c>
    </row>
    <row r="230" spans="1:6" ht="18" hidden="1" customHeight="1">
      <c r="A230" s="134" t="s">
        <v>236</v>
      </c>
      <c r="B230" s="135">
        <f>GTA!AD129</f>
        <v>0</v>
      </c>
      <c r="C230" s="135" t="s">
        <v>22</v>
      </c>
      <c r="D230" s="135">
        <v>16.649999999999999</v>
      </c>
      <c r="E230" s="314">
        <f t="shared" si="6"/>
        <v>0</v>
      </c>
      <c r="F230" s="418" t="s">
        <v>206</v>
      </c>
    </row>
    <row r="231" spans="1:6" ht="18" hidden="1" customHeight="1">
      <c r="A231" s="134" t="s">
        <v>237</v>
      </c>
      <c r="B231" s="135">
        <f>GTA!AE129</f>
        <v>0</v>
      </c>
      <c r="C231" s="135" t="s">
        <v>22</v>
      </c>
      <c r="D231" s="135">
        <v>16.649999999999999</v>
      </c>
      <c r="E231" s="314">
        <f t="shared" si="6"/>
        <v>0</v>
      </c>
      <c r="F231" s="418" t="s">
        <v>206</v>
      </c>
    </row>
    <row r="232" spans="1:6" ht="18" hidden="1" customHeight="1">
      <c r="A232" s="134" t="s">
        <v>239</v>
      </c>
      <c r="B232" s="135">
        <f>GTA!Q129</f>
        <v>0</v>
      </c>
      <c r="C232" s="135" t="s">
        <v>22</v>
      </c>
      <c r="D232" s="135">
        <v>16.649999999999999</v>
      </c>
      <c r="E232" s="314">
        <f t="shared" si="6"/>
        <v>0</v>
      </c>
      <c r="F232" s="418" t="s">
        <v>206</v>
      </c>
    </row>
    <row r="233" spans="1:6" ht="18" hidden="1" customHeight="1">
      <c r="A233" s="134" t="s">
        <v>240</v>
      </c>
      <c r="B233" s="135">
        <f>GTA!AF129</f>
        <v>0</v>
      </c>
      <c r="C233" s="135" t="s">
        <v>22</v>
      </c>
      <c r="D233" s="135">
        <v>16.649999999999999</v>
      </c>
      <c r="E233" s="314">
        <f t="shared" si="6"/>
        <v>0</v>
      </c>
      <c r="F233" s="418" t="s">
        <v>206</v>
      </c>
    </row>
    <row r="234" spans="1:6" ht="18" hidden="1" customHeight="1">
      <c r="A234" s="134" t="s">
        <v>241</v>
      </c>
      <c r="B234" s="135">
        <f>GTA!AG129</f>
        <v>0</v>
      </c>
      <c r="C234" s="135" t="s">
        <v>22</v>
      </c>
      <c r="D234" s="135">
        <v>16.649999999999999</v>
      </c>
      <c r="E234" s="314">
        <f t="shared" si="6"/>
        <v>0</v>
      </c>
      <c r="F234" s="418" t="s">
        <v>206</v>
      </c>
    </row>
    <row r="235" spans="1:6" ht="18" hidden="1" customHeight="1">
      <c r="A235" s="134" t="s">
        <v>242</v>
      </c>
      <c r="B235" s="135">
        <f>GTA!AH129</f>
        <v>0</v>
      </c>
      <c r="C235" s="135" t="s">
        <v>22</v>
      </c>
      <c r="D235" s="135">
        <v>16.649999999999999</v>
      </c>
      <c r="E235" s="314">
        <f t="shared" si="6"/>
        <v>0</v>
      </c>
      <c r="F235" s="418" t="s">
        <v>206</v>
      </c>
    </row>
    <row r="236" spans="1:6" ht="18" hidden="1" customHeight="1">
      <c r="A236" s="436"/>
      <c r="B236" s="419"/>
      <c r="C236" s="419"/>
      <c r="D236" s="419"/>
      <c r="E236" s="420"/>
    </row>
    <row r="237" spans="1:6" ht="18" hidden="1" customHeight="1">
      <c r="A237" s="427" t="s">
        <v>243</v>
      </c>
      <c r="B237" s="415">
        <f>SUM(B203:B236)</f>
        <v>0</v>
      </c>
      <c r="C237" s="415"/>
      <c r="D237" s="415"/>
      <c r="E237" s="415"/>
    </row>
    <row r="238" spans="1:6" ht="18" hidden="1" customHeight="1">
      <c r="A238" s="134"/>
      <c r="B238" s="135"/>
      <c r="C238" s="135"/>
      <c r="D238" s="135"/>
      <c r="E238" s="314"/>
    </row>
    <row r="239" spans="1:6" ht="18" hidden="1" customHeight="1">
      <c r="A239" s="415" t="s">
        <v>244</v>
      </c>
      <c r="B239" s="419"/>
      <c r="C239" s="419"/>
      <c r="D239" s="419"/>
      <c r="E239" s="420"/>
    </row>
    <row r="240" spans="1:6" ht="18" hidden="1" customHeight="1">
      <c r="A240" s="136" t="s">
        <v>245</v>
      </c>
      <c r="B240" s="135">
        <f>GTA!C147</f>
        <v>0</v>
      </c>
      <c r="C240" s="135" t="s">
        <v>22</v>
      </c>
      <c r="D240" s="135">
        <v>16.649999999999999</v>
      </c>
      <c r="E240" s="314">
        <f t="shared" ref="E240:E251" si="7">B240*D240</f>
        <v>0</v>
      </c>
      <c r="F240" s="415" t="s">
        <v>244</v>
      </c>
    </row>
    <row r="241" spans="1:6" ht="18" hidden="1" customHeight="1">
      <c r="A241" s="136" t="s">
        <v>246</v>
      </c>
      <c r="B241" s="135">
        <f>GTA!F147</f>
        <v>0</v>
      </c>
      <c r="C241" s="135" t="s">
        <v>22</v>
      </c>
      <c r="D241" s="135">
        <v>16.649999999999999</v>
      </c>
      <c r="E241" s="314">
        <f t="shared" si="7"/>
        <v>0</v>
      </c>
      <c r="F241" s="415" t="s">
        <v>244</v>
      </c>
    </row>
    <row r="242" spans="1:6" ht="18" hidden="1" customHeight="1">
      <c r="A242" s="136" t="s">
        <v>247</v>
      </c>
      <c r="B242" s="135">
        <f>GTA!E147</f>
        <v>0</v>
      </c>
      <c r="C242" s="135" t="s">
        <v>22</v>
      </c>
      <c r="D242" s="135">
        <v>16.649999999999999</v>
      </c>
      <c r="E242" s="314">
        <f t="shared" si="7"/>
        <v>0</v>
      </c>
      <c r="F242" s="415" t="s">
        <v>244</v>
      </c>
    </row>
    <row r="243" spans="1:6" ht="18" hidden="1" customHeight="1">
      <c r="A243" s="136" t="s">
        <v>248</v>
      </c>
      <c r="B243" s="135">
        <f>GTA!D147</f>
        <v>0</v>
      </c>
      <c r="C243" s="135" t="s">
        <v>22</v>
      </c>
      <c r="D243" s="135">
        <v>16.649999999999999</v>
      </c>
      <c r="E243" s="314">
        <f t="shared" si="7"/>
        <v>0</v>
      </c>
      <c r="F243" s="415" t="s">
        <v>244</v>
      </c>
    </row>
    <row r="244" spans="1:6" ht="18" customHeight="1">
      <c r="A244" s="401" t="s">
        <v>249</v>
      </c>
      <c r="B244" s="135">
        <f>GTA!G147</f>
        <v>0</v>
      </c>
      <c r="C244" s="135" t="s">
        <v>22</v>
      </c>
      <c r="D244" s="135">
        <v>16.649999999999999</v>
      </c>
      <c r="E244" s="314">
        <f t="shared" si="7"/>
        <v>0</v>
      </c>
      <c r="F244" s="415" t="s">
        <v>244</v>
      </c>
    </row>
    <row r="245" spans="1:6" ht="18" hidden="1" customHeight="1">
      <c r="A245" s="398" t="s">
        <v>250</v>
      </c>
      <c r="B245" s="135">
        <f>GTA!H147</f>
        <v>0</v>
      </c>
      <c r="C245" s="135" t="s">
        <v>22</v>
      </c>
      <c r="D245" s="135">
        <v>16.649999999999999</v>
      </c>
      <c r="E245" s="314">
        <f t="shared" si="7"/>
        <v>0</v>
      </c>
      <c r="F245" s="415" t="s">
        <v>244</v>
      </c>
    </row>
    <row r="246" spans="1:6" ht="18" hidden="1" customHeight="1">
      <c r="A246" s="136" t="s">
        <v>251</v>
      </c>
      <c r="B246" s="135">
        <f>GTA!J147</f>
        <v>0</v>
      </c>
      <c r="C246" s="135" t="s">
        <v>22</v>
      </c>
      <c r="D246" s="135">
        <v>16.649999999999999</v>
      </c>
      <c r="E246" s="314">
        <f t="shared" si="7"/>
        <v>0</v>
      </c>
      <c r="F246" s="415" t="s">
        <v>244</v>
      </c>
    </row>
    <row r="247" spans="1:6" ht="18" hidden="1" customHeight="1">
      <c r="A247" s="136" t="s">
        <v>252</v>
      </c>
      <c r="B247" s="135">
        <f>GTA!K147</f>
        <v>0</v>
      </c>
      <c r="C247" s="135" t="s">
        <v>22</v>
      </c>
      <c r="D247" s="135">
        <v>16.649999999999999</v>
      </c>
      <c r="E247" s="314">
        <f t="shared" si="7"/>
        <v>0</v>
      </c>
      <c r="F247" s="415" t="s">
        <v>244</v>
      </c>
    </row>
    <row r="248" spans="1:6" ht="18" hidden="1" customHeight="1">
      <c r="A248" s="136" t="s">
        <v>253</v>
      </c>
      <c r="B248" s="135">
        <f>GTA!I147</f>
        <v>0</v>
      </c>
      <c r="C248" s="135" t="s">
        <v>22</v>
      </c>
      <c r="D248" s="135">
        <v>16.649999999999999</v>
      </c>
      <c r="E248" s="314">
        <f t="shared" si="7"/>
        <v>0</v>
      </c>
      <c r="F248" s="415" t="s">
        <v>244</v>
      </c>
    </row>
    <row r="249" spans="1:6" ht="18" hidden="1" customHeight="1">
      <c r="A249" s="136" t="s">
        <v>254</v>
      </c>
      <c r="B249" s="135">
        <f>GTA!L147</f>
        <v>0</v>
      </c>
      <c r="C249" s="135" t="s">
        <v>22</v>
      </c>
      <c r="D249" s="135">
        <v>16.649999999999999</v>
      </c>
      <c r="E249" s="314">
        <f t="shared" si="7"/>
        <v>0</v>
      </c>
      <c r="F249" s="415" t="s">
        <v>244</v>
      </c>
    </row>
    <row r="250" spans="1:6" ht="18" hidden="1" customHeight="1">
      <c r="A250" s="134" t="s">
        <v>255</v>
      </c>
      <c r="B250" s="135">
        <f>GTA!M147</f>
        <v>0</v>
      </c>
      <c r="C250" s="135" t="s">
        <v>22</v>
      </c>
      <c r="D250" s="135">
        <v>20</v>
      </c>
      <c r="E250" s="314">
        <f t="shared" si="7"/>
        <v>0</v>
      </c>
      <c r="F250" s="415" t="s">
        <v>244</v>
      </c>
    </row>
    <row r="251" spans="1:6" ht="18" hidden="1" customHeight="1">
      <c r="A251" s="398" t="s">
        <v>256</v>
      </c>
      <c r="B251" s="135">
        <f>GTA!N147</f>
        <v>0</v>
      </c>
      <c r="C251" s="135" t="s">
        <v>22</v>
      </c>
      <c r="D251" s="135">
        <v>20</v>
      </c>
      <c r="E251" s="314">
        <f t="shared" si="7"/>
        <v>0</v>
      </c>
      <c r="F251" s="415" t="s">
        <v>244</v>
      </c>
    </row>
    <row r="252" spans="1:6" ht="18" hidden="1" customHeight="1">
      <c r="A252" s="439"/>
      <c r="B252" s="419"/>
      <c r="C252" s="419"/>
      <c r="D252" s="419"/>
      <c r="E252" s="420"/>
    </row>
    <row r="253" spans="1:6" ht="18" hidden="1" customHeight="1">
      <c r="A253" s="415" t="s">
        <v>257</v>
      </c>
      <c r="B253" s="415">
        <f>SUM(B239:B252)</f>
        <v>0</v>
      </c>
      <c r="C253" s="417"/>
      <c r="D253" s="417"/>
      <c r="E253" s="417"/>
    </row>
    <row r="254" spans="1:6" ht="18" hidden="1" customHeight="1">
      <c r="A254" s="136"/>
      <c r="B254" s="135"/>
      <c r="C254" s="135"/>
      <c r="D254" s="135"/>
      <c r="E254" s="314"/>
    </row>
    <row r="255" spans="1:6" ht="18" hidden="1" customHeight="1">
      <c r="A255" s="418" t="s">
        <v>258</v>
      </c>
      <c r="B255" s="419"/>
      <c r="C255" s="419"/>
      <c r="D255" s="419"/>
      <c r="E255" s="420"/>
    </row>
    <row r="256" spans="1:6" ht="18" hidden="1" customHeight="1">
      <c r="A256" s="136" t="s">
        <v>259</v>
      </c>
      <c r="B256" s="135">
        <f>OTTAWA!C36</f>
        <v>0</v>
      </c>
      <c r="C256" s="135" t="s">
        <v>22</v>
      </c>
      <c r="D256" s="135">
        <v>16.649999999999999</v>
      </c>
      <c r="E256" s="314">
        <f t="shared" ref="E256:E293" si="8">B256*D256</f>
        <v>0</v>
      </c>
    </row>
    <row r="257" spans="1:5" ht="18" hidden="1" customHeight="1">
      <c r="A257" s="136" t="s">
        <v>260</v>
      </c>
      <c r="B257" s="135">
        <f>OTTAWA!E36</f>
        <v>0</v>
      </c>
      <c r="C257" s="135" t="s">
        <v>22</v>
      </c>
      <c r="D257" s="135">
        <v>16.649999999999999</v>
      </c>
      <c r="E257" s="314">
        <f t="shared" si="8"/>
        <v>0</v>
      </c>
    </row>
    <row r="258" spans="1:5" ht="18" hidden="1" customHeight="1">
      <c r="A258" s="136" t="s">
        <v>261</v>
      </c>
      <c r="B258" s="135">
        <f>OTTAWA!F36</f>
        <v>0</v>
      </c>
      <c r="C258" s="135" t="s">
        <v>22</v>
      </c>
      <c r="D258" s="135">
        <v>16.649999999999999</v>
      </c>
      <c r="E258" s="314">
        <f t="shared" si="8"/>
        <v>0</v>
      </c>
    </row>
    <row r="259" spans="1:5" ht="18" hidden="1" customHeight="1">
      <c r="A259" s="136" t="s">
        <v>262</v>
      </c>
      <c r="B259" s="135">
        <f>OTTAWA!I36</f>
        <v>0</v>
      </c>
      <c r="C259" s="135" t="s">
        <v>22</v>
      </c>
      <c r="D259" s="135">
        <v>16.649999999999999</v>
      </c>
      <c r="E259" s="314">
        <f t="shared" si="8"/>
        <v>0</v>
      </c>
    </row>
    <row r="260" spans="1:5" s="529" customFormat="1" ht="18" hidden="1" customHeight="1">
      <c r="A260" s="480" t="s">
        <v>131</v>
      </c>
      <c r="B260" s="481">
        <f>OTTAWA!J36</f>
        <v>0</v>
      </c>
      <c r="C260" s="481" t="s">
        <v>22</v>
      </c>
      <c r="D260" s="481">
        <v>16.649999999999999</v>
      </c>
      <c r="E260" s="482">
        <f t="shared" si="8"/>
        <v>0</v>
      </c>
    </row>
    <row r="261" spans="1:5" s="529" customFormat="1" ht="18" hidden="1" customHeight="1">
      <c r="A261" s="395" t="s">
        <v>132</v>
      </c>
      <c r="B261" s="135">
        <f>OTTAWA!K36</f>
        <v>0</v>
      </c>
      <c r="C261" s="135" t="s">
        <v>22</v>
      </c>
      <c r="D261" s="135">
        <v>16.649999999999999</v>
      </c>
      <c r="E261" s="314">
        <f t="shared" si="8"/>
        <v>0</v>
      </c>
    </row>
    <row r="262" spans="1:5" ht="18" hidden="1" customHeight="1">
      <c r="A262" s="136" t="s">
        <v>133</v>
      </c>
      <c r="B262" s="135">
        <f>OTTAWA!L36</f>
        <v>0</v>
      </c>
      <c r="C262" s="135" t="s">
        <v>22</v>
      </c>
      <c r="D262" s="135">
        <v>16.649999999999999</v>
      </c>
      <c r="E262" s="314">
        <f t="shared" si="8"/>
        <v>0</v>
      </c>
    </row>
    <row r="263" spans="1:5" s="529" customFormat="1" ht="18" hidden="1" customHeight="1">
      <c r="A263" s="480" t="s">
        <v>134</v>
      </c>
      <c r="B263" s="481">
        <f>OTTAWA!M36</f>
        <v>0</v>
      </c>
      <c r="C263" s="481" t="s">
        <v>22</v>
      </c>
      <c r="D263" s="481">
        <v>16.649999999999999</v>
      </c>
      <c r="E263" s="482">
        <f t="shared" si="8"/>
        <v>0</v>
      </c>
    </row>
    <row r="264" spans="1:5" ht="18" hidden="1" customHeight="1">
      <c r="A264" s="396" t="s">
        <v>137</v>
      </c>
      <c r="B264" s="135">
        <f>OTTAWA!O36</f>
        <v>0</v>
      </c>
      <c r="C264" s="135" t="s">
        <v>22</v>
      </c>
      <c r="D264" s="135">
        <v>16.649999999999999</v>
      </c>
      <c r="E264" s="314">
        <f t="shared" si="8"/>
        <v>0</v>
      </c>
    </row>
    <row r="265" spans="1:5" s="529" customFormat="1" ht="18" hidden="1" customHeight="1">
      <c r="A265" s="517" t="s">
        <v>263</v>
      </c>
      <c r="B265" s="481">
        <f>OTTAWA!P36</f>
        <v>0</v>
      </c>
      <c r="C265" s="481" t="s">
        <v>22</v>
      </c>
      <c r="D265" s="481">
        <v>16.649999999999999</v>
      </c>
      <c r="E265" s="482">
        <f t="shared" si="8"/>
        <v>0</v>
      </c>
    </row>
    <row r="266" spans="1:5" ht="18" hidden="1" customHeight="1">
      <c r="A266" s="136" t="s">
        <v>264</v>
      </c>
      <c r="B266" s="135">
        <f>OTTAWA!N36</f>
        <v>0</v>
      </c>
      <c r="C266" s="135" t="s">
        <v>22</v>
      </c>
      <c r="D266" s="135">
        <v>16.649999999999999</v>
      </c>
      <c r="E266" s="314">
        <f t="shared" si="8"/>
        <v>0</v>
      </c>
    </row>
    <row r="267" spans="1:5" ht="18" hidden="1" customHeight="1">
      <c r="A267" s="136" t="s">
        <v>142</v>
      </c>
      <c r="B267" s="135">
        <f>OTTAWA!Q36</f>
        <v>0</v>
      </c>
      <c r="C267" s="135" t="s">
        <v>22</v>
      </c>
      <c r="D267" s="135">
        <v>16.649999999999999</v>
      </c>
      <c r="E267" s="314">
        <f t="shared" si="8"/>
        <v>0</v>
      </c>
    </row>
    <row r="268" spans="1:5" ht="18" hidden="1" customHeight="1">
      <c r="A268" s="136" t="s">
        <v>265</v>
      </c>
      <c r="B268" s="135">
        <f>OTTAWA!R36</f>
        <v>0</v>
      </c>
      <c r="C268" s="135" t="s">
        <v>22</v>
      </c>
      <c r="D268" s="135">
        <v>16.649999999999999</v>
      </c>
      <c r="E268" s="314">
        <f t="shared" si="8"/>
        <v>0</v>
      </c>
    </row>
    <row r="269" spans="1:5" ht="18" hidden="1" customHeight="1">
      <c r="A269" s="396" t="s">
        <v>266</v>
      </c>
      <c r="B269" s="135">
        <f>OTTAWA!G36</f>
        <v>0</v>
      </c>
      <c r="C269" s="135" t="s">
        <v>22</v>
      </c>
      <c r="D269" s="135">
        <v>16.649999999999999</v>
      </c>
      <c r="E269" s="314">
        <f t="shared" si="8"/>
        <v>0</v>
      </c>
    </row>
    <row r="270" spans="1:5" ht="18" hidden="1" customHeight="1">
      <c r="A270" s="396" t="s">
        <v>267</v>
      </c>
      <c r="B270" s="135">
        <f>OTTAWA!S36</f>
        <v>0</v>
      </c>
      <c r="C270" s="135" t="s">
        <v>22</v>
      </c>
      <c r="D270" s="135">
        <v>16.649999999999999</v>
      </c>
      <c r="E270" s="314">
        <f t="shared" si="8"/>
        <v>0</v>
      </c>
    </row>
    <row r="271" spans="1:5" ht="18" hidden="1" customHeight="1">
      <c r="A271" s="136" t="s">
        <v>268</v>
      </c>
      <c r="B271" s="135">
        <f>OTTAWA!H36</f>
        <v>0</v>
      </c>
      <c r="C271" s="135" t="s">
        <v>22</v>
      </c>
      <c r="D271" s="135">
        <v>20</v>
      </c>
      <c r="E271" s="314">
        <f t="shared" si="8"/>
        <v>0</v>
      </c>
    </row>
    <row r="272" spans="1:5" ht="18" hidden="1" customHeight="1">
      <c r="A272" s="136" t="s">
        <v>167</v>
      </c>
      <c r="B272" s="135">
        <f>OTTAWA!BB36</f>
        <v>0</v>
      </c>
      <c r="C272" s="135" t="s">
        <v>22</v>
      </c>
      <c r="D272" s="135">
        <v>20</v>
      </c>
      <c r="E272" s="314">
        <f t="shared" si="8"/>
        <v>0</v>
      </c>
    </row>
    <row r="273" spans="1:5" ht="18" hidden="1" customHeight="1">
      <c r="A273" s="136" t="s">
        <v>143</v>
      </c>
      <c r="B273" s="135">
        <f>OTTAWA!T36</f>
        <v>0</v>
      </c>
      <c r="C273" s="135" t="s">
        <v>22</v>
      </c>
      <c r="D273" s="135">
        <v>16.649999999999999</v>
      </c>
      <c r="E273" s="314">
        <f t="shared" si="8"/>
        <v>0</v>
      </c>
    </row>
    <row r="274" spans="1:5" ht="18" hidden="1" customHeight="1">
      <c r="A274" s="136" t="s">
        <v>269</v>
      </c>
      <c r="B274" s="135">
        <f>OTTAWA!V36</f>
        <v>0</v>
      </c>
      <c r="C274" s="135" t="s">
        <v>22</v>
      </c>
      <c r="D274" s="135">
        <v>16.649999999999999</v>
      </c>
      <c r="E274" s="314">
        <f t="shared" si="8"/>
        <v>0</v>
      </c>
    </row>
    <row r="275" spans="1:5" s="529" customFormat="1" ht="18" hidden="1" customHeight="1">
      <c r="A275" s="480" t="s">
        <v>270</v>
      </c>
      <c r="B275" s="481">
        <f>OTTAWA!U36</f>
        <v>0</v>
      </c>
      <c r="C275" s="481" t="s">
        <v>22</v>
      </c>
      <c r="D275" s="481">
        <v>16.649999999999999</v>
      </c>
      <c r="E275" s="482">
        <f t="shared" si="8"/>
        <v>0</v>
      </c>
    </row>
    <row r="276" spans="1:5" ht="18" hidden="1" customHeight="1">
      <c r="A276" s="136" t="s">
        <v>271</v>
      </c>
      <c r="B276" s="135">
        <f>OTTAWA!W36</f>
        <v>0</v>
      </c>
      <c r="C276" s="135" t="s">
        <v>22</v>
      </c>
      <c r="D276" s="135">
        <v>16.649999999999999</v>
      </c>
      <c r="E276" s="314">
        <f t="shared" si="8"/>
        <v>0</v>
      </c>
    </row>
    <row r="277" spans="1:5" ht="18" hidden="1" customHeight="1">
      <c r="A277" s="136" t="s">
        <v>272</v>
      </c>
      <c r="B277" s="135">
        <f>OTTAWA!X36</f>
        <v>0</v>
      </c>
      <c r="C277" s="135" t="s">
        <v>22</v>
      </c>
      <c r="D277" s="135">
        <v>16.649999999999999</v>
      </c>
      <c r="E277" s="314">
        <f t="shared" si="8"/>
        <v>0</v>
      </c>
    </row>
    <row r="278" spans="1:5" ht="18" hidden="1" customHeight="1">
      <c r="A278" s="136" t="s">
        <v>273</v>
      </c>
      <c r="B278" s="135">
        <f>OTTAWA!Y36</f>
        <v>0</v>
      </c>
      <c r="C278" s="135" t="s">
        <v>22</v>
      </c>
      <c r="D278" s="135">
        <v>16.649999999999999</v>
      </c>
      <c r="E278" s="314">
        <f t="shared" si="8"/>
        <v>0</v>
      </c>
    </row>
    <row r="279" spans="1:5" ht="18" hidden="1" customHeight="1">
      <c r="A279" s="136" t="s">
        <v>149</v>
      </c>
      <c r="B279" s="135">
        <f>OTTAWA!Z36</f>
        <v>0</v>
      </c>
      <c r="C279" s="135" t="s">
        <v>22</v>
      </c>
      <c r="D279" s="135">
        <v>16.649999999999999</v>
      </c>
      <c r="E279" s="314">
        <f t="shared" si="8"/>
        <v>0</v>
      </c>
    </row>
    <row r="280" spans="1:5" ht="18" hidden="1" customHeight="1">
      <c r="A280" s="136" t="s">
        <v>153</v>
      </c>
      <c r="B280" s="135">
        <f>OTTAWA!AA36</f>
        <v>0</v>
      </c>
      <c r="C280" s="135" t="s">
        <v>22</v>
      </c>
      <c r="D280" s="135">
        <v>16.649999999999999</v>
      </c>
      <c r="E280" s="314">
        <f t="shared" si="8"/>
        <v>0</v>
      </c>
    </row>
    <row r="281" spans="1:5" ht="18" hidden="1" customHeight="1">
      <c r="A281" s="317" t="s">
        <v>274</v>
      </c>
      <c r="B281" s="135">
        <f>OTTAWA!AB36</f>
        <v>0</v>
      </c>
      <c r="C281" s="135" t="s">
        <v>22</v>
      </c>
      <c r="D281" s="135">
        <v>16.649999999999999</v>
      </c>
      <c r="E281" s="314">
        <f t="shared" si="8"/>
        <v>0</v>
      </c>
    </row>
    <row r="282" spans="1:5" s="529" customFormat="1" ht="18" hidden="1" customHeight="1">
      <c r="A282" s="513" t="s">
        <v>155</v>
      </c>
      <c r="B282" s="481">
        <f>OTTAWA!AC36</f>
        <v>0</v>
      </c>
      <c r="C282" s="481" t="s">
        <v>22</v>
      </c>
      <c r="D282" s="481">
        <v>16.649999999999999</v>
      </c>
      <c r="E282" s="482">
        <f t="shared" si="8"/>
        <v>0</v>
      </c>
    </row>
    <row r="283" spans="1:5" ht="18" hidden="1" customHeight="1">
      <c r="A283" s="317" t="s">
        <v>151</v>
      </c>
      <c r="B283" s="135">
        <f>OTTAWA!AE36</f>
        <v>0</v>
      </c>
      <c r="C283" s="135" t="s">
        <v>22</v>
      </c>
      <c r="D283" s="135">
        <v>16.649999999999999</v>
      </c>
      <c r="E283" s="314">
        <f t="shared" si="8"/>
        <v>0</v>
      </c>
    </row>
    <row r="284" spans="1:5" ht="18" hidden="1" customHeight="1">
      <c r="A284" s="136" t="s">
        <v>156</v>
      </c>
      <c r="B284" s="135">
        <f>OTTAWA!AF36</f>
        <v>0</v>
      </c>
      <c r="C284" s="135" t="s">
        <v>22</v>
      </c>
      <c r="D284" s="135">
        <v>16.649999999999999</v>
      </c>
      <c r="E284" s="314">
        <f t="shared" si="8"/>
        <v>0</v>
      </c>
    </row>
    <row r="285" spans="1:5" ht="18" hidden="1" customHeight="1">
      <c r="A285" s="136" t="s">
        <v>275</v>
      </c>
      <c r="B285" s="135">
        <f>OTTAWA!AG36</f>
        <v>0</v>
      </c>
      <c r="C285" s="135" t="s">
        <v>22</v>
      </c>
      <c r="D285" s="135">
        <v>16.649999999999999</v>
      </c>
      <c r="E285" s="314">
        <f t="shared" si="8"/>
        <v>0</v>
      </c>
    </row>
    <row r="286" spans="1:5" ht="18" hidden="1" customHeight="1">
      <c r="A286" s="136" t="s">
        <v>160</v>
      </c>
      <c r="B286" s="135">
        <f>OTTAWA!AI36</f>
        <v>0</v>
      </c>
      <c r="C286" s="135" t="s">
        <v>22</v>
      </c>
      <c r="D286" s="135">
        <v>16.649999999999999</v>
      </c>
      <c r="E286" s="314">
        <f t="shared" si="8"/>
        <v>0</v>
      </c>
    </row>
    <row r="287" spans="1:5" ht="18" hidden="1" customHeight="1">
      <c r="A287" s="136" t="s">
        <v>276</v>
      </c>
      <c r="B287" s="135">
        <f>OTTAWA!AJ36</f>
        <v>0</v>
      </c>
      <c r="C287" s="135" t="s">
        <v>22</v>
      </c>
      <c r="D287" s="135">
        <v>16.649999999999999</v>
      </c>
      <c r="E287" s="314">
        <f t="shared" si="8"/>
        <v>0</v>
      </c>
    </row>
    <row r="288" spans="1:5" ht="18" hidden="1" customHeight="1">
      <c r="A288" s="136" t="s">
        <v>277</v>
      </c>
      <c r="B288" s="135">
        <f>OTTAWA!AK36</f>
        <v>0</v>
      </c>
      <c r="C288" s="135" t="s">
        <v>22</v>
      </c>
      <c r="D288" s="135">
        <v>16.649999999999999</v>
      </c>
      <c r="E288" s="314">
        <f t="shared" si="8"/>
        <v>0</v>
      </c>
    </row>
    <row r="289" spans="1:5" s="529" customFormat="1" ht="18" hidden="1" customHeight="1">
      <c r="A289" s="480" t="s">
        <v>278</v>
      </c>
      <c r="B289" s="481">
        <f>OTTAWA!AL36</f>
        <v>0</v>
      </c>
      <c r="C289" s="481" t="s">
        <v>22</v>
      </c>
      <c r="D289" s="481">
        <v>16.649999999999999</v>
      </c>
      <c r="E289" s="482">
        <f t="shared" si="8"/>
        <v>0</v>
      </c>
    </row>
    <row r="290" spans="1:5" ht="18" hidden="1" customHeight="1">
      <c r="A290" s="136" t="s">
        <v>279</v>
      </c>
      <c r="B290" s="135">
        <f>OTTAWA!AM36</f>
        <v>0</v>
      </c>
      <c r="C290" s="135" t="s">
        <v>22</v>
      </c>
      <c r="D290" s="135"/>
      <c r="E290" s="314">
        <f t="shared" si="8"/>
        <v>0</v>
      </c>
    </row>
    <row r="291" spans="1:5" s="529" customFormat="1" ht="18" hidden="1" customHeight="1">
      <c r="A291" s="480" t="s">
        <v>280</v>
      </c>
      <c r="B291" s="481">
        <f>OTTAWA!AN36</f>
        <v>0</v>
      </c>
      <c r="C291" s="481" t="s">
        <v>22</v>
      </c>
      <c r="D291" s="481">
        <v>16.649999999999999</v>
      </c>
      <c r="E291" s="482">
        <f t="shared" si="8"/>
        <v>0</v>
      </c>
    </row>
    <row r="292" spans="1:5" s="529" customFormat="1" ht="18" hidden="1" customHeight="1">
      <c r="A292" s="480" t="s">
        <v>281</v>
      </c>
      <c r="B292" s="481">
        <f>OTTAWA!AO36</f>
        <v>0</v>
      </c>
      <c r="C292" s="481" t="s">
        <v>22</v>
      </c>
      <c r="D292" s="481">
        <v>16.649999999999999</v>
      </c>
      <c r="E292" s="482">
        <f t="shared" si="8"/>
        <v>0</v>
      </c>
    </row>
    <row r="293" spans="1:5" s="529" customFormat="1" ht="18" hidden="1" customHeight="1">
      <c r="A293" s="480" t="s">
        <v>282</v>
      </c>
      <c r="B293" s="481">
        <f>OTTAWA!AU36</f>
        <v>0</v>
      </c>
      <c r="C293" s="481" t="s">
        <v>22</v>
      </c>
      <c r="D293" s="481">
        <v>18</v>
      </c>
      <c r="E293" s="482">
        <f t="shared" si="8"/>
        <v>0</v>
      </c>
    </row>
    <row r="294" spans="1:5" s="529" customFormat="1" ht="18" hidden="1" customHeight="1">
      <c r="A294" s="270" t="s">
        <v>283</v>
      </c>
      <c r="B294" s="272">
        <f>OTTAWA!AP36</f>
        <v>0</v>
      </c>
      <c r="C294" s="272" t="s">
        <v>22</v>
      </c>
      <c r="D294" s="272">
        <v>16.649999999999999</v>
      </c>
      <c r="E294" s="300">
        <f>D294*B294</f>
        <v>0</v>
      </c>
    </row>
    <row r="295" spans="1:5" ht="18" hidden="1" customHeight="1">
      <c r="A295" s="136" t="s">
        <v>284</v>
      </c>
      <c r="B295" s="135">
        <f>OTTAWA!AQ36</f>
        <v>0</v>
      </c>
      <c r="C295" s="135" t="s">
        <v>22</v>
      </c>
      <c r="D295" s="135">
        <v>16.649999999999999</v>
      </c>
      <c r="E295" s="314">
        <f t="shared" ref="E295:E328" si="9">B295*D295</f>
        <v>0</v>
      </c>
    </row>
    <row r="296" spans="1:5" s="529" customFormat="1" ht="18" hidden="1" customHeight="1">
      <c r="A296" s="480" t="s">
        <v>285</v>
      </c>
      <c r="B296" s="481">
        <f>OTTAWA!AT36</f>
        <v>0</v>
      </c>
      <c r="C296" s="481" t="s">
        <v>22</v>
      </c>
      <c r="D296" s="481">
        <v>16.649999999999999</v>
      </c>
      <c r="E296" s="482">
        <f t="shared" si="9"/>
        <v>0</v>
      </c>
    </row>
    <row r="297" spans="1:5" ht="18" hidden="1" customHeight="1">
      <c r="A297" s="136" t="s">
        <v>286</v>
      </c>
      <c r="B297" s="135">
        <f>OTTAWA!AR36</f>
        <v>0</v>
      </c>
      <c r="C297" s="135" t="s">
        <v>22</v>
      </c>
      <c r="D297" s="135">
        <v>16.649999999999999</v>
      </c>
      <c r="E297" s="314">
        <f t="shared" si="9"/>
        <v>0</v>
      </c>
    </row>
    <row r="298" spans="1:5" ht="18" hidden="1" customHeight="1">
      <c r="A298" s="136" t="s">
        <v>147</v>
      </c>
      <c r="B298" s="135">
        <f>OTTAWA!AS36</f>
        <v>0</v>
      </c>
      <c r="C298" s="135" t="s">
        <v>22</v>
      </c>
      <c r="D298" s="135">
        <v>16.649999999999999</v>
      </c>
      <c r="E298" s="314">
        <f t="shared" si="9"/>
        <v>0</v>
      </c>
    </row>
    <row r="299" spans="1:5" ht="18" hidden="1" customHeight="1">
      <c r="A299" s="136" t="s">
        <v>171</v>
      </c>
      <c r="B299" s="135">
        <f>OTTAWA!AW36</f>
        <v>0</v>
      </c>
      <c r="C299" s="135" t="s">
        <v>22</v>
      </c>
      <c r="D299" s="135">
        <v>16.649999999999999</v>
      </c>
      <c r="E299" s="314">
        <f t="shared" si="9"/>
        <v>0</v>
      </c>
    </row>
    <row r="300" spans="1:5" ht="18" hidden="1" customHeight="1">
      <c r="A300" s="136" t="s">
        <v>287</v>
      </c>
      <c r="B300" s="135">
        <f>OTTAWA!AV36</f>
        <v>0</v>
      </c>
      <c r="C300" s="135" t="s">
        <v>22</v>
      </c>
      <c r="D300" s="135">
        <v>16.649999999999999</v>
      </c>
      <c r="E300" s="314">
        <f t="shared" si="9"/>
        <v>0</v>
      </c>
    </row>
    <row r="301" spans="1:5" ht="18" hidden="1" customHeight="1">
      <c r="A301" s="136" t="s">
        <v>288</v>
      </c>
      <c r="B301" s="135">
        <f>OTTAWA!AX36</f>
        <v>0</v>
      </c>
      <c r="C301" s="135" t="s">
        <v>22</v>
      </c>
      <c r="D301" s="135">
        <v>16.649999999999999</v>
      </c>
      <c r="E301" s="314">
        <f t="shared" si="9"/>
        <v>0</v>
      </c>
    </row>
    <row r="302" spans="1:5" ht="18" hidden="1" customHeight="1">
      <c r="A302" s="396" t="s">
        <v>289</v>
      </c>
      <c r="B302" s="135">
        <f>OTTAWA!AY36</f>
        <v>0</v>
      </c>
      <c r="C302" s="135" t="s">
        <v>22</v>
      </c>
      <c r="D302" s="135">
        <v>16.649999999999999</v>
      </c>
      <c r="E302" s="314">
        <f t="shared" si="9"/>
        <v>0</v>
      </c>
    </row>
    <row r="303" spans="1:5" ht="18" hidden="1" customHeight="1">
      <c r="A303" s="136" t="s">
        <v>290</v>
      </c>
      <c r="B303" s="135">
        <f>OTTAWA!AZ36</f>
        <v>0</v>
      </c>
      <c r="C303" s="135" t="s">
        <v>22</v>
      </c>
      <c r="D303" s="135">
        <v>16.649999999999999</v>
      </c>
      <c r="E303" s="314">
        <f t="shared" si="9"/>
        <v>0</v>
      </c>
    </row>
    <row r="304" spans="1:5" ht="18" hidden="1" customHeight="1">
      <c r="A304" s="136" t="s">
        <v>291</v>
      </c>
      <c r="B304" s="135">
        <f>OTTAWA!BA36</f>
        <v>0</v>
      </c>
      <c r="C304" s="135" t="s">
        <v>22</v>
      </c>
      <c r="D304" s="135">
        <v>16.649999999999999</v>
      </c>
      <c r="E304" s="314">
        <f t="shared" si="9"/>
        <v>0</v>
      </c>
    </row>
    <row r="305" spans="1:5" ht="18" hidden="1" customHeight="1">
      <c r="A305" s="136" t="s">
        <v>292</v>
      </c>
      <c r="B305" s="135">
        <f>OTTAWA!BC36</f>
        <v>0</v>
      </c>
      <c r="C305" s="135" t="s">
        <v>22</v>
      </c>
      <c r="D305" s="135">
        <v>16.649999999999999</v>
      </c>
      <c r="E305" s="314">
        <f t="shared" si="9"/>
        <v>0</v>
      </c>
    </row>
    <row r="306" spans="1:5" ht="18" hidden="1" customHeight="1">
      <c r="A306" s="136" t="s">
        <v>293</v>
      </c>
      <c r="B306" s="135">
        <f>OTTAWA!BD36</f>
        <v>0</v>
      </c>
      <c r="C306" s="135" t="s">
        <v>22</v>
      </c>
      <c r="D306" s="135">
        <v>16.649999999999999</v>
      </c>
      <c r="E306" s="314">
        <f t="shared" si="9"/>
        <v>0</v>
      </c>
    </row>
    <row r="307" spans="1:5" ht="18" hidden="1" customHeight="1">
      <c r="A307" s="136" t="s">
        <v>175</v>
      </c>
      <c r="B307" s="135">
        <f>OTTAWA!BE36</f>
        <v>0</v>
      </c>
      <c r="C307" s="135" t="s">
        <v>22</v>
      </c>
      <c r="D307" s="135">
        <v>16.649999999999999</v>
      </c>
      <c r="E307" s="314">
        <f t="shared" si="9"/>
        <v>0</v>
      </c>
    </row>
    <row r="308" spans="1:5" ht="18" hidden="1" customHeight="1">
      <c r="A308" s="136" t="s">
        <v>177</v>
      </c>
      <c r="B308" s="135">
        <f>OTTAWA!BF36</f>
        <v>0</v>
      </c>
      <c r="C308" s="135" t="s">
        <v>22</v>
      </c>
      <c r="D308" s="135">
        <v>16.649999999999999</v>
      </c>
      <c r="E308" s="314">
        <f t="shared" si="9"/>
        <v>0</v>
      </c>
    </row>
    <row r="309" spans="1:5" ht="18" hidden="1" customHeight="1">
      <c r="A309" s="136" t="s">
        <v>294</v>
      </c>
      <c r="B309" s="135">
        <f>OTTAWA!BG36</f>
        <v>0</v>
      </c>
      <c r="C309" s="135" t="s">
        <v>22</v>
      </c>
      <c r="D309" s="135">
        <v>16.649999999999999</v>
      </c>
      <c r="E309" s="314">
        <f t="shared" si="9"/>
        <v>0</v>
      </c>
    </row>
    <row r="310" spans="1:5" s="529" customFormat="1" ht="18" hidden="1" customHeight="1">
      <c r="A310" s="480" t="s">
        <v>295</v>
      </c>
      <c r="B310" s="481">
        <f>OTTAWA!BH36</f>
        <v>0</v>
      </c>
      <c r="C310" s="481" t="s">
        <v>22</v>
      </c>
      <c r="D310" s="481">
        <v>16.649999999999999</v>
      </c>
      <c r="E310" s="482">
        <f t="shared" si="9"/>
        <v>0</v>
      </c>
    </row>
    <row r="311" spans="1:5" ht="18" hidden="1" customHeight="1">
      <c r="A311" s="136" t="s">
        <v>296</v>
      </c>
      <c r="B311" s="135">
        <f>OTTAWA!BI36</f>
        <v>0</v>
      </c>
      <c r="C311" s="135" t="s">
        <v>22</v>
      </c>
      <c r="D311" s="135">
        <v>16.649999999999999</v>
      </c>
      <c r="E311" s="314">
        <f t="shared" si="9"/>
        <v>0</v>
      </c>
    </row>
    <row r="312" spans="1:5" ht="18" hidden="1" customHeight="1">
      <c r="A312" s="136" t="s">
        <v>179</v>
      </c>
      <c r="B312" s="135">
        <f>OTTAWA!BJ36</f>
        <v>0</v>
      </c>
      <c r="C312" s="135" t="s">
        <v>22</v>
      </c>
      <c r="D312" s="135">
        <v>16.649999999999999</v>
      </c>
      <c r="E312" s="314">
        <f t="shared" si="9"/>
        <v>0</v>
      </c>
    </row>
    <row r="313" spans="1:5" ht="18" hidden="1" customHeight="1">
      <c r="A313" s="136" t="s">
        <v>297</v>
      </c>
      <c r="B313" s="135">
        <f>OTTAWA!BK36</f>
        <v>0</v>
      </c>
      <c r="C313" s="135" t="s">
        <v>22</v>
      </c>
      <c r="D313" s="135">
        <v>16.649999999999999</v>
      </c>
      <c r="E313" s="314">
        <f t="shared" si="9"/>
        <v>0</v>
      </c>
    </row>
    <row r="314" spans="1:5" s="529" customFormat="1" ht="18" hidden="1" customHeight="1">
      <c r="A314" s="480" t="s">
        <v>298</v>
      </c>
      <c r="B314" s="481">
        <f>OTTAWA!BL36</f>
        <v>0</v>
      </c>
      <c r="C314" s="481" t="s">
        <v>22</v>
      </c>
      <c r="D314" s="481">
        <v>16.649999999999999</v>
      </c>
      <c r="E314" s="482">
        <f t="shared" si="9"/>
        <v>0</v>
      </c>
    </row>
    <row r="315" spans="1:5" ht="18" hidden="1" customHeight="1">
      <c r="A315" s="136" t="s">
        <v>168</v>
      </c>
      <c r="B315" s="135">
        <f>OTTAWA!AH36</f>
        <v>0</v>
      </c>
      <c r="C315" s="135" t="s">
        <v>22</v>
      </c>
      <c r="D315" s="135">
        <v>16.649999999999999</v>
      </c>
      <c r="E315" s="314">
        <f t="shared" si="9"/>
        <v>0</v>
      </c>
    </row>
    <row r="316" spans="1:5" ht="18" hidden="1" customHeight="1">
      <c r="A316" s="136" t="s">
        <v>299</v>
      </c>
      <c r="B316" s="135">
        <f>OTTAWA!BM36</f>
        <v>0</v>
      </c>
      <c r="C316" s="135" t="s">
        <v>22</v>
      </c>
      <c r="D316" s="135">
        <v>16.649999999999999</v>
      </c>
      <c r="E316" s="314">
        <f t="shared" si="9"/>
        <v>0</v>
      </c>
    </row>
    <row r="317" spans="1:5" ht="18" hidden="1" customHeight="1">
      <c r="A317" s="136" t="s">
        <v>183</v>
      </c>
      <c r="B317" s="135">
        <f>OTTAWA!BO36</f>
        <v>0</v>
      </c>
      <c r="C317" s="135" t="s">
        <v>22</v>
      </c>
      <c r="D317" s="135">
        <v>16.649999999999999</v>
      </c>
      <c r="E317" s="314">
        <f t="shared" si="9"/>
        <v>0</v>
      </c>
    </row>
    <row r="318" spans="1:5" ht="18" hidden="1" customHeight="1">
      <c r="A318" s="136" t="s">
        <v>300</v>
      </c>
      <c r="B318" s="135">
        <f>OTTAWA!BP36</f>
        <v>0</v>
      </c>
      <c r="C318" s="135" t="s">
        <v>22</v>
      </c>
      <c r="D318" s="135"/>
      <c r="E318" s="314">
        <f t="shared" si="9"/>
        <v>0</v>
      </c>
    </row>
    <row r="319" spans="1:5" ht="18" hidden="1" customHeight="1">
      <c r="A319" s="136" t="s">
        <v>188</v>
      </c>
      <c r="B319" s="135">
        <f>OTTAWA!BQ36</f>
        <v>0</v>
      </c>
      <c r="C319" s="135" t="s">
        <v>22</v>
      </c>
      <c r="D319" s="135">
        <v>16.649999999999999</v>
      </c>
      <c r="E319" s="314">
        <f t="shared" si="9"/>
        <v>0</v>
      </c>
    </row>
    <row r="320" spans="1:5" ht="18" hidden="1" customHeight="1">
      <c r="A320" s="136" t="s">
        <v>186</v>
      </c>
      <c r="B320" s="135">
        <f>OTTAWA!BV36</f>
        <v>0</v>
      </c>
      <c r="C320" s="135" t="s">
        <v>22</v>
      </c>
      <c r="D320" s="135">
        <v>16.649999999999999</v>
      </c>
      <c r="E320" s="314">
        <f t="shared" si="9"/>
        <v>0</v>
      </c>
    </row>
    <row r="321" spans="1:5" s="529" customFormat="1" ht="18" hidden="1" customHeight="1">
      <c r="A321" s="480" t="s">
        <v>301</v>
      </c>
      <c r="B321" s="481">
        <f>OTTAWA!BR36</f>
        <v>0</v>
      </c>
      <c r="C321" s="481" t="s">
        <v>22</v>
      </c>
      <c r="D321" s="481">
        <v>16.649999999999999</v>
      </c>
      <c r="E321" s="482">
        <f t="shared" si="9"/>
        <v>0</v>
      </c>
    </row>
    <row r="322" spans="1:5" s="529" customFormat="1" ht="18" hidden="1" customHeight="1">
      <c r="A322" s="480" t="s">
        <v>302</v>
      </c>
      <c r="B322" s="481">
        <f>OTTAWA!BS36</f>
        <v>0</v>
      </c>
      <c r="C322" s="481" t="s">
        <v>22</v>
      </c>
      <c r="D322" s="481">
        <v>16.649999999999999</v>
      </c>
      <c r="E322" s="482">
        <f t="shared" si="9"/>
        <v>0</v>
      </c>
    </row>
    <row r="323" spans="1:5" ht="18" hidden="1" customHeight="1">
      <c r="A323" s="136" t="s">
        <v>192</v>
      </c>
      <c r="B323" s="135">
        <f>OTTAWA!BT36</f>
        <v>0</v>
      </c>
      <c r="C323" s="135" t="s">
        <v>22</v>
      </c>
      <c r="D323" s="135">
        <v>16.649999999999999</v>
      </c>
      <c r="E323" s="314">
        <f t="shared" si="9"/>
        <v>0</v>
      </c>
    </row>
    <row r="324" spans="1:5" ht="18" hidden="1" customHeight="1">
      <c r="A324" s="136" t="s">
        <v>303</v>
      </c>
      <c r="B324" s="135">
        <f>OTTAWA!AD36</f>
        <v>0</v>
      </c>
      <c r="C324" s="135" t="s">
        <v>22</v>
      </c>
      <c r="D324" s="135">
        <v>16.649999999999999</v>
      </c>
      <c r="E324" s="314">
        <f t="shared" si="9"/>
        <v>0</v>
      </c>
    </row>
    <row r="325" spans="1:5" ht="18" hidden="1" customHeight="1">
      <c r="A325" s="396" t="s">
        <v>197</v>
      </c>
      <c r="B325" s="135">
        <f>OTTAWA!BU36</f>
        <v>0</v>
      </c>
      <c r="C325" s="135" t="s">
        <v>22</v>
      </c>
      <c r="D325" s="135">
        <v>16.649999999999999</v>
      </c>
      <c r="E325" s="314">
        <f t="shared" si="9"/>
        <v>0</v>
      </c>
    </row>
    <row r="326" spans="1:5" ht="18" hidden="1" customHeight="1">
      <c r="A326" s="396" t="s">
        <v>304</v>
      </c>
      <c r="B326" s="135">
        <f>OTTAWA!BX36</f>
        <v>0</v>
      </c>
      <c r="C326" s="135" t="s">
        <v>22</v>
      </c>
      <c r="D326" s="135">
        <v>16.649999999999999</v>
      </c>
      <c r="E326" s="314">
        <f t="shared" si="9"/>
        <v>0</v>
      </c>
    </row>
    <row r="327" spans="1:5" ht="18" hidden="1" customHeight="1">
      <c r="A327" s="136" t="s">
        <v>305</v>
      </c>
      <c r="B327" s="135">
        <f>OTTAWA!BW36</f>
        <v>0</v>
      </c>
      <c r="C327" s="135" t="s">
        <v>22</v>
      </c>
      <c r="D327" s="135">
        <v>17</v>
      </c>
      <c r="E327" s="314">
        <f t="shared" si="9"/>
        <v>0</v>
      </c>
    </row>
    <row r="328" spans="1:5" ht="18" hidden="1" customHeight="1">
      <c r="A328" s="136" t="s">
        <v>306</v>
      </c>
      <c r="B328" s="135">
        <f>OTTAWA!BY36</f>
        <v>0</v>
      </c>
      <c r="C328" s="135" t="s">
        <v>22</v>
      </c>
      <c r="D328" s="135">
        <v>16.649999999999999</v>
      </c>
      <c r="E328" s="314">
        <f t="shared" si="9"/>
        <v>0</v>
      </c>
    </row>
    <row r="329" spans="1:5" ht="18" hidden="1" customHeight="1">
      <c r="A329" s="136" t="s">
        <v>307</v>
      </c>
      <c r="B329" s="135">
        <f>OTTAWA!BZ36</f>
        <v>0</v>
      </c>
      <c r="C329" s="135" t="s">
        <v>22</v>
      </c>
      <c r="D329" s="135">
        <v>17</v>
      </c>
      <c r="E329" s="314">
        <f>(B329*D329)</f>
        <v>0</v>
      </c>
    </row>
    <row r="330" spans="1:5" ht="18" hidden="1" customHeight="1">
      <c r="A330" s="396" t="s">
        <v>308</v>
      </c>
      <c r="B330" s="135">
        <f>OTTAWA!CA36</f>
        <v>0</v>
      </c>
      <c r="C330" s="135" t="s">
        <v>22</v>
      </c>
      <c r="D330" s="135">
        <v>16.649999999999999</v>
      </c>
      <c r="E330" s="314">
        <f t="shared" ref="E330:E346" si="10">B330*D330</f>
        <v>0</v>
      </c>
    </row>
    <row r="331" spans="1:5" s="529" customFormat="1" ht="18" hidden="1" customHeight="1">
      <c r="A331" s="517" t="s">
        <v>124</v>
      </c>
      <c r="B331" s="481">
        <f>OTTAWA!CB36</f>
        <v>0</v>
      </c>
      <c r="C331" s="481" t="s">
        <v>22</v>
      </c>
      <c r="D331" s="481">
        <v>16.649999999999999</v>
      </c>
      <c r="E331" s="482">
        <f t="shared" si="10"/>
        <v>0</v>
      </c>
    </row>
    <row r="332" spans="1:5" s="529" customFormat="1" ht="18" hidden="1" customHeight="1">
      <c r="A332" s="517" t="s">
        <v>309</v>
      </c>
      <c r="B332" s="481">
        <f>OTTAWA!BN36</f>
        <v>0</v>
      </c>
      <c r="C332" s="481" t="s">
        <v>22</v>
      </c>
      <c r="D332" s="481">
        <v>16.649999999999999</v>
      </c>
      <c r="E332" s="482">
        <f t="shared" si="10"/>
        <v>0</v>
      </c>
    </row>
    <row r="333" spans="1:5" s="529" customFormat="1" ht="18" hidden="1" customHeight="1">
      <c r="A333" s="517" t="s">
        <v>310</v>
      </c>
      <c r="B333" s="481">
        <f>OTTAWA!D36</f>
        <v>0</v>
      </c>
      <c r="C333" s="481" t="s">
        <v>22</v>
      </c>
      <c r="D333" s="481">
        <v>16.649999999999999</v>
      </c>
      <c r="E333" s="482">
        <f t="shared" si="10"/>
        <v>0</v>
      </c>
    </row>
    <row r="334" spans="1:5" ht="18" hidden="1" customHeight="1">
      <c r="A334" s="396" t="s">
        <v>182</v>
      </c>
      <c r="B334" s="135">
        <f>OTTAWA!CC36</f>
        <v>0</v>
      </c>
      <c r="C334" s="135" t="s">
        <v>22</v>
      </c>
      <c r="D334" s="135">
        <v>16.649999999999999</v>
      </c>
      <c r="E334" s="314">
        <f t="shared" si="10"/>
        <v>0</v>
      </c>
    </row>
    <row r="335" spans="1:5" ht="18" hidden="1" customHeight="1">
      <c r="A335" s="396" t="s">
        <v>311</v>
      </c>
      <c r="B335" s="135">
        <f>OTTAWA!CD36</f>
        <v>0</v>
      </c>
      <c r="C335" s="135" t="s">
        <v>22</v>
      </c>
      <c r="D335" s="135">
        <v>16.649999999999999</v>
      </c>
      <c r="E335" s="314">
        <f t="shared" si="10"/>
        <v>0</v>
      </c>
    </row>
    <row r="336" spans="1:5" ht="18" hidden="1" customHeight="1">
      <c r="A336" s="396" t="s">
        <v>312</v>
      </c>
      <c r="B336" s="150">
        <f>OTTAWA!CE36</f>
        <v>0</v>
      </c>
      <c r="C336" s="135" t="s">
        <v>22</v>
      </c>
      <c r="D336" s="135">
        <v>16.649999999999999</v>
      </c>
      <c r="E336" s="314">
        <f t="shared" si="10"/>
        <v>0</v>
      </c>
    </row>
    <row r="337" spans="1:5" ht="18" hidden="1" customHeight="1">
      <c r="A337" s="396" t="s">
        <v>313</v>
      </c>
      <c r="B337" s="135">
        <f>OTTAWA!CF36</f>
        <v>0</v>
      </c>
      <c r="C337" s="135" t="s">
        <v>22</v>
      </c>
      <c r="D337" s="135">
        <v>16.649999999999999</v>
      </c>
      <c r="E337" s="314">
        <f t="shared" si="10"/>
        <v>0</v>
      </c>
    </row>
    <row r="338" spans="1:5" ht="18" hidden="1" customHeight="1">
      <c r="A338" s="396" t="s">
        <v>314</v>
      </c>
      <c r="B338" s="135">
        <f>OTTAWA!CG36</f>
        <v>0</v>
      </c>
      <c r="C338" s="135" t="s">
        <v>22</v>
      </c>
      <c r="D338" s="135">
        <v>16.649999999999999</v>
      </c>
      <c r="E338" s="314">
        <f t="shared" si="10"/>
        <v>0</v>
      </c>
    </row>
    <row r="339" spans="1:5" ht="18" hidden="1" customHeight="1">
      <c r="A339" s="704" t="s">
        <v>315</v>
      </c>
      <c r="B339" s="481">
        <f>OTTAWA!CH36</f>
        <v>0</v>
      </c>
      <c r="C339" s="481" t="s">
        <v>22</v>
      </c>
      <c r="D339" s="481">
        <v>18</v>
      </c>
      <c r="E339" s="482">
        <f t="shared" si="10"/>
        <v>0</v>
      </c>
    </row>
    <row r="340" spans="1:5" ht="18" hidden="1" customHeight="1">
      <c r="A340" s="517" t="s">
        <v>316</v>
      </c>
      <c r="B340" s="481">
        <f>OTTAWA!CI36</f>
        <v>0</v>
      </c>
      <c r="C340" s="481" t="s">
        <v>22</v>
      </c>
      <c r="D340" s="481">
        <v>16.649999999999999</v>
      </c>
      <c r="E340" s="482">
        <f t="shared" si="10"/>
        <v>0</v>
      </c>
    </row>
    <row r="341" spans="1:5" ht="18" hidden="1" customHeight="1">
      <c r="A341" s="517" t="s">
        <v>146</v>
      </c>
      <c r="B341" s="481">
        <f>OTTAWA!CJ36</f>
        <v>0</v>
      </c>
      <c r="C341" s="481" t="s">
        <v>22</v>
      </c>
      <c r="D341" s="481">
        <v>16.649999999999999</v>
      </c>
      <c r="E341" s="482">
        <f t="shared" si="10"/>
        <v>0</v>
      </c>
    </row>
    <row r="342" spans="1:5" ht="18" hidden="1" customHeight="1">
      <c r="A342" s="517" t="s">
        <v>317</v>
      </c>
      <c r="B342" s="481">
        <f>OTTAWA!CK36</f>
        <v>0</v>
      </c>
      <c r="C342" s="481" t="s">
        <v>22</v>
      </c>
      <c r="D342" s="481">
        <v>16.649999999999999</v>
      </c>
      <c r="E342" s="482">
        <f t="shared" si="10"/>
        <v>0</v>
      </c>
    </row>
    <row r="343" spans="1:5" ht="18" hidden="1" customHeight="1">
      <c r="A343" s="517" t="s">
        <v>113</v>
      </c>
      <c r="B343" s="481">
        <f>OTTAWA!CL36</f>
        <v>0</v>
      </c>
      <c r="C343" s="481" t="s">
        <v>22</v>
      </c>
      <c r="D343" s="481">
        <v>16.649999999999999</v>
      </c>
      <c r="E343" s="482">
        <f t="shared" si="10"/>
        <v>0</v>
      </c>
    </row>
    <row r="344" spans="1:5" ht="18" hidden="1" customHeight="1">
      <c r="A344" s="517" t="s">
        <v>318</v>
      </c>
      <c r="B344" s="481">
        <f>OTTAWA!CM36</f>
        <v>0</v>
      </c>
      <c r="C344" s="481" t="s">
        <v>22</v>
      </c>
      <c r="D344" s="481">
        <v>16.649999999999999</v>
      </c>
      <c r="E344" s="482">
        <f t="shared" si="10"/>
        <v>0</v>
      </c>
    </row>
    <row r="345" spans="1:5" ht="18" hidden="1" customHeight="1">
      <c r="A345" s="517" t="s">
        <v>319</v>
      </c>
      <c r="B345" s="481">
        <f>OTTAWA!CN36</f>
        <v>0</v>
      </c>
      <c r="C345" s="481" t="s">
        <v>22</v>
      </c>
      <c r="D345" s="481">
        <v>16.649999999999999</v>
      </c>
      <c r="E345" s="482">
        <f t="shared" si="10"/>
        <v>0</v>
      </c>
    </row>
    <row r="346" spans="1:5" ht="18" hidden="1" customHeight="1">
      <c r="A346" s="517" t="s">
        <v>320</v>
      </c>
      <c r="B346" s="481">
        <f>OTTAWA!CO36</f>
        <v>0</v>
      </c>
      <c r="C346" s="481" t="s">
        <v>22</v>
      </c>
      <c r="D346" s="481">
        <v>16.649999999999999</v>
      </c>
      <c r="E346" s="482">
        <f t="shared" si="10"/>
        <v>0</v>
      </c>
    </row>
    <row r="347" spans="1:5" ht="18" hidden="1" customHeight="1">
      <c r="A347" s="437"/>
      <c r="B347" s="419"/>
      <c r="C347" s="419"/>
      <c r="D347" s="419"/>
      <c r="E347" s="420"/>
    </row>
    <row r="348" spans="1:5" ht="18" hidden="1" customHeight="1">
      <c r="A348" s="427" t="s">
        <v>321</v>
      </c>
      <c r="B348" s="415">
        <f>SUM(B255:B347)</f>
        <v>0</v>
      </c>
      <c r="C348" s="419"/>
      <c r="D348" s="419"/>
      <c r="E348" s="420"/>
    </row>
    <row r="349" spans="1:5" ht="18" hidden="1" customHeight="1">
      <c r="A349" s="136"/>
      <c r="B349" s="135"/>
      <c r="C349" s="135"/>
      <c r="D349" s="135"/>
      <c r="E349" s="314"/>
    </row>
    <row r="350" spans="1:5" ht="18" hidden="1" customHeight="1">
      <c r="A350" s="418" t="s">
        <v>322</v>
      </c>
      <c r="B350" s="419"/>
      <c r="C350" s="419"/>
      <c r="D350" s="419"/>
      <c r="E350" s="420"/>
    </row>
    <row r="351" spans="1:5" ht="18" hidden="1" customHeight="1">
      <c r="A351" s="134" t="s">
        <v>323</v>
      </c>
      <c r="B351" s="135">
        <f>GTA!F363</f>
        <v>0</v>
      </c>
      <c r="C351" s="135" t="s">
        <v>22</v>
      </c>
      <c r="D351" s="135">
        <v>18</v>
      </c>
      <c r="E351" s="314">
        <f t="shared" ref="E351:E361" si="11">B351*D351</f>
        <v>0</v>
      </c>
    </row>
    <row r="352" spans="1:5" ht="18" hidden="1" customHeight="1">
      <c r="A352" s="134" t="s">
        <v>324</v>
      </c>
      <c r="B352" s="135">
        <f>GTA!C363</f>
        <v>0</v>
      </c>
      <c r="C352" s="135" t="s">
        <v>22</v>
      </c>
      <c r="D352" s="135">
        <v>18</v>
      </c>
      <c r="E352" s="314">
        <f t="shared" si="11"/>
        <v>0</v>
      </c>
    </row>
    <row r="353" spans="1:6" ht="18" hidden="1" customHeight="1">
      <c r="A353" s="134" t="s">
        <v>325</v>
      </c>
      <c r="B353" s="135">
        <f>GTA!D363</f>
        <v>0</v>
      </c>
      <c r="C353" s="135" t="s">
        <v>22</v>
      </c>
      <c r="D353" s="135">
        <v>18</v>
      </c>
      <c r="E353" s="314">
        <f t="shared" si="11"/>
        <v>0</v>
      </c>
    </row>
    <row r="354" spans="1:6" ht="18" hidden="1" customHeight="1">
      <c r="A354" s="134" t="s">
        <v>245</v>
      </c>
      <c r="B354" s="135">
        <f>GTA!J363</f>
        <v>0</v>
      </c>
      <c r="C354" s="135" t="s">
        <v>22</v>
      </c>
      <c r="D354" s="135">
        <v>18</v>
      </c>
      <c r="E354" s="314">
        <f t="shared" si="11"/>
        <v>0</v>
      </c>
    </row>
    <row r="355" spans="1:6" ht="18" hidden="1" customHeight="1">
      <c r="A355" s="284" t="s">
        <v>221</v>
      </c>
      <c r="B355" s="135">
        <f>GTA!E363</f>
        <v>0</v>
      </c>
      <c r="C355" s="135" t="s">
        <v>22</v>
      </c>
      <c r="D355" s="135">
        <v>18</v>
      </c>
      <c r="E355" s="314">
        <f t="shared" si="11"/>
        <v>0</v>
      </c>
    </row>
    <row r="356" spans="1:6" ht="18" hidden="1" customHeight="1">
      <c r="A356" s="134" t="s">
        <v>326</v>
      </c>
      <c r="B356" s="135">
        <f>GTA!G363</f>
        <v>0</v>
      </c>
      <c r="C356" s="135" t="s">
        <v>22</v>
      </c>
      <c r="D356" s="135">
        <v>18</v>
      </c>
      <c r="E356" s="314">
        <f t="shared" si="11"/>
        <v>0</v>
      </c>
    </row>
    <row r="357" spans="1:6" ht="18" hidden="1" customHeight="1">
      <c r="A357" s="134" t="s">
        <v>327</v>
      </c>
      <c r="B357" s="135">
        <f>GTA!H363</f>
        <v>0</v>
      </c>
      <c r="C357" s="135" t="s">
        <v>22</v>
      </c>
      <c r="D357" s="135">
        <v>18</v>
      </c>
      <c r="E357" s="314">
        <f t="shared" si="11"/>
        <v>0</v>
      </c>
    </row>
    <row r="358" spans="1:6" ht="18" hidden="1" customHeight="1">
      <c r="A358" s="134" t="s">
        <v>328</v>
      </c>
      <c r="B358" s="135">
        <f>GTA!I352</f>
        <v>0</v>
      </c>
      <c r="C358" s="135" t="s">
        <v>22</v>
      </c>
      <c r="D358" s="135">
        <v>18</v>
      </c>
      <c r="E358" s="314">
        <f t="shared" si="11"/>
        <v>0</v>
      </c>
    </row>
    <row r="359" spans="1:6" ht="18" hidden="1" customHeight="1">
      <c r="A359" s="284" t="s">
        <v>329</v>
      </c>
      <c r="B359" s="135">
        <f>GTA!K363</f>
        <v>0</v>
      </c>
      <c r="C359" s="135" t="s">
        <v>22</v>
      </c>
      <c r="D359" s="135">
        <v>18</v>
      </c>
      <c r="E359" s="314">
        <f t="shared" si="11"/>
        <v>0</v>
      </c>
    </row>
    <row r="360" spans="1:6" ht="18" hidden="1" customHeight="1">
      <c r="A360" s="134" t="s">
        <v>330</v>
      </c>
      <c r="B360" s="135">
        <f>GTA!L363</f>
        <v>0</v>
      </c>
      <c r="C360" s="135" t="s">
        <v>22</v>
      </c>
      <c r="D360" s="135">
        <v>18</v>
      </c>
      <c r="E360" s="314">
        <f t="shared" si="11"/>
        <v>0</v>
      </c>
    </row>
    <row r="361" spans="1:6" ht="18" hidden="1" customHeight="1">
      <c r="A361" s="134" t="s">
        <v>237</v>
      </c>
      <c r="B361" s="135">
        <f>GTA!M363</f>
        <v>0</v>
      </c>
      <c r="C361" s="135" t="s">
        <v>22</v>
      </c>
      <c r="D361" s="135">
        <v>18</v>
      </c>
      <c r="E361" s="314">
        <f t="shared" si="11"/>
        <v>0</v>
      </c>
    </row>
    <row r="362" spans="1:6" ht="18" hidden="1" customHeight="1">
      <c r="A362" s="441"/>
      <c r="B362" s="432"/>
      <c r="C362" s="432"/>
      <c r="D362" s="432"/>
      <c r="E362" s="433"/>
    </row>
    <row r="363" spans="1:6" ht="18" hidden="1" customHeight="1">
      <c r="A363" s="431" t="s">
        <v>331</v>
      </c>
      <c r="B363" s="431">
        <f>SUM(B350:B362)</f>
        <v>0</v>
      </c>
      <c r="C363" s="432"/>
      <c r="D363" s="432"/>
      <c r="E363" s="433"/>
    </row>
    <row r="364" spans="1:6" ht="18" hidden="1" customHeight="1">
      <c r="A364" s="408"/>
      <c r="B364" s="409"/>
      <c r="C364" s="409"/>
      <c r="D364" s="409"/>
      <c r="E364" s="410"/>
    </row>
    <row r="365" spans="1:6" ht="18" hidden="1" customHeight="1">
      <c r="A365" s="418" t="s">
        <v>332</v>
      </c>
      <c r="B365" s="419"/>
      <c r="C365" s="419"/>
      <c r="D365" s="419"/>
      <c r="E365" s="420"/>
    </row>
    <row r="366" spans="1:6" ht="18" hidden="1" customHeight="1">
      <c r="A366" s="134" t="s">
        <v>333</v>
      </c>
      <c r="B366" s="347">
        <f>GTA!D93</f>
        <v>0</v>
      </c>
      <c r="C366" s="347" t="s">
        <v>22</v>
      </c>
      <c r="D366" s="347">
        <v>16.649999999999999</v>
      </c>
      <c r="E366" s="298">
        <f>D366*B366</f>
        <v>0</v>
      </c>
      <c r="F366" s="418" t="s">
        <v>332</v>
      </c>
    </row>
    <row r="367" spans="1:6" ht="18" hidden="1" customHeight="1">
      <c r="A367" s="284" t="s">
        <v>334</v>
      </c>
      <c r="B367" s="347">
        <f>GTA!E93</f>
        <v>0</v>
      </c>
      <c r="C367" s="347" t="s">
        <v>22</v>
      </c>
      <c r="D367" s="347">
        <v>16.649999999999999</v>
      </c>
      <c r="E367" s="298">
        <f>D367*B367</f>
        <v>0</v>
      </c>
      <c r="F367" s="418" t="s">
        <v>332</v>
      </c>
    </row>
    <row r="368" spans="1:6" ht="18" hidden="1" customHeight="1">
      <c r="A368" s="284" t="s">
        <v>335</v>
      </c>
      <c r="B368" s="347">
        <f>GTA!F93</f>
        <v>0</v>
      </c>
      <c r="C368" s="347" t="s">
        <v>22</v>
      </c>
      <c r="D368" s="347">
        <v>16.649999999999999</v>
      </c>
      <c r="E368" s="298">
        <f>D368*B368</f>
        <v>0</v>
      </c>
      <c r="F368" s="418" t="s">
        <v>332</v>
      </c>
    </row>
    <row r="369" spans="1:6" ht="18" hidden="1" customHeight="1">
      <c r="A369" s="284" t="s">
        <v>336</v>
      </c>
      <c r="B369" s="347">
        <f>GTA!G93</f>
        <v>0</v>
      </c>
      <c r="C369" s="347" t="s">
        <v>22</v>
      </c>
      <c r="D369" s="347">
        <v>16.649999999999999</v>
      </c>
      <c r="E369" s="298">
        <f>D369*B369</f>
        <v>0</v>
      </c>
      <c r="F369" s="418" t="s">
        <v>332</v>
      </c>
    </row>
    <row r="370" spans="1:6" ht="18" hidden="1" customHeight="1">
      <c r="A370" s="627"/>
      <c r="B370" s="347"/>
      <c r="C370" s="347"/>
      <c r="D370" s="347"/>
      <c r="E370" s="298"/>
    </row>
    <row r="371" spans="1:6" ht="18" hidden="1" customHeight="1">
      <c r="A371" s="441"/>
      <c r="B371" s="432"/>
      <c r="C371" s="432"/>
      <c r="D371" s="432"/>
      <c r="E371" s="433"/>
    </row>
    <row r="372" spans="1:6" ht="18" hidden="1" customHeight="1">
      <c r="A372" s="431" t="s">
        <v>332</v>
      </c>
      <c r="B372" s="431">
        <f>SUM(B365:B371)</f>
        <v>0</v>
      </c>
      <c r="C372" s="432"/>
      <c r="D372" s="432"/>
      <c r="E372" s="433"/>
    </row>
    <row r="373" spans="1:6" ht="18" hidden="1" customHeight="1">
      <c r="A373" s="408"/>
      <c r="B373" s="409"/>
      <c r="C373" s="409"/>
      <c r="D373" s="409"/>
      <c r="E373" s="410"/>
    </row>
    <row r="374" spans="1:6" ht="18" hidden="1" customHeight="1">
      <c r="A374" s="136"/>
      <c r="B374" s="135"/>
      <c r="C374" s="135"/>
      <c r="D374" s="135"/>
      <c r="E374" s="314"/>
    </row>
    <row r="375" spans="1:6" ht="18" hidden="1" customHeight="1">
      <c r="A375" s="418" t="s">
        <v>337</v>
      </c>
      <c r="B375" s="419"/>
      <c r="C375" s="419"/>
      <c r="D375" s="419"/>
      <c r="E375" s="420"/>
    </row>
    <row r="376" spans="1:6" ht="18" hidden="1" customHeight="1">
      <c r="A376" s="134" t="s">
        <v>324</v>
      </c>
      <c r="B376" s="135">
        <f>GTA!C418</f>
        <v>0</v>
      </c>
      <c r="C376" s="135" t="s">
        <v>22</v>
      </c>
      <c r="D376" s="135">
        <v>20</v>
      </c>
      <c r="E376" s="314">
        <f>B376*D376</f>
        <v>0</v>
      </c>
    </row>
    <row r="377" spans="1:6" ht="18" hidden="1" customHeight="1">
      <c r="A377" s="284" t="s">
        <v>338</v>
      </c>
      <c r="B377" s="347">
        <f>GTA!F418</f>
        <v>0</v>
      </c>
      <c r="C377" s="347" t="s">
        <v>22</v>
      </c>
      <c r="D377" s="347">
        <v>20</v>
      </c>
      <c r="E377" s="298">
        <f>D377*B377</f>
        <v>0</v>
      </c>
    </row>
    <row r="378" spans="1:6" ht="18" hidden="1" customHeight="1">
      <c r="A378" s="627" t="s">
        <v>339</v>
      </c>
      <c r="B378" s="347">
        <f>GTA!E418</f>
        <v>0</v>
      </c>
      <c r="C378" s="347" t="s">
        <v>22</v>
      </c>
      <c r="D378" s="347">
        <v>20</v>
      </c>
      <c r="E378" s="298">
        <f>D378*B378</f>
        <v>0</v>
      </c>
    </row>
    <row r="379" spans="1:6" ht="18" hidden="1" customHeight="1">
      <c r="A379" s="644" t="s">
        <v>340</v>
      </c>
      <c r="B379" s="645">
        <f>GTA!G418</f>
        <v>0</v>
      </c>
      <c r="C379" s="645" t="s">
        <v>22</v>
      </c>
      <c r="D379" s="645">
        <v>20</v>
      </c>
      <c r="E379" s="646">
        <f>D379*B379</f>
        <v>0</v>
      </c>
    </row>
    <row r="380" spans="1:6" ht="18" hidden="1" customHeight="1">
      <c r="A380" s="441"/>
      <c r="B380" s="432"/>
      <c r="C380" s="432"/>
      <c r="D380" s="432"/>
      <c r="E380" s="433"/>
    </row>
    <row r="381" spans="1:6" ht="18" hidden="1" customHeight="1">
      <c r="A381" s="431" t="s">
        <v>341</v>
      </c>
      <c r="B381" s="431">
        <f>SUM(B375:B380)</f>
        <v>0</v>
      </c>
      <c r="C381" s="432"/>
      <c r="D381" s="432"/>
      <c r="E381" s="433"/>
    </row>
    <row r="382" spans="1:6" ht="18" hidden="1" customHeight="1">
      <c r="A382" s="408"/>
      <c r="B382" s="409"/>
      <c r="C382" s="409"/>
      <c r="D382" s="409"/>
      <c r="E382" s="410"/>
    </row>
    <row r="383" spans="1:6" ht="18" hidden="1" customHeight="1">
      <c r="A383" s="557" t="s">
        <v>342</v>
      </c>
      <c r="B383" s="419"/>
      <c r="C383" s="419"/>
      <c r="D383" s="419"/>
      <c r="E383" s="420"/>
    </row>
    <row r="384" spans="1:6" ht="18" hidden="1" customHeight="1">
      <c r="A384" s="134" t="s">
        <v>343</v>
      </c>
      <c r="B384" s="135">
        <f>GTA!C345</f>
        <v>0</v>
      </c>
      <c r="C384" s="135" t="s">
        <v>22</v>
      </c>
      <c r="D384" s="135">
        <v>17</v>
      </c>
      <c r="E384" s="314">
        <f>B384*D384</f>
        <v>0</v>
      </c>
    </row>
    <row r="385" spans="1:5" ht="18" hidden="1" customHeight="1">
      <c r="A385" s="284"/>
      <c r="B385" s="135"/>
      <c r="C385" s="135" t="s">
        <v>22</v>
      </c>
      <c r="D385" s="135">
        <v>18</v>
      </c>
      <c r="E385" s="314">
        <f>B385*D385</f>
        <v>0</v>
      </c>
    </row>
    <row r="386" spans="1:5" ht="18" hidden="1" customHeight="1">
      <c r="A386" s="134"/>
      <c r="B386" s="135"/>
      <c r="C386" s="135" t="s">
        <v>22</v>
      </c>
      <c r="D386" s="135">
        <v>18</v>
      </c>
      <c r="E386" s="314">
        <f>B386*D386</f>
        <v>0</v>
      </c>
    </row>
    <row r="387" spans="1:5" ht="18" hidden="1" customHeight="1">
      <c r="A387" s="134"/>
      <c r="B387" s="135"/>
      <c r="C387" s="135" t="s">
        <v>22</v>
      </c>
      <c r="D387" s="135">
        <v>18</v>
      </c>
      <c r="E387" s="314">
        <f>B387*D387</f>
        <v>0</v>
      </c>
    </row>
    <row r="388" spans="1:5" ht="18" hidden="1" customHeight="1">
      <c r="A388" s="441"/>
      <c r="B388" s="432"/>
      <c r="C388" s="432"/>
      <c r="D388" s="432"/>
      <c r="E388" s="433"/>
    </row>
    <row r="389" spans="1:5" ht="18" hidden="1" customHeight="1">
      <c r="A389" s="431" t="s">
        <v>344</v>
      </c>
      <c r="B389" s="431">
        <f>SUM(B383:B388)</f>
        <v>0</v>
      </c>
      <c r="C389" s="432"/>
      <c r="D389" s="432"/>
      <c r="E389" s="433"/>
    </row>
    <row r="390" spans="1:5" ht="18" hidden="1" customHeight="1">
      <c r="A390" s="408"/>
      <c r="B390" s="409"/>
      <c r="C390" s="409"/>
      <c r="D390" s="409"/>
      <c r="E390" s="410"/>
    </row>
    <row r="391" spans="1:5" ht="18" hidden="1" customHeight="1">
      <c r="A391" s="421" t="s">
        <v>345</v>
      </c>
      <c r="B391" s="422"/>
      <c r="C391" s="422"/>
      <c r="D391" s="422"/>
      <c r="E391" s="422"/>
    </row>
    <row r="392" spans="1:5" ht="18" hidden="1" customHeight="1">
      <c r="A392" s="134" t="s">
        <v>346</v>
      </c>
      <c r="B392" s="135">
        <f>GTA!C111</f>
        <v>0</v>
      </c>
      <c r="C392" s="135" t="s">
        <v>22</v>
      </c>
      <c r="D392" s="135">
        <v>18</v>
      </c>
      <c r="E392" s="314">
        <f>B392*D392</f>
        <v>0</v>
      </c>
    </row>
    <row r="393" spans="1:5" ht="18" hidden="1" customHeight="1">
      <c r="A393" s="134" t="s">
        <v>347</v>
      </c>
      <c r="B393" s="135">
        <f>GTA!D111</f>
        <v>0</v>
      </c>
      <c r="C393" s="135" t="s">
        <v>22</v>
      </c>
      <c r="D393" s="135">
        <v>18</v>
      </c>
      <c r="E393" s="314">
        <f>B393*D393</f>
        <v>0</v>
      </c>
    </row>
    <row r="394" spans="1:5" ht="18" hidden="1" customHeight="1">
      <c r="A394" s="134" t="s">
        <v>348</v>
      </c>
      <c r="B394" s="135">
        <f>GTA!E111</f>
        <v>0</v>
      </c>
      <c r="C394" s="135" t="s">
        <v>22</v>
      </c>
      <c r="D394" s="135">
        <v>18</v>
      </c>
      <c r="E394" s="314">
        <f>B394*D394</f>
        <v>0</v>
      </c>
    </row>
    <row r="395" spans="1:5" ht="18" hidden="1" customHeight="1">
      <c r="A395" s="134" t="s">
        <v>349</v>
      </c>
      <c r="B395" s="135">
        <f>GTA!F111</f>
        <v>0</v>
      </c>
      <c r="C395" s="135" t="s">
        <v>22</v>
      </c>
      <c r="D395" s="135">
        <v>18</v>
      </c>
      <c r="E395" s="314">
        <f>B395*D395</f>
        <v>0</v>
      </c>
    </row>
    <row r="396" spans="1:5" ht="18" hidden="1" customHeight="1">
      <c r="A396" s="423"/>
      <c r="B396" s="424"/>
      <c r="C396" s="424"/>
      <c r="D396" s="424"/>
      <c r="E396" s="425"/>
    </row>
    <row r="397" spans="1:5" ht="18" hidden="1" customHeight="1">
      <c r="A397" s="414" t="s">
        <v>350</v>
      </c>
      <c r="B397" s="414">
        <f>SUM(B391:B396)</f>
        <v>0</v>
      </c>
      <c r="C397" s="414"/>
      <c r="D397" s="414"/>
      <c r="E397" s="426"/>
    </row>
    <row r="398" spans="1:5" ht="18" hidden="1" customHeight="1">
      <c r="A398" s="394"/>
      <c r="B398" s="411"/>
      <c r="C398" s="411"/>
      <c r="D398" s="411"/>
      <c r="E398" s="412"/>
    </row>
    <row r="399" spans="1:5" ht="18" hidden="1" customHeight="1">
      <c r="A399" s="418" t="s">
        <v>351</v>
      </c>
      <c r="B399" s="419"/>
      <c r="C399" s="419"/>
      <c r="D399" s="419"/>
      <c r="E399" s="420"/>
    </row>
    <row r="400" spans="1:5" ht="18" hidden="1" customHeight="1">
      <c r="A400" s="396" t="s">
        <v>61</v>
      </c>
      <c r="B400" s="135">
        <f>GTA!C381</f>
        <v>0</v>
      </c>
      <c r="C400" s="135" t="s">
        <v>22</v>
      </c>
      <c r="D400" s="135">
        <v>20</v>
      </c>
      <c r="E400" s="314">
        <f>B400*D400</f>
        <v>0</v>
      </c>
    </row>
    <row r="401" spans="1:5" ht="18" hidden="1" customHeight="1">
      <c r="A401" s="437"/>
      <c r="B401" s="419"/>
      <c r="C401" s="419"/>
      <c r="D401" s="419"/>
      <c r="E401" s="420"/>
    </row>
    <row r="402" spans="1:5" ht="18" hidden="1" customHeight="1">
      <c r="A402" s="427" t="s">
        <v>352</v>
      </c>
      <c r="B402" s="415">
        <f>SUM(B399:B401)</f>
        <v>0</v>
      </c>
      <c r="C402" s="415"/>
      <c r="D402" s="415"/>
      <c r="E402" s="416"/>
    </row>
    <row r="403" spans="1:5" ht="18" hidden="1" customHeight="1">
      <c r="A403" s="396"/>
      <c r="B403" s="135"/>
      <c r="C403" s="135"/>
      <c r="D403" s="135"/>
      <c r="E403" s="314"/>
    </row>
    <row r="404" spans="1:5" ht="18" hidden="1" customHeight="1">
      <c r="A404" s="418" t="s">
        <v>353</v>
      </c>
      <c r="B404" s="419"/>
      <c r="C404" s="419"/>
      <c r="D404" s="419"/>
      <c r="E404" s="420"/>
    </row>
    <row r="405" spans="1:5" ht="18" hidden="1" customHeight="1">
      <c r="A405" s="435"/>
      <c r="B405" s="419"/>
      <c r="C405" s="419"/>
      <c r="D405" s="419"/>
      <c r="E405" s="420"/>
    </row>
    <row r="406" spans="1:5" ht="18" hidden="1" customHeight="1">
      <c r="A406" s="418" t="s">
        <v>355</v>
      </c>
      <c r="B406" s="415">
        <f>SUM(B404:B405)</f>
        <v>0</v>
      </c>
      <c r="C406" s="415"/>
      <c r="D406" s="415"/>
      <c r="E406" s="416"/>
    </row>
    <row r="407" spans="1:5" ht="18" hidden="1" customHeight="1">
      <c r="A407" s="399"/>
      <c r="B407" s="135"/>
      <c r="C407" s="135"/>
      <c r="D407" s="135"/>
      <c r="E407" s="314"/>
    </row>
    <row r="408" spans="1:5" ht="18" hidden="1" customHeight="1">
      <c r="A408" s="418" t="s">
        <v>356</v>
      </c>
      <c r="B408" s="419"/>
      <c r="C408" s="419"/>
      <c r="D408" s="419"/>
      <c r="E408" s="420"/>
    </row>
    <row r="409" spans="1:5" ht="18" hidden="1" customHeight="1">
      <c r="A409" s="397" t="s">
        <v>357</v>
      </c>
      <c r="B409" s="135">
        <f>'OUTSIDE GTA'!C233+'OUTSIDE GTA'!AD233</f>
        <v>0</v>
      </c>
      <c r="C409" s="135" t="s">
        <v>22</v>
      </c>
      <c r="D409" s="135">
        <v>16.649999999999999</v>
      </c>
      <c r="E409" s="314">
        <f t="shared" ref="E409:E428" si="12">B409*D409</f>
        <v>0</v>
      </c>
    </row>
    <row r="410" spans="1:5" ht="18" hidden="1" customHeight="1">
      <c r="A410" s="397" t="s">
        <v>358</v>
      </c>
      <c r="B410" s="135">
        <f>'OUTSIDE GTA'!D233</f>
        <v>0</v>
      </c>
      <c r="C410" s="135" t="s">
        <v>22</v>
      </c>
      <c r="D410" s="135">
        <v>16.649999999999999</v>
      </c>
      <c r="E410" s="314">
        <f t="shared" si="12"/>
        <v>0</v>
      </c>
    </row>
    <row r="411" spans="1:5" ht="18" hidden="1" customHeight="1">
      <c r="A411" s="397" t="s">
        <v>359</v>
      </c>
      <c r="B411" s="135">
        <f>'OUTSIDE GTA'!V233</f>
        <v>0</v>
      </c>
      <c r="C411" s="135" t="s">
        <v>22</v>
      </c>
      <c r="D411" s="135">
        <v>16.649999999999999</v>
      </c>
      <c r="E411" s="314">
        <f t="shared" si="12"/>
        <v>0</v>
      </c>
    </row>
    <row r="412" spans="1:5" ht="18" hidden="1" customHeight="1">
      <c r="A412" s="134" t="s">
        <v>360</v>
      </c>
      <c r="B412" s="135">
        <f>'OUTSIDE GTA'!E233</f>
        <v>0</v>
      </c>
      <c r="C412" s="135" t="s">
        <v>22</v>
      </c>
      <c r="D412" s="135">
        <v>16.649999999999999</v>
      </c>
      <c r="E412" s="314">
        <f t="shared" si="12"/>
        <v>0</v>
      </c>
    </row>
    <row r="413" spans="1:5" ht="18" hidden="1" customHeight="1">
      <c r="A413" s="400" t="s">
        <v>361</v>
      </c>
      <c r="B413" s="135">
        <f>'OUTSIDE GTA'!F233</f>
        <v>0</v>
      </c>
      <c r="C413" s="135" t="s">
        <v>22</v>
      </c>
      <c r="D413" s="135">
        <v>16.649999999999999</v>
      </c>
      <c r="E413" s="314">
        <f t="shared" si="12"/>
        <v>0</v>
      </c>
    </row>
    <row r="414" spans="1:5" ht="18" hidden="1" customHeight="1">
      <c r="A414" s="400" t="s">
        <v>362</v>
      </c>
      <c r="B414" s="135">
        <f>'OUTSIDE GTA'!H233</f>
        <v>0</v>
      </c>
      <c r="C414" s="135" t="s">
        <v>22</v>
      </c>
      <c r="D414" s="135">
        <v>16.649999999999999</v>
      </c>
      <c r="E414" s="314">
        <f t="shared" si="12"/>
        <v>0</v>
      </c>
    </row>
    <row r="415" spans="1:5" ht="18" hidden="1" customHeight="1">
      <c r="A415" s="400" t="s">
        <v>363</v>
      </c>
      <c r="B415" s="135">
        <f>'OUTSIDE GTA'!G233</f>
        <v>0</v>
      </c>
      <c r="C415" s="135" t="s">
        <v>22</v>
      </c>
      <c r="D415" s="135">
        <v>16.649999999999999</v>
      </c>
      <c r="E415" s="314">
        <f t="shared" si="12"/>
        <v>0</v>
      </c>
    </row>
    <row r="416" spans="1:5" ht="18" hidden="1" customHeight="1">
      <c r="A416" s="400" t="s">
        <v>364</v>
      </c>
      <c r="B416" s="135">
        <f>'OUTSIDE GTA'!I233</f>
        <v>0</v>
      </c>
      <c r="C416" s="135" t="s">
        <v>22</v>
      </c>
      <c r="D416" s="135">
        <v>16.649999999999999</v>
      </c>
      <c r="E416" s="314">
        <f t="shared" si="12"/>
        <v>0</v>
      </c>
    </row>
    <row r="417" spans="1:5" ht="18" hidden="1" customHeight="1">
      <c r="A417" s="397" t="s">
        <v>365</v>
      </c>
      <c r="B417" s="135">
        <f>'OUTSIDE GTA'!J233</f>
        <v>0</v>
      </c>
      <c r="C417" s="135" t="s">
        <v>22</v>
      </c>
      <c r="D417" s="135">
        <v>16.649999999999999</v>
      </c>
      <c r="E417" s="314">
        <f t="shared" si="12"/>
        <v>0</v>
      </c>
    </row>
    <row r="418" spans="1:5" ht="18" hidden="1" customHeight="1">
      <c r="A418" s="397" t="s">
        <v>366</v>
      </c>
      <c r="B418" s="135">
        <f>'OUTSIDE GTA'!K233</f>
        <v>0</v>
      </c>
      <c r="C418" s="135" t="s">
        <v>22</v>
      </c>
      <c r="D418" s="135">
        <v>16.649999999999999</v>
      </c>
      <c r="E418" s="314">
        <f t="shared" si="12"/>
        <v>0</v>
      </c>
    </row>
    <row r="419" spans="1:5" ht="18" hidden="1" customHeight="1">
      <c r="A419" s="284" t="s">
        <v>367</v>
      </c>
      <c r="B419" s="135">
        <f>'OUTSIDE GTA'!L233+'OUTSIDE GTA'!AE233</f>
        <v>0</v>
      </c>
      <c r="C419" s="135" t="s">
        <v>22</v>
      </c>
      <c r="D419" s="135">
        <v>16.649999999999999</v>
      </c>
      <c r="E419" s="314">
        <f t="shared" si="12"/>
        <v>0</v>
      </c>
    </row>
    <row r="420" spans="1:5" ht="18" hidden="1" customHeight="1">
      <c r="A420" s="397" t="s">
        <v>368</v>
      </c>
      <c r="B420" s="135">
        <f>'OUTSIDE GTA'!M233</f>
        <v>0</v>
      </c>
      <c r="C420" s="135" t="s">
        <v>22</v>
      </c>
      <c r="D420" s="135">
        <v>16.649999999999999</v>
      </c>
      <c r="E420" s="314">
        <f t="shared" si="12"/>
        <v>0</v>
      </c>
    </row>
    <row r="421" spans="1:5" ht="18" hidden="1" customHeight="1">
      <c r="A421" s="397" t="s">
        <v>236</v>
      </c>
      <c r="B421" s="135">
        <f>'OUTSIDE GTA'!Q233</f>
        <v>0</v>
      </c>
      <c r="C421" s="135" t="s">
        <v>22</v>
      </c>
      <c r="D421" s="135">
        <v>16.649999999999999</v>
      </c>
      <c r="E421" s="314">
        <f t="shared" si="12"/>
        <v>0</v>
      </c>
    </row>
    <row r="422" spans="1:5" ht="18" hidden="1" customHeight="1">
      <c r="A422" s="134" t="s">
        <v>369</v>
      </c>
      <c r="B422" s="135">
        <f>'OUTSIDE GTA'!O233</f>
        <v>0</v>
      </c>
      <c r="C422" s="135" t="s">
        <v>22</v>
      </c>
      <c r="D422" s="135">
        <v>16.649999999999999</v>
      </c>
      <c r="E422" s="314">
        <f t="shared" si="12"/>
        <v>0</v>
      </c>
    </row>
    <row r="423" spans="1:5" ht="18" hidden="1" customHeight="1">
      <c r="A423" s="134" t="s">
        <v>370</v>
      </c>
      <c r="B423" s="135">
        <f>'OUTSIDE GTA'!P233</f>
        <v>0</v>
      </c>
      <c r="C423" s="135" t="s">
        <v>22</v>
      </c>
      <c r="D423" s="135">
        <v>16.649999999999999</v>
      </c>
      <c r="E423" s="314">
        <f t="shared" si="12"/>
        <v>0</v>
      </c>
    </row>
    <row r="424" spans="1:5" ht="18" hidden="1" customHeight="1">
      <c r="A424" s="134" t="s">
        <v>371</v>
      </c>
      <c r="B424" s="135">
        <f>'OUTSIDE GTA'!R233</f>
        <v>0</v>
      </c>
      <c r="C424" s="135" t="s">
        <v>22</v>
      </c>
      <c r="D424" s="135">
        <v>16.649999999999999</v>
      </c>
      <c r="E424" s="314">
        <f t="shared" si="12"/>
        <v>0</v>
      </c>
    </row>
    <row r="425" spans="1:5" ht="18" hidden="1" customHeight="1">
      <c r="A425" s="136" t="s">
        <v>372</v>
      </c>
      <c r="B425" s="135">
        <f>'OUTSIDE GTA'!S233</f>
        <v>0</v>
      </c>
      <c r="C425" s="135" t="s">
        <v>22</v>
      </c>
      <c r="D425" s="135">
        <v>16.649999999999999</v>
      </c>
      <c r="E425" s="314">
        <f t="shared" si="12"/>
        <v>0</v>
      </c>
    </row>
    <row r="426" spans="1:5" ht="18" hidden="1" customHeight="1">
      <c r="A426" s="136" t="s">
        <v>373</v>
      </c>
      <c r="B426" s="135">
        <f>'OUTSIDE GTA'!T233</f>
        <v>0</v>
      </c>
      <c r="C426" s="135" t="s">
        <v>22</v>
      </c>
      <c r="D426" s="135">
        <v>16.649999999999999</v>
      </c>
      <c r="E426" s="314">
        <f t="shared" si="12"/>
        <v>0</v>
      </c>
    </row>
    <row r="427" spans="1:5" ht="18" hidden="1" customHeight="1">
      <c r="A427" s="136" t="s">
        <v>374</v>
      </c>
      <c r="B427" s="135">
        <f>'OUTSIDE GTA'!U233</f>
        <v>0</v>
      </c>
      <c r="C427" s="135" t="s">
        <v>22</v>
      </c>
      <c r="D427" s="135">
        <v>16.649999999999999</v>
      </c>
      <c r="E427" s="314">
        <f t="shared" si="12"/>
        <v>0</v>
      </c>
    </row>
    <row r="428" spans="1:5" ht="18" hidden="1" customHeight="1">
      <c r="A428" s="136" t="s">
        <v>375</v>
      </c>
      <c r="B428" s="135">
        <f>'OUTSIDE GTA'!N233+'OUTSIDE GTA'!AI233</f>
        <v>0</v>
      </c>
      <c r="C428" s="135" t="s">
        <v>22</v>
      </c>
      <c r="D428" s="135">
        <v>16.649999999999999</v>
      </c>
      <c r="E428" s="314">
        <f t="shared" si="12"/>
        <v>0</v>
      </c>
    </row>
    <row r="429" spans="1:5" ht="18" hidden="1" customHeight="1">
      <c r="A429" s="439"/>
      <c r="B429" s="419"/>
      <c r="C429" s="419"/>
      <c r="D429" s="419"/>
      <c r="E429" s="420"/>
    </row>
    <row r="430" spans="1:5" ht="18" hidden="1" customHeight="1">
      <c r="A430" s="418" t="s">
        <v>376</v>
      </c>
      <c r="B430" s="415">
        <f>SUM(B408:B429)</f>
        <v>0</v>
      </c>
      <c r="C430" s="415"/>
      <c r="D430" s="415"/>
      <c r="E430" s="416"/>
    </row>
    <row r="431" spans="1:5" ht="18" hidden="1" customHeight="1">
      <c r="A431" s="397"/>
      <c r="B431" s="135"/>
      <c r="C431" s="135"/>
      <c r="D431" s="135"/>
      <c r="E431" s="314"/>
    </row>
    <row r="432" spans="1:5" ht="18" hidden="1" customHeight="1">
      <c r="A432" s="429" t="s">
        <v>377</v>
      </c>
      <c r="B432" s="419"/>
      <c r="C432" s="419"/>
      <c r="D432" s="419"/>
      <c r="E432" s="420"/>
    </row>
    <row r="433" spans="1:6" s="529" customFormat="1" ht="18" hidden="1" customHeight="1">
      <c r="A433" s="517" t="s">
        <v>378</v>
      </c>
      <c r="B433" s="481">
        <f>GTA!D255</f>
        <v>0</v>
      </c>
      <c r="C433" s="481" t="s">
        <v>22</v>
      </c>
      <c r="D433" s="481">
        <v>16.649999999999999</v>
      </c>
      <c r="E433" s="482">
        <f t="shared" ref="E433:E466" si="13">B433*D433</f>
        <v>0</v>
      </c>
      <c r="F433" s="429" t="s">
        <v>377</v>
      </c>
    </row>
    <row r="434" spans="1:6" ht="18" hidden="1" customHeight="1">
      <c r="A434" s="396" t="s">
        <v>323</v>
      </c>
      <c r="B434" s="135">
        <f>GTA!N255</f>
        <v>0</v>
      </c>
      <c r="C434" s="135" t="s">
        <v>22</v>
      </c>
      <c r="D434" s="135">
        <v>16.649999999999999</v>
      </c>
      <c r="E434" s="314">
        <f t="shared" si="13"/>
        <v>0</v>
      </c>
      <c r="F434" s="429" t="s">
        <v>377</v>
      </c>
    </row>
    <row r="435" spans="1:6" ht="18" hidden="1" customHeight="1">
      <c r="A435" s="396" t="s">
        <v>389</v>
      </c>
      <c r="B435" s="135">
        <f>GTA!O255</f>
        <v>0</v>
      </c>
      <c r="C435" s="135" t="s">
        <v>22</v>
      </c>
      <c r="D435" s="135">
        <v>16.649999999999999</v>
      </c>
      <c r="E435" s="314">
        <f t="shared" si="13"/>
        <v>0</v>
      </c>
      <c r="F435" s="429" t="s">
        <v>377</v>
      </c>
    </row>
    <row r="436" spans="1:6" ht="18" hidden="1" customHeight="1">
      <c r="A436" s="396" t="s">
        <v>388</v>
      </c>
      <c r="B436" s="135">
        <f>GTA!P255</f>
        <v>0</v>
      </c>
      <c r="C436" s="135" t="s">
        <v>22</v>
      </c>
      <c r="D436" s="135">
        <v>16.649999999999999</v>
      </c>
      <c r="E436" s="314">
        <f t="shared" si="13"/>
        <v>0</v>
      </c>
      <c r="F436" s="429" t="s">
        <v>377</v>
      </c>
    </row>
    <row r="437" spans="1:6" ht="18" hidden="1" customHeight="1">
      <c r="A437" s="134" t="s">
        <v>379</v>
      </c>
      <c r="B437" s="135">
        <f>GTA!E255</f>
        <v>0</v>
      </c>
      <c r="C437" s="135" t="s">
        <v>22</v>
      </c>
      <c r="D437" s="135">
        <v>16.649999999999999</v>
      </c>
      <c r="E437" s="314">
        <f t="shared" si="13"/>
        <v>0</v>
      </c>
      <c r="F437" s="429" t="s">
        <v>377</v>
      </c>
    </row>
    <row r="438" spans="1:6" ht="18" hidden="1" customHeight="1">
      <c r="A438" s="270" t="s">
        <v>210</v>
      </c>
      <c r="B438" s="135">
        <f>GTA!F255</f>
        <v>0</v>
      </c>
      <c r="C438" s="135" t="s">
        <v>22</v>
      </c>
      <c r="D438" s="135">
        <v>16.649999999999999</v>
      </c>
      <c r="E438" s="314">
        <f t="shared" si="13"/>
        <v>0</v>
      </c>
      <c r="F438" s="429" t="s">
        <v>377</v>
      </c>
    </row>
    <row r="439" spans="1:6" s="529" customFormat="1" ht="18" hidden="1" customHeight="1">
      <c r="A439" s="512" t="s">
        <v>391</v>
      </c>
      <c r="B439" s="481">
        <f>GTA!G255</f>
        <v>0</v>
      </c>
      <c r="C439" s="481" t="s">
        <v>22</v>
      </c>
      <c r="D439" s="481">
        <v>16.649999999999999</v>
      </c>
      <c r="E439" s="482">
        <f t="shared" si="13"/>
        <v>0</v>
      </c>
      <c r="F439" s="429" t="s">
        <v>377</v>
      </c>
    </row>
    <row r="440" spans="1:6" ht="18" hidden="1" customHeight="1">
      <c r="A440" s="270" t="s">
        <v>383</v>
      </c>
      <c r="B440" s="135">
        <f>GTA!I255</f>
        <v>0</v>
      </c>
      <c r="C440" s="135" t="s">
        <v>22</v>
      </c>
      <c r="D440" s="135">
        <v>16.649999999999999</v>
      </c>
      <c r="E440" s="314">
        <f t="shared" si="13"/>
        <v>0</v>
      </c>
      <c r="F440" s="429" t="s">
        <v>377</v>
      </c>
    </row>
    <row r="441" spans="1:6" ht="18" hidden="1" customHeight="1">
      <c r="A441" s="134" t="s">
        <v>245</v>
      </c>
      <c r="B441" s="135">
        <f>GTA!Q255</f>
        <v>0</v>
      </c>
      <c r="C441" s="135" t="s">
        <v>22</v>
      </c>
      <c r="D441" s="135">
        <v>16.649999999999999</v>
      </c>
      <c r="E441" s="314">
        <f t="shared" si="13"/>
        <v>0</v>
      </c>
      <c r="F441" s="429" t="s">
        <v>377</v>
      </c>
    </row>
    <row r="442" spans="1:6" ht="18" hidden="1" customHeight="1">
      <c r="A442" s="134" t="s">
        <v>399</v>
      </c>
      <c r="B442" s="135">
        <f>GTA!H255</f>
        <v>0</v>
      </c>
      <c r="C442" s="135" t="s">
        <v>22</v>
      </c>
      <c r="D442" s="135">
        <v>16.649999999999999</v>
      </c>
      <c r="E442" s="314">
        <f t="shared" si="13"/>
        <v>0</v>
      </c>
      <c r="F442" s="429" t="s">
        <v>377</v>
      </c>
    </row>
    <row r="443" spans="1:6" ht="18" hidden="1" customHeight="1">
      <c r="A443" s="134" t="s">
        <v>221</v>
      </c>
      <c r="B443" s="135">
        <f>GTA!M255</f>
        <v>0</v>
      </c>
      <c r="C443" s="135" t="s">
        <v>22</v>
      </c>
      <c r="D443" s="135">
        <v>16.649999999999999</v>
      </c>
      <c r="E443" s="314">
        <f t="shared" si="13"/>
        <v>0</v>
      </c>
      <c r="F443" s="429" t="s">
        <v>377</v>
      </c>
    </row>
    <row r="444" spans="1:6" ht="18" hidden="1" customHeight="1">
      <c r="A444" s="134" t="s">
        <v>382</v>
      </c>
      <c r="B444" s="135">
        <f>GTA!J255</f>
        <v>0</v>
      </c>
      <c r="C444" s="135" t="s">
        <v>22</v>
      </c>
      <c r="D444" s="135">
        <v>16.649999999999999</v>
      </c>
      <c r="E444" s="314">
        <f t="shared" si="13"/>
        <v>0</v>
      </c>
      <c r="F444" s="429" t="s">
        <v>377</v>
      </c>
    </row>
    <row r="445" spans="1:6" s="529" customFormat="1" ht="18" hidden="1" customHeight="1">
      <c r="A445" s="512" t="s">
        <v>381</v>
      </c>
      <c r="B445" s="481">
        <f>GTA!K255</f>
        <v>0</v>
      </c>
      <c r="C445" s="481" t="s">
        <v>22</v>
      </c>
      <c r="D445" s="481">
        <v>16.649999999999999</v>
      </c>
      <c r="E445" s="482">
        <f t="shared" si="13"/>
        <v>0</v>
      </c>
      <c r="F445" s="429" t="s">
        <v>377</v>
      </c>
    </row>
    <row r="446" spans="1:6" ht="18" hidden="1" customHeight="1">
      <c r="A446" s="270" t="s">
        <v>384</v>
      </c>
      <c r="B446" s="135">
        <f>GTA!R255</f>
        <v>0</v>
      </c>
      <c r="C446" s="135" t="s">
        <v>22</v>
      </c>
      <c r="D446" s="135">
        <v>16.649999999999999</v>
      </c>
      <c r="E446" s="314">
        <f t="shared" si="13"/>
        <v>0</v>
      </c>
      <c r="F446" s="429" t="s">
        <v>377</v>
      </c>
    </row>
    <row r="447" spans="1:6" ht="18" hidden="1" customHeight="1">
      <c r="A447" s="270" t="s">
        <v>385</v>
      </c>
      <c r="B447" s="135">
        <f>GTA!S255</f>
        <v>0</v>
      </c>
      <c r="C447" s="135" t="s">
        <v>22</v>
      </c>
      <c r="D447" s="135">
        <v>16.649999999999999</v>
      </c>
      <c r="E447" s="314">
        <f t="shared" si="13"/>
        <v>0</v>
      </c>
      <c r="F447" s="429" t="s">
        <v>377</v>
      </c>
    </row>
    <row r="448" spans="1:6" s="529" customFormat="1" ht="18" hidden="1" customHeight="1">
      <c r="A448" s="768" t="s">
        <v>397</v>
      </c>
      <c r="B448" s="481">
        <f>GTA!W255</f>
        <v>0</v>
      </c>
      <c r="C448" s="481" t="s">
        <v>22</v>
      </c>
      <c r="D448" s="481">
        <v>16.649999999999999</v>
      </c>
      <c r="E448" s="482">
        <f t="shared" si="13"/>
        <v>0</v>
      </c>
      <c r="F448" s="429" t="s">
        <v>377</v>
      </c>
    </row>
    <row r="449" spans="1:6" s="529" customFormat="1" ht="18" hidden="1" customHeight="1">
      <c r="A449" s="512" t="s">
        <v>392</v>
      </c>
      <c r="B449" s="481">
        <f>GTA!U255</f>
        <v>0</v>
      </c>
      <c r="C449" s="481" t="s">
        <v>22</v>
      </c>
      <c r="D449" s="481">
        <v>16.649999999999999</v>
      </c>
      <c r="E449" s="482">
        <f t="shared" si="13"/>
        <v>0</v>
      </c>
      <c r="F449" s="429" t="s">
        <v>377</v>
      </c>
    </row>
    <row r="450" spans="1:6" ht="18" hidden="1" customHeight="1">
      <c r="A450" s="270" t="s">
        <v>387</v>
      </c>
      <c r="B450" s="135">
        <f>GTA!X255</f>
        <v>0</v>
      </c>
      <c r="C450" s="135" t="s">
        <v>22</v>
      </c>
      <c r="D450" s="135">
        <v>16.649999999999999</v>
      </c>
      <c r="E450" s="314">
        <f t="shared" si="13"/>
        <v>0</v>
      </c>
      <c r="F450" s="429" t="s">
        <v>377</v>
      </c>
    </row>
    <row r="451" spans="1:6" ht="18" hidden="1" customHeight="1">
      <c r="A451" s="134" t="s">
        <v>329</v>
      </c>
      <c r="B451" s="135">
        <f>GTA!T255</f>
        <v>0</v>
      </c>
      <c r="C451" s="135" t="s">
        <v>22</v>
      </c>
      <c r="D451" s="135">
        <v>16.649999999999999</v>
      </c>
      <c r="E451" s="314">
        <f t="shared" si="13"/>
        <v>0</v>
      </c>
      <c r="F451" s="429" t="s">
        <v>377</v>
      </c>
    </row>
    <row r="452" spans="1:6" ht="18" hidden="1" customHeight="1">
      <c r="A452" s="134" t="s">
        <v>246</v>
      </c>
      <c r="B452" s="135">
        <f>GTA!Y255</f>
        <v>0</v>
      </c>
      <c r="C452" s="135" t="s">
        <v>22</v>
      </c>
      <c r="D452" s="135">
        <v>16.649999999999999</v>
      </c>
      <c r="E452" s="314">
        <f t="shared" si="13"/>
        <v>0</v>
      </c>
      <c r="F452" s="429" t="s">
        <v>377</v>
      </c>
    </row>
    <row r="453" spans="1:6" ht="18" hidden="1" customHeight="1">
      <c r="A453" s="134" t="s">
        <v>390</v>
      </c>
      <c r="B453" s="135">
        <f>GTA!Z255</f>
        <v>0</v>
      </c>
      <c r="C453" s="135" t="s">
        <v>22</v>
      </c>
      <c r="D453" s="135">
        <v>16.649999999999999</v>
      </c>
      <c r="E453" s="314">
        <f t="shared" si="13"/>
        <v>0</v>
      </c>
      <c r="F453" s="429" t="s">
        <v>377</v>
      </c>
    </row>
    <row r="454" spans="1:6" ht="18" hidden="1" customHeight="1">
      <c r="A454" s="134" t="s">
        <v>393</v>
      </c>
      <c r="B454" s="135">
        <f>GTA!AB255</f>
        <v>0</v>
      </c>
      <c r="C454" s="135" t="s">
        <v>22</v>
      </c>
      <c r="D454" s="135">
        <v>16.649999999999999</v>
      </c>
      <c r="E454" s="314">
        <f t="shared" si="13"/>
        <v>0</v>
      </c>
      <c r="F454" s="429" t="s">
        <v>377</v>
      </c>
    </row>
    <row r="455" spans="1:6" ht="18" hidden="1" customHeight="1">
      <c r="A455" s="138" t="s">
        <v>394</v>
      </c>
      <c r="B455" s="135">
        <f>GTA!AC255</f>
        <v>0</v>
      </c>
      <c r="C455" s="135" t="s">
        <v>22</v>
      </c>
      <c r="D455" s="135">
        <v>16.649999999999999</v>
      </c>
      <c r="E455" s="314">
        <f t="shared" si="13"/>
        <v>0</v>
      </c>
      <c r="F455" s="429" t="s">
        <v>377</v>
      </c>
    </row>
    <row r="456" spans="1:6" ht="18" hidden="1" customHeight="1">
      <c r="A456" s="270" t="s">
        <v>210</v>
      </c>
      <c r="B456" s="135">
        <f>GTA!AD255</f>
        <v>0</v>
      </c>
      <c r="C456" s="135" t="s">
        <v>22</v>
      </c>
      <c r="D456" s="135">
        <v>16.649999999999999</v>
      </c>
      <c r="E456" s="314">
        <f t="shared" si="13"/>
        <v>0</v>
      </c>
      <c r="F456" s="429" t="s">
        <v>377</v>
      </c>
    </row>
    <row r="457" spans="1:6" ht="18" hidden="1" customHeight="1">
      <c r="A457" s="138" t="s">
        <v>338</v>
      </c>
      <c r="B457" s="135">
        <f>GTA!AE255</f>
        <v>0</v>
      </c>
      <c r="C457" s="135" t="s">
        <v>22</v>
      </c>
      <c r="D457" s="135">
        <v>16.649999999999999</v>
      </c>
      <c r="E457" s="314">
        <f t="shared" si="13"/>
        <v>0</v>
      </c>
      <c r="F457" s="429" t="s">
        <v>377</v>
      </c>
    </row>
    <row r="458" spans="1:6" ht="18" hidden="1" customHeight="1">
      <c r="A458" s="134" t="s">
        <v>21</v>
      </c>
      <c r="B458" s="135">
        <f>GTA!AF255</f>
        <v>0</v>
      </c>
      <c r="C458" s="135" t="s">
        <v>22</v>
      </c>
      <c r="D458" s="135">
        <v>16.649999999999999</v>
      </c>
      <c r="E458" s="314">
        <f t="shared" si="13"/>
        <v>0</v>
      </c>
      <c r="F458" s="429" t="s">
        <v>377</v>
      </c>
    </row>
    <row r="459" spans="1:6" s="529" customFormat="1" ht="18" hidden="1" customHeight="1">
      <c r="A459" s="512" t="s">
        <v>395</v>
      </c>
      <c r="B459" s="481">
        <f>GTA!AG255</f>
        <v>0</v>
      </c>
      <c r="C459" s="481" t="s">
        <v>22</v>
      </c>
      <c r="D459" s="481">
        <v>16.649999999999999</v>
      </c>
      <c r="E459" s="482">
        <f t="shared" si="13"/>
        <v>0</v>
      </c>
      <c r="F459" s="429" t="s">
        <v>377</v>
      </c>
    </row>
    <row r="460" spans="1:6" ht="18" hidden="1" customHeight="1">
      <c r="A460" s="134" t="s">
        <v>237</v>
      </c>
      <c r="B460" s="135">
        <f>GTA!AH255</f>
        <v>0</v>
      </c>
      <c r="C460" s="135" t="s">
        <v>22</v>
      </c>
      <c r="D460" s="135">
        <v>16.649999999999999</v>
      </c>
      <c r="E460" s="314">
        <f t="shared" si="13"/>
        <v>0</v>
      </c>
      <c r="F460" s="429" t="s">
        <v>377</v>
      </c>
    </row>
    <row r="461" spans="1:6" s="529" customFormat="1" ht="18" hidden="1" customHeight="1">
      <c r="A461" s="512" t="s">
        <v>398</v>
      </c>
      <c r="B461" s="481">
        <f>GTA!AJ255</f>
        <v>0</v>
      </c>
      <c r="C461" s="481" t="s">
        <v>22</v>
      </c>
      <c r="D461" s="481">
        <v>16.649999999999999</v>
      </c>
      <c r="E461" s="482">
        <f t="shared" si="13"/>
        <v>0</v>
      </c>
      <c r="F461" s="429" t="s">
        <v>377</v>
      </c>
    </row>
    <row r="462" spans="1:6" ht="18" hidden="1" customHeight="1">
      <c r="A462" s="134" t="s">
        <v>401</v>
      </c>
      <c r="B462" s="135">
        <f>GTA!AM255</f>
        <v>0</v>
      </c>
      <c r="C462" s="135" t="s">
        <v>22</v>
      </c>
      <c r="D462" s="135">
        <v>16.649999999999999</v>
      </c>
      <c r="E462" s="314">
        <f t="shared" si="13"/>
        <v>0</v>
      </c>
      <c r="F462" s="429" t="s">
        <v>377</v>
      </c>
    </row>
    <row r="463" spans="1:6" ht="18" hidden="1" customHeight="1">
      <c r="A463" s="134" t="s">
        <v>333</v>
      </c>
      <c r="B463" s="135">
        <f>GTA!AK255</f>
        <v>0</v>
      </c>
      <c r="C463" s="135" t="s">
        <v>22</v>
      </c>
      <c r="D463" s="135">
        <v>16.649999999999999</v>
      </c>
      <c r="E463" s="314">
        <f t="shared" si="13"/>
        <v>0</v>
      </c>
      <c r="F463" s="429" t="s">
        <v>377</v>
      </c>
    </row>
    <row r="464" spans="1:6" ht="18" hidden="1" customHeight="1">
      <c r="A464" s="270" t="s">
        <v>400</v>
      </c>
      <c r="B464" s="135">
        <f>GTA!AL255</f>
        <v>0</v>
      </c>
      <c r="C464" s="135" t="s">
        <v>22</v>
      </c>
      <c r="D464" s="135">
        <v>16.649999999999999</v>
      </c>
      <c r="E464" s="314">
        <f t="shared" si="13"/>
        <v>0</v>
      </c>
      <c r="F464" s="429" t="s">
        <v>377</v>
      </c>
    </row>
    <row r="465" spans="1:6" ht="18" hidden="1" customHeight="1">
      <c r="A465" s="401" t="s">
        <v>249</v>
      </c>
      <c r="B465" s="135">
        <f>GTA!AA255</f>
        <v>0</v>
      </c>
      <c r="C465" s="135" t="s">
        <v>22</v>
      </c>
      <c r="D465" s="135">
        <v>16.649999999999999</v>
      </c>
      <c r="E465" s="314">
        <f t="shared" si="13"/>
        <v>0</v>
      </c>
      <c r="F465" s="429" t="s">
        <v>377</v>
      </c>
    </row>
    <row r="466" spans="1:6" ht="18" hidden="1" customHeight="1">
      <c r="A466" s="401" t="s">
        <v>403</v>
      </c>
      <c r="B466" s="135">
        <f>GTA!AN255</f>
        <v>0</v>
      </c>
      <c r="C466" s="135" t="s">
        <v>22</v>
      </c>
      <c r="D466" s="135">
        <v>16.649999999999999</v>
      </c>
      <c r="E466" s="314">
        <f t="shared" si="13"/>
        <v>0</v>
      </c>
      <c r="F466" s="429" t="s">
        <v>377</v>
      </c>
    </row>
    <row r="467" spans="1:6" ht="18" hidden="1" customHeight="1">
      <c r="A467" s="440"/>
      <c r="B467" s="419"/>
      <c r="C467" s="419"/>
      <c r="D467" s="419"/>
      <c r="E467" s="420"/>
    </row>
    <row r="468" spans="1:6" ht="18" hidden="1" customHeight="1">
      <c r="A468" s="429" t="s">
        <v>404</v>
      </c>
      <c r="B468" s="415">
        <f>SUM(B432:B467)</f>
        <v>0</v>
      </c>
      <c r="C468" s="419"/>
      <c r="D468" s="419"/>
      <c r="E468" s="420"/>
    </row>
    <row r="469" spans="1:6" ht="18" hidden="1" customHeight="1">
      <c r="A469" s="134"/>
      <c r="B469" s="135"/>
      <c r="C469" s="135"/>
      <c r="D469" s="135"/>
      <c r="E469" s="314"/>
    </row>
    <row r="470" spans="1:6" ht="18" hidden="1" customHeight="1">
      <c r="A470" s="428" t="s">
        <v>405</v>
      </c>
      <c r="B470" s="419"/>
      <c r="C470" s="419"/>
      <c r="D470" s="419"/>
      <c r="E470" s="420"/>
    </row>
    <row r="471" spans="1:6" ht="18" hidden="1" customHeight="1">
      <c r="A471" s="284" t="s">
        <v>357</v>
      </c>
      <c r="B471" s="135">
        <f>GTA!C273</f>
        <v>14</v>
      </c>
      <c r="C471" s="135" t="s">
        <v>22</v>
      </c>
      <c r="D471" s="135">
        <v>16.649999999999999</v>
      </c>
      <c r="E471" s="314">
        <f t="shared" ref="E471:E502" si="14">B471*D471</f>
        <v>233.09999999999997</v>
      </c>
      <c r="F471" s="428" t="s">
        <v>405</v>
      </c>
    </row>
    <row r="472" spans="1:6" ht="18" hidden="1" customHeight="1">
      <c r="A472" s="284" t="s">
        <v>325</v>
      </c>
      <c r="B472" s="135">
        <f>GTA!D273</f>
        <v>6.5</v>
      </c>
      <c r="C472" s="135" t="s">
        <v>22</v>
      </c>
      <c r="D472" s="135">
        <v>16.649999999999999</v>
      </c>
      <c r="E472" s="314">
        <f t="shared" si="14"/>
        <v>108.22499999999999</v>
      </c>
      <c r="F472" s="428" t="s">
        <v>405</v>
      </c>
    </row>
    <row r="473" spans="1:6" ht="18" hidden="1" customHeight="1">
      <c r="A473" s="284" t="s">
        <v>358</v>
      </c>
      <c r="B473" s="135">
        <f>GTA!M273</f>
        <v>0</v>
      </c>
      <c r="C473" s="135" t="s">
        <v>22</v>
      </c>
      <c r="D473" s="135">
        <v>16.649999999999999</v>
      </c>
      <c r="E473" s="314">
        <f t="shared" si="14"/>
        <v>0</v>
      </c>
      <c r="F473" s="428" t="s">
        <v>405</v>
      </c>
    </row>
    <row r="474" spans="1:6" ht="18" hidden="1" customHeight="1">
      <c r="A474" s="284" t="s">
        <v>407</v>
      </c>
      <c r="B474" s="135">
        <f>GTA!N273</f>
        <v>0</v>
      </c>
      <c r="C474" s="135" t="s">
        <v>22</v>
      </c>
      <c r="D474" s="135">
        <v>16.649999999999999</v>
      </c>
      <c r="E474" s="314">
        <f t="shared" si="14"/>
        <v>0</v>
      </c>
      <c r="F474" s="428" t="s">
        <v>405</v>
      </c>
    </row>
    <row r="475" spans="1:6" ht="18" hidden="1" customHeight="1">
      <c r="A475" s="284" t="s">
        <v>239</v>
      </c>
      <c r="B475" s="135">
        <f>GTA!H273</f>
        <v>0</v>
      </c>
      <c r="C475" s="135" t="s">
        <v>22</v>
      </c>
      <c r="D475" s="135">
        <v>16.649999999999999</v>
      </c>
      <c r="E475" s="314">
        <f t="shared" si="14"/>
        <v>0</v>
      </c>
      <c r="F475" s="428" t="s">
        <v>405</v>
      </c>
    </row>
    <row r="476" spans="1:6" ht="18" hidden="1" customHeight="1">
      <c r="A476" s="558" t="s">
        <v>412</v>
      </c>
      <c r="B476" s="481">
        <f>GTA!L273</f>
        <v>0</v>
      </c>
      <c r="C476" s="481" t="s">
        <v>22</v>
      </c>
      <c r="D476" s="481">
        <v>16.649999999999999</v>
      </c>
      <c r="E476" s="482">
        <f t="shared" si="14"/>
        <v>0</v>
      </c>
      <c r="F476" s="428" t="s">
        <v>405</v>
      </c>
    </row>
    <row r="477" spans="1:6" ht="18" hidden="1" customHeight="1">
      <c r="A477" s="284" t="s">
        <v>399</v>
      </c>
      <c r="B477" s="135">
        <f>GTA!I273</f>
        <v>0</v>
      </c>
      <c r="C477" s="135" t="s">
        <v>22</v>
      </c>
      <c r="D477" s="135">
        <v>16.649999999999999</v>
      </c>
      <c r="E477" s="314">
        <f t="shared" si="14"/>
        <v>0</v>
      </c>
      <c r="F477" s="428" t="s">
        <v>405</v>
      </c>
    </row>
    <row r="478" spans="1:6" ht="18" hidden="1" customHeight="1">
      <c r="A478" s="284" t="s">
        <v>210</v>
      </c>
      <c r="B478" s="135">
        <f>GTA!O273</f>
        <v>0</v>
      </c>
      <c r="C478" s="135" t="s">
        <v>22</v>
      </c>
      <c r="D478" s="135">
        <v>16.649999999999999</v>
      </c>
      <c r="E478" s="314">
        <f t="shared" si="14"/>
        <v>0</v>
      </c>
      <c r="F478" s="428" t="s">
        <v>405</v>
      </c>
    </row>
    <row r="479" spans="1:6" ht="18" hidden="1" customHeight="1">
      <c r="A479" s="284" t="s">
        <v>408</v>
      </c>
      <c r="B479" s="135">
        <f>GTA!P273</f>
        <v>0</v>
      </c>
      <c r="C479" s="135" t="s">
        <v>22</v>
      </c>
      <c r="D479" s="135">
        <v>16.649999999999999</v>
      </c>
      <c r="E479" s="314">
        <f t="shared" si="14"/>
        <v>0</v>
      </c>
      <c r="F479" s="428" t="s">
        <v>405</v>
      </c>
    </row>
    <row r="480" spans="1:6" ht="18" hidden="1" customHeight="1">
      <c r="A480" s="284" t="s">
        <v>463</v>
      </c>
      <c r="B480" s="135">
        <f>GTA!AH273</f>
        <v>0</v>
      </c>
      <c r="C480" s="135" t="s">
        <v>22</v>
      </c>
      <c r="D480" s="135">
        <v>16.649999999999999</v>
      </c>
      <c r="E480" s="314">
        <f t="shared" si="14"/>
        <v>0</v>
      </c>
      <c r="F480" s="428" t="s">
        <v>405</v>
      </c>
    </row>
    <row r="481" spans="1:6" ht="18" hidden="1" customHeight="1">
      <c r="A481" s="284" t="s">
        <v>723</v>
      </c>
      <c r="B481" s="135">
        <f>GTA!Q273</f>
        <v>0</v>
      </c>
      <c r="C481" s="135" t="s">
        <v>22</v>
      </c>
      <c r="D481" s="135">
        <v>16.649999999999999</v>
      </c>
      <c r="E481" s="314">
        <f t="shared" si="14"/>
        <v>0</v>
      </c>
      <c r="F481" s="428" t="s">
        <v>405</v>
      </c>
    </row>
    <row r="482" spans="1:6" ht="18" hidden="1" customHeight="1">
      <c r="A482" s="518" t="s">
        <v>724</v>
      </c>
      <c r="B482" s="519">
        <f>GTA!R273</f>
        <v>0</v>
      </c>
      <c r="C482" s="519" t="s">
        <v>22</v>
      </c>
      <c r="D482" s="519">
        <v>20</v>
      </c>
      <c r="E482" s="520">
        <f t="shared" si="14"/>
        <v>0</v>
      </c>
      <c r="F482" s="428" t="s">
        <v>405</v>
      </c>
    </row>
    <row r="483" spans="1:6" ht="18" hidden="1" customHeight="1">
      <c r="A483" s="398" t="s">
        <v>360</v>
      </c>
      <c r="B483" s="135">
        <f>GTA!S273</f>
        <v>0</v>
      </c>
      <c r="C483" s="135" t="s">
        <v>22</v>
      </c>
      <c r="D483" s="135">
        <v>16.649999999999999</v>
      </c>
      <c r="E483" s="314">
        <f t="shared" si="14"/>
        <v>0</v>
      </c>
      <c r="F483" s="428" t="s">
        <v>405</v>
      </c>
    </row>
    <row r="484" spans="1:6" ht="18" hidden="1" customHeight="1">
      <c r="A484" s="398" t="s">
        <v>719</v>
      </c>
      <c r="B484" s="135">
        <f>GTA!T273</f>
        <v>0</v>
      </c>
      <c r="C484" s="135" t="s">
        <v>22</v>
      </c>
      <c r="D484" s="135">
        <v>16.649999999999999</v>
      </c>
      <c r="E484" s="314">
        <f t="shared" si="14"/>
        <v>0</v>
      </c>
      <c r="F484" s="428" t="s">
        <v>405</v>
      </c>
    </row>
    <row r="485" spans="1:6" ht="18" hidden="1" customHeight="1">
      <c r="A485" s="398" t="s">
        <v>640</v>
      </c>
      <c r="B485" s="135">
        <f>GTA!U273</f>
        <v>0</v>
      </c>
      <c r="C485" s="135" t="s">
        <v>22</v>
      </c>
      <c r="D485" s="135">
        <v>16.649999999999999</v>
      </c>
      <c r="E485" s="314">
        <f t="shared" si="14"/>
        <v>0</v>
      </c>
      <c r="F485" s="428" t="s">
        <v>405</v>
      </c>
    </row>
    <row r="486" spans="1:6" ht="18" hidden="1" customHeight="1">
      <c r="A486" s="136" t="s">
        <v>222</v>
      </c>
      <c r="B486" s="135">
        <f>GTA!V273</f>
        <v>0</v>
      </c>
      <c r="C486" s="135" t="s">
        <v>22</v>
      </c>
      <c r="D486" s="135">
        <v>16.649999999999999</v>
      </c>
      <c r="E486" s="314">
        <f t="shared" si="14"/>
        <v>0</v>
      </c>
      <c r="F486" s="428" t="s">
        <v>405</v>
      </c>
    </row>
    <row r="487" spans="1:6" ht="18" hidden="1" customHeight="1">
      <c r="A487" s="134" t="s">
        <v>413</v>
      </c>
      <c r="B487" s="135">
        <f>GTA!X273</f>
        <v>0</v>
      </c>
      <c r="C487" s="135" t="s">
        <v>22</v>
      </c>
      <c r="D487" s="135">
        <v>16.649999999999999</v>
      </c>
      <c r="E487" s="314">
        <f t="shared" si="14"/>
        <v>0</v>
      </c>
      <c r="F487" s="428" t="s">
        <v>405</v>
      </c>
    </row>
    <row r="488" spans="1:6" ht="18" hidden="1" customHeight="1">
      <c r="A488" s="284" t="s">
        <v>326</v>
      </c>
      <c r="B488" s="135">
        <f>GTA!Y273</f>
        <v>0</v>
      </c>
      <c r="C488" s="135" t="s">
        <v>22</v>
      </c>
      <c r="D488" s="135">
        <v>16.649999999999999</v>
      </c>
      <c r="E488" s="314">
        <f t="shared" si="14"/>
        <v>0</v>
      </c>
      <c r="F488" s="428" t="s">
        <v>405</v>
      </c>
    </row>
    <row r="489" spans="1:6" ht="18" hidden="1" customHeight="1">
      <c r="A489" s="284" t="s">
        <v>361</v>
      </c>
      <c r="B489" s="135">
        <f>GTA!Z273</f>
        <v>0</v>
      </c>
      <c r="C489" s="135" t="s">
        <v>22</v>
      </c>
      <c r="D489" s="135">
        <v>16.649999999999999</v>
      </c>
      <c r="E489" s="314">
        <f t="shared" si="14"/>
        <v>0</v>
      </c>
      <c r="F489" s="428" t="s">
        <v>405</v>
      </c>
    </row>
    <row r="490" spans="1:6" ht="18" hidden="1" customHeight="1">
      <c r="A490" s="284" t="s">
        <v>384</v>
      </c>
      <c r="B490" s="135">
        <f>GTA!AA273</f>
        <v>0</v>
      </c>
      <c r="C490" s="135" t="s">
        <v>22</v>
      </c>
      <c r="D490" s="135">
        <v>16.649999999999999</v>
      </c>
      <c r="E490" s="314">
        <f t="shared" si="14"/>
        <v>0</v>
      </c>
      <c r="F490" s="428" t="s">
        <v>405</v>
      </c>
    </row>
    <row r="491" spans="1:6" ht="18" hidden="1" customHeight="1">
      <c r="A491" s="284" t="s">
        <v>415</v>
      </c>
      <c r="B491" s="135">
        <f>GTA!AC273</f>
        <v>0</v>
      </c>
      <c r="C491" s="135" t="s">
        <v>22</v>
      </c>
      <c r="D491" s="135">
        <v>18</v>
      </c>
      <c r="E491" s="314">
        <f t="shared" si="14"/>
        <v>0</v>
      </c>
      <c r="F491" s="428" t="s">
        <v>405</v>
      </c>
    </row>
    <row r="492" spans="1:6" ht="18" hidden="1" customHeight="1">
      <c r="A492" s="284" t="s">
        <v>416</v>
      </c>
      <c r="B492" s="135">
        <f>GTA!AD273</f>
        <v>0</v>
      </c>
      <c r="C492" s="135" t="s">
        <v>22</v>
      </c>
      <c r="D492" s="135">
        <v>16.649999999999999</v>
      </c>
      <c r="E492" s="314">
        <f t="shared" si="14"/>
        <v>0</v>
      </c>
      <c r="F492" s="428" t="s">
        <v>405</v>
      </c>
    </row>
    <row r="493" spans="1:6" ht="18" hidden="1" customHeight="1">
      <c r="A493" s="284" t="s">
        <v>385</v>
      </c>
      <c r="B493" s="135">
        <f>GTA!AE273</f>
        <v>0</v>
      </c>
      <c r="C493" s="135" t="s">
        <v>22</v>
      </c>
      <c r="D493" s="135">
        <v>16.649999999999999</v>
      </c>
      <c r="E493" s="314">
        <f t="shared" si="14"/>
        <v>0</v>
      </c>
      <c r="F493" s="428" t="s">
        <v>405</v>
      </c>
    </row>
    <row r="494" spans="1:6" ht="18" hidden="1" customHeight="1">
      <c r="A494" s="284" t="s">
        <v>229</v>
      </c>
      <c r="B494" s="135">
        <f>GTA!AF273</f>
        <v>0</v>
      </c>
      <c r="C494" s="135" t="s">
        <v>22</v>
      </c>
      <c r="D494" s="135">
        <v>16.649999999999999</v>
      </c>
      <c r="E494" s="314">
        <f t="shared" si="14"/>
        <v>0</v>
      </c>
      <c r="F494" s="428" t="s">
        <v>405</v>
      </c>
    </row>
    <row r="495" spans="1:6" s="529" customFormat="1" ht="18" hidden="1" customHeight="1">
      <c r="A495" s="284" t="s">
        <v>418</v>
      </c>
      <c r="B495" s="135">
        <f>GTA!AG273</f>
        <v>0</v>
      </c>
      <c r="C495" s="135" t="s">
        <v>22</v>
      </c>
      <c r="D495" s="135">
        <v>16.649999999999999</v>
      </c>
      <c r="E495" s="314">
        <f t="shared" si="14"/>
        <v>0</v>
      </c>
      <c r="F495" s="428" t="s">
        <v>405</v>
      </c>
    </row>
    <row r="496" spans="1:6" ht="18" hidden="1" customHeight="1">
      <c r="A496" s="136" t="s">
        <v>365</v>
      </c>
      <c r="B496" s="135">
        <f>GTA!AI273</f>
        <v>0</v>
      </c>
      <c r="C496" s="135" t="s">
        <v>22</v>
      </c>
      <c r="D496" s="135">
        <v>16.649999999999999</v>
      </c>
      <c r="E496" s="314">
        <f t="shared" si="14"/>
        <v>0</v>
      </c>
      <c r="F496" s="428" t="s">
        <v>405</v>
      </c>
    </row>
    <row r="497" spans="1:6" ht="18" hidden="1" customHeight="1">
      <c r="A497" s="480" t="s">
        <v>419</v>
      </c>
      <c r="B497" s="481">
        <f>GTA!AJ273</f>
        <v>0</v>
      </c>
      <c r="C497" s="481" t="s">
        <v>22</v>
      </c>
      <c r="D497" s="481">
        <v>16.649999999999999</v>
      </c>
      <c r="E497" s="482">
        <f t="shared" si="14"/>
        <v>0</v>
      </c>
      <c r="F497" s="428" t="s">
        <v>405</v>
      </c>
    </row>
    <row r="498" spans="1:6" ht="18" hidden="1" customHeight="1">
      <c r="A498" s="136" t="s">
        <v>420</v>
      </c>
      <c r="B498" s="135">
        <f>GTA!AK273</f>
        <v>0</v>
      </c>
      <c r="C498" s="135" t="s">
        <v>22</v>
      </c>
      <c r="D498" s="135">
        <v>16.649999999999999</v>
      </c>
      <c r="E498" s="314">
        <f t="shared" si="14"/>
        <v>0</v>
      </c>
      <c r="F498" s="428" t="s">
        <v>405</v>
      </c>
    </row>
    <row r="499" spans="1:6" ht="18" hidden="1" customHeight="1">
      <c r="A499" s="284" t="s">
        <v>366</v>
      </c>
      <c r="B499" s="135">
        <f>GTA!AL273</f>
        <v>0</v>
      </c>
      <c r="C499" s="135" t="s">
        <v>22</v>
      </c>
      <c r="D499" s="135">
        <v>16.649999999999999</v>
      </c>
      <c r="E499" s="314">
        <f t="shared" si="14"/>
        <v>0</v>
      </c>
      <c r="F499" s="428" t="s">
        <v>405</v>
      </c>
    </row>
    <row r="500" spans="1:6" ht="18" hidden="1" customHeight="1">
      <c r="A500" s="284" t="s">
        <v>367</v>
      </c>
      <c r="B500" s="135">
        <f>GTA!AM273</f>
        <v>0</v>
      </c>
      <c r="C500" s="135" t="s">
        <v>22</v>
      </c>
      <c r="D500" s="135">
        <v>16.649999999999999</v>
      </c>
      <c r="E500" s="314">
        <f t="shared" si="14"/>
        <v>0</v>
      </c>
      <c r="F500" s="428" t="s">
        <v>405</v>
      </c>
    </row>
    <row r="501" spans="1:6" ht="18" hidden="1" customHeight="1">
      <c r="A501" s="284" t="s">
        <v>421</v>
      </c>
      <c r="B501" s="135">
        <f>GTA!AN273</f>
        <v>0</v>
      </c>
      <c r="C501" s="135" t="s">
        <v>22</v>
      </c>
      <c r="D501" s="135">
        <v>16.649999999999999</v>
      </c>
      <c r="E501" s="314">
        <f t="shared" si="14"/>
        <v>0</v>
      </c>
      <c r="F501" s="428" t="s">
        <v>405</v>
      </c>
    </row>
    <row r="502" spans="1:6" ht="18" hidden="1" customHeight="1">
      <c r="A502" s="284" t="s">
        <v>210</v>
      </c>
      <c r="B502" s="135">
        <f>GTA!AO273</f>
        <v>0</v>
      </c>
      <c r="C502" s="135" t="s">
        <v>22</v>
      </c>
      <c r="D502" s="135">
        <v>16.649999999999999</v>
      </c>
      <c r="E502" s="314">
        <f t="shared" si="14"/>
        <v>0</v>
      </c>
      <c r="F502" s="428" t="s">
        <v>405</v>
      </c>
    </row>
    <row r="503" spans="1:6" ht="18" hidden="1" customHeight="1">
      <c r="A503" s="284" t="s">
        <v>725</v>
      </c>
      <c r="B503" s="135">
        <f>GTA!F273</f>
        <v>0</v>
      </c>
      <c r="C503" s="135" t="s">
        <v>22</v>
      </c>
      <c r="D503" s="135">
        <v>16.649999999999999</v>
      </c>
      <c r="E503" s="314">
        <f t="shared" ref="E503:E524" si="15">B503*D503</f>
        <v>0</v>
      </c>
      <c r="F503" s="428" t="s">
        <v>405</v>
      </c>
    </row>
    <row r="504" spans="1:6" ht="18" hidden="1" customHeight="1">
      <c r="A504" s="136" t="s">
        <v>368</v>
      </c>
      <c r="B504" s="135">
        <f>GTA!AP273</f>
        <v>0</v>
      </c>
      <c r="C504" s="135" t="s">
        <v>22</v>
      </c>
      <c r="D504" s="135">
        <v>16.649999999999999</v>
      </c>
      <c r="E504" s="314">
        <f t="shared" si="15"/>
        <v>0</v>
      </c>
      <c r="F504" s="428" t="s">
        <v>405</v>
      </c>
    </row>
    <row r="505" spans="1:6" ht="18" hidden="1" customHeight="1">
      <c r="A505" s="284" t="s">
        <v>330</v>
      </c>
      <c r="B505" s="135">
        <f>GTA!AQ273</f>
        <v>0</v>
      </c>
      <c r="C505" s="135" t="s">
        <v>22</v>
      </c>
      <c r="D505" s="135">
        <v>16.649999999999999</v>
      </c>
      <c r="E505" s="314">
        <f t="shared" si="15"/>
        <v>0</v>
      </c>
      <c r="F505" s="428" t="s">
        <v>405</v>
      </c>
    </row>
    <row r="506" spans="1:6" ht="18" hidden="1" customHeight="1">
      <c r="A506" s="398" t="s">
        <v>422</v>
      </c>
      <c r="B506" s="135">
        <f>GTA!AR273</f>
        <v>0</v>
      </c>
      <c r="C506" s="135" t="s">
        <v>22</v>
      </c>
      <c r="D506" s="135">
        <v>16.649999999999999</v>
      </c>
      <c r="E506" s="314">
        <f t="shared" si="15"/>
        <v>0</v>
      </c>
      <c r="F506" s="428" t="s">
        <v>405</v>
      </c>
    </row>
    <row r="507" spans="1:6" ht="18" hidden="1" customHeight="1">
      <c r="A507" s="284" t="s">
        <v>423</v>
      </c>
      <c r="B507" s="135">
        <f>GTA!AS273</f>
        <v>0</v>
      </c>
      <c r="C507" s="135" t="s">
        <v>22</v>
      </c>
      <c r="D507" s="135">
        <v>16.649999999999999</v>
      </c>
      <c r="E507" s="314">
        <f t="shared" si="15"/>
        <v>0</v>
      </c>
      <c r="F507" s="428" t="s">
        <v>405</v>
      </c>
    </row>
    <row r="508" spans="1:6" ht="18" hidden="1" customHeight="1">
      <c r="A508" s="284" t="s">
        <v>424</v>
      </c>
      <c r="B508" s="135">
        <f>GTA!AT273</f>
        <v>0</v>
      </c>
      <c r="C508" s="135" t="s">
        <v>22</v>
      </c>
      <c r="D508" s="135">
        <v>16.649999999999999</v>
      </c>
      <c r="E508" s="314">
        <f t="shared" si="15"/>
        <v>0</v>
      </c>
      <c r="F508" s="428" t="s">
        <v>405</v>
      </c>
    </row>
    <row r="509" spans="1:6" ht="18" hidden="1" customHeight="1">
      <c r="A509" s="134" t="s">
        <v>236</v>
      </c>
      <c r="B509" s="135">
        <f>GTA!AU273</f>
        <v>0</v>
      </c>
      <c r="C509" s="135" t="s">
        <v>22</v>
      </c>
      <c r="D509" s="135">
        <v>16.649999999999999</v>
      </c>
      <c r="E509" s="314">
        <f t="shared" si="15"/>
        <v>0</v>
      </c>
      <c r="F509" s="428" t="s">
        <v>405</v>
      </c>
    </row>
    <row r="510" spans="1:6" ht="18" hidden="1" customHeight="1">
      <c r="A510" s="398" t="s">
        <v>369</v>
      </c>
      <c r="B510" s="135">
        <f>GTA!AV273</f>
        <v>0</v>
      </c>
      <c r="C510" s="135" t="s">
        <v>22</v>
      </c>
      <c r="D510" s="135">
        <v>16.649999999999999</v>
      </c>
      <c r="E510" s="314">
        <f t="shared" si="15"/>
        <v>0</v>
      </c>
      <c r="F510" s="428" t="s">
        <v>405</v>
      </c>
    </row>
    <row r="511" spans="1:6" ht="18" hidden="1" customHeight="1">
      <c r="A511" s="398" t="s">
        <v>370</v>
      </c>
      <c r="B511" s="135">
        <f>GTA!AW273</f>
        <v>0</v>
      </c>
      <c r="C511" s="135" t="s">
        <v>22</v>
      </c>
      <c r="D511" s="135">
        <v>16.649999999999999</v>
      </c>
      <c r="E511" s="314">
        <f t="shared" si="15"/>
        <v>0</v>
      </c>
      <c r="F511" s="428" t="s">
        <v>405</v>
      </c>
    </row>
    <row r="512" spans="1:6" ht="18" hidden="1" customHeight="1">
      <c r="A512" s="136" t="s">
        <v>372</v>
      </c>
      <c r="B512" s="135">
        <f>GTA!AX273</f>
        <v>0</v>
      </c>
      <c r="C512" s="135" t="s">
        <v>22</v>
      </c>
      <c r="D512" s="135">
        <v>16.649999999999999</v>
      </c>
      <c r="E512" s="314">
        <f t="shared" si="15"/>
        <v>0</v>
      </c>
      <c r="F512" s="428" t="s">
        <v>405</v>
      </c>
    </row>
    <row r="513" spans="1:6" ht="18" hidden="1" customHeight="1">
      <c r="A513" s="136" t="s">
        <v>425</v>
      </c>
      <c r="B513" s="135">
        <f>GTA!AY273</f>
        <v>0</v>
      </c>
      <c r="C513" s="135" t="s">
        <v>22</v>
      </c>
      <c r="D513" s="135">
        <v>16.649999999999999</v>
      </c>
      <c r="E513" s="314">
        <f t="shared" si="15"/>
        <v>0</v>
      </c>
      <c r="F513" s="428" t="s">
        <v>405</v>
      </c>
    </row>
    <row r="514" spans="1:6" ht="18" hidden="1" customHeight="1">
      <c r="A514" s="136" t="s">
        <v>726</v>
      </c>
      <c r="B514" s="135">
        <f>GTA!BA273</f>
        <v>0</v>
      </c>
      <c r="C514" s="135" t="s">
        <v>22</v>
      </c>
      <c r="D514" s="135">
        <v>16.649999999999999</v>
      </c>
      <c r="E514" s="314">
        <f t="shared" si="15"/>
        <v>0</v>
      </c>
      <c r="F514" s="428" t="s">
        <v>405</v>
      </c>
    </row>
    <row r="515" spans="1:6" ht="18" hidden="1" customHeight="1">
      <c r="A515" s="136" t="s">
        <v>727</v>
      </c>
      <c r="B515" s="135">
        <f>GTA!BC273</f>
        <v>0</v>
      </c>
      <c r="C515" s="135" t="s">
        <v>22</v>
      </c>
      <c r="D515" s="135">
        <v>16.649999999999999</v>
      </c>
      <c r="E515" s="314">
        <f t="shared" si="15"/>
        <v>0</v>
      </c>
      <c r="F515" s="428" t="s">
        <v>405</v>
      </c>
    </row>
    <row r="516" spans="1:6" s="529" customFormat="1" ht="18" hidden="1" customHeight="1">
      <c r="A516" s="284" t="s">
        <v>426</v>
      </c>
      <c r="B516" s="135">
        <f>GTA!BD273</f>
        <v>0</v>
      </c>
      <c r="C516" s="135" t="s">
        <v>22</v>
      </c>
      <c r="D516" s="135">
        <v>16.649999999999999</v>
      </c>
      <c r="E516" s="314">
        <f t="shared" si="15"/>
        <v>0</v>
      </c>
      <c r="F516" s="428" t="s">
        <v>405</v>
      </c>
    </row>
    <row r="517" spans="1:6" ht="18" hidden="1" customHeight="1">
      <c r="A517" s="284" t="s">
        <v>728</v>
      </c>
      <c r="B517" s="135">
        <f>GTA!BE273</f>
        <v>0</v>
      </c>
      <c r="C517" s="135" t="s">
        <v>22</v>
      </c>
      <c r="D517" s="135">
        <v>16.649999999999999</v>
      </c>
      <c r="E517" s="314">
        <f t="shared" si="15"/>
        <v>0</v>
      </c>
      <c r="F517" s="428" t="s">
        <v>405</v>
      </c>
    </row>
    <row r="518" spans="1:6" ht="18" hidden="1" customHeight="1">
      <c r="A518" s="558" t="s">
        <v>551</v>
      </c>
      <c r="B518" s="481">
        <f>GTA!BF273</f>
        <v>0</v>
      </c>
      <c r="C518" s="481" t="s">
        <v>22</v>
      </c>
      <c r="D518" s="481">
        <v>16.649999999999999</v>
      </c>
      <c r="E518" s="482">
        <f t="shared" si="15"/>
        <v>0</v>
      </c>
      <c r="F518" s="428" t="s">
        <v>405</v>
      </c>
    </row>
    <row r="519" spans="1:6" ht="18" hidden="1" customHeight="1">
      <c r="A519" s="284" t="s">
        <v>429</v>
      </c>
      <c r="B519" s="135">
        <f>GTA!BG273</f>
        <v>0</v>
      </c>
      <c r="C519" s="135" t="s">
        <v>22</v>
      </c>
      <c r="D519" s="135">
        <v>16.649999999999999</v>
      </c>
      <c r="E519" s="314">
        <f t="shared" si="15"/>
        <v>0</v>
      </c>
      <c r="F519" s="428" t="s">
        <v>405</v>
      </c>
    </row>
    <row r="520" spans="1:6" ht="18" hidden="1" customHeight="1">
      <c r="A520" s="134" t="s">
        <v>374</v>
      </c>
      <c r="B520" s="135">
        <f>GTA!BH273</f>
        <v>0</v>
      </c>
      <c r="C520" s="135" t="s">
        <v>22</v>
      </c>
      <c r="D520" s="135">
        <v>16.649999999999999</v>
      </c>
      <c r="E520" s="314">
        <f t="shared" si="15"/>
        <v>0</v>
      </c>
      <c r="F520" s="428" t="s">
        <v>405</v>
      </c>
    </row>
    <row r="521" spans="1:6" s="529" customFormat="1" ht="18" hidden="1" customHeight="1">
      <c r="A521" s="284" t="s">
        <v>430</v>
      </c>
      <c r="B521" s="135">
        <f>GTA!BI273</f>
        <v>0</v>
      </c>
      <c r="C521" s="135" t="s">
        <v>22</v>
      </c>
      <c r="D521" s="135">
        <v>16.649999999999999</v>
      </c>
      <c r="E521" s="314">
        <f t="shared" si="15"/>
        <v>0</v>
      </c>
      <c r="F521" s="428" t="s">
        <v>405</v>
      </c>
    </row>
    <row r="522" spans="1:6" ht="18" hidden="1" customHeight="1">
      <c r="A522" s="284" t="s">
        <v>431</v>
      </c>
      <c r="B522" s="135">
        <f>GTA!BK273</f>
        <v>0</v>
      </c>
      <c r="C522" s="135" t="s">
        <v>22</v>
      </c>
      <c r="D522" s="135">
        <v>16.649999999999999</v>
      </c>
      <c r="E522" s="314">
        <f t="shared" si="15"/>
        <v>0</v>
      </c>
      <c r="F522" s="428" t="s">
        <v>405</v>
      </c>
    </row>
    <row r="523" spans="1:6" ht="18" hidden="1" customHeight="1">
      <c r="A523" s="558" t="s">
        <v>729</v>
      </c>
      <c r="B523" s="481">
        <f>GTA!BL273</f>
        <v>0</v>
      </c>
      <c r="C523" s="481" t="s">
        <v>22</v>
      </c>
      <c r="D523" s="481">
        <v>16.649999999999999</v>
      </c>
      <c r="E523" s="482">
        <f t="shared" si="15"/>
        <v>0</v>
      </c>
      <c r="F523" s="428" t="s">
        <v>405</v>
      </c>
    </row>
    <row r="524" spans="1:6" ht="18" hidden="1" customHeight="1">
      <c r="A524" s="284" t="s">
        <v>433</v>
      </c>
      <c r="B524" s="135">
        <f>GTA!BM273</f>
        <v>0</v>
      </c>
      <c r="C524" s="135" t="s">
        <v>22</v>
      </c>
      <c r="D524" s="135">
        <v>16.649999999999999</v>
      </c>
      <c r="E524" s="314">
        <f t="shared" si="15"/>
        <v>0</v>
      </c>
      <c r="F524" s="428" t="s">
        <v>405</v>
      </c>
    </row>
    <row r="525" spans="1:6" ht="18" hidden="1" customHeight="1">
      <c r="A525" s="438"/>
      <c r="B525" s="419"/>
      <c r="C525" s="419"/>
      <c r="D525" s="419"/>
      <c r="E525" s="420"/>
    </row>
    <row r="526" spans="1:6" ht="18" hidden="1" customHeight="1">
      <c r="A526" s="428" t="s">
        <v>434</v>
      </c>
      <c r="B526" s="415">
        <f>SUM(B470:B525)</f>
        <v>20.5</v>
      </c>
      <c r="C526" s="419"/>
      <c r="D526" s="419"/>
      <c r="E526" s="420"/>
    </row>
    <row r="527" spans="1:6" ht="18" hidden="1" customHeight="1">
      <c r="A527" s="284"/>
      <c r="B527" s="135"/>
      <c r="C527" s="135"/>
      <c r="D527" s="135"/>
      <c r="E527" s="314"/>
    </row>
    <row r="528" spans="1:6" ht="18" hidden="1" customHeight="1">
      <c r="A528" s="428" t="s">
        <v>435</v>
      </c>
      <c r="B528" s="419"/>
      <c r="C528" s="419"/>
      <c r="D528" s="419"/>
      <c r="E528" s="420"/>
    </row>
    <row r="529" spans="1:6" ht="18" hidden="1" customHeight="1">
      <c r="A529" s="284" t="s">
        <v>386</v>
      </c>
      <c r="B529" s="135">
        <f>GTA!C291</f>
        <v>0</v>
      </c>
      <c r="C529" s="135" t="s">
        <v>22</v>
      </c>
      <c r="D529" s="135">
        <v>16.649999999999999</v>
      </c>
      <c r="E529" s="314">
        <f>B529*D529</f>
        <v>0</v>
      </c>
    </row>
    <row r="530" spans="1:6" ht="18" hidden="1" customHeight="1">
      <c r="A530" s="284" t="s">
        <v>393</v>
      </c>
      <c r="B530" s="135">
        <f>GTA!E291</f>
        <v>0</v>
      </c>
      <c r="C530" s="135" t="s">
        <v>22</v>
      </c>
      <c r="D530" s="135">
        <v>16.649999999999999</v>
      </c>
      <c r="E530" s="314">
        <f>B530*D530</f>
        <v>0</v>
      </c>
    </row>
    <row r="531" spans="1:6" ht="18" hidden="1" customHeight="1">
      <c r="A531" s="284" t="s">
        <v>437</v>
      </c>
      <c r="B531" s="135">
        <f>GTA!F291</f>
        <v>0</v>
      </c>
      <c r="C531" s="135" t="s">
        <v>22</v>
      </c>
      <c r="D531" s="135">
        <v>16.649999999999999</v>
      </c>
      <c r="E531" s="314">
        <f>B531*D531</f>
        <v>0</v>
      </c>
    </row>
    <row r="532" spans="1:6" ht="18" hidden="1" customHeight="1">
      <c r="A532" s="284" t="s">
        <v>431</v>
      </c>
      <c r="B532" s="135">
        <f>GTA!G291</f>
        <v>0</v>
      </c>
      <c r="C532" s="135" t="s">
        <v>22</v>
      </c>
      <c r="D532" s="135">
        <v>16.649999999999999</v>
      </c>
      <c r="E532" s="314">
        <f>B532*D532</f>
        <v>0</v>
      </c>
    </row>
    <row r="533" spans="1:6" ht="18" hidden="1" customHeight="1">
      <c r="A533" s="438"/>
      <c r="B533" s="419"/>
      <c r="C533" s="419"/>
      <c r="D533" s="419"/>
      <c r="E533" s="420"/>
    </row>
    <row r="534" spans="1:6" ht="18" hidden="1" customHeight="1">
      <c r="A534" s="428" t="s">
        <v>435</v>
      </c>
      <c r="B534" s="415">
        <f>SUM(B528:B533)</f>
        <v>0</v>
      </c>
      <c r="C534" s="419"/>
      <c r="D534" s="419"/>
      <c r="E534" s="420"/>
    </row>
    <row r="535" spans="1:6" ht="18" hidden="1" customHeight="1">
      <c r="A535" s="284"/>
      <c r="B535" s="135"/>
      <c r="C535" s="135"/>
      <c r="D535" s="135"/>
      <c r="E535" s="314"/>
    </row>
    <row r="536" spans="1:6" ht="18" hidden="1" customHeight="1">
      <c r="A536" s="428" t="s">
        <v>438</v>
      </c>
      <c r="B536" s="419"/>
      <c r="C536" s="419"/>
      <c r="D536" s="419"/>
      <c r="E536" s="420"/>
    </row>
    <row r="537" spans="1:6" ht="18" hidden="1" customHeight="1">
      <c r="A537" s="438"/>
      <c r="B537" s="419"/>
      <c r="C537" s="419"/>
      <c r="D537" s="419"/>
      <c r="E537" s="420"/>
    </row>
    <row r="538" spans="1:6" ht="18" hidden="1" customHeight="1">
      <c r="A538" s="428" t="s">
        <v>438</v>
      </c>
      <c r="B538" s="415">
        <f>SUM(B536:B537)</f>
        <v>0</v>
      </c>
      <c r="C538" s="419"/>
      <c r="D538" s="419"/>
      <c r="E538" s="420"/>
    </row>
    <row r="539" spans="1:6" ht="18" hidden="1" customHeight="1">
      <c r="A539" s="284"/>
      <c r="B539" s="135"/>
      <c r="C539" s="135"/>
      <c r="D539" s="135"/>
      <c r="E539" s="314"/>
    </row>
    <row r="540" spans="1:6" ht="18" hidden="1" customHeight="1">
      <c r="A540" s="418" t="s">
        <v>440</v>
      </c>
      <c r="B540" s="419"/>
      <c r="C540" s="419"/>
      <c r="D540" s="419"/>
      <c r="E540" s="420"/>
    </row>
    <row r="541" spans="1:6" ht="18" hidden="1" customHeight="1">
      <c r="A541" s="134" t="s">
        <v>323</v>
      </c>
      <c r="B541" s="135">
        <f>GTA!O39</f>
        <v>0</v>
      </c>
      <c r="C541" s="135" t="s">
        <v>22</v>
      </c>
      <c r="D541" s="135">
        <v>16.649999999999999</v>
      </c>
      <c r="E541" s="314">
        <f t="shared" ref="E541:E547" si="16">B541*D541</f>
        <v>0</v>
      </c>
      <c r="F541" s="418" t="s">
        <v>440</v>
      </c>
    </row>
    <row r="542" spans="1:6" ht="18" hidden="1" customHeight="1">
      <c r="A542" s="134" t="s">
        <v>324</v>
      </c>
      <c r="B542" s="135">
        <f>GTA!P39</f>
        <v>0</v>
      </c>
      <c r="C542" s="135" t="s">
        <v>22</v>
      </c>
      <c r="D542" s="135">
        <v>16.649999999999999</v>
      </c>
      <c r="E542" s="314">
        <f t="shared" si="16"/>
        <v>0</v>
      </c>
      <c r="F542" s="418" t="s">
        <v>440</v>
      </c>
    </row>
    <row r="543" spans="1:6" ht="18" customHeight="1">
      <c r="A543" s="396" t="s">
        <v>324</v>
      </c>
      <c r="B543" s="135">
        <f>GTA!C255</f>
        <v>0</v>
      </c>
      <c r="C543" s="135" t="s">
        <v>22</v>
      </c>
      <c r="D543" s="135">
        <v>16.649999999999999</v>
      </c>
      <c r="E543" s="314">
        <f t="shared" si="16"/>
        <v>0</v>
      </c>
      <c r="F543" s="418" t="s">
        <v>377</v>
      </c>
    </row>
    <row r="544" spans="1:6" s="529" customFormat="1" ht="18" customHeight="1">
      <c r="A544" s="134" t="s">
        <v>323</v>
      </c>
      <c r="B544" s="135">
        <f>GTA!L255</f>
        <v>0</v>
      </c>
      <c r="C544" s="135" t="s">
        <v>22</v>
      </c>
      <c r="D544" s="135">
        <v>16.649999999999999</v>
      </c>
      <c r="E544" s="314">
        <f t="shared" si="16"/>
        <v>0</v>
      </c>
      <c r="F544" s="418" t="s">
        <v>377</v>
      </c>
    </row>
    <row r="545" spans="1:6" ht="18" hidden="1" customHeight="1">
      <c r="A545" s="134" t="s">
        <v>443</v>
      </c>
      <c r="B545" s="135">
        <f>GTA!C39</f>
        <v>82</v>
      </c>
      <c r="C545" s="135" t="s">
        <v>22</v>
      </c>
      <c r="D545" s="135">
        <v>16.649999999999999</v>
      </c>
      <c r="E545" s="314">
        <f t="shared" si="16"/>
        <v>1365.3</v>
      </c>
      <c r="F545" s="418" t="s">
        <v>440</v>
      </c>
    </row>
    <row r="546" spans="1:6" ht="18" hidden="1" customHeight="1">
      <c r="A546" s="134" t="s">
        <v>444</v>
      </c>
      <c r="B546" s="135">
        <f>GTA!K39</f>
        <v>0</v>
      </c>
      <c r="C546" s="135" t="s">
        <v>22</v>
      </c>
      <c r="D546" s="135">
        <v>16.649999999999999</v>
      </c>
      <c r="E546" s="314">
        <f t="shared" si="16"/>
        <v>0</v>
      </c>
      <c r="F546" s="418" t="s">
        <v>440</v>
      </c>
    </row>
    <row r="547" spans="1:6" ht="18" hidden="1" customHeight="1">
      <c r="A547" s="134" t="s">
        <v>445</v>
      </c>
      <c r="B547" s="135">
        <f>GTA!L39</f>
        <v>0</v>
      </c>
      <c r="C547" s="135" t="s">
        <v>22</v>
      </c>
      <c r="D547" s="135">
        <v>16.649999999999999</v>
      </c>
      <c r="E547" s="314">
        <f t="shared" si="16"/>
        <v>0</v>
      </c>
      <c r="F547" s="418" t="s">
        <v>440</v>
      </c>
    </row>
    <row r="548" spans="1:6" ht="18" hidden="1" customHeight="1">
      <c r="A548" s="284" t="s">
        <v>334</v>
      </c>
      <c r="B548" s="347">
        <f>GTA!J39</f>
        <v>0</v>
      </c>
      <c r="C548" s="347" t="s">
        <v>22</v>
      </c>
      <c r="D548" s="347">
        <v>16.649999999999999</v>
      </c>
      <c r="E548" s="298">
        <f>D548*B548</f>
        <v>0</v>
      </c>
      <c r="F548" s="418" t="s">
        <v>440</v>
      </c>
    </row>
    <row r="549" spans="1:6" ht="18" hidden="1" customHeight="1">
      <c r="A549" s="401" t="s">
        <v>446</v>
      </c>
      <c r="B549" s="135">
        <f>GTA!N39</f>
        <v>0</v>
      </c>
      <c r="C549" s="135" t="s">
        <v>22</v>
      </c>
      <c r="D549" s="135">
        <v>16.649999999999999</v>
      </c>
      <c r="E549" s="314">
        <f t="shared" ref="E549:E554" si="17">B549*D549</f>
        <v>0</v>
      </c>
      <c r="F549" s="418" t="s">
        <v>440</v>
      </c>
    </row>
    <row r="550" spans="1:6" ht="18" hidden="1" customHeight="1">
      <c r="A550" s="134" t="s">
        <v>389</v>
      </c>
      <c r="B550" s="135">
        <f>GTA!D39</f>
        <v>78.5</v>
      </c>
      <c r="C550" s="135" t="s">
        <v>22</v>
      </c>
      <c r="D550" s="135">
        <v>16.649999999999999</v>
      </c>
      <c r="E550" s="314">
        <f t="shared" si="17"/>
        <v>1307.0249999999999</v>
      </c>
      <c r="F550" s="418" t="s">
        <v>440</v>
      </c>
    </row>
    <row r="551" spans="1:6" ht="18" hidden="1" customHeight="1">
      <c r="A551" s="134" t="s">
        <v>447</v>
      </c>
      <c r="B551" s="135">
        <f>GTA!Q39</f>
        <v>0</v>
      </c>
      <c r="C551" s="135" t="s">
        <v>22</v>
      </c>
      <c r="D551" s="135">
        <v>16.649999999999999</v>
      </c>
      <c r="E551" s="314">
        <f t="shared" si="17"/>
        <v>0</v>
      </c>
      <c r="F551" s="418" t="s">
        <v>440</v>
      </c>
    </row>
    <row r="552" spans="1:6" ht="18" hidden="1" customHeight="1">
      <c r="A552" s="134" t="s">
        <v>210</v>
      </c>
      <c r="B552" s="135">
        <f>GTA!R39</f>
        <v>0</v>
      </c>
      <c r="C552" s="135" t="s">
        <v>22</v>
      </c>
      <c r="D552" s="135">
        <v>16.649999999999999</v>
      </c>
      <c r="E552" s="314">
        <f t="shared" si="17"/>
        <v>0</v>
      </c>
      <c r="F552" s="418" t="s">
        <v>440</v>
      </c>
    </row>
    <row r="553" spans="1:6" s="529" customFormat="1" ht="18" hidden="1" customHeight="1">
      <c r="A553" s="134" t="s">
        <v>448</v>
      </c>
      <c r="B553" s="135">
        <f>GTA!G39</f>
        <v>0</v>
      </c>
      <c r="C553" s="135" t="s">
        <v>22</v>
      </c>
      <c r="D553" s="135">
        <v>16.649999999999999</v>
      </c>
      <c r="E553" s="314">
        <f t="shared" si="17"/>
        <v>0</v>
      </c>
      <c r="F553" s="418" t="s">
        <v>440</v>
      </c>
    </row>
    <row r="554" spans="1:6" s="529" customFormat="1" ht="18" customHeight="1">
      <c r="A554" s="768" t="s">
        <v>386</v>
      </c>
      <c r="B554" s="481">
        <f>GTA!V255</f>
        <v>0</v>
      </c>
      <c r="C554" s="481" t="s">
        <v>22</v>
      </c>
      <c r="D554" s="481">
        <v>16.649999999999999</v>
      </c>
      <c r="E554" s="482">
        <f t="shared" si="17"/>
        <v>0</v>
      </c>
      <c r="F554" s="418" t="s">
        <v>377</v>
      </c>
    </row>
    <row r="555" spans="1:6" ht="18" customHeight="1">
      <c r="A555" s="401" t="s">
        <v>254</v>
      </c>
      <c r="B555" s="135">
        <f>(GTA!AI255)</f>
        <v>0</v>
      </c>
      <c r="C555" s="135" t="s">
        <v>22</v>
      </c>
      <c r="D555" s="135">
        <v>16.649999999999999</v>
      </c>
      <c r="E555" s="314">
        <f>(B555*D555)</f>
        <v>0</v>
      </c>
      <c r="F555" s="418" t="s">
        <v>377</v>
      </c>
    </row>
    <row r="556" spans="1:6" ht="18" hidden="1" customHeight="1">
      <c r="A556" s="512" t="s">
        <v>449</v>
      </c>
      <c r="B556" s="481">
        <f>GTA!M39</f>
        <v>0</v>
      </c>
      <c r="C556" s="481" t="s">
        <v>22</v>
      </c>
      <c r="D556" s="481">
        <v>16.649999999999999</v>
      </c>
      <c r="E556" s="482">
        <f>B556*D556</f>
        <v>0</v>
      </c>
      <c r="F556" s="418" t="s">
        <v>440</v>
      </c>
    </row>
    <row r="557" spans="1:6" ht="18" hidden="1" customHeight="1">
      <c r="A557" s="436"/>
      <c r="B557" s="419"/>
      <c r="C557" s="419"/>
      <c r="D557" s="419"/>
      <c r="E557" s="420"/>
    </row>
    <row r="558" spans="1:6" ht="18" hidden="1" customHeight="1">
      <c r="A558" s="418" t="s">
        <v>450</v>
      </c>
      <c r="B558" s="415">
        <f>SUM(B540:B557)</f>
        <v>160.5</v>
      </c>
      <c r="C558" s="419"/>
      <c r="D558" s="419"/>
      <c r="E558" s="420"/>
    </row>
    <row r="559" spans="1:6" ht="18" hidden="1" customHeight="1">
      <c r="A559" s="134"/>
      <c r="B559" s="135"/>
      <c r="C559" s="135"/>
      <c r="D559" s="135"/>
      <c r="E559" s="314"/>
    </row>
    <row r="560" spans="1:6" ht="18" hidden="1" customHeight="1">
      <c r="A560" s="418" t="s">
        <v>451</v>
      </c>
      <c r="B560" s="419"/>
      <c r="C560" s="419"/>
      <c r="D560" s="419"/>
      <c r="E560" s="420"/>
    </row>
    <row r="561" spans="1:6" ht="18" hidden="1" customHeight="1">
      <c r="A561" s="134" t="s">
        <v>452</v>
      </c>
      <c r="B561" s="135">
        <f>'OUTSIDE GTA'!C306</f>
        <v>0</v>
      </c>
      <c r="C561" s="135" t="s">
        <v>22</v>
      </c>
      <c r="D561" s="135">
        <v>16.649999999999999</v>
      </c>
      <c r="E561" s="314">
        <f>B561*D561</f>
        <v>0</v>
      </c>
    </row>
    <row r="562" spans="1:6" ht="18" hidden="1" customHeight="1">
      <c r="A562" s="436"/>
      <c r="B562" s="419"/>
      <c r="C562" s="419"/>
      <c r="D562" s="419"/>
      <c r="E562" s="420"/>
    </row>
    <row r="563" spans="1:6" ht="18" hidden="1" customHeight="1">
      <c r="A563" s="418" t="s">
        <v>451</v>
      </c>
      <c r="B563" s="415">
        <f>SUM(B560:B562)</f>
        <v>0</v>
      </c>
      <c r="C563" s="419"/>
      <c r="D563" s="419"/>
      <c r="E563" s="420"/>
    </row>
    <row r="564" spans="1:6" ht="18" hidden="1" customHeight="1">
      <c r="A564" s="134"/>
      <c r="B564" s="135"/>
      <c r="C564" s="135"/>
      <c r="D564" s="135"/>
      <c r="E564" s="314"/>
    </row>
    <row r="565" spans="1:6" s="529" customFormat="1" ht="18" hidden="1" customHeight="1">
      <c r="A565" s="284"/>
      <c r="B565" s="135"/>
      <c r="C565" s="135"/>
      <c r="D565" s="135"/>
      <c r="E565" s="314"/>
    </row>
    <row r="566" spans="1:6" ht="18" hidden="1" customHeight="1">
      <c r="A566" s="418" t="s">
        <v>453</v>
      </c>
      <c r="B566" s="419"/>
      <c r="C566" s="419"/>
      <c r="D566" s="419"/>
      <c r="E566" s="420"/>
    </row>
    <row r="567" spans="1:6" ht="18" customHeight="1">
      <c r="A567" s="284" t="s">
        <v>722</v>
      </c>
      <c r="B567" s="135">
        <f>GTA!G273</f>
        <v>0</v>
      </c>
      <c r="C567" s="135" t="s">
        <v>22</v>
      </c>
      <c r="D567" s="135">
        <v>16.649999999999999</v>
      </c>
      <c r="E567" s="314">
        <f>B567*D567</f>
        <v>0</v>
      </c>
      <c r="F567" s="434" t="s">
        <v>405</v>
      </c>
    </row>
    <row r="568" spans="1:6" s="529" customFormat="1" ht="18" hidden="1" customHeight="1">
      <c r="A568" s="512" t="s">
        <v>393</v>
      </c>
      <c r="B568" s="481">
        <f>GTA!G165</f>
        <v>0</v>
      </c>
      <c r="C568" s="481" t="s">
        <v>22</v>
      </c>
      <c r="D568" s="481">
        <v>16.649999999999999</v>
      </c>
      <c r="E568" s="482">
        <f>B568*D568</f>
        <v>0</v>
      </c>
      <c r="F568" s="418" t="s">
        <v>453</v>
      </c>
    </row>
    <row r="569" spans="1:6" ht="18" hidden="1" customHeight="1">
      <c r="A569" s="134" t="s">
        <v>455</v>
      </c>
      <c r="B569" s="135">
        <f>GTA!E165</f>
        <v>0</v>
      </c>
      <c r="C569" s="135" t="s">
        <v>22</v>
      </c>
      <c r="D569" s="135">
        <v>16.649999999999999</v>
      </c>
      <c r="E569" s="314">
        <f>B569*D569</f>
        <v>0</v>
      </c>
      <c r="F569" s="418" t="s">
        <v>453</v>
      </c>
    </row>
    <row r="570" spans="1:6" ht="18" hidden="1" customHeight="1">
      <c r="A570" s="134" t="s">
        <v>456</v>
      </c>
      <c r="B570" s="135">
        <f>GTA!F165</f>
        <v>0</v>
      </c>
      <c r="C570" s="135" t="s">
        <v>22</v>
      </c>
      <c r="D570" s="135">
        <v>16.649999999999999</v>
      </c>
      <c r="E570" s="314">
        <f>B570*D570</f>
        <v>0</v>
      </c>
      <c r="F570" s="418" t="s">
        <v>453</v>
      </c>
    </row>
    <row r="571" spans="1:6" ht="18" hidden="1" customHeight="1">
      <c r="A571" s="436"/>
      <c r="B571" s="419"/>
      <c r="C571" s="419"/>
      <c r="D571" s="419"/>
      <c r="E571" s="420"/>
    </row>
    <row r="572" spans="1:6" ht="18" hidden="1" customHeight="1">
      <c r="A572" s="418" t="s">
        <v>453</v>
      </c>
      <c r="B572" s="415">
        <f>SUM(B566:B571)</f>
        <v>0</v>
      </c>
      <c r="C572" s="419"/>
      <c r="D572" s="419"/>
      <c r="E572" s="420"/>
    </row>
    <row r="573" spans="1:6" ht="18" hidden="1" customHeight="1">
      <c r="A573" s="134"/>
      <c r="B573" s="135"/>
      <c r="C573" s="135"/>
      <c r="D573" s="135"/>
      <c r="E573" s="314"/>
    </row>
    <row r="574" spans="1:6" ht="18" hidden="1" customHeight="1">
      <c r="A574" s="418" t="s">
        <v>457</v>
      </c>
      <c r="B574" s="419"/>
      <c r="C574" s="419"/>
      <c r="D574" s="419"/>
      <c r="E574" s="420"/>
    </row>
    <row r="575" spans="1:6" ht="18" hidden="1" customHeight="1">
      <c r="A575" s="134" t="s">
        <v>379</v>
      </c>
      <c r="B575" s="135">
        <f>GTA!C57</f>
        <v>0</v>
      </c>
      <c r="C575" s="135" t="s">
        <v>22</v>
      </c>
      <c r="D575" s="135">
        <v>16.649999999999999</v>
      </c>
      <c r="E575" s="314">
        <f t="shared" ref="E575:E618" si="18">B575*D575</f>
        <v>0</v>
      </c>
      <c r="F575" s="418" t="s">
        <v>457</v>
      </c>
    </row>
    <row r="576" spans="1:6" ht="18" hidden="1" customHeight="1">
      <c r="A576" s="134" t="s">
        <v>458</v>
      </c>
      <c r="B576" s="135">
        <f>GTA!U57</f>
        <v>0</v>
      </c>
      <c r="C576" s="135" t="s">
        <v>22</v>
      </c>
      <c r="D576" s="135">
        <v>16.649999999999999</v>
      </c>
      <c r="E576" s="314">
        <f t="shared" si="18"/>
        <v>0</v>
      </c>
      <c r="F576" s="418" t="s">
        <v>457</v>
      </c>
    </row>
    <row r="577" spans="1:6" ht="18" hidden="1" customHeight="1">
      <c r="A577" s="134" t="s">
        <v>459</v>
      </c>
      <c r="B577" s="135">
        <f>GTA!F57</f>
        <v>0</v>
      </c>
      <c r="C577" s="135" t="s">
        <v>22</v>
      </c>
      <c r="D577" s="135">
        <v>16.649999999999999</v>
      </c>
      <c r="E577" s="314">
        <f t="shared" si="18"/>
        <v>0</v>
      </c>
      <c r="F577" s="418" t="s">
        <v>457</v>
      </c>
    </row>
    <row r="578" spans="1:6" ht="18" hidden="1" customHeight="1">
      <c r="A578" s="134" t="s">
        <v>460</v>
      </c>
      <c r="B578" s="135">
        <f>GTA!E57</f>
        <v>0</v>
      </c>
      <c r="C578" s="135" t="s">
        <v>22</v>
      </c>
      <c r="D578" s="135">
        <v>16.649999999999999</v>
      </c>
      <c r="E578" s="314">
        <f t="shared" si="18"/>
        <v>0</v>
      </c>
      <c r="F578" s="418" t="s">
        <v>457</v>
      </c>
    </row>
    <row r="579" spans="1:6" ht="18" hidden="1" customHeight="1">
      <c r="A579" s="134" t="s">
        <v>324</v>
      </c>
      <c r="B579" s="135">
        <f>GTA!G57</f>
        <v>0</v>
      </c>
      <c r="C579" s="135" t="s">
        <v>22</v>
      </c>
      <c r="D579" s="135">
        <v>16.649999999999999</v>
      </c>
      <c r="E579" s="314">
        <f t="shared" si="18"/>
        <v>0</v>
      </c>
      <c r="F579" s="418" t="s">
        <v>457</v>
      </c>
    </row>
    <row r="580" spans="1:6" ht="18" hidden="1" customHeight="1">
      <c r="A580" s="134" t="s">
        <v>461</v>
      </c>
      <c r="B580" s="135">
        <f>GTA!V57</f>
        <v>0</v>
      </c>
      <c r="C580" s="135" t="s">
        <v>22</v>
      </c>
      <c r="D580" s="135">
        <v>16.649999999999999</v>
      </c>
      <c r="E580" s="314">
        <f t="shared" si="18"/>
        <v>0</v>
      </c>
      <c r="F580" s="418" t="s">
        <v>457</v>
      </c>
    </row>
    <row r="581" spans="1:6" ht="18" hidden="1" customHeight="1">
      <c r="A581" s="134" t="s">
        <v>442</v>
      </c>
      <c r="B581" s="135">
        <f>GTA!I57</f>
        <v>0</v>
      </c>
      <c r="C581" s="135" t="s">
        <v>22</v>
      </c>
      <c r="D581" s="135">
        <v>16.649999999999999</v>
      </c>
      <c r="E581" s="314">
        <f t="shared" si="18"/>
        <v>0</v>
      </c>
      <c r="F581" s="418" t="s">
        <v>457</v>
      </c>
    </row>
    <row r="582" spans="1:6" ht="18" hidden="1" customHeight="1">
      <c r="A582" s="134" t="s">
        <v>462</v>
      </c>
      <c r="B582" s="135">
        <f>GTA!H57</f>
        <v>0</v>
      </c>
      <c r="C582" s="135" t="s">
        <v>22</v>
      </c>
      <c r="D582" s="135">
        <v>16.649999999999999</v>
      </c>
      <c r="E582" s="314">
        <f t="shared" si="18"/>
        <v>0</v>
      </c>
      <c r="F582" s="418" t="s">
        <v>457</v>
      </c>
    </row>
    <row r="583" spans="1:6" ht="18" hidden="1" customHeight="1">
      <c r="A583" s="134" t="s">
        <v>211</v>
      </c>
      <c r="B583" s="135">
        <f>GTA!Y57</f>
        <v>0</v>
      </c>
      <c r="C583" s="135" t="s">
        <v>22</v>
      </c>
      <c r="D583" s="135">
        <v>16.649999999999999</v>
      </c>
      <c r="E583" s="314">
        <f t="shared" si="18"/>
        <v>0</v>
      </c>
      <c r="F583" s="418" t="s">
        <v>457</v>
      </c>
    </row>
    <row r="584" spans="1:6" ht="18" hidden="1" customHeight="1">
      <c r="A584" s="134" t="s">
        <v>213</v>
      </c>
      <c r="B584" s="135">
        <f>GTA!AS57</f>
        <v>0</v>
      </c>
      <c r="C584" s="135" t="s">
        <v>22</v>
      </c>
      <c r="D584" s="135">
        <v>16.649999999999999</v>
      </c>
      <c r="E584" s="314">
        <f t="shared" si="18"/>
        <v>0</v>
      </c>
      <c r="F584" s="418" t="s">
        <v>457</v>
      </c>
    </row>
    <row r="585" spans="1:6" ht="18" hidden="1" customHeight="1">
      <c r="A585" s="134" t="s">
        <v>463</v>
      </c>
      <c r="B585" s="135">
        <f>GTA!K57</f>
        <v>0</v>
      </c>
      <c r="C585" s="135" t="s">
        <v>22</v>
      </c>
      <c r="D585" s="135">
        <v>16.649999999999999</v>
      </c>
      <c r="E585" s="314">
        <f t="shared" si="18"/>
        <v>0</v>
      </c>
      <c r="F585" s="418" t="s">
        <v>457</v>
      </c>
    </row>
    <row r="586" spans="1:6" ht="18" hidden="1" customHeight="1">
      <c r="A586" s="134" t="s">
        <v>464</v>
      </c>
      <c r="B586" s="135">
        <f>GTA!L57</f>
        <v>0</v>
      </c>
      <c r="C586" s="135" t="s">
        <v>22</v>
      </c>
      <c r="D586" s="135">
        <v>16.649999999999999</v>
      </c>
      <c r="E586" s="314">
        <f t="shared" si="18"/>
        <v>0</v>
      </c>
      <c r="F586" s="418" t="s">
        <v>457</v>
      </c>
    </row>
    <row r="587" spans="1:6" s="529" customFormat="1" ht="18" hidden="1" customHeight="1">
      <c r="A587" s="512" t="s">
        <v>465</v>
      </c>
      <c r="B587" s="481">
        <f>GTA!Q57</f>
        <v>0</v>
      </c>
      <c r="C587" s="481" t="s">
        <v>22</v>
      </c>
      <c r="D587" s="481">
        <v>16.649999999999999</v>
      </c>
      <c r="E587" s="482">
        <f t="shared" si="18"/>
        <v>0</v>
      </c>
      <c r="F587" s="418" t="s">
        <v>457</v>
      </c>
    </row>
    <row r="588" spans="1:6" ht="18" hidden="1" customHeight="1">
      <c r="A588" s="134" t="s">
        <v>222</v>
      </c>
      <c r="B588" s="135">
        <f>GTA!AD57</f>
        <v>0</v>
      </c>
      <c r="C588" s="135" t="s">
        <v>22</v>
      </c>
      <c r="D588" s="135">
        <v>16.649999999999999</v>
      </c>
      <c r="E588" s="314">
        <f t="shared" si="18"/>
        <v>0</v>
      </c>
      <c r="F588" s="418" t="s">
        <v>457</v>
      </c>
    </row>
    <row r="589" spans="1:6" ht="18" hidden="1" customHeight="1">
      <c r="A589" s="134" t="s">
        <v>466</v>
      </c>
      <c r="B589" s="135">
        <f>GTA!AE57</f>
        <v>0</v>
      </c>
      <c r="C589" s="135" t="s">
        <v>22</v>
      </c>
      <c r="D589" s="135">
        <v>16.649999999999999</v>
      </c>
      <c r="E589" s="314">
        <f t="shared" si="18"/>
        <v>0</v>
      </c>
      <c r="F589" s="418" t="s">
        <v>457</v>
      </c>
    </row>
    <row r="590" spans="1:6" ht="18" hidden="1" customHeight="1">
      <c r="A590" s="134" t="s">
        <v>221</v>
      </c>
      <c r="B590" s="135">
        <f>GTA!AB57</f>
        <v>0</v>
      </c>
      <c r="C590" s="135" t="s">
        <v>22</v>
      </c>
      <c r="D590" s="135">
        <v>16.649999999999999</v>
      </c>
      <c r="E590" s="314">
        <f t="shared" si="18"/>
        <v>0</v>
      </c>
      <c r="F590" s="418" t="s">
        <v>457</v>
      </c>
    </row>
    <row r="591" spans="1:6" ht="18" hidden="1" customHeight="1">
      <c r="A591" s="134" t="s">
        <v>467</v>
      </c>
      <c r="B591" s="135">
        <f>GTA!AC57</f>
        <v>0</v>
      </c>
      <c r="C591" s="135" t="s">
        <v>22</v>
      </c>
      <c r="D591" s="135">
        <v>16.649999999999999</v>
      </c>
      <c r="E591" s="314">
        <f t="shared" si="18"/>
        <v>0</v>
      </c>
      <c r="F591" s="418" t="s">
        <v>457</v>
      </c>
    </row>
    <row r="592" spans="1:6" ht="18" hidden="1" customHeight="1">
      <c r="A592" s="134" t="s">
        <v>336</v>
      </c>
      <c r="B592" s="135">
        <f>GTA!AG57</f>
        <v>0</v>
      </c>
      <c r="C592" s="135" t="s">
        <v>22</v>
      </c>
      <c r="D592" s="135">
        <v>16.649999999999999</v>
      </c>
      <c r="E592" s="314">
        <f t="shared" si="18"/>
        <v>0</v>
      </c>
      <c r="F592" s="418" t="s">
        <v>457</v>
      </c>
    </row>
    <row r="593" spans="1:6" ht="18" hidden="1" customHeight="1">
      <c r="A593" s="134" t="s">
        <v>468</v>
      </c>
      <c r="B593" s="135">
        <f>GTA!AF57</f>
        <v>0</v>
      </c>
      <c r="C593" s="135" t="s">
        <v>22</v>
      </c>
      <c r="D593" s="135">
        <v>16.649999999999999</v>
      </c>
      <c r="E593" s="314">
        <f t="shared" si="18"/>
        <v>0</v>
      </c>
      <c r="F593" s="418" t="s">
        <v>457</v>
      </c>
    </row>
    <row r="594" spans="1:6" ht="18" hidden="1" customHeight="1">
      <c r="A594" s="134" t="s">
        <v>210</v>
      </c>
      <c r="B594" s="135">
        <f>GTA!W57</f>
        <v>0</v>
      </c>
      <c r="C594" s="135" t="s">
        <v>22</v>
      </c>
      <c r="D594" s="135">
        <v>16.649999999999999</v>
      </c>
      <c r="E594" s="314">
        <f t="shared" si="18"/>
        <v>0</v>
      </c>
      <c r="F594" s="418" t="s">
        <v>457</v>
      </c>
    </row>
    <row r="595" spans="1:6" ht="18" hidden="1" customHeight="1">
      <c r="A595" s="134" t="s">
        <v>239</v>
      </c>
      <c r="B595" s="135">
        <f>GTA!AL57</f>
        <v>0</v>
      </c>
      <c r="C595" s="135" t="s">
        <v>22</v>
      </c>
      <c r="D595" s="135">
        <v>16.649999999999999</v>
      </c>
      <c r="E595" s="314">
        <f t="shared" si="18"/>
        <v>0</v>
      </c>
      <c r="F595" s="418" t="s">
        <v>457</v>
      </c>
    </row>
    <row r="596" spans="1:6" ht="18" hidden="1" customHeight="1">
      <c r="A596" s="134" t="s">
        <v>237</v>
      </c>
      <c r="B596" s="135">
        <f>GTA!S57</f>
        <v>0</v>
      </c>
      <c r="C596" s="135" t="s">
        <v>22</v>
      </c>
      <c r="D596" s="135">
        <v>16.649999999999999</v>
      </c>
      <c r="E596" s="314">
        <f t="shared" si="18"/>
        <v>0</v>
      </c>
      <c r="F596" s="418" t="s">
        <v>457</v>
      </c>
    </row>
    <row r="597" spans="1:6" ht="18" hidden="1" customHeight="1">
      <c r="A597" s="134" t="s">
        <v>385</v>
      </c>
      <c r="B597" s="135">
        <f>GTA!D57</f>
        <v>0</v>
      </c>
      <c r="C597" s="135" t="s">
        <v>22</v>
      </c>
      <c r="D597" s="135">
        <v>16.649999999999999</v>
      </c>
      <c r="E597" s="314">
        <f t="shared" si="18"/>
        <v>0</v>
      </c>
      <c r="F597" s="418" t="s">
        <v>457</v>
      </c>
    </row>
    <row r="598" spans="1:6" ht="18" hidden="1" customHeight="1">
      <c r="A598" s="134" t="s">
        <v>469</v>
      </c>
      <c r="B598" s="135">
        <f>GTA!AN57</f>
        <v>0</v>
      </c>
      <c r="C598" s="135" t="s">
        <v>22</v>
      </c>
      <c r="D598" s="135">
        <v>16.649999999999999</v>
      </c>
      <c r="E598" s="314">
        <f t="shared" si="18"/>
        <v>0</v>
      </c>
      <c r="F598" s="418" t="s">
        <v>457</v>
      </c>
    </row>
    <row r="599" spans="1:6" s="529" customFormat="1" ht="18" hidden="1" customHeight="1">
      <c r="A599" s="134" t="s">
        <v>470</v>
      </c>
      <c r="B599" s="135">
        <f>GTA!AH57</f>
        <v>0</v>
      </c>
      <c r="C599" s="135" t="s">
        <v>22</v>
      </c>
      <c r="D599" s="135">
        <v>16.649999999999999</v>
      </c>
      <c r="E599" s="314">
        <f t="shared" si="18"/>
        <v>0</v>
      </c>
      <c r="F599" s="418" t="s">
        <v>457</v>
      </c>
    </row>
    <row r="600" spans="1:6" s="529" customFormat="1" ht="18" hidden="1" customHeight="1">
      <c r="A600" s="134" t="s">
        <v>231</v>
      </c>
      <c r="B600" s="135">
        <f>GTA!M57</f>
        <v>0</v>
      </c>
      <c r="C600" s="135" t="s">
        <v>22</v>
      </c>
      <c r="D600" s="135">
        <v>16.649999999999999</v>
      </c>
      <c r="E600" s="314">
        <f t="shared" si="18"/>
        <v>0</v>
      </c>
      <c r="F600" s="418" t="s">
        <v>457</v>
      </c>
    </row>
    <row r="601" spans="1:6" s="529" customFormat="1" ht="18" customHeight="1">
      <c r="A601" s="284" t="s">
        <v>409</v>
      </c>
      <c r="B601" s="135">
        <f>GTA!J273</f>
        <v>0</v>
      </c>
      <c r="C601" s="135" t="s">
        <v>22</v>
      </c>
      <c r="D601" s="135">
        <v>16.649999999999999</v>
      </c>
      <c r="E601" s="314">
        <f t="shared" si="18"/>
        <v>0</v>
      </c>
      <c r="F601" s="434" t="s">
        <v>405</v>
      </c>
    </row>
    <row r="602" spans="1:6" s="529" customFormat="1" ht="18" hidden="1" customHeight="1">
      <c r="A602" s="134" t="s">
        <v>472</v>
      </c>
      <c r="B602" s="135">
        <f>GTA!AI57</f>
        <v>0</v>
      </c>
      <c r="C602" s="135" t="s">
        <v>22</v>
      </c>
      <c r="D602" s="135">
        <v>16.649999999999999</v>
      </c>
      <c r="E602" s="314">
        <f t="shared" si="18"/>
        <v>0</v>
      </c>
      <c r="F602" s="418" t="s">
        <v>457</v>
      </c>
    </row>
    <row r="603" spans="1:6" s="529" customFormat="1" ht="18" hidden="1" customHeight="1">
      <c r="A603" s="512" t="s">
        <v>473</v>
      </c>
      <c r="B603" s="481">
        <f>GTA!AO57</f>
        <v>0</v>
      </c>
      <c r="C603" s="481" t="s">
        <v>22</v>
      </c>
      <c r="D603" s="481">
        <v>16.649999999999999</v>
      </c>
      <c r="E603" s="482">
        <f t="shared" si="18"/>
        <v>0</v>
      </c>
      <c r="F603" s="418" t="s">
        <v>457</v>
      </c>
    </row>
    <row r="604" spans="1:6" s="529" customFormat="1" ht="18" hidden="1" customHeight="1">
      <c r="A604" s="134" t="s">
        <v>474</v>
      </c>
      <c r="B604" s="135">
        <f>GTA!N57</f>
        <v>0</v>
      </c>
      <c r="C604" s="135" t="s">
        <v>22</v>
      </c>
      <c r="D604" s="135">
        <v>17</v>
      </c>
      <c r="E604" s="314">
        <f t="shared" si="18"/>
        <v>0</v>
      </c>
      <c r="F604" s="418" t="s">
        <v>457</v>
      </c>
    </row>
    <row r="605" spans="1:6" s="529" customFormat="1" ht="18" hidden="1" customHeight="1">
      <c r="A605" s="134" t="s">
        <v>475</v>
      </c>
      <c r="B605" s="135">
        <f>GTA!AJ57</f>
        <v>0</v>
      </c>
      <c r="C605" s="135" t="s">
        <v>22</v>
      </c>
      <c r="D605" s="135">
        <v>17</v>
      </c>
      <c r="E605" s="314">
        <f t="shared" si="18"/>
        <v>0</v>
      </c>
      <c r="F605" s="418" t="s">
        <v>457</v>
      </c>
    </row>
    <row r="606" spans="1:6" s="529" customFormat="1" ht="18" hidden="1" customHeight="1">
      <c r="A606" s="134" t="s">
        <v>476</v>
      </c>
      <c r="B606" s="135">
        <f>GTA!AK57</f>
        <v>0</v>
      </c>
      <c r="C606" s="135" t="s">
        <v>22</v>
      </c>
      <c r="D606" s="135">
        <v>17</v>
      </c>
      <c r="E606" s="314">
        <f t="shared" si="18"/>
        <v>0</v>
      </c>
      <c r="F606" s="418" t="s">
        <v>457</v>
      </c>
    </row>
    <row r="607" spans="1:6" ht="18" hidden="1" customHeight="1">
      <c r="A607" s="134" t="s">
        <v>477</v>
      </c>
      <c r="B607" s="135">
        <f>GTA!AQ57</f>
        <v>0</v>
      </c>
      <c r="C607" s="135" t="s">
        <v>22</v>
      </c>
      <c r="D607" s="135">
        <v>16.649999999999999</v>
      </c>
      <c r="E607" s="314">
        <f t="shared" si="18"/>
        <v>0</v>
      </c>
      <c r="F607" s="418" t="s">
        <v>457</v>
      </c>
    </row>
    <row r="608" spans="1:6" s="529" customFormat="1" ht="18" hidden="1" customHeight="1">
      <c r="A608" s="512" t="s">
        <v>393</v>
      </c>
      <c r="B608" s="481">
        <f>GTA!O57</f>
        <v>0</v>
      </c>
      <c r="C608" s="481" t="s">
        <v>22</v>
      </c>
      <c r="D608" s="481">
        <v>16.649999999999999</v>
      </c>
      <c r="E608" s="482">
        <f t="shared" si="18"/>
        <v>0</v>
      </c>
      <c r="F608" s="418" t="s">
        <v>457</v>
      </c>
    </row>
    <row r="609" spans="1:6" s="529" customFormat="1" ht="18" hidden="1" customHeight="1">
      <c r="A609" s="512" t="s">
        <v>478</v>
      </c>
      <c r="B609" s="481">
        <f>GTA!T57</f>
        <v>0</v>
      </c>
      <c r="C609" s="481" t="s">
        <v>22</v>
      </c>
      <c r="D609" s="481">
        <v>16.649999999999999</v>
      </c>
      <c r="E609" s="482">
        <f t="shared" si="18"/>
        <v>0</v>
      </c>
      <c r="F609" s="418" t="s">
        <v>457</v>
      </c>
    </row>
    <row r="610" spans="1:6" ht="18" hidden="1" customHeight="1">
      <c r="A610" s="134" t="s">
        <v>479</v>
      </c>
      <c r="B610" s="135">
        <f>GTA!P57</f>
        <v>0</v>
      </c>
      <c r="C610" s="135" t="s">
        <v>22</v>
      </c>
      <c r="D610" s="135">
        <v>16.649999999999999</v>
      </c>
      <c r="E610" s="314">
        <f t="shared" si="18"/>
        <v>0</v>
      </c>
      <c r="F610" s="418" t="s">
        <v>457</v>
      </c>
    </row>
    <row r="611" spans="1:6" s="529" customFormat="1" ht="18" hidden="1" customHeight="1">
      <c r="A611" s="512" t="s">
        <v>395</v>
      </c>
      <c r="B611" s="481">
        <f>GTA!J57</f>
        <v>0</v>
      </c>
      <c r="C611" s="481" t="s">
        <v>22</v>
      </c>
      <c r="D611" s="481">
        <v>16.649999999999999</v>
      </c>
      <c r="E611" s="482">
        <f t="shared" si="18"/>
        <v>0</v>
      </c>
      <c r="F611" s="418" t="s">
        <v>457</v>
      </c>
    </row>
    <row r="612" spans="1:6" ht="18" hidden="1" customHeight="1">
      <c r="A612" s="134" t="s">
        <v>480</v>
      </c>
      <c r="B612" s="135">
        <f>GTA!AM57</f>
        <v>0</v>
      </c>
      <c r="C612" s="135" t="s">
        <v>22</v>
      </c>
      <c r="D612" s="135">
        <v>16.649999999999999</v>
      </c>
      <c r="E612" s="314">
        <f t="shared" si="18"/>
        <v>0</v>
      </c>
      <c r="F612" s="418" t="s">
        <v>457</v>
      </c>
    </row>
    <row r="613" spans="1:6" ht="18" hidden="1" customHeight="1">
      <c r="A613" s="134" t="s">
        <v>399</v>
      </c>
      <c r="B613" s="135">
        <f>GTA!Z57</f>
        <v>0</v>
      </c>
      <c r="C613" s="135" t="s">
        <v>22</v>
      </c>
      <c r="D613" s="135">
        <v>16.649999999999999</v>
      </c>
      <c r="E613" s="314">
        <f t="shared" si="18"/>
        <v>0</v>
      </c>
      <c r="F613" s="418" t="s">
        <v>457</v>
      </c>
    </row>
    <row r="614" spans="1:6" ht="18" hidden="1" customHeight="1">
      <c r="A614" s="134" t="s">
        <v>481</v>
      </c>
      <c r="B614" s="135">
        <f>GTA!AA57</f>
        <v>0</v>
      </c>
      <c r="C614" s="135" t="s">
        <v>22</v>
      </c>
      <c r="D614" s="135">
        <v>16.649999999999999</v>
      </c>
      <c r="E614" s="314">
        <f t="shared" si="18"/>
        <v>0</v>
      </c>
      <c r="F614" s="418" t="s">
        <v>457</v>
      </c>
    </row>
    <row r="615" spans="1:6" ht="18" hidden="1" customHeight="1">
      <c r="A615" s="134" t="s">
        <v>210</v>
      </c>
      <c r="B615" s="135">
        <f>GTA!X57</f>
        <v>0</v>
      </c>
      <c r="C615" s="135" t="s">
        <v>22</v>
      </c>
      <c r="D615" s="135">
        <v>16.649999999999999</v>
      </c>
      <c r="E615" s="314">
        <f t="shared" si="18"/>
        <v>0</v>
      </c>
      <c r="F615" s="418" t="s">
        <v>457</v>
      </c>
    </row>
    <row r="616" spans="1:6" ht="18" hidden="1" customHeight="1">
      <c r="A616" s="134" t="s">
        <v>447</v>
      </c>
      <c r="B616" s="135">
        <f>GTA!AP57</f>
        <v>0</v>
      </c>
      <c r="C616" s="135" t="s">
        <v>22</v>
      </c>
      <c r="D616" s="135">
        <v>16.649999999999999</v>
      </c>
      <c r="E616" s="314">
        <f t="shared" si="18"/>
        <v>0</v>
      </c>
      <c r="F616" s="418" t="s">
        <v>457</v>
      </c>
    </row>
    <row r="617" spans="1:6" ht="18" hidden="1" customHeight="1">
      <c r="A617" s="134" t="s">
        <v>430</v>
      </c>
      <c r="B617" s="135">
        <f>GTA!AR57</f>
        <v>0</v>
      </c>
      <c r="C617" s="135" t="s">
        <v>22</v>
      </c>
      <c r="D617" s="135">
        <v>16.649999999999999</v>
      </c>
      <c r="E617" s="314">
        <f t="shared" si="18"/>
        <v>0</v>
      </c>
      <c r="F617" s="418" t="s">
        <v>457</v>
      </c>
    </row>
    <row r="618" spans="1:6" ht="18" hidden="1" customHeight="1">
      <c r="A618" s="134" t="s">
        <v>403</v>
      </c>
      <c r="B618" s="135">
        <f>GTA!AT57</f>
        <v>0</v>
      </c>
      <c r="C618" s="135" t="s">
        <v>22</v>
      </c>
      <c r="D618" s="135">
        <v>16.649999999999999</v>
      </c>
      <c r="E618" s="314">
        <f t="shared" si="18"/>
        <v>0</v>
      </c>
      <c r="F618" s="418" t="s">
        <v>457</v>
      </c>
    </row>
    <row r="619" spans="1:6" ht="18" hidden="1" customHeight="1">
      <c r="A619" s="436"/>
      <c r="B619" s="419"/>
      <c r="C619" s="419"/>
      <c r="D619" s="419"/>
      <c r="E619" s="420"/>
    </row>
    <row r="620" spans="1:6" ht="18" hidden="1" customHeight="1">
      <c r="A620" s="418" t="s">
        <v>482</v>
      </c>
      <c r="B620" s="415">
        <f>SUM(B574:B619)</f>
        <v>0</v>
      </c>
      <c r="C620" s="419"/>
      <c r="D620" s="419"/>
      <c r="E620" s="420"/>
    </row>
    <row r="621" spans="1:6" ht="18" hidden="1" customHeight="1">
      <c r="A621" s="136"/>
      <c r="B621" s="135"/>
      <c r="C621" s="135"/>
      <c r="D621" s="135"/>
      <c r="E621" s="314"/>
    </row>
    <row r="622" spans="1:6" ht="18" hidden="1" customHeight="1">
      <c r="A622" s="434" t="s">
        <v>483</v>
      </c>
      <c r="B622" s="415"/>
      <c r="C622" s="419"/>
      <c r="D622" s="419"/>
      <c r="E622" s="420"/>
    </row>
    <row r="623" spans="1:6" ht="18" hidden="1" customHeight="1">
      <c r="A623" s="136" t="s">
        <v>323</v>
      </c>
      <c r="B623" s="135">
        <f>GTA!F399</f>
        <v>0</v>
      </c>
      <c r="C623" s="135" t="s">
        <v>22</v>
      </c>
      <c r="D623" s="135">
        <v>18</v>
      </c>
      <c r="E623" s="314">
        <f>B623*D623</f>
        <v>0</v>
      </c>
    </row>
    <row r="624" spans="1:6" ht="18" hidden="1" customHeight="1">
      <c r="A624" s="136" t="s">
        <v>484</v>
      </c>
      <c r="B624" s="135">
        <f>GTA!C399</f>
        <v>0</v>
      </c>
      <c r="C624" s="135" t="s">
        <v>22</v>
      </c>
      <c r="D624" s="135">
        <v>18</v>
      </c>
      <c r="E624" s="314">
        <f>B624*D624</f>
        <v>0</v>
      </c>
    </row>
    <row r="625" spans="1:6" ht="18" hidden="1" customHeight="1">
      <c r="A625" s="136" t="s">
        <v>485</v>
      </c>
      <c r="B625" s="135">
        <f>GTA!D399</f>
        <v>0</v>
      </c>
      <c r="C625" s="135" t="s">
        <v>22</v>
      </c>
      <c r="D625" s="135">
        <v>18</v>
      </c>
      <c r="E625" s="314">
        <f>B625*D625</f>
        <v>0</v>
      </c>
    </row>
    <row r="626" spans="1:6" ht="18" hidden="1" customHeight="1">
      <c r="A626" s="136" t="s">
        <v>486</v>
      </c>
      <c r="B626" s="135">
        <f>GTA!E399</f>
        <v>0</v>
      </c>
      <c r="C626" s="135" t="s">
        <v>22</v>
      </c>
      <c r="D626" s="135">
        <v>18</v>
      </c>
      <c r="E626" s="314">
        <f>B626*D626</f>
        <v>0</v>
      </c>
    </row>
    <row r="627" spans="1:6" ht="18" hidden="1" customHeight="1">
      <c r="A627" s="439"/>
      <c r="B627" s="419"/>
      <c r="C627" s="419"/>
      <c r="D627" s="419"/>
      <c r="E627" s="420"/>
    </row>
    <row r="628" spans="1:6" ht="18" hidden="1" customHeight="1">
      <c r="A628" s="434" t="s">
        <v>487</v>
      </c>
      <c r="B628" s="415">
        <f>SUM(B622:B627)</f>
        <v>0</v>
      </c>
      <c r="C628" s="419"/>
      <c r="D628" s="419"/>
      <c r="E628" s="420"/>
    </row>
    <row r="629" spans="1:6" ht="18" hidden="1" customHeight="1">
      <c r="A629" s="136"/>
      <c r="B629" s="135"/>
      <c r="C629" s="135"/>
      <c r="D629" s="135"/>
      <c r="E629" s="314"/>
    </row>
    <row r="630" spans="1:6" ht="18" hidden="1" customHeight="1">
      <c r="A630" s="434" t="s">
        <v>488</v>
      </c>
      <c r="B630" s="415"/>
      <c r="C630" s="419"/>
      <c r="D630" s="419"/>
      <c r="E630" s="420"/>
    </row>
    <row r="631" spans="1:6" ht="18" hidden="1" customHeight="1">
      <c r="A631" s="394" t="s">
        <v>489</v>
      </c>
      <c r="B631" s="135">
        <f>'OUTSIDE GTA'!C252</f>
        <v>0</v>
      </c>
      <c r="C631" s="135" t="s">
        <v>22</v>
      </c>
      <c r="D631" s="135">
        <v>16.649999999999999</v>
      </c>
      <c r="E631" s="314">
        <f>B631*D631</f>
        <v>0</v>
      </c>
    </row>
    <row r="632" spans="1:6" ht="18" hidden="1" customHeight="1">
      <c r="A632" s="395" t="s">
        <v>490</v>
      </c>
      <c r="B632" s="135">
        <f>'OUTSIDE GTA'!E252</f>
        <v>0</v>
      </c>
      <c r="C632" s="135" t="s">
        <v>22</v>
      </c>
      <c r="D632" s="135">
        <v>16.649999999999999</v>
      </c>
      <c r="E632" s="314">
        <f>B632*D632</f>
        <v>0</v>
      </c>
    </row>
    <row r="633" spans="1:6" ht="18" hidden="1" customHeight="1">
      <c r="A633" s="751" t="s">
        <v>491</v>
      </c>
      <c r="B633" s="135">
        <f>'OUTSIDE GTA'!F252</f>
        <v>0</v>
      </c>
      <c r="C633" s="135" t="s">
        <v>22</v>
      </c>
      <c r="D633" s="135">
        <v>16.649999999999999</v>
      </c>
      <c r="E633" s="314">
        <f>B633*D633</f>
        <v>0</v>
      </c>
    </row>
    <row r="634" spans="1:6" ht="18" hidden="1" customHeight="1">
      <c r="A634" s="395" t="s">
        <v>492</v>
      </c>
      <c r="B634" s="135">
        <f>'OUTSIDE GTA'!G252</f>
        <v>0</v>
      </c>
      <c r="C634" s="135" t="s">
        <v>22</v>
      </c>
      <c r="D634" s="135">
        <v>16.649999999999999</v>
      </c>
      <c r="E634" s="314">
        <f>B634*D634</f>
        <v>0</v>
      </c>
    </row>
    <row r="635" spans="1:6" ht="18" hidden="1" customHeight="1">
      <c r="A635" s="752" t="s">
        <v>493</v>
      </c>
      <c r="B635" s="135">
        <f>'OUTSIDE GTA'!H252</f>
        <v>0</v>
      </c>
      <c r="C635" s="135" t="s">
        <v>22</v>
      </c>
      <c r="D635" s="135">
        <v>16.649999999999999</v>
      </c>
      <c r="E635" s="314">
        <f>B635*D635</f>
        <v>0</v>
      </c>
    </row>
    <row r="636" spans="1:6" ht="18" hidden="1" customHeight="1">
      <c r="A636" s="439"/>
      <c r="B636" s="419"/>
      <c r="C636" s="419"/>
      <c r="D636" s="419"/>
      <c r="E636" s="420"/>
    </row>
    <row r="637" spans="1:6" ht="18" hidden="1" customHeight="1">
      <c r="A637" s="434" t="s">
        <v>488</v>
      </c>
      <c r="B637" s="415">
        <f>SUM(B630:B636)</f>
        <v>0</v>
      </c>
      <c r="C637" s="419"/>
      <c r="D637" s="419"/>
      <c r="E637" s="420"/>
    </row>
    <row r="638" spans="1:6" ht="18" hidden="1" customHeight="1">
      <c r="A638" s="136"/>
      <c r="B638" s="135"/>
      <c r="C638" s="135"/>
      <c r="D638" s="135"/>
      <c r="E638" s="314"/>
    </row>
    <row r="639" spans="1:6" ht="18" hidden="1" customHeight="1">
      <c r="A639" s="418" t="s">
        <v>494</v>
      </c>
      <c r="B639" s="415"/>
      <c r="C639" s="419"/>
      <c r="D639" s="419"/>
      <c r="E639" s="420"/>
    </row>
    <row r="640" spans="1:6" ht="18" hidden="1" customHeight="1">
      <c r="A640" s="134" t="s">
        <v>324</v>
      </c>
      <c r="B640" s="135">
        <f>GTA!C21</f>
        <v>7</v>
      </c>
      <c r="C640" s="135" t="s">
        <v>22</v>
      </c>
      <c r="D640" s="135">
        <v>16.649999999999999</v>
      </c>
      <c r="E640" s="314">
        <f>B640*D640</f>
        <v>116.54999999999998</v>
      </c>
      <c r="F640" s="418" t="s">
        <v>494</v>
      </c>
    </row>
    <row r="641" spans="1:6" ht="18" hidden="1" customHeight="1">
      <c r="A641" s="134" t="s">
        <v>730</v>
      </c>
      <c r="B641" s="135">
        <f>GTA!D21</f>
        <v>0</v>
      </c>
      <c r="C641" s="135" t="s">
        <v>22</v>
      </c>
      <c r="D641" s="135">
        <v>16.649999999999999</v>
      </c>
      <c r="E641" s="314">
        <f>(B641*D641)</f>
        <v>0</v>
      </c>
      <c r="F641" s="418" t="s">
        <v>494</v>
      </c>
    </row>
    <row r="642" spans="1:6" s="529" customFormat="1" ht="18" hidden="1" customHeight="1">
      <c r="A642" s="134" t="s">
        <v>496</v>
      </c>
      <c r="B642" s="481">
        <f>GTA!K21</f>
        <v>0</v>
      </c>
      <c r="C642" s="481" t="s">
        <v>22</v>
      </c>
      <c r="D642" s="481">
        <v>16.649999999999999</v>
      </c>
      <c r="E642" s="482">
        <f>(B642*D642)</f>
        <v>0</v>
      </c>
      <c r="F642" s="418" t="s">
        <v>494</v>
      </c>
    </row>
    <row r="643" spans="1:6" ht="18" hidden="1" customHeight="1">
      <c r="A643" s="134" t="s">
        <v>378</v>
      </c>
      <c r="B643" s="135">
        <f>GTA!G21</f>
        <v>0</v>
      </c>
      <c r="C643" s="135" t="s">
        <v>22</v>
      </c>
      <c r="D643" s="135">
        <v>16.649999999999999</v>
      </c>
      <c r="E643" s="314">
        <f>(B643*D643)</f>
        <v>0</v>
      </c>
      <c r="F643" s="418" t="s">
        <v>494</v>
      </c>
    </row>
    <row r="644" spans="1:6" ht="18" hidden="1" customHeight="1">
      <c r="A644" s="134" t="s">
        <v>460</v>
      </c>
      <c r="B644" s="135">
        <f>GTA!H21</f>
        <v>0</v>
      </c>
      <c r="C644" s="135" t="s">
        <v>22</v>
      </c>
      <c r="D644" s="135">
        <v>16.649999999999999</v>
      </c>
      <c r="E644" s="314">
        <f t="shared" ref="E644:E675" si="19">B644*D644</f>
        <v>0</v>
      </c>
      <c r="F644" s="418" t="s">
        <v>494</v>
      </c>
    </row>
    <row r="645" spans="1:6" ht="18" customHeight="1">
      <c r="A645" s="284" t="s">
        <v>411</v>
      </c>
      <c r="B645" s="135">
        <f>GTA!K273</f>
        <v>0</v>
      </c>
      <c r="C645" s="135" t="s">
        <v>22</v>
      </c>
      <c r="D645" s="135">
        <v>16.649999999999999</v>
      </c>
      <c r="E645" s="314">
        <f t="shared" si="19"/>
        <v>0</v>
      </c>
      <c r="F645" s="434" t="s">
        <v>405</v>
      </c>
    </row>
    <row r="646" spans="1:6" s="529" customFormat="1" ht="18" customHeight="1">
      <c r="A646" s="134" t="s">
        <v>471</v>
      </c>
      <c r="B646" s="135">
        <f>GTA!R57</f>
        <v>0</v>
      </c>
      <c r="C646" s="135" t="s">
        <v>22</v>
      </c>
      <c r="D646" s="135">
        <v>16.649999999999999</v>
      </c>
      <c r="E646" s="314">
        <f t="shared" si="19"/>
        <v>0</v>
      </c>
      <c r="F646" s="418" t="s">
        <v>457</v>
      </c>
    </row>
    <row r="647" spans="1:6" ht="18" hidden="1" customHeight="1">
      <c r="A647" s="134" t="s">
        <v>725</v>
      </c>
      <c r="B647" s="135">
        <f>GTA!L21</f>
        <v>0</v>
      </c>
      <c r="C647" s="135" t="s">
        <v>22</v>
      </c>
      <c r="D647" s="135">
        <v>16.649999999999999</v>
      </c>
      <c r="E647" s="314">
        <f t="shared" si="19"/>
        <v>0</v>
      </c>
      <c r="F647" s="418" t="s">
        <v>494</v>
      </c>
    </row>
    <row r="648" spans="1:6" ht="18" hidden="1" customHeight="1">
      <c r="A648" s="134" t="s">
        <v>325</v>
      </c>
      <c r="B648" s="135">
        <f>GTA!N21</f>
        <v>0</v>
      </c>
      <c r="C648" s="135" t="s">
        <v>22</v>
      </c>
      <c r="D648" s="135">
        <v>16.649999999999999</v>
      </c>
      <c r="E648" s="314">
        <f t="shared" si="19"/>
        <v>0</v>
      </c>
      <c r="F648" s="418" t="s">
        <v>494</v>
      </c>
    </row>
    <row r="649" spans="1:6" ht="18" hidden="1" customHeight="1">
      <c r="A649" s="134" t="s">
        <v>498</v>
      </c>
      <c r="B649" s="135">
        <f>GTA!O21</f>
        <v>0</v>
      </c>
      <c r="C649" s="135" t="s">
        <v>22</v>
      </c>
      <c r="D649" s="135">
        <v>16.649999999999999</v>
      </c>
      <c r="E649" s="314">
        <f t="shared" si="19"/>
        <v>0</v>
      </c>
      <c r="F649" s="418" t="s">
        <v>494</v>
      </c>
    </row>
    <row r="650" spans="1:6" ht="18" hidden="1" customHeight="1">
      <c r="A650" s="134" t="s">
        <v>210</v>
      </c>
      <c r="B650" s="135">
        <f>GTA!Q21</f>
        <v>0</v>
      </c>
      <c r="C650" s="135" t="s">
        <v>22</v>
      </c>
      <c r="D650" s="135">
        <v>16.649999999999999</v>
      </c>
      <c r="E650" s="314">
        <f t="shared" si="19"/>
        <v>0</v>
      </c>
      <c r="F650" s="418" t="s">
        <v>494</v>
      </c>
    </row>
    <row r="651" spans="1:6" ht="18" hidden="1" customHeight="1">
      <c r="A651" s="134" t="s">
        <v>408</v>
      </c>
      <c r="B651" s="135">
        <f>GTA!R21</f>
        <v>0</v>
      </c>
      <c r="C651" s="135" t="s">
        <v>22</v>
      </c>
      <c r="D651" s="135">
        <v>16.649999999999999</v>
      </c>
      <c r="E651" s="314">
        <f t="shared" si="19"/>
        <v>0</v>
      </c>
      <c r="F651" s="418" t="s">
        <v>494</v>
      </c>
    </row>
    <row r="652" spans="1:6" ht="18" hidden="1" customHeight="1">
      <c r="A652" s="134" t="s">
        <v>255</v>
      </c>
      <c r="B652" s="135">
        <f>GTA!EA21</f>
        <v>0</v>
      </c>
      <c r="C652" s="135" t="s">
        <v>22</v>
      </c>
      <c r="D652" s="135">
        <v>20</v>
      </c>
      <c r="E652" s="314">
        <f t="shared" si="19"/>
        <v>0</v>
      </c>
      <c r="F652" s="418" t="s">
        <v>494</v>
      </c>
    </row>
    <row r="653" spans="1:6" ht="18" hidden="1" customHeight="1">
      <c r="A653" s="134" t="s">
        <v>501</v>
      </c>
      <c r="B653" s="135">
        <f>GTA!S21</f>
        <v>0</v>
      </c>
      <c r="C653" s="135" t="s">
        <v>22</v>
      </c>
      <c r="D653" s="135">
        <v>16.649999999999999</v>
      </c>
      <c r="E653" s="314">
        <f t="shared" si="19"/>
        <v>0</v>
      </c>
      <c r="F653" s="418" t="s">
        <v>494</v>
      </c>
    </row>
    <row r="654" spans="1:6" ht="18" customHeight="1">
      <c r="A654" s="134" t="s">
        <v>323</v>
      </c>
      <c r="B654" s="135">
        <f>GTA!C93</f>
        <v>0</v>
      </c>
      <c r="C654" s="135" t="s">
        <v>22</v>
      </c>
      <c r="D654" s="135">
        <v>16.649999999999999</v>
      </c>
      <c r="E654" s="314">
        <f t="shared" si="19"/>
        <v>0</v>
      </c>
      <c r="F654" s="418" t="s">
        <v>332</v>
      </c>
    </row>
    <row r="655" spans="1:6" s="529" customFormat="1" ht="18" hidden="1" customHeight="1">
      <c r="A655" s="512" t="s">
        <v>502</v>
      </c>
      <c r="B655" s="481">
        <f>GTA!T21</f>
        <v>0</v>
      </c>
      <c r="C655" s="481" t="s">
        <v>22</v>
      </c>
      <c r="D655" s="481">
        <v>16.649999999999999</v>
      </c>
      <c r="E655" s="482">
        <f t="shared" si="19"/>
        <v>0</v>
      </c>
      <c r="F655" s="418" t="s">
        <v>494</v>
      </c>
    </row>
    <row r="656" spans="1:6" s="529" customFormat="1" ht="18" hidden="1" customHeight="1">
      <c r="A656" s="512" t="s">
        <v>731</v>
      </c>
      <c r="B656" s="481">
        <f>GTA!Y21</f>
        <v>0</v>
      </c>
      <c r="C656" s="481" t="s">
        <v>22</v>
      </c>
      <c r="D656" s="481">
        <v>16.649999999999999</v>
      </c>
      <c r="E656" s="482">
        <f t="shared" si="19"/>
        <v>0</v>
      </c>
      <c r="F656" s="418" t="s">
        <v>494</v>
      </c>
    </row>
    <row r="657" spans="1:6" s="529" customFormat="1" ht="18" hidden="1" customHeight="1">
      <c r="A657" s="512" t="s">
        <v>464</v>
      </c>
      <c r="B657" s="481">
        <f>GTA!W21</f>
        <v>0</v>
      </c>
      <c r="C657" s="481" t="s">
        <v>22</v>
      </c>
      <c r="D657" s="481">
        <v>16.649999999999999</v>
      </c>
      <c r="E657" s="482">
        <f t="shared" si="19"/>
        <v>0</v>
      </c>
      <c r="F657" s="418" t="s">
        <v>494</v>
      </c>
    </row>
    <row r="658" spans="1:6" ht="18" hidden="1" customHeight="1">
      <c r="A658" s="398" t="s">
        <v>732</v>
      </c>
      <c r="B658" s="135">
        <f>GTA!EL21</f>
        <v>0</v>
      </c>
      <c r="C658" s="135" t="s">
        <v>22</v>
      </c>
      <c r="D658" s="135">
        <v>20</v>
      </c>
      <c r="E658" s="314">
        <f t="shared" si="19"/>
        <v>0</v>
      </c>
      <c r="F658" s="418" t="s">
        <v>494</v>
      </c>
    </row>
    <row r="659" spans="1:6" ht="18" hidden="1" customHeight="1">
      <c r="A659" s="134" t="s">
        <v>360</v>
      </c>
      <c r="B659" s="135">
        <f>GTA!U21</f>
        <v>0</v>
      </c>
      <c r="C659" s="135" t="s">
        <v>22</v>
      </c>
      <c r="D659" s="135">
        <v>16.649999999999999</v>
      </c>
      <c r="E659" s="314">
        <f t="shared" si="19"/>
        <v>0</v>
      </c>
      <c r="F659" s="418" t="s">
        <v>494</v>
      </c>
    </row>
    <row r="660" spans="1:6" ht="18" hidden="1" customHeight="1">
      <c r="A660" s="134" t="s">
        <v>505</v>
      </c>
      <c r="B660" s="135">
        <f>GTA!AA21</f>
        <v>0</v>
      </c>
      <c r="C660" s="135" t="s">
        <v>22</v>
      </c>
      <c r="D660" s="135">
        <v>16.649999999999999</v>
      </c>
      <c r="E660" s="314">
        <f t="shared" si="19"/>
        <v>0</v>
      </c>
      <c r="F660" s="418" t="s">
        <v>494</v>
      </c>
    </row>
    <row r="661" spans="1:6" ht="18" hidden="1" customHeight="1">
      <c r="A661" s="134" t="s">
        <v>506</v>
      </c>
      <c r="B661" s="135">
        <f>GTA!AB21</f>
        <v>0</v>
      </c>
      <c r="C661" s="135" t="s">
        <v>22</v>
      </c>
      <c r="D661" s="135">
        <v>16.649999999999999</v>
      </c>
      <c r="E661" s="314">
        <f t="shared" si="19"/>
        <v>0</v>
      </c>
      <c r="F661" s="418" t="s">
        <v>494</v>
      </c>
    </row>
    <row r="662" spans="1:6" ht="18" hidden="1" customHeight="1">
      <c r="A662" s="402" t="s">
        <v>640</v>
      </c>
      <c r="B662" s="135">
        <f>GTA!AC21</f>
        <v>0</v>
      </c>
      <c r="C662" s="135" t="s">
        <v>22</v>
      </c>
      <c r="D662" s="135">
        <v>16.649999999999999</v>
      </c>
      <c r="E662" s="314">
        <f t="shared" si="19"/>
        <v>0</v>
      </c>
      <c r="F662" s="418" t="s">
        <v>494</v>
      </c>
    </row>
    <row r="663" spans="1:6" s="529" customFormat="1" ht="18" hidden="1" customHeight="1">
      <c r="A663" s="707" t="s">
        <v>336</v>
      </c>
      <c r="B663" s="481">
        <f>GTA!BI21</f>
        <v>0</v>
      </c>
      <c r="C663" s="481" t="s">
        <v>22</v>
      </c>
      <c r="D663" s="481">
        <v>16.649999999999999</v>
      </c>
      <c r="E663" s="482">
        <f t="shared" si="19"/>
        <v>0</v>
      </c>
      <c r="F663" s="418" t="s">
        <v>494</v>
      </c>
    </row>
    <row r="664" spans="1:6" s="529" customFormat="1" ht="18" hidden="1" customHeight="1">
      <c r="A664" s="707" t="s">
        <v>540</v>
      </c>
      <c r="B664" s="481">
        <f>GTA!BW21</f>
        <v>0</v>
      </c>
      <c r="C664" s="481" t="s">
        <v>22</v>
      </c>
      <c r="D664" s="481">
        <v>16.649999999999999</v>
      </c>
      <c r="E664" s="482">
        <f t="shared" si="19"/>
        <v>0</v>
      </c>
      <c r="F664" s="418" t="s">
        <v>494</v>
      </c>
    </row>
    <row r="665" spans="1:6" s="529" customFormat="1" ht="18" hidden="1" customHeight="1">
      <c r="A665" s="707" t="s">
        <v>541</v>
      </c>
      <c r="B665" s="481">
        <f>GTA!V21</f>
        <v>0</v>
      </c>
      <c r="C665" s="481" t="s">
        <v>22</v>
      </c>
      <c r="D665" s="481">
        <v>16.649999999999999</v>
      </c>
      <c r="E665" s="482">
        <f t="shared" si="19"/>
        <v>0</v>
      </c>
      <c r="F665" s="418" t="s">
        <v>494</v>
      </c>
    </row>
    <row r="666" spans="1:6" ht="18" hidden="1" customHeight="1">
      <c r="A666" s="398" t="s">
        <v>733</v>
      </c>
      <c r="B666" s="135">
        <f>GTA!EN21</f>
        <v>0</v>
      </c>
      <c r="C666" s="135" t="s">
        <v>22</v>
      </c>
      <c r="D666" s="135">
        <v>20</v>
      </c>
      <c r="E666" s="314">
        <f t="shared" si="19"/>
        <v>0</v>
      </c>
      <c r="F666" s="418" t="s">
        <v>494</v>
      </c>
    </row>
    <row r="667" spans="1:6" ht="18" hidden="1" customHeight="1">
      <c r="A667" s="398" t="s">
        <v>734</v>
      </c>
      <c r="B667" s="135">
        <f>GTA!EM21</f>
        <v>0</v>
      </c>
      <c r="C667" s="135" t="s">
        <v>22</v>
      </c>
      <c r="D667" s="135">
        <v>20</v>
      </c>
      <c r="E667" s="314">
        <f t="shared" si="19"/>
        <v>0</v>
      </c>
      <c r="F667" s="418" t="s">
        <v>494</v>
      </c>
    </row>
    <row r="668" spans="1:6" ht="18" hidden="1" customHeight="1">
      <c r="A668" s="398" t="s">
        <v>735</v>
      </c>
      <c r="B668" s="135">
        <f>GTA!EO21</f>
        <v>0</v>
      </c>
      <c r="C668" s="135" t="s">
        <v>22</v>
      </c>
      <c r="D668" s="135">
        <v>20</v>
      </c>
      <c r="E668" s="314">
        <f t="shared" si="19"/>
        <v>0</v>
      </c>
      <c r="F668" s="418" t="s">
        <v>494</v>
      </c>
    </row>
    <row r="669" spans="1:6" ht="18" hidden="1" customHeight="1">
      <c r="A669" s="398" t="s">
        <v>737</v>
      </c>
      <c r="B669" s="135">
        <f>GTA!AD21</f>
        <v>0</v>
      </c>
      <c r="C669" s="135" t="s">
        <v>22</v>
      </c>
      <c r="D669" s="135">
        <v>16.649999999999999</v>
      </c>
      <c r="E669" s="314">
        <f t="shared" si="19"/>
        <v>0</v>
      </c>
      <c r="F669" s="418" t="s">
        <v>494</v>
      </c>
    </row>
    <row r="670" spans="1:6" ht="18" hidden="1" customHeight="1">
      <c r="A670" s="398" t="s">
        <v>536</v>
      </c>
      <c r="B670" s="135">
        <f>GTA!CO21</f>
        <v>0</v>
      </c>
      <c r="C670" s="135" t="s">
        <v>22</v>
      </c>
      <c r="D670" s="135">
        <v>16.649999999999999</v>
      </c>
      <c r="E670" s="314">
        <f t="shared" si="19"/>
        <v>0</v>
      </c>
      <c r="F670" s="418" t="s">
        <v>494</v>
      </c>
    </row>
    <row r="671" spans="1:6" s="529" customFormat="1" ht="18" hidden="1" customHeight="1">
      <c r="A671" s="563" t="s">
        <v>510</v>
      </c>
      <c r="B671" s="481">
        <f>GTA!AO21</f>
        <v>0</v>
      </c>
      <c r="C671" s="481" t="s">
        <v>22</v>
      </c>
      <c r="D671" s="481">
        <v>16.649999999999999</v>
      </c>
      <c r="E671" s="482">
        <f t="shared" si="19"/>
        <v>0</v>
      </c>
      <c r="F671" s="418" t="s">
        <v>494</v>
      </c>
    </row>
    <row r="672" spans="1:6" ht="18" hidden="1" customHeight="1">
      <c r="A672" s="398" t="s">
        <v>227</v>
      </c>
      <c r="B672" s="135">
        <f>GTA!BC21</f>
        <v>0</v>
      </c>
      <c r="C672" s="135" t="s">
        <v>22</v>
      </c>
      <c r="D672" s="135">
        <v>16.649999999999999</v>
      </c>
      <c r="E672" s="314">
        <f t="shared" si="19"/>
        <v>0</v>
      </c>
      <c r="F672" s="418" t="s">
        <v>494</v>
      </c>
    </row>
    <row r="673" spans="1:6" ht="18" hidden="1" customHeight="1">
      <c r="A673" s="398" t="s">
        <v>221</v>
      </c>
      <c r="B673" s="135">
        <f>GTA!AH21</f>
        <v>0</v>
      </c>
      <c r="C673" s="135" t="s">
        <v>22</v>
      </c>
      <c r="D673" s="135">
        <v>16.649999999999999</v>
      </c>
      <c r="E673" s="314">
        <f t="shared" si="19"/>
        <v>0</v>
      </c>
      <c r="F673" s="418" t="s">
        <v>494</v>
      </c>
    </row>
    <row r="674" spans="1:6" ht="18" hidden="1" customHeight="1">
      <c r="A674" s="134" t="s">
        <v>222</v>
      </c>
      <c r="B674" s="135">
        <f>GTA!AJ21</f>
        <v>0</v>
      </c>
      <c r="C674" s="135" t="s">
        <v>22</v>
      </c>
      <c r="D674" s="135">
        <v>16.649999999999999</v>
      </c>
      <c r="E674" s="314">
        <f t="shared" si="19"/>
        <v>0</v>
      </c>
      <c r="F674" s="418" t="s">
        <v>494</v>
      </c>
    </row>
    <row r="675" spans="1:6" ht="18" hidden="1" customHeight="1">
      <c r="A675" s="134" t="s">
        <v>413</v>
      </c>
      <c r="B675" s="135">
        <f>GTA!AL21</f>
        <v>0</v>
      </c>
      <c r="C675" s="135" t="s">
        <v>22</v>
      </c>
      <c r="D675" s="135">
        <v>16.649999999999999</v>
      </c>
      <c r="E675" s="314">
        <f t="shared" si="19"/>
        <v>0</v>
      </c>
      <c r="F675" s="418" t="s">
        <v>494</v>
      </c>
    </row>
    <row r="676" spans="1:6" ht="18" customHeight="1">
      <c r="A676" s="134" t="s">
        <v>495</v>
      </c>
      <c r="B676" s="135">
        <f>GTA!I21</f>
        <v>0</v>
      </c>
      <c r="C676" s="135" t="s">
        <v>22</v>
      </c>
      <c r="D676" s="135">
        <v>16.649999999999999</v>
      </c>
      <c r="E676" s="314">
        <f t="shared" ref="E676:E707" si="20">B676*D676</f>
        <v>0</v>
      </c>
      <c r="F676" s="418" t="s">
        <v>494</v>
      </c>
    </row>
    <row r="677" spans="1:6" ht="18" hidden="1" customHeight="1">
      <c r="A677" s="134" t="s">
        <v>509</v>
      </c>
      <c r="B677" s="135">
        <f>GTA!AN21</f>
        <v>0</v>
      </c>
      <c r="C677" s="135" t="s">
        <v>22</v>
      </c>
      <c r="D677" s="135">
        <v>16.649999999999999</v>
      </c>
      <c r="E677" s="314">
        <f t="shared" si="20"/>
        <v>0</v>
      </c>
      <c r="F677" s="418" t="s">
        <v>494</v>
      </c>
    </row>
    <row r="678" spans="1:6" ht="18" hidden="1" customHeight="1">
      <c r="A678" s="134" t="s">
        <v>326</v>
      </c>
      <c r="B678" s="135">
        <f>GTA!AP21</f>
        <v>0</v>
      </c>
      <c r="C678" s="135" t="s">
        <v>22</v>
      </c>
      <c r="D678" s="135">
        <v>16.649999999999999</v>
      </c>
      <c r="E678" s="314">
        <f t="shared" si="20"/>
        <v>0</v>
      </c>
      <c r="F678" s="418" t="s">
        <v>494</v>
      </c>
    </row>
    <row r="679" spans="1:6" ht="18" hidden="1" customHeight="1">
      <c r="A679" s="134" t="s">
        <v>511</v>
      </c>
      <c r="B679" s="135">
        <f>GTA!AQ21</f>
        <v>0</v>
      </c>
      <c r="C679" s="135" t="s">
        <v>22</v>
      </c>
      <c r="D679" s="135">
        <v>16.649999999999999</v>
      </c>
      <c r="E679" s="314">
        <f t="shared" si="20"/>
        <v>0</v>
      </c>
      <c r="F679" s="418" t="s">
        <v>494</v>
      </c>
    </row>
    <row r="680" spans="1:6" s="529" customFormat="1" ht="18" customHeight="1">
      <c r="A680" s="572" t="s">
        <v>130</v>
      </c>
      <c r="B680" s="481">
        <f>GTA!P21</f>
        <v>0</v>
      </c>
      <c r="C680" s="481" t="s">
        <v>22</v>
      </c>
      <c r="D680" s="481">
        <v>16.649999999999999</v>
      </c>
      <c r="E680" s="482">
        <f t="shared" si="20"/>
        <v>0</v>
      </c>
      <c r="F680" s="418" t="s">
        <v>494</v>
      </c>
    </row>
    <row r="681" spans="1:6" ht="18" hidden="1" customHeight="1">
      <c r="A681" s="603" t="s">
        <v>399</v>
      </c>
      <c r="B681" s="135">
        <f>GTA!BN21</f>
        <v>0</v>
      </c>
      <c r="C681" s="135" t="s">
        <v>22</v>
      </c>
      <c r="D681" s="135">
        <v>16.649999999999999</v>
      </c>
      <c r="E681" s="314">
        <f t="shared" si="20"/>
        <v>0</v>
      </c>
      <c r="F681" s="418" t="s">
        <v>494</v>
      </c>
    </row>
    <row r="682" spans="1:6" s="529" customFormat="1" ht="18" hidden="1" customHeight="1">
      <c r="A682" s="578" t="s">
        <v>525</v>
      </c>
      <c r="B682" s="481">
        <f>GTA!BR21</f>
        <v>0</v>
      </c>
      <c r="C682" s="481" t="s">
        <v>22</v>
      </c>
      <c r="D682" s="481">
        <v>16.649999999999999</v>
      </c>
      <c r="E682" s="482">
        <f t="shared" si="20"/>
        <v>0</v>
      </c>
      <c r="F682" s="418" t="s">
        <v>494</v>
      </c>
    </row>
    <row r="683" spans="1:6" s="529" customFormat="1" ht="18" hidden="1" customHeight="1">
      <c r="A683" s="578" t="s">
        <v>740</v>
      </c>
      <c r="B683" s="481">
        <f>GTA!F21</f>
        <v>0</v>
      </c>
      <c r="C683" s="481" t="s">
        <v>22</v>
      </c>
      <c r="D683" s="481">
        <v>16.649999999999999</v>
      </c>
      <c r="E683" s="482">
        <f t="shared" si="20"/>
        <v>0</v>
      </c>
      <c r="F683" s="418" t="s">
        <v>494</v>
      </c>
    </row>
    <row r="684" spans="1:6" s="529" customFormat="1" ht="18" hidden="1" customHeight="1">
      <c r="A684" s="578" t="s">
        <v>388</v>
      </c>
      <c r="B684" s="481">
        <f>GTA!BS21</f>
        <v>0</v>
      </c>
      <c r="C684" s="481" t="s">
        <v>22</v>
      </c>
      <c r="D684" s="481">
        <v>16.649999999999999</v>
      </c>
      <c r="E684" s="482">
        <f t="shared" si="20"/>
        <v>0</v>
      </c>
      <c r="F684" s="418" t="s">
        <v>494</v>
      </c>
    </row>
    <row r="685" spans="1:6" s="529" customFormat="1" ht="18" hidden="1" customHeight="1">
      <c r="A685" s="578" t="s">
        <v>530</v>
      </c>
      <c r="B685" s="481">
        <f>GTA!BT21</f>
        <v>0</v>
      </c>
      <c r="C685" s="481" t="s">
        <v>22</v>
      </c>
      <c r="D685" s="481">
        <v>20</v>
      </c>
      <c r="E685" s="482">
        <f t="shared" si="20"/>
        <v>0</v>
      </c>
      <c r="F685" s="418" t="s">
        <v>494</v>
      </c>
    </row>
    <row r="686" spans="1:6" s="529" customFormat="1" ht="18" customHeight="1">
      <c r="A686" s="394" t="s">
        <v>466</v>
      </c>
      <c r="B686" s="135">
        <f>GTA!AK21</f>
        <v>0</v>
      </c>
      <c r="C686" s="135" t="s">
        <v>22</v>
      </c>
      <c r="D686" s="135">
        <v>16.649999999999999</v>
      </c>
      <c r="E686" s="314">
        <f t="shared" si="20"/>
        <v>0</v>
      </c>
      <c r="F686" s="418" t="s">
        <v>494</v>
      </c>
    </row>
    <row r="687" spans="1:6" s="529" customFormat="1" ht="18" hidden="1" customHeight="1">
      <c r="A687" s="578" t="s">
        <v>533</v>
      </c>
      <c r="B687" s="481">
        <f>GTA!BQ21</f>
        <v>0</v>
      </c>
      <c r="C687" s="481" t="s">
        <v>22</v>
      </c>
      <c r="D687" s="481">
        <v>16.649999999999999</v>
      </c>
      <c r="E687" s="482">
        <f t="shared" si="20"/>
        <v>0</v>
      </c>
      <c r="F687" s="418" t="s">
        <v>494</v>
      </c>
    </row>
    <row r="688" spans="1:6" s="529" customFormat="1" ht="18" customHeight="1">
      <c r="A688" s="815" t="s">
        <v>532</v>
      </c>
      <c r="B688" s="481">
        <f>GTA!BO21</f>
        <v>0</v>
      </c>
      <c r="C688" s="481" t="s">
        <v>22</v>
      </c>
      <c r="D688" s="481">
        <v>16.649999999999999</v>
      </c>
      <c r="E688" s="482">
        <f t="shared" si="20"/>
        <v>0</v>
      </c>
      <c r="F688" s="418" t="s">
        <v>494</v>
      </c>
    </row>
    <row r="689" spans="1:6" s="529" customFormat="1" ht="18" hidden="1" customHeight="1">
      <c r="A689" s="578" t="s">
        <v>539</v>
      </c>
      <c r="B689" s="481">
        <f>GTA!CQ21</f>
        <v>0</v>
      </c>
      <c r="C689" s="481" t="s">
        <v>22</v>
      </c>
      <c r="D689" s="481">
        <v>16.649999999999999</v>
      </c>
      <c r="E689" s="482">
        <f t="shared" si="20"/>
        <v>0</v>
      </c>
      <c r="F689" s="418" t="s">
        <v>494</v>
      </c>
    </row>
    <row r="690" spans="1:6" s="529" customFormat="1" ht="18" customHeight="1">
      <c r="A690" s="815" t="s">
        <v>529</v>
      </c>
      <c r="B690" s="481">
        <f>GTA!BK21</f>
        <v>0</v>
      </c>
      <c r="C690" s="481" t="s">
        <v>22</v>
      </c>
      <c r="D690" s="481">
        <v>16.649999999999999</v>
      </c>
      <c r="E690" s="482">
        <f t="shared" si="20"/>
        <v>0</v>
      </c>
      <c r="F690" s="418" t="s">
        <v>494</v>
      </c>
    </row>
    <row r="691" spans="1:6" s="529" customFormat="1" ht="18" customHeight="1">
      <c r="A691" s="815" t="s">
        <v>535</v>
      </c>
      <c r="B691" s="481">
        <f>GTA!BP21</f>
        <v>0</v>
      </c>
      <c r="C691" s="481" t="s">
        <v>22</v>
      </c>
      <c r="D691" s="481">
        <v>16.649999999999999</v>
      </c>
      <c r="E691" s="482">
        <f t="shared" si="20"/>
        <v>0</v>
      </c>
      <c r="F691" s="418" t="s">
        <v>494</v>
      </c>
    </row>
    <row r="692" spans="1:6" s="529" customFormat="1" ht="18" hidden="1" customHeight="1">
      <c r="A692" s="512" t="s">
        <v>556</v>
      </c>
      <c r="B692" s="481">
        <f>GTA!DY21</f>
        <v>0</v>
      </c>
      <c r="C692" s="481" t="s">
        <v>22</v>
      </c>
      <c r="D692" s="481">
        <v>16.649999999999999</v>
      </c>
      <c r="E692" s="482">
        <f t="shared" si="20"/>
        <v>0</v>
      </c>
      <c r="F692" s="418" t="s">
        <v>494</v>
      </c>
    </row>
    <row r="693" spans="1:6" s="529" customFormat="1" ht="18" customHeight="1">
      <c r="A693" s="136" t="s">
        <v>481</v>
      </c>
      <c r="B693" s="135">
        <f>GTA!AE21</f>
        <v>0</v>
      </c>
      <c r="C693" s="135" t="s">
        <v>22</v>
      </c>
      <c r="D693" s="135">
        <v>16.649999999999999</v>
      </c>
      <c r="E693" s="314">
        <f t="shared" si="20"/>
        <v>0</v>
      </c>
      <c r="F693" s="418" t="s">
        <v>494</v>
      </c>
    </row>
    <row r="694" spans="1:6" s="529" customFormat="1" ht="18" hidden="1" customHeight="1">
      <c r="A694" s="558" t="s">
        <v>551</v>
      </c>
      <c r="B694" s="481">
        <f>GTA!DN21</f>
        <v>0</v>
      </c>
      <c r="C694" s="481" t="s">
        <v>22</v>
      </c>
      <c r="D694" s="481">
        <v>16.649999999999999</v>
      </c>
      <c r="E694" s="482">
        <f t="shared" si="20"/>
        <v>0</v>
      </c>
      <c r="F694" s="418" t="s">
        <v>494</v>
      </c>
    </row>
    <row r="695" spans="1:6" ht="18" hidden="1" customHeight="1">
      <c r="A695" s="134" t="s">
        <v>512</v>
      </c>
      <c r="B695" s="135">
        <f>GTA!AR21</f>
        <v>0</v>
      </c>
      <c r="C695" s="135" t="s">
        <v>22</v>
      </c>
      <c r="D695" s="135">
        <v>16.649999999999999</v>
      </c>
      <c r="E695" s="314">
        <f t="shared" si="20"/>
        <v>0</v>
      </c>
      <c r="F695" s="418" t="s">
        <v>494</v>
      </c>
    </row>
    <row r="696" spans="1:6" ht="18" hidden="1" customHeight="1">
      <c r="A696" s="134" t="s">
        <v>513</v>
      </c>
      <c r="B696" s="135">
        <f>GTA!AS21</f>
        <v>0</v>
      </c>
      <c r="C696" s="135" t="s">
        <v>22</v>
      </c>
      <c r="D696" s="135">
        <v>16.649999999999999</v>
      </c>
      <c r="E696" s="314">
        <f t="shared" si="20"/>
        <v>0</v>
      </c>
      <c r="F696" s="418" t="s">
        <v>494</v>
      </c>
    </row>
    <row r="697" spans="1:6" ht="18" hidden="1" customHeight="1">
      <c r="A697" s="134" t="s">
        <v>514</v>
      </c>
      <c r="B697" s="135">
        <f>GTA!AT21</f>
        <v>0</v>
      </c>
      <c r="C697" s="135" t="s">
        <v>22</v>
      </c>
      <c r="D697" s="135">
        <v>16.649999999999999</v>
      </c>
      <c r="E697" s="314">
        <f t="shared" si="20"/>
        <v>0</v>
      </c>
      <c r="F697" s="418" t="s">
        <v>494</v>
      </c>
    </row>
    <row r="698" spans="1:6" ht="18" hidden="1" customHeight="1">
      <c r="A698" s="134" t="s">
        <v>515</v>
      </c>
      <c r="B698" s="135">
        <f>GTA!AU21</f>
        <v>0</v>
      </c>
      <c r="C698" s="135" t="s">
        <v>22</v>
      </c>
      <c r="D698" s="135">
        <v>16.649999999999999</v>
      </c>
      <c r="E698" s="314">
        <f t="shared" si="20"/>
        <v>0</v>
      </c>
      <c r="F698" s="418" t="s">
        <v>494</v>
      </c>
    </row>
    <row r="699" spans="1:6" ht="18" hidden="1" customHeight="1">
      <c r="A699" s="134" t="s">
        <v>516</v>
      </c>
      <c r="B699" s="135">
        <f>GTA!AV21</f>
        <v>0</v>
      </c>
      <c r="C699" s="135" t="s">
        <v>22</v>
      </c>
      <c r="D699" s="135">
        <v>16.649999999999999</v>
      </c>
      <c r="E699" s="314">
        <f t="shared" si="20"/>
        <v>0</v>
      </c>
      <c r="F699" s="418" t="s">
        <v>494</v>
      </c>
    </row>
    <row r="700" spans="1:6" ht="18" hidden="1" customHeight="1">
      <c r="A700" s="134" t="s">
        <v>517</v>
      </c>
      <c r="B700" s="135">
        <f>GTA!AW21</f>
        <v>0</v>
      </c>
      <c r="C700" s="135" t="s">
        <v>22</v>
      </c>
      <c r="D700" s="135">
        <v>16.649999999999999</v>
      </c>
      <c r="E700" s="314">
        <f t="shared" si="20"/>
        <v>0</v>
      </c>
      <c r="F700" s="418" t="s">
        <v>494</v>
      </c>
    </row>
    <row r="701" spans="1:6" ht="18" hidden="1" customHeight="1">
      <c r="A701" s="134" t="s">
        <v>518</v>
      </c>
      <c r="B701" s="135">
        <f>GTA!AX21</f>
        <v>0</v>
      </c>
      <c r="C701" s="135" t="s">
        <v>22</v>
      </c>
      <c r="D701" s="135">
        <v>16.649999999999999</v>
      </c>
      <c r="E701" s="314">
        <f t="shared" si="20"/>
        <v>0</v>
      </c>
      <c r="F701" s="418" t="s">
        <v>494</v>
      </c>
    </row>
    <row r="702" spans="1:6" ht="18" hidden="1" customHeight="1">
      <c r="A702" s="403" t="s">
        <v>519</v>
      </c>
      <c r="B702" s="135">
        <f>GTA!AY21</f>
        <v>0</v>
      </c>
      <c r="C702" s="135" t="s">
        <v>22</v>
      </c>
      <c r="D702" s="135">
        <v>16.649999999999999</v>
      </c>
      <c r="E702" s="314">
        <f t="shared" si="20"/>
        <v>0</v>
      </c>
      <c r="F702" s="418" t="s">
        <v>494</v>
      </c>
    </row>
    <row r="703" spans="1:6" ht="18" hidden="1" customHeight="1">
      <c r="A703" s="134" t="s">
        <v>327</v>
      </c>
      <c r="B703" s="135">
        <f>GTA!AZ21</f>
        <v>0</v>
      </c>
      <c r="C703" s="135" t="s">
        <v>22</v>
      </c>
      <c r="D703" s="135">
        <v>16.649999999999999</v>
      </c>
      <c r="E703" s="314">
        <f t="shared" si="20"/>
        <v>0</v>
      </c>
      <c r="F703" s="418" t="s">
        <v>494</v>
      </c>
    </row>
    <row r="704" spans="1:6" ht="18" hidden="1" customHeight="1">
      <c r="A704" s="134" t="s">
        <v>520</v>
      </c>
      <c r="B704" s="135">
        <f>GTA!BA21</f>
        <v>0</v>
      </c>
      <c r="C704" s="135" t="s">
        <v>22</v>
      </c>
      <c r="D704" s="135">
        <v>16.649999999999999</v>
      </c>
      <c r="E704" s="314">
        <f t="shared" si="20"/>
        <v>0</v>
      </c>
      <c r="F704" s="418" t="s">
        <v>494</v>
      </c>
    </row>
    <row r="705" spans="1:6" ht="18" hidden="1" customHeight="1">
      <c r="A705" s="398" t="s">
        <v>225</v>
      </c>
      <c r="B705" s="135">
        <f>GTA!BB21</f>
        <v>0</v>
      </c>
      <c r="C705" s="135" t="s">
        <v>22</v>
      </c>
      <c r="D705" s="135">
        <v>16.649999999999999</v>
      </c>
      <c r="E705" s="314">
        <f t="shared" si="20"/>
        <v>0</v>
      </c>
      <c r="F705" s="418" t="s">
        <v>494</v>
      </c>
    </row>
    <row r="706" spans="1:6" ht="18" hidden="1" customHeight="1">
      <c r="A706" s="134" t="s">
        <v>558</v>
      </c>
      <c r="B706" s="135">
        <f>GTA!ED21</f>
        <v>0</v>
      </c>
      <c r="C706" s="135" t="s">
        <v>22</v>
      </c>
      <c r="D706" s="135">
        <v>20</v>
      </c>
      <c r="E706" s="314">
        <f t="shared" si="20"/>
        <v>0</v>
      </c>
      <c r="F706" s="418" t="s">
        <v>494</v>
      </c>
    </row>
    <row r="707" spans="1:6" ht="18" hidden="1" customHeight="1">
      <c r="A707" s="134" t="s">
        <v>522</v>
      </c>
      <c r="B707" s="135">
        <f>GTA!BD21</f>
        <v>0</v>
      </c>
      <c r="C707" s="135" t="s">
        <v>22</v>
      </c>
      <c r="D707" s="135">
        <v>16.649999999999999</v>
      </c>
      <c r="E707" s="314">
        <f t="shared" si="20"/>
        <v>0</v>
      </c>
      <c r="F707" s="418" t="s">
        <v>494</v>
      </c>
    </row>
    <row r="708" spans="1:6" ht="18" hidden="1" customHeight="1">
      <c r="A708" s="134" t="s">
        <v>524</v>
      </c>
      <c r="B708" s="135">
        <f>GTA!BE21</f>
        <v>0</v>
      </c>
      <c r="C708" s="135" t="s">
        <v>22</v>
      </c>
      <c r="D708" s="135">
        <v>16.649999999999999</v>
      </c>
      <c r="E708" s="314">
        <f t="shared" ref="E708:E739" si="21">B708*D708</f>
        <v>0</v>
      </c>
      <c r="F708" s="418" t="s">
        <v>494</v>
      </c>
    </row>
    <row r="709" spans="1:6" ht="18" hidden="1" customHeight="1">
      <c r="A709" s="134" t="s">
        <v>384</v>
      </c>
      <c r="B709" s="135">
        <f>GTA!BF21</f>
        <v>0</v>
      </c>
      <c r="C709" s="135" t="s">
        <v>22</v>
      </c>
      <c r="D709" s="135">
        <v>16.649999999999999</v>
      </c>
      <c r="E709" s="314">
        <f t="shared" si="21"/>
        <v>0</v>
      </c>
      <c r="F709" s="418" t="s">
        <v>494</v>
      </c>
    </row>
    <row r="710" spans="1:6" ht="18" hidden="1" customHeight="1">
      <c r="A710" s="134" t="s">
        <v>416</v>
      </c>
      <c r="B710" s="135">
        <f>GTA!BH21</f>
        <v>0</v>
      </c>
      <c r="C710" s="135" t="s">
        <v>22</v>
      </c>
      <c r="D710" s="135">
        <v>16.649999999999999</v>
      </c>
      <c r="E710" s="314">
        <f t="shared" si="21"/>
        <v>0</v>
      </c>
      <c r="F710" s="418" t="s">
        <v>494</v>
      </c>
    </row>
    <row r="711" spans="1:6" ht="18" customHeight="1">
      <c r="A711" s="398" t="s">
        <v>736</v>
      </c>
      <c r="B711" s="135">
        <f>GTA!AF21</f>
        <v>0</v>
      </c>
      <c r="C711" s="135" t="s">
        <v>22</v>
      </c>
      <c r="D711" s="135">
        <v>16.649999999999999</v>
      </c>
      <c r="E711" s="314">
        <f t="shared" si="21"/>
        <v>0</v>
      </c>
      <c r="F711" s="418" t="s">
        <v>494</v>
      </c>
    </row>
    <row r="712" spans="1:6" ht="18" hidden="1" customHeight="1">
      <c r="A712" s="134" t="s">
        <v>742</v>
      </c>
      <c r="B712" s="135">
        <f>GTA!CL21</f>
        <v>0</v>
      </c>
      <c r="C712" s="135" t="s">
        <v>22</v>
      </c>
      <c r="D712" s="135">
        <v>16.649999999999999</v>
      </c>
      <c r="E712" s="314">
        <f t="shared" si="21"/>
        <v>0</v>
      </c>
      <c r="F712" s="418" t="s">
        <v>494</v>
      </c>
    </row>
    <row r="713" spans="1:6" ht="18" hidden="1" customHeight="1">
      <c r="A713" s="134" t="s">
        <v>743</v>
      </c>
      <c r="B713" s="135">
        <f>GTA!CM21</f>
        <v>0</v>
      </c>
      <c r="C713" s="135" t="s">
        <v>22</v>
      </c>
      <c r="D713" s="135">
        <v>16.649999999999999</v>
      </c>
      <c r="E713" s="314">
        <f t="shared" si="21"/>
        <v>0</v>
      </c>
      <c r="F713" s="418" t="s">
        <v>494</v>
      </c>
    </row>
    <row r="714" spans="1:6" ht="18" hidden="1" customHeight="1">
      <c r="A714" s="134" t="s">
        <v>744</v>
      </c>
      <c r="B714" s="135">
        <f>GTA!BY21</f>
        <v>0</v>
      </c>
      <c r="C714" s="135" t="s">
        <v>22</v>
      </c>
      <c r="D714" s="135">
        <v>16.649999999999999</v>
      </c>
      <c r="E714" s="314">
        <f t="shared" si="21"/>
        <v>0</v>
      </c>
      <c r="F714" s="418" t="s">
        <v>494</v>
      </c>
    </row>
    <row r="715" spans="1:6" ht="18" customHeight="1">
      <c r="A715" s="563" t="s">
        <v>738</v>
      </c>
      <c r="B715" s="481">
        <f>GTA!AI21</f>
        <v>0</v>
      </c>
      <c r="C715" s="481" t="s">
        <v>22</v>
      </c>
      <c r="D715" s="481">
        <v>16.649999999999999</v>
      </c>
      <c r="E715" s="482">
        <f t="shared" si="21"/>
        <v>0</v>
      </c>
      <c r="F715" s="418" t="s">
        <v>494</v>
      </c>
    </row>
    <row r="716" spans="1:6" ht="18" hidden="1" customHeight="1">
      <c r="A716" s="398" t="s">
        <v>256</v>
      </c>
      <c r="B716" s="135">
        <f>GTA!EE21</f>
        <v>0</v>
      </c>
      <c r="C716" s="135" t="s">
        <v>22</v>
      </c>
      <c r="D716" s="135">
        <v>20</v>
      </c>
      <c r="E716" s="314">
        <f t="shared" si="21"/>
        <v>0</v>
      </c>
      <c r="F716" s="418" t="s">
        <v>494</v>
      </c>
    </row>
    <row r="717" spans="1:6" ht="18" hidden="1" customHeight="1">
      <c r="A717" s="398" t="s">
        <v>745</v>
      </c>
      <c r="B717" s="135">
        <f>GTA!DU21</f>
        <v>0</v>
      </c>
      <c r="C717" s="135" t="s">
        <v>22</v>
      </c>
      <c r="D717" s="135">
        <v>16.649999999999999</v>
      </c>
      <c r="E717" s="314">
        <f t="shared" si="21"/>
        <v>0</v>
      </c>
      <c r="F717" s="418" t="s">
        <v>494</v>
      </c>
    </row>
    <row r="718" spans="1:6" ht="18" hidden="1" customHeight="1">
      <c r="A718" s="398" t="s">
        <v>746</v>
      </c>
      <c r="B718" s="135">
        <f>GTA!CA21</f>
        <v>0</v>
      </c>
      <c r="C718" s="135" t="s">
        <v>22</v>
      </c>
      <c r="D718" s="135">
        <v>16.649999999999999</v>
      </c>
      <c r="E718" s="314">
        <f t="shared" si="21"/>
        <v>0</v>
      </c>
      <c r="F718" s="418" t="s">
        <v>494</v>
      </c>
    </row>
    <row r="719" spans="1:6" ht="18" hidden="1" customHeight="1">
      <c r="A719" s="134" t="s">
        <v>229</v>
      </c>
      <c r="B719" s="135">
        <f>GTA!CB21</f>
        <v>0</v>
      </c>
      <c r="C719" s="135" t="s">
        <v>22</v>
      </c>
      <c r="D719" s="135">
        <v>16.649999999999999</v>
      </c>
      <c r="E719" s="314">
        <f t="shared" si="21"/>
        <v>0</v>
      </c>
      <c r="F719" s="418" t="s">
        <v>494</v>
      </c>
    </row>
    <row r="720" spans="1:6" ht="18" hidden="1" customHeight="1">
      <c r="A720" s="134" t="s">
        <v>470</v>
      </c>
      <c r="B720" s="135">
        <f>GTA!CD21</f>
        <v>0</v>
      </c>
      <c r="C720" s="135" t="s">
        <v>22</v>
      </c>
      <c r="D720" s="135">
        <v>16.649999999999999</v>
      </c>
      <c r="E720" s="314">
        <f t="shared" si="21"/>
        <v>0</v>
      </c>
      <c r="F720" s="418" t="s">
        <v>494</v>
      </c>
    </row>
    <row r="721" spans="1:6" ht="18" hidden="1" customHeight="1">
      <c r="A721" s="512" t="s">
        <v>526</v>
      </c>
      <c r="B721" s="135">
        <f>GTA!CE21</f>
        <v>0</v>
      </c>
      <c r="C721" s="135" t="s">
        <v>22</v>
      </c>
      <c r="D721" s="135">
        <v>16.649999999999999</v>
      </c>
      <c r="E721" s="314">
        <f t="shared" si="21"/>
        <v>0</v>
      </c>
      <c r="F721" s="418" t="s">
        <v>494</v>
      </c>
    </row>
    <row r="722" spans="1:6" ht="18" hidden="1" customHeight="1">
      <c r="A722" s="134" t="s">
        <v>528</v>
      </c>
      <c r="B722" s="135">
        <f>GTA!CF21</f>
        <v>0</v>
      </c>
      <c r="C722" s="135" t="s">
        <v>22</v>
      </c>
      <c r="D722" s="135">
        <v>16.649999999999999</v>
      </c>
      <c r="E722" s="314">
        <f t="shared" si="21"/>
        <v>0</v>
      </c>
      <c r="F722" s="418" t="s">
        <v>494</v>
      </c>
    </row>
    <row r="723" spans="1:6" ht="18" hidden="1" customHeight="1">
      <c r="A723" s="134" t="s">
        <v>386</v>
      </c>
      <c r="B723" s="135">
        <f>GTA!CH21</f>
        <v>0</v>
      </c>
      <c r="C723" s="135" t="s">
        <v>22</v>
      </c>
      <c r="D723" s="135">
        <v>16.649999999999999</v>
      </c>
      <c r="E723" s="314">
        <f t="shared" si="21"/>
        <v>0</v>
      </c>
      <c r="F723" s="418" t="s">
        <v>494</v>
      </c>
    </row>
    <row r="724" spans="1:6" ht="18" hidden="1" customHeight="1">
      <c r="A724" s="134" t="s">
        <v>463</v>
      </c>
      <c r="B724" s="135">
        <f>GTA!CG21</f>
        <v>0</v>
      </c>
      <c r="C724" s="135" t="s">
        <v>22</v>
      </c>
      <c r="D724" s="135">
        <v>16.649999999999999</v>
      </c>
      <c r="E724" s="314">
        <f t="shared" si="21"/>
        <v>0</v>
      </c>
      <c r="F724" s="418" t="s">
        <v>494</v>
      </c>
    </row>
    <row r="725" spans="1:6" ht="18" hidden="1" customHeight="1">
      <c r="A725" s="134" t="s">
        <v>329</v>
      </c>
      <c r="B725" s="135">
        <f>GTA!CI21</f>
        <v>0</v>
      </c>
      <c r="C725" s="135" t="s">
        <v>22</v>
      </c>
      <c r="D725" s="135">
        <v>16.649999999999999</v>
      </c>
      <c r="E725" s="314">
        <f t="shared" si="21"/>
        <v>0</v>
      </c>
      <c r="F725" s="418" t="s">
        <v>494</v>
      </c>
    </row>
    <row r="726" spans="1:6" ht="18" hidden="1" customHeight="1">
      <c r="A726" s="134" t="s">
        <v>389</v>
      </c>
      <c r="B726" s="135">
        <f>GTA!CJ21</f>
        <v>0</v>
      </c>
      <c r="C726" s="135" t="s">
        <v>22</v>
      </c>
      <c r="D726" s="135">
        <v>16.649999999999999</v>
      </c>
      <c r="E726" s="314">
        <f t="shared" si="21"/>
        <v>0</v>
      </c>
      <c r="F726" s="418" t="s">
        <v>494</v>
      </c>
    </row>
    <row r="727" spans="1:6" ht="18" hidden="1" customHeight="1">
      <c r="A727" s="134" t="s">
        <v>747</v>
      </c>
      <c r="B727" s="135">
        <f>GTA!CK21</f>
        <v>0</v>
      </c>
      <c r="C727" s="135" t="s">
        <v>22</v>
      </c>
      <c r="D727" s="135">
        <v>16.649999999999999</v>
      </c>
      <c r="E727" s="314">
        <f t="shared" si="21"/>
        <v>0</v>
      </c>
      <c r="F727" s="418" t="s">
        <v>494</v>
      </c>
    </row>
    <row r="728" spans="1:6" ht="18" customHeight="1">
      <c r="A728" s="398" t="s">
        <v>393</v>
      </c>
      <c r="B728" s="135">
        <f>GTA!CS21</f>
        <v>0</v>
      </c>
      <c r="C728" s="135" t="s">
        <v>22</v>
      </c>
      <c r="D728" s="135">
        <v>16.649999999999999</v>
      </c>
      <c r="E728" s="314">
        <f t="shared" si="21"/>
        <v>0</v>
      </c>
      <c r="F728" s="418" t="s">
        <v>494</v>
      </c>
    </row>
    <row r="729" spans="1:6" ht="18" customHeight="1">
      <c r="A729" s="134" t="s">
        <v>508</v>
      </c>
      <c r="B729" s="135">
        <f>GTA!AM21</f>
        <v>0</v>
      </c>
      <c r="C729" s="135" t="s">
        <v>22</v>
      </c>
      <c r="D729" s="135">
        <v>16.649999999999999</v>
      </c>
      <c r="E729" s="314">
        <f t="shared" si="21"/>
        <v>0</v>
      </c>
      <c r="F729" s="418" t="s">
        <v>494</v>
      </c>
    </row>
    <row r="730" spans="1:6" ht="18" hidden="1" customHeight="1">
      <c r="A730" s="136" t="s">
        <v>538</v>
      </c>
      <c r="B730" s="135">
        <f>GTA!CP21</f>
        <v>0</v>
      </c>
      <c r="C730" s="135" t="s">
        <v>22</v>
      </c>
      <c r="D730" s="135">
        <v>16.649999999999999</v>
      </c>
      <c r="E730" s="314">
        <f t="shared" si="21"/>
        <v>0</v>
      </c>
      <c r="F730" s="418" t="s">
        <v>494</v>
      </c>
    </row>
    <row r="731" spans="1:6" ht="18" hidden="1" customHeight="1">
      <c r="A731" s="134" t="s">
        <v>542</v>
      </c>
      <c r="B731" s="135">
        <f>GTA!CR21</f>
        <v>0</v>
      </c>
      <c r="C731" s="135" t="s">
        <v>22</v>
      </c>
      <c r="D731" s="135">
        <v>16.649999999999999</v>
      </c>
      <c r="E731" s="314">
        <f t="shared" si="21"/>
        <v>0</v>
      </c>
      <c r="F731" s="418" t="s">
        <v>494</v>
      </c>
    </row>
    <row r="732" spans="1:6" ht="18" customHeight="1">
      <c r="A732" s="558" t="s">
        <v>739</v>
      </c>
      <c r="B732" s="481">
        <f>GTA!BM21</f>
        <v>0</v>
      </c>
      <c r="C732" s="481" t="s">
        <v>22</v>
      </c>
      <c r="D732" s="481">
        <v>16.649999999999999</v>
      </c>
      <c r="E732" s="482">
        <f t="shared" si="21"/>
        <v>0</v>
      </c>
      <c r="F732" s="418" t="s">
        <v>494</v>
      </c>
    </row>
    <row r="733" spans="1:6" ht="18" hidden="1" customHeight="1">
      <c r="A733" s="134" t="s">
        <v>550</v>
      </c>
      <c r="B733" s="135">
        <f>GTA!DK21</f>
        <v>0</v>
      </c>
      <c r="C733" s="135" t="s">
        <v>22</v>
      </c>
      <c r="D733" s="135">
        <v>16.649999999999999</v>
      </c>
      <c r="E733" s="314">
        <f t="shared" si="21"/>
        <v>0</v>
      </c>
      <c r="F733" s="418" t="s">
        <v>494</v>
      </c>
    </row>
    <row r="734" spans="1:6" s="529" customFormat="1" ht="18" hidden="1" customHeight="1">
      <c r="A734" s="512" t="s">
        <v>485</v>
      </c>
      <c r="B734" s="481">
        <f>GTA!DR21</f>
        <v>0</v>
      </c>
      <c r="C734" s="481" t="s">
        <v>22</v>
      </c>
      <c r="D734" s="481">
        <v>16.649999999999999</v>
      </c>
      <c r="E734" s="482">
        <f t="shared" si="21"/>
        <v>0</v>
      </c>
      <c r="F734" s="418" t="s">
        <v>494</v>
      </c>
    </row>
    <row r="735" spans="1:6" ht="18" hidden="1" customHeight="1">
      <c r="A735" s="134" t="s">
        <v>479</v>
      </c>
      <c r="B735" s="135">
        <f>GTA!CX21</f>
        <v>0</v>
      </c>
      <c r="C735" s="135" t="s">
        <v>22</v>
      </c>
      <c r="D735" s="135">
        <v>16.649999999999999</v>
      </c>
      <c r="E735" s="314">
        <f t="shared" si="21"/>
        <v>0</v>
      </c>
      <c r="F735" s="418" t="s">
        <v>494</v>
      </c>
    </row>
    <row r="736" spans="1:6" ht="18" hidden="1" customHeight="1">
      <c r="A736" s="134" t="s">
        <v>330</v>
      </c>
      <c r="B736" s="135">
        <f>GTA!CY21</f>
        <v>0</v>
      </c>
      <c r="C736" s="135" t="s">
        <v>22</v>
      </c>
      <c r="D736" s="135">
        <v>16.649999999999999</v>
      </c>
      <c r="E736" s="314">
        <f t="shared" si="21"/>
        <v>0</v>
      </c>
      <c r="F736" s="418" t="s">
        <v>494</v>
      </c>
    </row>
    <row r="737" spans="1:6" ht="18" hidden="1" customHeight="1">
      <c r="A737" s="134" t="s">
        <v>544</v>
      </c>
      <c r="B737" s="135">
        <f>GTA!DA21</f>
        <v>0</v>
      </c>
      <c r="C737" s="135" t="s">
        <v>22</v>
      </c>
      <c r="D737" s="135">
        <v>16.649999999999999</v>
      </c>
      <c r="E737" s="314">
        <f t="shared" si="21"/>
        <v>0</v>
      </c>
      <c r="F737" s="418" t="s">
        <v>494</v>
      </c>
    </row>
    <row r="738" spans="1:6" ht="18" hidden="1" customHeight="1">
      <c r="A738" s="134" t="s">
        <v>338</v>
      </c>
      <c r="B738" s="135">
        <f>GTA!DB21</f>
        <v>0</v>
      </c>
      <c r="C738" s="135" t="s">
        <v>22</v>
      </c>
      <c r="D738" s="135">
        <v>16.649999999999999</v>
      </c>
      <c r="E738" s="314">
        <f t="shared" si="21"/>
        <v>0</v>
      </c>
      <c r="F738" s="418" t="s">
        <v>494</v>
      </c>
    </row>
    <row r="739" spans="1:6" ht="18" customHeight="1">
      <c r="A739" s="558" t="s">
        <v>531</v>
      </c>
      <c r="B739" s="481">
        <f>GTA!BU21</f>
        <v>0</v>
      </c>
      <c r="C739" s="481" t="s">
        <v>22</v>
      </c>
      <c r="D739" s="481">
        <v>16.649999999999999</v>
      </c>
      <c r="E739" s="482">
        <f t="shared" si="21"/>
        <v>0</v>
      </c>
      <c r="F739" s="418" t="s">
        <v>494</v>
      </c>
    </row>
    <row r="740" spans="1:6" s="529" customFormat="1" ht="18" hidden="1" customHeight="1">
      <c r="A740" s="512" t="s">
        <v>750</v>
      </c>
      <c r="B740" s="481">
        <f>GTA!DD21</f>
        <v>0</v>
      </c>
      <c r="C740" s="481" t="s">
        <v>22</v>
      </c>
      <c r="D740" s="481">
        <v>16.649999999999999</v>
      </c>
      <c r="E740" s="482">
        <f t="shared" ref="E740:E752" si="22">B740*D740</f>
        <v>0</v>
      </c>
      <c r="F740" s="418" t="s">
        <v>494</v>
      </c>
    </row>
    <row r="741" spans="1:6" s="529" customFormat="1" ht="18" customHeight="1">
      <c r="A741" s="558" t="s">
        <v>419</v>
      </c>
      <c r="B741" s="481">
        <f>GTA!BV21</f>
        <v>0</v>
      </c>
      <c r="C741" s="481" t="s">
        <v>22</v>
      </c>
      <c r="D741" s="481">
        <v>16.649999999999999</v>
      </c>
      <c r="E741" s="482">
        <f t="shared" si="22"/>
        <v>0</v>
      </c>
      <c r="F741" s="418" t="s">
        <v>494</v>
      </c>
    </row>
    <row r="742" spans="1:6" ht="18" hidden="1" customHeight="1">
      <c r="A742" s="134" t="s">
        <v>751</v>
      </c>
      <c r="B742" s="135">
        <f>GTA!DC21</f>
        <v>0</v>
      </c>
      <c r="C742" s="135" t="s">
        <v>22</v>
      </c>
      <c r="D742" s="135">
        <v>16.649999999999999</v>
      </c>
      <c r="E742" s="314">
        <f t="shared" si="22"/>
        <v>0</v>
      </c>
      <c r="F742" s="418" t="s">
        <v>494</v>
      </c>
    </row>
    <row r="743" spans="1:6" ht="18" hidden="1" customHeight="1">
      <c r="A743" s="134" t="s">
        <v>752</v>
      </c>
      <c r="B743" s="135">
        <f>GTA!DE21</f>
        <v>0</v>
      </c>
      <c r="C743" s="135" t="s">
        <v>22</v>
      </c>
      <c r="D743" s="135">
        <v>16.649999999999999</v>
      </c>
      <c r="E743" s="314">
        <f t="shared" si="22"/>
        <v>0</v>
      </c>
      <c r="F743" s="418" t="s">
        <v>494</v>
      </c>
    </row>
    <row r="744" spans="1:6" ht="18" hidden="1" customHeight="1">
      <c r="A744" s="134" t="s">
        <v>237</v>
      </c>
      <c r="B744" s="135">
        <f>GTA!DF21</f>
        <v>0</v>
      </c>
      <c r="C744" s="135" t="s">
        <v>22</v>
      </c>
      <c r="D744" s="135">
        <v>16.649999999999999</v>
      </c>
      <c r="E744" s="314">
        <f t="shared" si="22"/>
        <v>0</v>
      </c>
      <c r="F744" s="418" t="s">
        <v>494</v>
      </c>
    </row>
    <row r="745" spans="1:6" ht="18" hidden="1" customHeight="1">
      <c r="A745" s="134" t="s">
        <v>545</v>
      </c>
      <c r="B745" s="135">
        <f>GTA!DG21</f>
        <v>0</v>
      </c>
      <c r="C745" s="135" t="s">
        <v>22</v>
      </c>
      <c r="D745" s="135">
        <v>16.649999999999999</v>
      </c>
      <c r="E745" s="314">
        <f t="shared" si="22"/>
        <v>0</v>
      </c>
      <c r="F745" s="418" t="s">
        <v>494</v>
      </c>
    </row>
    <row r="746" spans="1:6" ht="18" hidden="1" customHeight="1">
      <c r="A746" s="398" t="s">
        <v>559</v>
      </c>
      <c r="B746" s="135">
        <f>GTA!EF21</f>
        <v>0</v>
      </c>
      <c r="C746" s="135" t="s">
        <v>22</v>
      </c>
      <c r="D746" s="135">
        <v>20</v>
      </c>
      <c r="E746" s="314">
        <f t="shared" si="22"/>
        <v>0</v>
      </c>
      <c r="F746" s="418" t="s">
        <v>494</v>
      </c>
    </row>
    <row r="747" spans="1:6" ht="18" hidden="1" customHeight="1">
      <c r="A747" s="398" t="s">
        <v>546</v>
      </c>
      <c r="B747" s="135">
        <f>GTA!DH21</f>
        <v>0</v>
      </c>
      <c r="C747" s="135" t="s">
        <v>22</v>
      </c>
      <c r="D747" s="135">
        <v>16.649999999999999</v>
      </c>
      <c r="E747" s="314">
        <f t="shared" si="22"/>
        <v>0</v>
      </c>
      <c r="F747" s="418" t="s">
        <v>494</v>
      </c>
    </row>
    <row r="748" spans="1:6" s="529" customFormat="1" ht="18" hidden="1" customHeight="1">
      <c r="A748" s="563" t="s">
        <v>547</v>
      </c>
      <c r="B748" s="481">
        <f>GTA!DI21</f>
        <v>0</v>
      </c>
      <c r="C748" s="481" t="s">
        <v>22</v>
      </c>
      <c r="D748" s="481">
        <v>16.649999999999999</v>
      </c>
      <c r="E748" s="482">
        <f t="shared" si="22"/>
        <v>0</v>
      </c>
      <c r="F748" s="418" t="s">
        <v>494</v>
      </c>
    </row>
    <row r="749" spans="1:6" ht="18" hidden="1" customHeight="1">
      <c r="A749" s="398" t="s">
        <v>560</v>
      </c>
      <c r="B749" s="135">
        <f>GTA!EG21</f>
        <v>0</v>
      </c>
      <c r="C749" s="135" t="s">
        <v>22</v>
      </c>
      <c r="D749" s="135">
        <v>20</v>
      </c>
      <c r="E749" s="314">
        <f t="shared" si="22"/>
        <v>0</v>
      </c>
      <c r="F749" s="418" t="s">
        <v>494</v>
      </c>
    </row>
    <row r="750" spans="1:6" s="529" customFormat="1" ht="18" hidden="1" customHeight="1">
      <c r="A750" s="512" t="s">
        <v>549</v>
      </c>
      <c r="B750" s="481">
        <f>GTA!DJ21</f>
        <v>0</v>
      </c>
      <c r="C750" s="481" t="s">
        <v>22</v>
      </c>
      <c r="D750" s="481">
        <v>16.649999999999999</v>
      </c>
      <c r="E750" s="482">
        <f t="shared" si="22"/>
        <v>0</v>
      </c>
      <c r="F750" s="418" t="s">
        <v>494</v>
      </c>
    </row>
    <row r="751" spans="1:6" ht="18" hidden="1" customHeight="1">
      <c r="A751" s="398" t="s">
        <v>753</v>
      </c>
      <c r="B751" s="135">
        <f>GTA!EB21</f>
        <v>0</v>
      </c>
      <c r="C751" s="135" t="s">
        <v>22</v>
      </c>
      <c r="D751" s="135">
        <v>20</v>
      </c>
      <c r="E751" s="314">
        <f t="shared" si="22"/>
        <v>0</v>
      </c>
      <c r="F751" s="418" t="s">
        <v>494</v>
      </c>
    </row>
    <row r="752" spans="1:6" ht="18" hidden="1" customHeight="1">
      <c r="A752" s="398" t="s">
        <v>718</v>
      </c>
      <c r="B752" s="135">
        <f>GTA!Z21</f>
        <v>0</v>
      </c>
      <c r="C752" s="135" t="s">
        <v>22</v>
      </c>
      <c r="D752" s="135">
        <v>16.649999999999999</v>
      </c>
      <c r="E752" s="314">
        <f t="shared" si="22"/>
        <v>0</v>
      </c>
      <c r="F752" s="418" t="s">
        <v>494</v>
      </c>
    </row>
    <row r="753" spans="1:6" ht="18" hidden="1" customHeight="1">
      <c r="A753" s="398" t="s">
        <v>754</v>
      </c>
      <c r="B753" s="135">
        <f>GTA!EC21</f>
        <v>0</v>
      </c>
      <c r="C753" s="135" t="s">
        <v>22</v>
      </c>
      <c r="D753" s="135">
        <v>20</v>
      </c>
      <c r="E753" s="314">
        <f>(B753*D753)</f>
        <v>0</v>
      </c>
      <c r="F753" s="418" t="s">
        <v>494</v>
      </c>
    </row>
    <row r="754" spans="1:6" ht="18" hidden="1" customHeight="1">
      <c r="A754" s="398" t="s">
        <v>755</v>
      </c>
      <c r="B754" s="135">
        <f>GTA!X21</f>
        <v>0</v>
      </c>
      <c r="C754" s="135" t="s">
        <v>22</v>
      </c>
      <c r="D754" s="135">
        <v>16.649999999999999</v>
      </c>
      <c r="E754" s="314">
        <f t="shared" ref="E754:E767" si="23">B754*D754</f>
        <v>0</v>
      </c>
      <c r="F754" s="418" t="s">
        <v>494</v>
      </c>
    </row>
    <row r="755" spans="1:6" s="529" customFormat="1" ht="18" customHeight="1">
      <c r="A755" s="558" t="s">
        <v>427</v>
      </c>
      <c r="B755" s="481">
        <f>GTA!BX21</f>
        <v>0</v>
      </c>
      <c r="C755" s="481" t="s">
        <v>22</v>
      </c>
      <c r="D755" s="481">
        <v>16.649999999999999</v>
      </c>
      <c r="E755" s="482">
        <f t="shared" si="23"/>
        <v>0</v>
      </c>
      <c r="F755" s="418" t="s">
        <v>494</v>
      </c>
    </row>
    <row r="756" spans="1:6" s="529" customFormat="1" ht="18" hidden="1" customHeight="1">
      <c r="A756" s="512" t="s">
        <v>449</v>
      </c>
      <c r="B756" s="481">
        <f>GTA!DL21</f>
        <v>0</v>
      </c>
      <c r="C756" s="481" t="s">
        <v>22</v>
      </c>
      <c r="D756" s="481">
        <v>16.649999999999999</v>
      </c>
      <c r="E756" s="482">
        <f t="shared" si="23"/>
        <v>0</v>
      </c>
      <c r="F756" s="418" t="s">
        <v>494</v>
      </c>
    </row>
    <row r="757" spans="1:6" ht="18" hidden="1" customHeight="1">
      <c r="A757" s="136" t="s">
        <v>239</v>
      </c>
      <c r="B757" s="135">
        <f>GTA!DM21</f>
        <v>0</v>
      </c>
      <c r="C757" s="135" t="s">
        <v>22</v>
      </c>
      <c r="D757" s="135">
        <v>16.649999999999999</v>
      </c>
      <c r="E757" s="314">
        <f t="shared" si="23"/>
        <v>0</v>
      </c>
      <c r="F757" s="418" t="s">
        <v>494</v>
      </c>
    </row>
    <row r="758" spans="1:6" ht="18" hidden="1" customHeight="1">
      <c r="A758" s="134" t="s">
        <v>374</v>
      </c>
      <c r="B758" s="135">
        <f>GTA!DO21</f>
        <v>0</v>
      </c>
      <c r="C758" s="135" t="s">
        <v>22</v>
      </c>
      <c r="D758" s="135">
        <v>16.649999999999999</v>
      </c>
      <c r="E758" s="314">
        <f t="shared" si="23"/>
        <v>0</v>
      </c>
      <c r="F758" s="418" t="s">
        <v>494</v>
      </c>
    </row>
    <row r="759" spans="1:6" ht="18" hidden="1" customHeight="1">
      <c r="A759" s="134" t="s">
        <v>756</v>
      </c>
      <c r="B759" s="135">
        <f>GTA!DS21</f>
        <v>0</v>
      </c>
      <c r="C759" s="135" t="s">
        <v>22</v>
      </c>
      <c r="D759" s="135">
        <v>16.649999999999999</v>
      </c>
      <c r="E759" s="314">
        <f t="shared" si="23"/>
        <v>0</v>
      </c>
      <c r="F759" s="418" t="s">
        <v>494</v>
      </c>
    </row>
    <row r="760" spans="1:6" ht="18" hidden="1" customHeight="1">
      <c r="A760" s="134" t="s">
        <v>430</v>
      </c>
      <c r="B760" s="135">
        <f>GTA!DT21</f>
        <v>0</v>
      </c>
      <c r="C760" s="135" t="s">
        <v>22</v>
      </c>
      <c r="D760" s="135">
        <v>16.649999999999999</v>
      </c>
      <c r="E760" s="314">
        <f t="shared" si="23"/>
        <v>0</v>
      </c>
      <c r="F760" s="418" t="s">
        <v>494</v>
      </c>
    </row>
    <row r="761" spans="1:6" s="529" customFormat="1" ht="18" hidden="1" customHeight="1">
      <c r="A761" s="512" t="s">
        <v>757</v>
      </c>
      <c r="B761" s="481">
        <f>GTA!DV21</f>
        <v>0</v>
      </c>
      <c r="C761" s="481" t="s">
        <v>22</v>
      </c>
      <c r="D761" s="481">
        <v>16.649999999999999</v>
      </c>
      <c r="E761" s="482">
        <f t="shared" si="23"/>
        <v>0</v>
      </c>
      <c r="F761" s="418" t="s">
        <v>494</v>
      </c>
    </row>
    <row r="762" spans="1:6" s="529" customFormat="1" ht="18" hidden="1" customHeight="1">
      <c r="A762" s="512" t="s">
        <v>561</v>
      </c>
      <c r="B762" s="481">
        <f>GTA!EI21</f>
        <v>0</v>
      </c>
      <c r="C762" s="481" t="s">
        <v>22</v>
      </c>
      <c r="D762" s="481">
        <v>20</v>
      </c>
      <c r="E762" s="482">
        <f t="shared" si="23"/>
        <v>0</v>
      </c>
      <c r="F762" s="418" t="s">
        <v>494</v>
      </c>
    </row>
    <row r="763" spans="1:6" ht="18" hidden="1" customHeight="1">
      <c r="A763" s="134" t="s">
        <v>758</v>
      </c>
      <c r="B763" s="135">
        <f>GTA!DX21</f>
        <v>0</v>
      </c>
      <c r="C763" s="135" t="s">
        <v>22</v>
      </c>
      <c r="D763" s="135">
        <v>16.649999999999999</v>
      </c>
      <c r="E763" s="314">
        <f t="shared" si="23"/>
        <v>0</v>
      </c>
      <c r="F763" s="418" t="s">
        <v>494</v>
      </c>
    </row>
    <row r="764" spans="1:6" ht="18" hidden="1" customHeight="1">
      <c r="A764" s="134" t="s">
        <v>759</v>
      </c>
      <c r="B764" s="135">
        <f>GTA!EH21</f>
        <v>0</v>
      </c>
      <c r="C764" s="135" t="s">
        <v>22</v>
      </c>
      <c r="D764" s="135">
        <v>20</v>
      </c>
      <c r="E764" s="314">
        <f t="shared" si="23"/>
        <v>0</v>
      </c>
      <c r="F764" s="418" t="s">
        <v>494</v>
      </c>
    </row>
    <row r="765" spans="1:6" ht="18" hidden="1" customHeight="1">
      <c r="A765" s="134" t="s">
        <v>403</v>
      </c>
      <c r="B765" s="135">
        <f>GTA!EJ21</f>
        <v>0</v>
      </c>
      <c r="C765" s="135" t="s">
        <v>22</v>
      </c>
      <c r="D765" s="135">
        <v>16.649999999999999</v>
      </c>
      <c r="E765" s="314">
        <f t="shared" si="23"/>
        <v>0</v>
      </c>
      <c r="F765" s="418" t="s">
        <v>494</v>
      </c>
    </row>
    <row r="766" spans="1:6" s="529" customFormat="1" ht="18" hidden="1" customHeight="1">
      <c r="A766" s="512" t="s">
        <v>555</v>
      </c>
      <c r="B766" s="481">
        <f>GTA!EK21</f>
        <v>0</v>
      </c>
      <c r="C766" s="481" t="s">
        <v>22</v>
      </c>
      <c r="D766" s="481">
        <v>16.649999999999999</v>
      </c>
      <c r="E766" s="482">
        <f t="shared" si="23"/>
        <v>0</v>
      </c>
      <c r="F766" s="418" t="s">
        <v>494</v>
      </c>
    </row>
    <row r="767" spans="1:6" ht="18" hidden="1" customHeight="1">
      <c r="A767" s="134" t="s">
        <v>557</v>
      </c>
      <c r="B767" s="135">
        <f>GTA!DZ21</f>
        <v>0</v>
      </c>
      <c r="C767" s="135" t="s">
        <v>22</v>
      </c>
      <c r="D767" s="135">
        <v>16.649999999999999</v>
      </c>
      <c r="E767" s="314">
        <f t="shared" si="23"/>
        <v>0</v>
      </c>
      <c r="F767" s="418" t="s">
        <v>494</v>
      </c>
    </row>
    <row r="768" spans="1:6" ht="18" hidden="1" customHeight="1">
      <c r="A768" s="436"/>
      <c r="B768" s="419"/>
      <c r="C768" s="419"/>
      <c r="D768" s="419"/>
      <c r="E768" s="420"/>
    </row>
    <row r="769" spans="1:6" ht="18" hidden="1" customHeight="1">
      <c r="A769" s="418" t="s">
        <v>562</v>
      </c>
      <c r="B769" s="415">
        <f>SUM(B639:B768)</f>
        <v>7</v>
      </c>
      <c r="C769" s="419"/>
      <c r="D769" s="419"/>
      <c r="E769" s="420"/>
    </row>
    <row r="770" spans="1:6" ht="18" hidden="1" customHeight="1">
      <c r="A770" s="134"/>
      <c r="B770" s="135"/>
      <c r="C770" s="135"/>
      <c r="D770" s="135"/>
      <c r="E770" s="314"/>
    </row>
    <row r="771" spans="1:6" ht="18" hidden="1" customHeight="1">
      <c r="A771" s="429" t="s">
        <v>563</v>
      </c>
      <c r="B771" s="415"/>
      <c r="C771" s="419"/>
      <c r="D771" s="419"/>
      <c r="E771" s="420"/>
    </row>
    <row r="772" spans="1:6" ht="18" hidden="1" customHeight="1">
      <c r="A772" s="396" t="s">
        <v>324</v>
      </c>
      <c r="B772" s="135">
        <f>GTA!C475</f>
        <v>0</v>
      </c>
      <c r="C772" s="135" t="s">
        <v>22</v>
      </c>
      <c r="D772" s="135">
        <v>18</v>
      </c>
      <c r="E772" s="314">
        <f t="shared" ref="E772:E779" si="24">B772*D772</f>
        <v>0</v>
      </c>
    </row>
    <row r="773" spans="1:6" ht="18" hidden="1" customHeight="1">
      <c r="A773" s="138" t="s">
        <v>379</v>
      </c>
      <c r="B773" s="135">
        <f>GTA!D475</f>
        <v>0</v>
      </c>
      <c r="C773" s="135" t="s">
        <v>22</v>
      </c>
      <c r="D773" s="135">
        <v>18</v>
      </c>
      <c r="E773" s="314">
        <f t="shared" si="24"/>
        <v>0</v>
      </c>
    </row>
    <row r="774" spans="1:6" ht="18" hidden="1" customHeight="1">
      <c r="A774" s="404" t="s">
        <v>245</v>
      </c>
      <c r="B774" s="135">
        <f>GTA!E475</f>
        <v>0</v>
      </c>
      <c r="C774" s="135" t="s">
        <v>22</v>
      </c>
      <c r="D774" s="135">
        <v>18</v>
      </c>
      <c r="E774" s="314">
        <f t="shared" si="24"/>
        <v>0</v>
      </c>
    </row>
    <row r="775" spans="1:6" ht="18" hidden="1" customHeight="1">
      <c r="A775" s="284" t="s">
        <v>221</v>
      </c>
      <c r="B775" s="135">
        <f>GTA!F475</f>
        <v>0</v>
      </c>
      <c r="C775" s="135" t="s">
        <v>22</v>
      </c>
      <c r="D775" s="135">
        <v>18</v>
      </c>
      <c r="E775" s="314">
        <f t="shared" si="24"/>
        <v>0</v>
      </c>
    </row>
    <row r="776" spans="1:6" ht="18" hidden="1" customHeight="1">
      <c r="A776" s="284" t="s">
        <v>323</v>
      </c>
      <c r="B776" s="135">
        <f>GTA!G475</f>
        <v>0</v>
      </c>
      <c r="C776" s="135" t="s">
        <v>22</v>
      </c>
      <c r="D776" s="135">
        <v>18</v>
      </c>
      <c r="E776" s="314">
        <f t="shared" si="24"/>
        <v>0</v>
      </c>
    </row>
    <row r="777" spans="1:6" ht="18" hidden="1" customHeight="1">
      <c r="A777" s="284" t="s">
        <v>237</v>
      </c>
      <c r="B777" s="135">
        <f>GTA!J475</f>
        <v>0</v>
      </c>
      <c r="C777" s="135" t="s">
        <v>22</v>
      </c>
      <c r="D777" s="135">
        <v>18</v>
      </c>
      <c r="E777" s="314">
        <f t="shared" si="24"/>
        <v>0</v>
      </c>
    </row>
    <row r="778" spans="1:6" ht="18" hidden="1" customHeight="1">
      <c r="A778" s="134" t="s">
        <v>538</v>
      </c>
      <c r="B778" s="135">
        <f>GTA!H475</f>
        <v>0</v>
      </c>
      <c r="C778" s="135" t="s">
        <v>22</v>
      </c>
      <c r="D778" s="135">
        <v>18</v>
      </c>
      <c r="E778" s="314">
        <f t="shared" si="24"/>
        <v>0</v>
      </c>
    </row>
    <row r="779" spans="1:6" ht="18" hidden="1" customHeight="1">
      <c r="A779" s="134" t="s">
        <v>394</v>
      </c>
      <c r="B779" s="135">
        <f>GTA!I475</f>
        <v>0</v>
      </c>
      <c r="C779" s="135" t="s">
        <v>22</v>
      </c>
      <c r="D779" s="135">
        <v>18</v>
      </c>
      <c r="E779" s="314">
        <f t="shared" si="24"/>
        <v>0</v>
      </c>
    </row>
    <row r="780" spans="1:6" ht="18" hidden="1" customHeight="1">
      <c r="A780" s="436"/>
      <c r="B780" s="419"/>
      <c r="C780" s="419"/>
      <c r="D780" s="419"/>
      <c r="E780" s="420"/>
    </row>
    <row r="781" spans="1:6" ht="18" hidden="1" customHeight="1">
      <c r="A781" s="418" t="s">
        <v>564</v>
      </c>
      <c r="B781" s="415">
        <f>SUM(B771:B780)</f>
        <v>0</v>
      </c>
      <c r="C781" s="419"/>
      <c r="D781" s="419"/>
      <c r="E781" s="420"/>
    </row>
    <row r="782" spans="1:6" ht="18" hidden="1" customHeight="1">
      <c r="A782" s="134"/>
      <c r="B782" s="135"/>
      <c r="C782" s="135"/>
      <c r="D782" s="135"/>
      <c r="E782" s="314"/>
    </row>
    <row r="783" spans="1:6" ht="18" hidden="1" customHeight="1">
      <c r="A783" s="429" t="s">
        <v>565</v>
      </c>
      <c r="B783" s="415"/>
      <c r="C783" s="419"/>
      <c r="D783" s="419"/>
      <c r="E783" s="420"/>
    </row>
    <row r="784" spans="1:6" ht="18" customHeight="1">
      <c r="A784" s="558" t="s">
        <v>741</v>
      </c>
      <c r="B784" s="481">
        <f>GTA!CV21</f>
        <v>0</v>
      </c>
      <c r="C784" s="481" t="s">
        <v>22</v>
      </c>
      <c r="D784" s="481">
        <v>16.649999999999999</v>
      </c>
      <c r="E784" s="482">
        <f t="shared" ref="E784:E796" si="25">B784*D784</f>
        <v>0</v>
      </c>
      <c r="F784" s="429" t="s">
        <v>494</v>
      </c>
    </row>
    <row r="785" spans="1:6" ht="18" customHeight="1">
      <c r="A785" s="512" t="s">
        <v>480</v>
      </c>
      <c r="B785" s="481">
        <f>GTA!DP21</f>
        <v>0</v>
      </c>
      <c r="C785" s="481" t="s">
        <v>22</v>
      </c>
      <c r="D785" s="481">
        <v>16.649999999999999</v>
      </c>
      <c r="E785" s="482">
        <f t="shared" si="25"/>
        <v>0</v>
      </c>
      <c r="F785" s="429" t="s">
        <v>494</v>
      </c>
    </row>
    <row r="786" spans="1:6" ht="18" customHeight="1">
      <c r="A786" s="134" t="s">
        <v>385</v>
      </c>
      <c r="B786" s="135">
        <f>GTA!BL21</f>
        <v>0</v>
      </c>
      <c r="C786" s="135" t="s">
        <v>22</v>
      </c>
      <c r="D786" s="135">
        <v>16.649999999999999</v>
      </c>
      <c r="E786" s="314">
        <f t="shared" si="25"/>
        <v>0</v>
      </c>
      <c r="F786" s="429" t="s">
        <v>494</v>
      </c>
    </row>
    <row r="787" spans="1:6" ht="18" customHeight="1">
      <c r="A787" s="138" t="s">
        <v>439</v>
      </c>
      <c r="B787" s="135">
        <f>GTA!BZ21</f>
        <v>0</v>
      </c>
      <c r="C787" s="135" t="s">
        <v>22</v>
      </c>
      <c r="D787" s="135">
        <v>16.649999999999999</v>
      </c>
      <c r="E787" s="314">
        <f t="shared" si="25"/>
        <v>0</v>
      </c>
      <c r="F787" s="429" t="s">
        <v>494</v>
      </c>
    </row>
    <row r="788" spans="1:6" ht="18" customHeight="1">
      <c r="A788" s="134" t="s">
        <v>478</v>
      </c>
      <c r="B788" s="135">
        <f>GTA!CU21</f>
        <v>0</v>
      </c>
      <c r="C788" s="135" t="s">
        <v>22</v>
      </c>
      <c r="D788" s="135">
        <v>16.649999999999999</v>
      </c>
      <c r="E788" s="314">
        <f t="shared" si="25"/>
        <v>0</v>
      </c>
      <c r="F788" s="429" t="s">
        <v>494</v>
      </c>
    </row>
    <row r="789" spans="1:6" ht="18" customHeight="1">
      <c r="A789" s="136" t="s">
        <v>748</v>
      </c>
      <c r="B789" s="135">
        <f>GTA!CN21</f>
        <v>0</v>
      </c>
      <c r="C789" s="135" t="s">
        <v>22</v>
      </c>
      <c r="D789" s="135">
        <v>16.649999999999999</v>
      </c>
      <c r="E789" s="314">
        <f t="shared" si="25"/>
        <v>0</v>
      </c>
      <c r="F789" s="429" t="s">
        <v>494</v>
      </c>
    </row>
    <row r="790" spans="1:6" ht="18" customHeight="1">
      <c r="A790" s="138" t="s">
        <v>210</v>
      </c>
      <c r="B790" s="135">
        <f>GTA!CT21</f>
        <v>0</v>
      </c>
      <c r="C790" s="135" t="s">
        <v>22</v>
      </c>
      <c r="D790" s="135">
        <v>16.649999999999999</v>
      </c>
      <c r="E790" s="314">
        <f t="shared" si="25"/>
        <v>0</v>
      </c>
      <c r="F790" s="429" t="s">
        <v>494</v>
      </c>
    </row>
    <row r="791" spans="1:6" ht="18" customHeight="1">
      <c r="A791" s="134" t="s">
        <v>749</v>
      </c>
      <c r="B791" s="135">
        <f>GTA!BG21</f>
        <v>0</v>
      </c>
      <c r="C791" s="135" t="s">
        <v>22</v>
      </c>
      <c r="D791" s="135">
        <v>16.649999999999999</v>
      </c>
      <c r="E791" s="314">
        <f t="shared" si="25"/>
        <v>0</v>
      </c>
      <c r="F791" s="429" t="s">
        <v>494</v>
      </c>
    </row>
    <row r="792" spans="1:6" ht="18" customHeight="1">
      <c r="A792" s="512" t="s">
        <v>818</v>
      </c>
      <c r="B792" s="481">
        <f>GTA!CW21</f>
        <v>0</v>
      </c>
      <c r="C792" s="481" t="s">
        <v>22</v>
      </c>
      <c r="D792" s="481">
        <v>16.649999999999999</v>
      </c>
      <c r="E792" s="482">
        <f t="shared" si="25"/>
        <v>0</v>
      </c>
      <c r="F792" s="429" t="s">
        <v>494</v>
      </c>
    </row>
    <row r="793" spans="1:6" ht="18" customHeight="1">
      <c r="A793" s="563" t="s">
        <v>543</v>
      </c>
      <c r="B793" s="481">
        <f>GTA!CZ21</f>
        <v>0</v>
      </c>
      <c r="C793" s="481" t="s">
        <v>22</v>
      </c>
      <c r="D793" s="481">
        <v>16.649999999999999</v>
      </c>
      <c r="E793" s="482">
        <f t="shared" si="25"/>
        <v>0</v>
      </c>
      <c r="F793" s="429" t="s">
        <v>494</v>
      </c>
    </row>
    <row r="794" spans="1:6" ht="18" customHeight="1">
      <c r="A794" s="396" t="s">
        <v>323</v>
      </c>
      <c r="B794" s="135">
        <f>'OUTSIDE GTA'!C179</f>
        <v>34</v>
      </c>
      <c r="C794" s="135" t="s">
        <v>22</v>
      </c>
      <c r="D794" s="135">
        <v>18</v>
      </c>
      <c r="E794" s="314">
        <f t="shared" si="25"/>
        <v>612</v>
      </c>
      <c r="F794" s="429" t="s">
        <v>587</v>
      </c>
    </row>
    <row r="795" spans="1:6" ht="18" customHeight="1">
      <c r="A795" s="399" t="s">
        <v>354</v>
      </c>
      <c r="B795" s="135">
        <f>GTA!C237</f>
        <v>0</v>
      </c>
      <c r="C795" s="135" t="s">
        <v>22</v>
      </c>
      <c r="D795" s="135">
        <v>20</v>
      </c>
      <c r="E795" s="314">
        <f t="shared" si="25"/>
        <v>0</v>
      </c>
      <c r="F795" s="429" t="s">
        <v>353</v>
      </c>
    </row>
    <row r="796" spans="1:6" ht="18" customHeight="1">
      <c r="A796" s="138" t="s">
        <v>454</v>
      </c>
      <c r="B796" s="135">
        <f>GTA!D165</f>
        <v>0</v>
      </c>
      <c r="C796" s="135" t="s">
        <v>22</v>
      </c>
      <c r="D796" s="135">
        <v>16.649999999999999</v>
      </c>
      <c r="E796" s="314">
        <f t="shared" si="25"/>
        <v>0</v>
      </c>
      <c r="F796" s="429" t="s">
        <v>453</v>
      </c>
    </row>
    <row r="797" spans="1:6" ht="18" customHeight="1">
      <c r="A797" s="336" t="s">
        <v>646</v>
      </c>
      <c r="B797" s="337">
        <f>GTA!C309</f>
        <v>80</v>
      </c>
      <c r="C797" s="295" t="s">
        <v>22</v>
      </c>
      <c r="D797" s="295">
        <v>16</v>
      </c>
      <c r="E797" s="319">
        <f>D797*B797</f>
        <v>1280</v>
      </c>
      <c r="F797" s="818" t="s">
        <v>11</v>
      </c>
    </row>
    <row r="798" spans="1:6" ht="18" customHeight="1">
      <c r="A798" s="134" t="s">
        <v>646</v>
      </c>
      <c r="B798" s="527">
        <v>12.75</v>
      </c>
      <c r="C798" s="135" t="s">
        <v>22</v>
      </c>
      <c r="D798" s="135">
        <v>17.600000000000001</v>
      </c>
      <c r="E798" s="314">
        <v>224.4</v>
      </c>
      <c r="F798" s="392" t="s">
        <v>647</v>
      </c>
    </row>
    <row r="799" spans="1:6" ht="18" customHeight="1">
      <c r="A799" s="777" t="s">
        <v>97</v>
      </c>
      <c r="B799" s="135">
        <f>'OUTSIDE GTA'!D53</f>
        <v>0</v>
      </c>
      <c r="C799" s="135" t="s">
        <v>22</v>
      </c>
      <c r="D799" s="135">
        <v>16.649999999999999</v>
      </c>
      <c r="E799" s="314">
        <f>B799*D799</f>
        <v>0</v>
      </c>
      <c r="F799" s="817" t="s">
        <v>95</v>
      </c>
    </row>
    <row r="800" spans="1:6" ht="18" customHeight="1">
      <c r="A800" s="814" t="s">
        <v>113</v>
      </c>
      <c r="B800" s="481">
        <f>'OUTSIDE GTA'!J53</f>
        <v>0</v>
      </c>
      <c r="C800" s="481" t="s">
        <v>22</v>
      </c>
      <c r="D800" s="481">
        <v>16.649999999999999</v>
      </c>
      <c r="E800" s="482">
        <f>B800*D800</f>
        <v>0</v>
      </c>
      <c r="F800" s="817" t="s">
        <v>95</v>
      </c>
    </row>
    <row r="801" spans="1:6" ht="18" customHeight="1">
      <c r="A801" s="397" t="s">
        <v>115</v>
      </c>
      <c r="B801" s="135">
        <f>'OUTSIDE GTA'!U53</f>
        <v>0</v>
      </c>
      <c r="C801" s="135" t="s">
        <v>22</v>
      </c>
      <c r="D801" s="135">
        <v>16.649999999999999</v>
      </c>
      <c r="E801" s="314">
        <f>B801*D801</f>
        <v>0</v>
      </c>
      <c r="F801" s="817" t="s">
        <v>95</v>
      </c>
    </row>
    <row r="802" spans="1:6" ht="18" hidden="1" customHeight="1">
      <c r="A802" s="436"/>
      <c r="B802" s="419"/>
      <c r="C802" s="419"/>
      <c r="D802" s="419"/>
      <c r="E802" s="420"/>
    </row>
    <row r="803" spans="1:6" ht="18" hidden="1" customHeight="1">
      <c r="A803" s="429" t="s">
        <v>565</v>
      </c>
      <c r="B803" s="415">
        <f>SUM(B783:B802)</f>
        <v>126.75</v>
      </c>
      <c r="C803" s="419"/>
      <c r="D803" s="419"/>
      <c r="E803" s="420"/>
    </row>
    <row r="804" spans="1:6" ht="18" hidden="1" customHeight="1">
      <c r="A804" s="134"/>
      <c r="B804" s="135"/>
      <c r="C804" s="135"/>
      <c r="D804" s="135"/>
      <c r="E804" s="314"/>
    </row>
    <row r="805" spans="1:6" ht="18" hidden="1" customHeight="1">
      <c r="A805" s="418" t="s">
        <v>580</v>
      </c>
      <c r="B805" s="419"/>
      <c r="C805" s="419"/>
      <c r="D805" s="419"/>
      <c r="E805" s="420"/>
    </row>
    <row r="806" spans="1:6" ht="18" hidden="1" customHeight="1">
      <c r="A806" s="396" t="s">
        <v>484</v>
      </c>
      <c r="B806" s="135">
        <f>GTA!C75</f>
        <v>0</v>
      </c>
      <c r="C806" s="135" t="s">
        <v>22</v>
      </c>
      <c r="D806" s="135">
        <v>18</v>
      </c>
      <c r="E806" s="314">
        <f t="shared" ref="E806:E812" si="26">B806*D806</f>
        <v>0</v>
      </c>
    </row>
    <row r="807" spans="1:6" ht="18" hidden="1" customHeight="1">
      <c r="A807" s="396" t="s">
        <v>581</v>
      </c>
      <c r="B807" s="135">
        <f>GTA!D75</f>
        <v>0</v>
      </c>
      <c r="C807" s="135" t="s">
        <v>22</v>
      </c>
      <c r="D807" s="135">
        <v>18</v>
      </c>
      <c r="E807" s="314">
        <f t="shared" si="26"/>
        <v>0</v>
      </c>
    </row>
    <row r="808" spans="1:6" ht="18" hidden="1" customHeight="1">
      <c r="A808" s="396" t="s">
        <v>582</v>
      </c>
      <c r="B808" s="135">
        <f>GTA!J75</f>
        <v>0</v>
      </c>
      <c r="C808" s="135" t="s">
        <v>22</v>
      </c>
      <c r="D808" s="135">
        <v>18</v>
      </c>
      <c r="E808" s="314">
        <f t="shared" si="26"/>
        <v>0</v>
      </c>
    </row>
    <row r="809" spans="1:6" ht="18" hidden="1" customHeight="1">
      <c r="A809" s="396" t="s">
        <v>583</v>
      </c>
      <c r="B809" s="135">
        <f>GTA!E75</f>
        <v>0</v>
      </c>
      <c r="C809" s="135" t="s">
        <v>22</v>
      </c>
      <c r="D809" s="135">
        <v>20</v>
      </c>
      <c r="E809" s="314">
        <f t="shared" si="26"/>
        <v>0</v>
      </c>
    </row>
    <row r="810" spans="1:6" ht="18" hidden="1" customHeight="1">
      <c r="A810" s="396" t="s">
        <v>584</v>
      </c>
      <c r="B810" s="405">
        <f>GTA!F75</f>
        <v>0</v>
      </c>
      <c r="C810" s="135" t="s">
        <v>22</v>
      </c>
      <c r="D810" s="135">
        <v>18</v>
      </c>
      <c r="E810" s="314">
        <f t="shared" si="26"/>
        <v>0</v>
      </c>
    </row>
    <row r="811" spans="1:6" ht="18" hidden="1" customHeight="1">
      <c r="A811" s="396" t="s">
        <v>585</v>
      </c>
      <c r="B811" s="135">
        <f>GTA!G75</f>
        <v>0</v>
      </c>
      <c r="C811" s="135" t="s">
        <v>22</v>
      </c>
      <c r="D811" s="135">
        <v>18</v>
      </c>
      <c r="E811" s="314">
        <f t="shared" si="26"/>
        <v>0</v>
      </c>
    </row>
    <row r="812" spans="1:6" ht="18" hidden="1" customHeight="1">
      <c r="A812" s="396" t="s">
        <v>239</v>
      </c>
      <c r="B812" s="135">
        <f>GTA!H75</f>
        <v>0</v>
      </c>
      <c r="C812" s="135" t="s">
        <v>22</v>
      </c>
      <c r="D812" s="135">
        <v>18</v>
      </c>
      <c r="E812" s="314">
        <f t="shared" si="26"/>
        <v>0</v>
      </c>
    </row>
    <row r="813" spans="1:6" ht="18" hidden="1" customHeight="1">
      <c r="A813" s="437"/>
      <c r="B813" s="419"/>
      <c r="C813" s="419"/>
      <c r="D813" s="419"/>
      <c r="E813" s="420"/>
    </row>
    <row r="814" spans="1:6" ht="18" hidden="1" customHeight="1">
      <c r="A814" s="418" t="s">
        <v>586</v>
      </c>
      <c r="B814" s="415">
        <f>SUM(B805:B813)</f>
        <v>0</v>
      </c>
      <c r="C814" s="419"/>
      <c r="D814" s="419"/>
      <c r="E814" s="420"/>
    </row>
    <row r="815" spans="1:6" ht="18" hidden="1" customHeight="1">
      <c r="A815" s="396"/>
      <c r="B815" s="135"/>
      <c r="C815" s="135"/>
      <c r="D815" s="135"/>
      <c r="E815" s="314"/>
    </row>
    <row r="816" spans="1:6" ht="18" hidden="1" customHeight="1">
      <c r="A816" s="429" t="s">
        <v>587</v>
      </c>
      <c r="B816" s="419"/>
      <c r="C816" s="419"/>
      <c r="D816" s="419"/>
      <c r="E816" s="420"/>
    </row>
    <row r="817" spans="1:6" ht="18" hidden="1" customHeight="1">
      <c r="A817" s="396" t="s">
        <v>588</v>
      </c>
      <c r="B817" s="135">
        <f>'OUTSIDE GTA'!N179</f>
        <v>0</v>
      </c>
      <c r="C817" s="135" t="s">
        <v>22</v>
      </c>
      <c r="D817" s="135">
        <v>18</v>
      </c>
      <c r="E817" s="314">
        <f>B817*D817</f>
        <v>0</v>
      </c>
      <c r="F817" s="429" t="s">
        <v>587</v>
      </c>
    </row>
    <row r="818" spans="1:6" ht="18" customHeight="1">
      <c r="A818" s="397" t="s">
        <v>116</v>
      </c>
      <c r="B818" s="135">
        <f>'OUTSIDE GTA'!W53</f>
        <v>0</v>
      </c>
      <c r="C818" s="135" t="s">
        <v>22</v>
      </c>
      <c r="D818" s="135">
        <v>16.649999999999999</v>
      </c>
      <c r="E818" s="314">
        <f>B818*D818</f>
        <v>0</v>
      </c>
      <c r="F818" s="817" t="s">
        <v>95</v>
      </c>
    </row>
    <row r="819" spans="1:6" ht="18" hidden="1" customHeight="1">
      <c r="A819" s="437"/>
      <c r="B819" s="419"/>
      <c r="C819" s="419"/>
      <c r="D819" s="419"/>
      <c r="E819" s="420"/>
    </row>
    <row r="820" spans="1:6" ht="18" hidden="1" customHeight="1">
      <c r="A820" s="429" t="s">
        <v>589</v>
      </c>
      <c r="B820" s="415">
        <f>SUM(B816:B819)</f>
        <v>0</v>
      </c>
      <c r="C820" s="419"/>
      <c r="D820" s="419"/>
      <c r="E820" s="420"/>
    </row>
    <row r="821" spans="1:6" ht="18" hidden="1" customHeight="1">
      <c r="A821" s="396"/>
      <c r="B821" s="135"/>
      <c r="C821" s="135"/>
      <c r="D821" s="135"/>
      <c r="E821" s="314"/>
    </row>
    <row r="822" spans="1:6" ht="18" hidden="1" customHeight="1">
      <c r="A822" s="429" t="s">
        <v>590</v>
      </c>
      <c r="B822" s="419"/>
      <c r="C822" s="419"/>
      <c r="D822" s="419"/>
      <c r="E822" s="420"/>
    </row>
    <row r="823" spans="1:6" ht="18" hidden="1" customHeight="1">
      <c r="A823" s="320" t="s">
        <v>591</v>
      </c>
      <c r="B823" s="135">
        <f>'OUTSIDE GTA'!C325</f>
        <v>0</v>
      </c>
      <c r="C823" s="135" t="s">
        <v>22</v>
      </c>
      <c r="D823" s="135">
        <v>20</v>
      </c>
      <c r="E823" s="314">
        <f>B823*D823</f>
        <v>0</v>
      </c>
    </row>
    <row r="824" spans="1:6" ht="18" hidden="1" customHeight="1">
      <c r="A824" s="396"/>
      <c r="B824" s="135"/>
      <c r="C824" s="135"/>
      <c r="D824" s="135"/>
      <c r="E824" s="314"/>
    </row>
    <row r="825" spans="1:6" ht="18" hidden="1" customHeight="1">
      <c r="A825" s="437"/>
      <c r="B825" s="419"/>
      <c r="C825" s="419"/>
      <c r="D825" s="419"/>
      <c r="E825" s="420"/>
    </row>
    <row r="826" spans="1:6" ht="18" hidden="1" customHeight="1">
      <c r="A826" s="429" t="s">
        <v>590</v>
      </c>
      <c r="B826" s="415">
        <f>SUM(B822:B825)</f>
        <v>0</v>
      </c>
      <c r="C826" s="419"/>
      <c r="D826" s="419"/>
      <c r="E826" s="420"/>
    </row>
    <row r="827" spans="1:6" ht="18" hidden="1" customHeight="1">
      <c r="A827" s="396"/>
      <c r="B827" s="135"/>
      <c r="C827" s="135"/>
      <c r="D827" s="135"/>
      <c r="E827" s="314"/>
    </row>
    <row r="828" spans="1:6" ht="18" hidden="1" customHeight="1">
      <c r="A828" s="429" t="s">
        <v>592</v>
      </c>
      <c r="B828" s="419"/>
      <c r="C828" s="419"/>
      <c r="D828" s="419"/>
      <c r="E828" s="420"/>
    </row>
    <row r="829" spans="1:6" ht="18" hidden="1" customHeight="1">
      <c r="A829" s="396" t="s">
        <v>593</v>
      </c>
      <c r="B829" s="135">
        <f>'OUTSIDE GTA'!C343</f>
        <v>0</v>
      </c>
      <c r="C829" s="135" t="s">
        <v>22</v>
      </c>
      <c r="D829" s="135">
        <v>16.649999999999999</v>
      </c>
      <c r="E829" s="314">
        <f>B829*D829</f>
        <v>0</v>
      </c>
    </row>
    <row r="830" spans="1:6" ht="18" hidden="1" customHeight="1">
      <c r="A830" s="396"/>
      <c r="B830" s="135">
        <f>'OUTSIDE GTA'!C331</f>
        <v>0</v>
      </c>
      <c r="C830" s="135" t="s">
        <v>22</v>
      </c>
      <c r="D830" s="135">
        <v>18</v>
      </c>
      <c r="E830" s="314">
        <f>B830*D830</f>
        <v>0</v>
      </c>
    </row>
    <row r="831" spans="1:6" ht="18" hidden="1" customHeight="1">
      <c r="A831" s="437"/>
      <c r="B831" s="419"/>
      <c r="C831" s="419"/>
      <c r="D831" s="419"/>
      <c r="E831" s="420"/>
    </row>
    <row r="832" spans="1:6" ht="18" hidden="1" customHeight="1">
      <c r="A832" s="429" t="s">
        <v>592</v>
      </c>
      <c r="B832" s="415">
        <f>SUM(B828:B831)</f>
        <v>0</v>
      </c>
      <c r="C832" s="419"/>
      <c r="D832" s="419"/>
      <c r="E832" s="420"/>
    </row>
    <row r="833" spans="1:5" ht="18" hidden="1" customHeight="1">
      <c r="A833" s="396"/>
      <c r="B833" s="135"/>
      <c r="C833" s="135"/>
      <c r="D833" s="135"/>
      <c r="E833" s="314"/>
    </row>
    <row r="834" spans="1:5" ht="18" hidden="1" customHeight="1">
      <c r="A834" s="429" t="s">
        <v>594</v>
      </c>
      <c r="B834" s="419"/>
      <c r="C834" s="419"/>
      <c r="D834" s="419"/>
      <c r="E834" s="420"/>
    </row>
    <row r="835" spans="1:5" ht="18" hidden="1" customHeight="1">
      <c r="A835" s="517" t="s">
        <v>595</v>
      </c>
      <c r="B835" s="135">
        <f>'OUTSIDE GTA'!C161</f>
        <v>0</v>
      </c>
      <c r="C835" s="135" t="s">
        <v>22</v>
      </c>
      <c r="D835" s="135">
        <v>16.649999999999999</v>
      </c>
      <c r="E835" s="314">
        <f t="shared" ref="E835:E847" si="27">B835*D835</f>
        <v>0</v>
      </c>
    </row>
    <row r="836" spans="1:5" ht="18" hidden="1" customHeight="1">
      <c r="A836" s="517" t="s">
        <v>596</v>
      </c>
      <c r="B836" s="135">
        <f>'OUTSIDE GTA'!N161</f>
        <v>0</v>
      </c>
      <c r="C836" s="135" t="s">
        <v>22</v>
      </c>
      <c r="D836" s="135">
        <v>16.649999999999999</v>
      </c>
      <c r="E836" s="314">
        <f t="shared" si="27"/>
        <v>0</v>
      </c>
    </row>
    <row r="837" spans="1:5" ht="18" hidden="1" customHeight="1">
      <c r="A837" s="517" t="s">
        <v>598</v>
      </c>
      <c r="B837" s="135">
        <f>'OUTSIDE GTA'!D161</f>
        <v>0</v>
      </c>
      <c r="C837" s="135" t="s">
        <v>22</v>
      </c>
      <c r="D837" s="135">
        <v>16.649999999999999</v>
      </c>
      <c r="E837" s="314">
        <f t="shared" si="27"/>
        <v>0</v>
      </c>
    </row>
    <row r="838" spans="1:5" ht="18" hidden="1" customHeight="1">
      <c r="A838" s="517" t="s">
        <v>599</v>
      </c>
      <c r="B838" s="135">
        <f>'OUTSIDE GTA'!E161</f>
        <v>0</v>
      </c>
      <c r="C838" s="135" t="s">
        <v>22</v>
      </c>
      <c r="D838" s="135">
        <v>16.649999999999999</v>
      </c>
      <c r="E838" s="314">
        <f t="shared" si="27"/>
        <v>0</v>
      </c>
    </row>
    <row r="839" spans="1:5" ht="18" hidden="1" customHeight="1">
      <c r="A839" s="517" t="s">
        <v>600</v>
      </c>
      <c r="B839" s="135">
        <f>'OUTSIDE GTA'!F161</f>
        <v>0</v>
      </c>
      <c r="C839" s="135" t="s">
        <v>22</v>
      </c>
      <c r="D839" s="135">
        <v>16.649999999999999</v>
      </c>
      <c r="E839" s="314">
        <f t="shared" si="27"/>
        <v>0</v>
      </c>
    </row>
    <row r="840" spans="1:5" ht="18" hidden="1" customHeight="1">
      <c r="A840" s="517" t="s">
        <v>601</v>
      </c>
      <c r="B840" s="135">
        <f>'OUTSIDE GTA'!G161</f>
        <v>0</v>
      </c>
      <c r="C840" s="135" t="s">
        <v>22</v>
      </c>
      <c r="D840" s="135">
        <v>16.649999999999999</v>
      </c>
      <c r="E840" s="314">
        <f t="shared" si="27"/>
        <v>0</v>
      </c>
    </row>
    <row r="841" spans="1:5" ht="18" hidden="1" customHeight="1">
      <c r="A841" s="517" t="s">
        <v>602</v>
      </c>
      <c r="B841" s="135">
        <f>'OUTSIDE GTA'!H161</f>
        <v>0</v>
      </c>
      <c r="C841" s="135" t="s">
        <v>22</v>
      </c>
      <c r="D841" s="135">
        <v>16.649999999999999</v>
      </c>
      <c r="E841" s="314">
        <f t="shared" si="27"/>
        <v>0</v>
      </c>
    </row>
    <row r="842" spans="1:5" ht="18" hidden="1" customHeight="1">
      <c r="A842" s="517" t="s">
        <v>603</v>
      </c>
      <c r="B842" s="135">
        <f>'OUTSIDE GTA'!I161</f>
        <v>0</v>
      </c>
      <c r="C842" s="135" t="s">
        <v>22</v>
      </c>
      <c r="D842" s="135">
        <v>16.649999999999999</v>
      </c>
      <c r="E842" s="314">
        <f t="shared" si="27"/>
        <v>0</v>
      </c>
    </row>
    <row r="843" spans="1:5" ht="18" hidden="1" customHeight="1">
      <c r="A843" s="517" t="s">
        <v>604</v>
      </c>
      <c r="B843" s="135">
        <f>'OUTSIDE GTA'!J161</f>
        <v>0</v>
      </c>
      <c r="C843" s="135" t="s">
        <v>22</v>
      </c>
      <c r="D843" s="135">
        <v>16.649999999999999</v>
      </c>
      <c r="E843" s="314">
        <f t="shared" si="27"/>
        <v>0</v>
      </c>
    </row>
    <row r="844" spans="1:5" ht="18" hidden="1" customHeight="1">
      <c r="A844" s="517" t="s">
        <v>605</v>
      </c>
      <c r="B844" s="135">
        <f>'OUTSIDE GTA'!K161</f>
        <v>0</v>
      </c>
      <c r="C844" s="135" t="s">
        <v>22</v>
      </c>
      <c r="D844" s="135">
        <v>16.649999999999999</v>
      </c>
      <c r="E844" s="314">
        <f t="shared" si="27"/>
        <v>0</v>
      </c>
    </row>
    <row r="845" spans="1:5" ht="18" hidden="1" customHeight="1">
      <c r="A845" s="517" t="s">
        <v>606</v>
      </c>
      <c r="B845" s="135">
        <f>'OUTSIDE GTA'!L161</f>
        <v>0</v>
      </c>
      <c r="C845" s="135" t="s">
        <v>22</v>
      </c>
      <c r="D845" s="135">
        <v>16.649999999999999</v>
      </c>
      <c r="E845" s="314">
        <f t="shared" si="27"/>
        <v>0</v>
      </c>
    </row>
    <row r="846" spans="1:5" ht="18" hidden="1" customHeight="1">
      <c r="A846" s="517" t="s">
        <v>607</v>
      </c>
      <c r="B846" s="135">
        <f>'OUTSIDE GTA'!M161</f>
        <v>0</v>
      </c>
      <c r="C846" s="135" t="s">
        <v>22</v>
      </c>
      <c r="D846" s="135">
        <v>16.649999999999999</v>
      </c>
      <c r="E846" s="314">
        <f t="shared" si="27"/>
        <v>0</v>
      </c>
    </row>
    <row r="847" spans="1:5" ht="18" hidden="1" customHeight="1">
      <c r="A847" s="517" t="s">
        <v>608</v>
      </c>
      <c r="B847" s="135">
        <f>'OUTSIDE GTA'!O161</f>
        <v>0</v>
      </c>
      <c r="C847" s="135" t="s">
        <v>22</v>
      </c>
      <c r="D847" s="135">
        <v>16.649999999999999</v>
      </c>
      <c r="E847" s="314">
        <f t="shared" si="27"/>
        <v>0</v>
      </c>
    </row>
    <row r="848" spans="1:5" ht="18" hidden="1" customHeight="1">
      <c r="A848" s="437"/>
      <c r="B848" s="419"/>
      <c r="C848" s="419"/>
      <c r="D848" s="419"/>
      <c r="E848" s="420"/>
    </row>
    <row r="849" spans="1:5" ht="18" hidden="1" customHeight="1">
      <c r="A849" s="429" t="s">
        <v>609</v>
      </c>
      <c r="B849" s="415">
        <f>SUM(B834:B848)</f>
        <v>0</v>
      </c>
      <c r="C849" s="419"/>
      <c r="D849" s="419"/>
      <c r="E849" s="420"/>
    </row>
    <row r="850" spans="1:5" ht="18" hidden="1" customHeight="1">
      <c r="A850" s="396"/>
      <c r="B850" s="135"/>
      <c r="C850" s="135"/>
      <c r="D850" s="135"/>
      <c r="E850" s="314"/>
    </row>
    <row r="851" spans="1:5" ht="18" hidden="1" customHeight="1">
      <c r="A851" s="429" t="s">
        <v>610</v>
      </c>
      <c r="B851" s="419"/>
      <c r="C851" s="419"/>
      <c r="D851" s="419"/>
      <c r="E851" s="420"/>
    </row>
    <row r="852" spans="1:5" ht="18" hidden="1" customHeight="1">
      <c r="A852" s="134" t="s">
        <v>611</v>
      </c>
      <c r="B852" s="135">
        <f>'OUTSIDE GTA'!C89</f>
        <v>0</v>
      </c>
      <c r="C852" s="135" t="s">
        <v>22</v>
      </c>
      <c r="D852" s="135">
        <v>16.649999999999999</v>
      </c>
      <c r="E852" s="314">
        <f t="shared" ref="E852:E871" si="28">B852*D852</f>
        <v>0</v>
      </c>
    </row>
    <row r="853" spans="1:5" ht="18" hidden="1" customHeight="1">
      <c r="A853" s="134" t="s">
        <v>612</v>
      </c>
      <c r="B853" s="135">
        <f>'OUTSIDE GTA'!D89</f>
        <v>0</v>
      </c>
      <c r="C853" s="135" t="s">
        <v>22</v>
      </c>
      <c r="D853" s="135">
        <v>16.649999999999999</v>
      </c>
      <c r="E853" s="314">
        <f t="shared" si="28"/>
        <v>0</v>
      </c>
    </row>
    <row r="854" spans="1:5" ht="18" hidden="1" customHeight="1">
      <c r="A854" s="134" t="s">
        <v>613</v>
      </c>
      <c r="B854" s="135">
        <f>'OUTSIDE GTA'!E89</f>
        <v>0</v>
      </c>
      <c r="C854" s="135" t="s">
        <v>22</v>
      </c>
      <c r="D854" s="135">
        <v>16.649999999999999</v>
      </c>
      <c r="E854" s="314">
        <f t="shared" si="28"/>
        <v>0</v>
      </c>
    </row>
    <row r="855" spans="1:5" ht="18" hidden="1" customHeight="1">
      <c r="A855" s="134" t="s">
        <v>614</v>
      </c>
      <c r="B855" s="135">
        <f>'OUTSIDE GTA'!F89</f>
        <v>0</v>
      </c>
      <c r="C855" s="135" t="s">
        <v>22</v>
      </c>
      <c r="D855" s="135">
        <v>16.649999999999999</v>
      </c>
      <c r="E855" s="314">
        <f t="shared" si="28"/>
        <v>0</v>
      </c>
    </row>
    <row r="856" spans="1:5" ht="18" hidden="1" customHeight="1">
      <c r="A856" s="134" t="s">
        <v>615</v>
      </c>
      <c r="B856" s="135">
        <f>'OUTSIDE GTA'!G89</f>
        <v>0</v>
      </c>
      <c r="C856" s="135" t="s">
        <v>22</v>
      </c>
      <c r="D856" s="135">
        <v>16.649999999999999</v>
      </c>
      <c r="E856" s="314">
        <f t="shared" si="28"/>
        <v>0</v>
      </c>
    </row>
    <row r="857" spans="1:5" ht="18" hidden="1" customHeight="1">
      <c r="A857" s="134" t="s">
        <v>616</v>
      </c>
      <c r="B857" s="135">
        <f>'OUTSIDE GTA'!H89</f>
        <v>0</v>
      </c>
      <c r="C857" s="135" t="s">
        <v>22</v>
      </c>
      <c r="D857" s="135">
        <v>16.649999999999999</v>
      </c>
      <c r="E857" s="314">
        <f t="shared" si="28"/>
        <v>0</v>
      </c>
    </row>
    <row r="858" spans="1:5" ht="18" hidden="1" customHeight="1">
      <c r="A858" s="134" t="s">
        <v>617</v>
      </c>
      <c r="B858" s="135">
        <f>'OUTSIDE GTA'!I89</f>
        <v>0</v>
      </c>
      <c r="C858" s="135" t="s">
        <v>22</v>
      </c>
      <c r="D858" s="135">
        <v>16.649999999999999</v>
      </c>
      <c r="E858" s="314">
        <f t="shared" si="28"/>
        <v>0</v>
      </c>
    </row>
    <row r="859" spans="1:5" ht="18" hidden="1" customHeight="1">
      <c r="A859" s="134" t="s">
        <v>618</v>
      </c>
      <c r="B859" s="135">
        <f>'OUTSIDE GTA'!J89</f>
        <v>0</v>
      </c>
      <c r="C859" s="135" t="s">
        <v>22</v>
      </c>
      <c r="D859" s="135">
        <v>16.649999999999999</v>
      </c>
      <c r="E859" s="314">
        <f t="shared" si="28"/>
        <v>0</v>
      </c>
    </row>
    <row r="860" spans="1:5" ht="18" hidden="1" customHeight="1">
      <c r="A860" s="134" t="s">
        <v>619</v>
      </c>
      <c r="B860" s="135">
        <f>'OUTSIDE GTA'!K89</f>
        <v>0</v>
      </c>
      <c r="C860" s="135" t="s">
        <v>22</v>
      </c>
      <c r="D860" s="135">
        <v>16.649999999999999</v>
      </c>
      <c r="E860" s="314">
        <f t="shared" si="28"/>
        <v>0</v>
      </c>
    </row>
    <row r="861" spans="1:5" ht="18" hidden="1" customHeight="1">
      <c r="A861" s="134" t="s">
        <v>620</v>
      </c>
      <c r="B861" s="135">
        <f>'OUTSIDE GTA'!L89</f>
        <v>0</v>
      </c>
      <c r="C861" s="135" t="s">
        <v>22</v>
      </c>
      <c r="D861" s="135">
        <v>16.649999999999999</v>
      </c>
      <c r="E861" s="314">
        <f t="shared" si="28"/>
        <v>0</v>
      </c>
    </row>
    <row r="862" spans="1:5" ht="18" hidden="1" customHeight="1">
      <c r="A862" s="134" t="s">
        <v>621</v>
      </c>
      <c r="B862" s="135">
        <f>'OUTSIDE GTA'!M89</f>
        <v>0</v>
      </c>
      <c r="C862" s="135" t="s">
        <v>22</v>
      </c>
      <c r="D862" s="135">
        <v>16.649999999999999</v>
      </c>
      <c r="E862" s="314">
        <f t="shared" si="28"/>
        <v>0</v>
      </c>
    </row>
    <row r="863" spans="1:5" ht="18" hidden="1" customHeight="1">
      <c r="A863" s="134" t="s">
        <v>622</v>
      </c>
      <c r="B863" s="135">
        <f>'OUTSIDE GTA'!N89</f>
        <v>0</v>
      </c>
      <c r="C863" s="135" t="s">
        <v>22</v>
      </c>
      <c r="D863" s="135">
        <v>16.649999999999999</v>
      </c>
      <c r="E863" s="314">
        <f t="shared" si="28"/>
        <v>0</v>
      </c>
    </row>
    <row r="864" spans="1:5" ht="18" hidden="1" customHeight="1">
      <c r="A864" s="134" t="s">
        <v>623</v>
      </c>
      <c r="B864" s="135">
        <f>'OUTSIDE GTA'!O89</f>
        <v>0</v>
      </c>
      <c r="C864" s="135" t="s">
        <v>22</v>
      </c>
      <c r="D864" s="135">
        <v>16.649999999999999</v>
      </c>
      <c r="E864" s="314">
        <f t="shared" si="28"/>
        <v>0</v>
      </c>
    </row>
    <row r="865" spans="1:6" ht="18" hidden="1" customHeight="1">
      <c r="A865" s="134" t="s">
        <v>624</v>
      </c>
      <c r="B865" s="135">
        <f>'OUTSIDE GTA'!Q89</f>
        <v>0</v>
      </c>
      <c r="C865" s="135" t="s">
        <v>22</v>
      </c>
      <c r="D865" s="135">
        <v>16.649999999999999</v>
      </c>
      <c r="E865" s="314">
        <f t="shared" si="28"/>
        <v>0</v>
      </c>
    </row>
    <row r="866" spans="1:6" ht="18" hidden="1" customHeight="1">
      <c r="A866" s="134" t="s">
        <v>625</v>
      </c>
      <c r="B866" s="135">
        <f>'OUTSIDE GTA'!P89</f>
        <v>0</v>
      </c>
      <c r="C866" s="135" t="s">
        <v>22</v>
      </c>
      <c r="D866" s="135">
        <v>16.649999999999999</v>
      </c>
      <c r="E866" s="314">
        <f t="shared" si="28"/>
        <v>0</v>
      </c>
    </row>
    <row r="867" spans="1:6" ht="18" hidden="1" customHeight="1">
      <c r="A867" s="134" t="s">
        <v>626</v>
      </c>
      <c r="B867" s="135">
        <f>'OUTSIDE GTA'!R89</f>
        <v>0</v>
      </c>
      <c r="C867" s="135" t="s">
        <v>22</v>
      </c>
      <c r="D867" s="135">
        <v>16.649999999999999</v>
      </c>
      <c r="E867" s="314">
        <f t="shared" si="28"/>
        <v>0</v>
      </c>
    </row>
    <row r="868" spans="1:6" ht="18" hidden="1" customHeight="1">
      <c r="A868" s="134" t="s">
        <v>627</v>
      </c>
      <c r="B868" s="135">
        <f>'OUTSIDE GTA'!S89+'OUTSIDE GTA'!Y89</f>
        <v>0</v>
      </c>
      <c r="C868" s="135" t="s">
        <v>22</v>
      </c>
      <c r="D868" s="135">
        <v>16.649999999999999</v>
      </c>
      <c r="E868" s="314">
        <f t="shared" si="28"/>
        <v>0</v>
      </c>
    </row>
    <row r="869" spans="1:6" ht="18" hidden="1" customHeight="1">
      <c r="A869" s="134" t="s">
        <v>628</v>
      </c>
      <c r="B869" s="135">
        <f>'OUTSIDE GTA'!T89</f>
        <v>0</v>
      </c>
      <c r="C869" s="135" t="s">
        <v>22</v>
      </c>
      <c r="D869" s="135">
        <v>16.649999999999999</v>
      </c>
      <c r="E869" s="314">
        <f t="shared" si="28"/>
        <v>0</v>
      </c>
    </row>
    <row r="870" spans="1:6" ht="18" hidden="1" customHeight="1">
      <c r="A870" s="134" t="s">
        <v>629</v>
      </c>
      <c r="B870" s="135">
        <f>'OUTSIDE GTA'!U89</f>
        <v>0</v>
      </c>
      <c r="C870" s="135" t="s">
        <v>22</v>
      </c>
      <c r="D870" s="135">
        <v>16.649999999999999</v>
      </c>
      <c r="E870" s="314">
        <f t="shared" si="28"/>
        <v>0</v>
      </c>
    </row>
    <row r="871" spans="1:6" ht="18" hidden="1" customHeight="1">
      <c r="A871" s="134" t="s">
        <v>630</v>
      </c>
      <c r="B871" s="135">
        <f>'OUTSIDE GTA'!V89</f>
        <v>0</v>
      </c>
      <c r="C871" s="135" t="s">
        <v>22</v>
      </c>
      <c r="D871" s="135">
        <v>16.649999999999999</v>
      </c>
      <c r="E871" s="314">
        <f t="shared" si="28"/>
        <v>0</v>
      </c>
    </row>
    <row r="872" spans="1:6" ht="18" hidden="1" customHeight="1">
      <c r="A872" s="134"/>
      <c r="B872" s="135"/>
      <c r="C872" s="135"/>
      <c r="D872" s="135"/>
      <c r="E872" s="314"/>
    </row>
    <row r="873" spans="1:6" ht="18" hidden="1" customHeight="1">
      <c r="A873" s="436"/>
      <c r="B873" s="419"/>
      <c r="C873" s="419"/>
      <c r="D873" s="419"/>
      <c r="E873" s="420"/>
    </row>
    <row r="874" spans="1:6" ht="18" hidden="1" customHeight="1">
      <c r="A874" s="429" t="s">
        <v>631</v>
      </c>
      <c r="B874" s="415">
        <f>SUM(B851:B873)</f>
        <v>0</v>
      </c>
      <c r="C874" s="419"/>
      <c r="D874" s="419"/>
      <c r="E874" s="420"/>
    </row>
    <row r="875" spans="1:6" ht="18" hidden="1" customHeight="1">
      <c r="A875" s="134"/>
      <c r="B875" s="135"/>
      <c r="C875" s="135"/>
      <c r="D875" s="135"/>
      <c r="E875" s="314"/>
    </row>
    <row r="876" spans="1:6" ht="18" hidden="1" customHeight="1">
      <c r="A876" s="430" t="s">
        <v>632</v>
      </c>
      <c r="B876" s="419"/>
      <c r="C876" s="419"/>
      <c r="D876" s="419"/>
      <c r="E876" s="420"/>
    </row>
    <row r="877" spans="1:6" ht="18" hidden="1" customHeight="1">
      <c r="A877" s="399" t="s">
        <v>486</v>
      </c>
      <c r="B877" s="135">
        <f>GTA!C183</f>
        <v>0</v>
      </c>
      <c r="C877" s="135" t="s">
        <v>22</v>
      </c>
      <c r="D877" s="135">
        <v>18</v>
      </c>
      <c r="E877" s="314">
        <f t="shared" ref="E877:E892" si="29">B877*D877</f>
        <v>0</v>
      </c>
      <c r="F877" s="430" t="s">
        <v>632</v>
      </c>
    </row>
    <row r="878" spans="1:6" ht="18" hidden="1" customHeight="1">
      <c r="A878" s="399" t="s">
        <v>325</v>
      </c>
      <c r="B878" s="135">
        <f>GTA!D183</f>
        <v>0</v>
      </c>
      <c r="C878" s="135" t="s">
        <v>22</v>
      </c>
      <c r="D878" s="135">
        <v>18</v>
      </c>
      <c r="E878" s="314">
        <f t="shared" si="29"/>
        <v>0</v>
      </c>
      <c r="F878" s="430" t="s">
        <v>632</v>
      </c>
    </row>
    <row r="879" spans="1:6" ht="18" hidden="1" customHeight="1">
      <c r="A879" s="399" t="s">
        <v>441</v>
      </c>
      <c r="B879" s="135">
        <f>GTA!E183</f>
        <v>0</v>
      </c>
      <c r="C879" s="135" t="s">
        <v>22</v>
      </c>
      <c r="D879" s="135">
        <v>18</v>
      </c>
      <c r="E879" s="314">
        <f t="shared" si="29"/>
        <v>0</v>
      </c>
      <c r="F879" s="430" t="s">
        <v>632</v>
      </c>
    </row>
    <row r="880" spans="1:6" ht="18" hidden="1" customHeight="1">
      <c r="A880" s="399" t="s">
        <v>210</v>
      </c>
      <c r="B880" s="135">
        <f>GTA!F183</f>
        <v>0</v>
      </c>
      <c r="C880" s="135" t="s">
        <v>22</v>
      </c>
      <c r="D880" s="135">
        <v>18</v>
      </c>
      <c r="E880" s="314">
        <f t="shared" si="29"/>
        <v>0</v>
      </c>
      <c r="F880" s="430" t="s">
        <v>632</v>
      </c>
    </row>
    <row r="881" spans="1:6" ht="18" hidden="1" customHeight="1">
      <c r="A881" s="399" t="s">
        <v>633</v>
      </c>
      <c r="B881" s="135">
        <f>GTA!O183</f>
        <v>0</v>
      </c>
      <c r="C881" s="135" t="s">
        <v>22</v>
      </c>
      <c r="D881" s="135">
        <v>18</v>
      </c>
      <c r="E881" s="314">
        <f t="shared" si="29"/>
        <v>0</v>
      </c>
      <c r="F881" s="430" t="s">
        <v>632</v>
      </c>
    </row>
    <row r="882" spans="1:6" ht="18" hidden="1" customHeight="1">
      <c r="A882" s="399" t="s">
        <v>221</v>
      </c>
      <c r="B882" s="135">
        <f>GTA!G183</f>
        <v>0</v>
      </c>
      <c r="C882" s="135" t="s">
        <v>22</v>
      </c>
      <c r="D882" s="135">
        <v>18</v>
      </c>
      <c r="E882" s="314">
        <f t="shared" si="29"/>
        <v>0</v>
      </c>
      <c r="F882" s="430" t="s">
        <v>632</v>
      </c>
    </row>
    <row r="883" spans="1:6" ht="18" hidden="1" customHeight="1">
      <c r="A883" s="399" t="s">
        <v>327</v>
      </c>
      <c r="B883" s="135">
        <f>GTA!H183</f>
        <v>0</v>
      </c>
      <c r="C883" s="135" t="s">
        <v>22</v>
      </c>
      <c r="D883" s="135">
        <v>20</v>
      </c>
      <c r="E883" s="314">
        <f t="shared" si="29"/>
        <v>0</v>
      </c>
      <c r="F883" s="430" t="s">
        <v>632</v>
      </c>
    </row>
    <row r="884" spans="1:6" ht="18" hidden="1" customHeight="1">
      <c r="A884" s="399" t="s">
        <v>634</v>
      </c>
      <c r="B884" s="135">
        <f>GTA!I183</f>
        <v>0</v>
      </c>
      <c r="C884" s="135" t="s">
        <v>22</v>
      </c>
      <c r="D884" s="135">
        <v>20</v>
      </c>
      <c r="E884" s="314">
        <f t="shared" si="29"/>
        <v>0</v>
      </c>
      <c r="F884" s="430" t="s">
        <v>632</v>
      </c>
    </row>
    <row r="885" spans="1:6" ht="18" hidden="1" customHeight="1">
      <c r="A885" s="399" t="s">
        <v>584</v>
      </c>
      <c r="B885" s="135">
        <f>GTA!P183</f>
        <v>0</v>
      </c>
      <c r="C885" s="135" t="s">
        <v>22</v>
      </c>
      <c r="D885" s="135">
        <v>18</v>
      </c>
      <c r="E885" s="314">
        <f t="shared" si="29"/>
        <v>0</v>
      </c>
      <c r="F885" s="430" t="s">
        <v>632</v>
      </c>
    </row>
    <row r="886" spans="1:6" ht="18" hidden="1" customHeight="1">
      <c r="A886" s="399" t="s">
        <v>635</v>
      </c>
      <c r="B886" s="135">
        <f>GTA!J183</f>
        <v>0</v>
      </c>
      <c r="C886" s="135" t="s">
        <v>22</v>
      </c>
      <c r="D886" s="135">
        <v>20</v>
      </c>
      <c r="E886" s="314">
        <f t="shared" si="29"/>
        <v>0</v>
      </c>
      <c r="F886" s="430" t="s">
        <v>632</v>
      </c>
    </row>
    <row r="887" spans="1:6" ht="18" hidden="1" customHeight="1">
      <c r="A887" s="399" t="s">
        <v>479</v>
      </c>
      <c r="B887" s="135">
        <f>GTA!K183</f>
        <v>0</v>
      </c>
      <c r="C887" s="135" t="s">
        <v>22</v>
      </c>
      <c r="D887" s="135">
        <v>18</v>
      </c>
      <c r="E887" s="314">
        <f t="shared" si="29"/>
        <v>0</v>
      </c>
      <c r="F887" s="430" t="s">
        <v>632</v>
      </c>
    </row>
    <row r="888" spans="1:6" ht="18" hidden="1" customHeight="1">
      <c r="A888" s="399" t="s">
        <v>237</v>
      </c>
      <c r="B888" s="135">
        <f>GTA!L183</f>
        <v>0</v>
      </c>
      <c r="C888" s="135" t="s">
        <v>22</v>
      </c>
      <c r="D888" s="135">
        <v>18</v>
      </c>
      <c r="E888" s="314">
        <f t="shared" si="29"/>
        <v>0</v>
      </c>
      <c r="F888" s="430" t="s">
        <v>632</v>
      </c>
    </row>
    <row r="889" spans="1:6" ht="18" customHeight="1">
      <c r="A889" s="397" t="s">
        <v>117</v>
      </c>
      <c r="B889" s="135">
        <f>'OUTSIDE GTA'!F53</f>
        <v>0</v>
      </c>
      <c r="C889" s="135" t="s">
        <v>22</v>
      </c>
      <c r="D889" s="135">
        <v>16.649999999999999</v>
      </c>
      <c r="E889" s="314">
        <f t="shared" si="29"/>
        <v>0</v>
      </c>
      <c r="F889" s="817" t="s">
        <v>95</v>
      </c>
    </row>
    <row r="890" spans="1:6" ht="18" hidden="1" customHeight="1">
      <c r="A890" s="399" t="s">
        <v>636</v>
      </c>
      <c r="B890" s="135">
        <f>GTA!N183</f>
        <v>0</v>
      </c>
      <c r="C890" s="135" t="s">
        <v>22</v>
      </c>
      <c r="D890" s="135">
        <v>18</v>
      </c>
      <c r="E890" s="314">
        <f t="shared" si="29"/>
        <v>0</v>
      </c>
      <c r="F890" s="430" t="s">
        <v>632</v>
      </c>
    </row>
    <row r="891" spans="1:6" ht="18" hidden="1" customHeight="1">
      <c r="A891" s="399" t="s">
        <v>403</v>
      </c>
      <c r="B891" s="135">
        <f>GTA!Q183</f>
        <v>0</v>
      </c>
      <c r="C891" s="135" t="s">
        <v>22</v>
      </c>
      <c r="D891" s="135">
        <v>18</v>
      </c>
      <c r="E891" s="314">
        <f t="shared" si="29"/>
        <v>0</v>
      </c>
      <c r="F891" s="430" t="s">
        <v>632</v>
      </c>
    </row>
    <row r="892" spans="1:6" ht="18" hidden="1" customHeight="1">
      <c r="A892" s="399" t="s">
        <v>637</v>
      </c>
      <c r="B892" s="135">
        <f>GTA!R183</f>
        <v>0</v>
      </c>
      <c r="C892" s="135" t="s">
        <v>22</v>
      </c>
      <c r="D892" s="135">
        <v>18</v>
      </c>
      <c r="E892" s="314">
        <f t="shared" si="29"/>
        <v>0</v>
      </c>
      <c r="F892" s="430" t="s">
        <v>632</v>
      </c>
    </row>
    <row r="893" spans="1:6" ht="18" hidden="1" customHeight="1">
      <c r="A893" s="435"/>
      <c r="B893" s="419"/>
      <c r="C893" s="419"/>
      <c r="D893" s="419"/>
      <c r="E893" s="420"/>
    </row>
    <row r="894" spans="1:6" ht="18" hidden="1" customHeight="1">
      <c r="A894" s="430" t="s">
        <v>638</v>
      </c>
      <c r="B894" s="415">
        <f>SUM(B876:B893)</f>
        <v>0</v>
      </c>
      <c r="C894" s="419"/>
      <c r="D894" s="419"/>
      <c r="E894" s="420"/>
    </row>
    <row r="895" spans="1:6" ht="18" hidden="1" customHeight="1">
      <c r="A895" s="136"/>
      <c r="B895" s="135"/>
      <c r="C895" s="135"/>
      <c r="D895" s="135"/>
      <c r="E895" s="314"/>
    </row>
    <row r="896" spans="1:6" ht="18" hidden="1" customHeight="1">
      <c r="A896" s="415" t="s">
        <v>639</v>
      </c>
      <c r="B896" s="419"/>
      <c r="C896" s="419"/>
      <c r="D896" s="419"/>
      <c r="E896" s="420"/>
    </row>
    <row r="897" spans="1:5" ht="18" hidden="1" customHeight="1">
      <c r="A897" s="134" t="s">
        <v>416</v>
      </c>
      <c r="B897" s="135">
        <f>GTA!D674</f>
        <v>0</v>
      </c>
      <c r="C897" s="135" t="s">
        <v>22</v>
      </c>
      <c r="D897" s="135">
        <v>18</v>
      </c>
      <c r="E897" s="314">
        <f>B897*D897</f>
        <v>0</v>
      </c>
    </row>
    <row r="898" spans="1:5" ht="18" hidden="1" customHeight="1">
      <c r="A898" s="134" t="s">
        <v>385</v>
      </c>
      <c r="B898" s="135">
        <f>GTA!E674</f>
        <v>0</v>
      </c>
      <c r="C898" s="135" t="s">
        <v>22</v>
      </c>
      <c r="D898" s="135">
        <v>18</v>
      </c>
      <c r="E898" s="314">
        <f>B898*D898</f>
        <v>0</v>
      </c>
    </row>
    <row r="899" spans="1:5" ht="18" hidden="1" customHeight="1">
      <c r="A899" s="134" t="s">
        <v>640</v>
      </c>
      <c r="B899" s="135">
        <f>GTA!F674</f>
        <v>0</v>
      </c>
      <c r="C899" s="135" t="s">
        <v>22</v>
      </c>
      <c r="D899" s="135">
        <v>16.649999999999999</v>
      </c>
      <c r="E899" s="314">
        <f>B899*D899</f>
        <v>0</v>
      </c>
    </row>
    <row r="900" spans="1:5" ht="18" hidden="1" customHeight="1">
      <c r="A900" s="436"/>
      <c r="B900" s="419"/>
      <c r="C900" s="419"/>
      <c r="D900" s="419"/>
      <c r="E900" s="420"/>
    </row>
    <row r="901" spans="1:5" ht="18" hidden="1" customHeight="1">
      <c r="A901" s="415" t="s">
        <v>639</v>
      </c>
      <c r="B901" s="415">
        <f>SUM(B896:B900)</f>
        <v>0</v>
      </c>
      <c r="C901" s="419"/>
      <c r="D901" s="419"/>
      <c r="E901" s="420"/>
    </row>
    <row r="902" spans="1:5" ht="18" hidden="1" customHeight="1">
      <c r="A902" s="132"/>
      <c r="B902" s="135"/>
      <c r="C902" s="135"/>
      <c r="D902" s="135"/>
      <c r="E902" s="314"/>
    </row>
    <row r="903" spans="1:5" ht="18" hidden="1" customHeight="1">
      <c r="A903" s="134"/>
      <c r="B903" s="135"/>
      <c r="C903" s="135"/>
      <c r="D903" s="135"/>
      <c r="E903" s="314"/>
    </row>
    <row r="904" spans="1:5" ht="18" hidden="1" customHeight="1">
      <c r="A904" s="415" t="s">
        <v>641</v>
      </c>
      <c r="B904" s="419"/>
      <c r="C904" s="419"/>
      <c r="D904" s="419"/>
      <c r="E904" s="420"/>
    </row>
    <row r="905" spans="1:5" ht="18" hidden="1" customHeight="1">
      <c r="A905" s="134" t="s">
        <v>416</v>
      </c>
      <c r="B905" s="135">
        <f>GTA!D219</f>
        <v>0</v>
      </c>
      <c r="C905" s="135" t="s">
        <v>22</v>
      </c>
      <c r="D905" s="135">
        <v>18</v>
      </c>
      <c r="E905" s="314">
        <f>B905*D905</f>
        <v>0</v>
      </c>
    </row>
    <row r="906" spans="1:5" ht="18" hidden="1" customHeight="1">
      <c r="A906" s="134" t="s">
        <v>385</v>
      </c>
      <c r="B906" s="135">
        <f>GTA!E219</f>
        <v>0</v>
      </c>
      <c r="C906" s="135" t="s">
        <v>22</v>
      </c>
      <c r="D906" s="135">
        <v>18</v>
      </c>
      <c r="E906" s="314">
        <f>B906*D906</f>
        <v>0</v>
      </c>
    </row>
    <row r="907" spans="1:5" ht="18" hidden="1" customHeight="1">
      <c r="A907" s="134" t="s">
        <v>384</v>
      </c>
      <c r="B907" s="135">
        <f>GTA!F219</f>
        <v>0</v>
      </c>
      <c r="C907" s="135" t="s">
        <v>22</v>
      </c>
      <c r="D907" s="135">
        <v>18</v>
      </c>
      <c r="E907" s="314">
        <f>B907*D907</f>
        <v>0</v>
      </c>
    </row>
    <row r="908" spans="1:5" ht="18" hidden="1" customHeight="1">
      <c r="A908" s="134" t="s">
        <v>218</v>
      </c>
      <c r="B908" s="135">
        <f>GTA!G219</f>
        <v>0</v>
      </c>
      <c r="C908" s="135" t="s">
        <v>22</v>
      </c>
      <c r="D908" s="135">
        <v>16.649999999999999</v>
      </c>
      <c r="E908" s="314">
        <f>B908*D908</f>
        <v>0</v>
      </c>
    </row>
    <row r="909" spans="1:5" ht="18" hidden="1" customHeight="1">
      <c r="A909" s="436"/>
      <c r="B909" s="419"/>
      <c r="C909" s="419"/>
      <c r="D909" s="419"/>
      <c r="E909" s="420"/>
    </row>
    <row r="910" spans="1:5" ht="18" hidden="1" customHeight="1">
      <c r="A910" s="415" t="s">
        <v>641</v>
      </c>
      <c r="B910" s="415">
        <f>SUM(B904:B909)</f>
        <v>0</v>
      </c>
      <c r="C910" s="419"/>
      <c r="D910" s="419"/>
      <c r="E910" s="420"/>
    </row>
    <row r="911" spans="1:5" ht="18" hidden="1" customHeight="1">
      <c r="A911" s="132"/>
      <c r="B911" s="135"/>
      <c r="C911" s="135"/>
      <c r="D911" s="135"/>
      <c r="E911" s="314"/>
    </row>
    <row r="912" spans="1:5" ht="18" hidden="1" customHeight="1">
      <c r="A912" s="134"/>
      <c r="B912" s="135"/>
      <c r="C912" s="135"/>
      <c r="D912" s="135"/>
      <c r="E912" s="314"/>
    </row>
    <row r="913" spans="1:5" ht="18" hidden="1" customHeight="1">
      <c r="A913" s="415" t="s">
        <v>642</v>
      </c>
      <c r="B913" s="419"/>
      <c r="C913" s="419"/>
      <c r="D913" s="419"/>
      <c r="E913" s="420"/>
    </row>
    <row r="914" spans="1:5" ht="18" hidden="1" customHeight="1">
      <c r="A914" s="134" t="s">
        <v>643</v>
      </c>
      <c r="B914" s="135">
        <f>GTA!C548</f>
        <v>0</v>
      </c>
      <c r="C914" s="135" t="s">
        <v>22</v>
      </c>
      <c r="D914" s="135">
        <v>16.649999999999999</v>
      </c>
      <c r="E914" s="314">
        <f>B914*D914</f>
        <v>0</v>
      </c>
    </row>
    <row r="915" spans="1:5" ht="18" hidden="1" customHeight="1">
      <c r="A915" s="134" t="s">
        <v>644</v>
      </c>
      <c r="B915" s="135">
        <f>GTA!D548</f>
        <v>0</v>
      </c>
      <c r="C915" s="135" t="s">
        <v>22</v>
      </c>
      <c r="D915" s="135">
        <v>18</v>
      </c>
      <c r="E915" s="314">
        <f>B915*D915</f>
        <v>0</v>
      </c>
    </row>
    <row r="916" spans="1:5" ht="18" hidden="1" customHeight="1">
      <c r="A916" s="134" t="s">
        <v>210</v>
      </c>
      <c r="B916" s="135">
        <f>GTA!E548</f>
        <v>0</v>
      </c>
      <c r="C916" s="135" t="s">
        <v>22</v>
      </c>
      <c r="D916" s="135">
        <v>16.649999999999999</v>
      </c>
      <c r="E916" s="314">
        <f>B916*D916</f>
        <v>0</v>
      </c>
    </row>
    <row r="917" spans="1:5" ht="18" hidden="1" customHeight="1">
      <c r="A917" s="134" t="s">
        <v>403</v>
      </c>
      <c r="B917" s="135">
        <f>GTA!F548</f>
        <v>0</v>
      </c>
      <c r="C917" s="135" t="s">
        <v>22</v>
      </c>
      <c r="D917" s="135">
        <v>16.649999999999999</v>
      </c>
      <c r="E917" s="314">
        <f>B917*D917</f>
        <v>0</v>
      </c>
    </row>
    <row r="918" spans="1:5" ht="18" hidden="1" customHeight="1">
      <c r="A918" s="436"/>
      <c r="B918" s="419"/>
      <c r="C918" s="419"/>
      <c r="D918" s="419"/>
      <c r="E918" s="420"/>
    </row>
    <row r="919" spans="1:5" ht="18" hidden="1" customHeight="1">
      <c r="A919" s="415" t="s">
        <v>642</v>
      </c>
      <c r="B919" s="415">
        <f>SUM(B913:B918)</f>
        <v>0</v>
      </c>
      <c r="C919" s="419"/>
      <c r="D919" s="419"/>
      <c r="E919" s="420"/>
    </row>
    <row r="920" spans="1:5" ht="18" hidden="1" customHeight="1">
      <c r="A920" s="134"/>
      <c r="B920" s="135"/>
      <c r="C920" s="135"/>
      <c r="D920" s="135"/>
      <c r="E920" s="314"/>
    </row>
    <row r="921" spans="1:5" ht="18" hidden="1" customHeight="1">
      <c r="A921" s="330" t="s">
        <v>645</v>
      </c>
      <c r="B921" s="331"/>
      <c r="C921" s="331"/>
      <c r="D921" s="331"/>
      <c r="E921" s="332"/>
    </row>
    <row r="922" spans="1:5" ht="18" hidden="1" customHeight="1">
      <c r="A922" s="333" t="s">
        <v>646</v>
      </c>
      <c r="B922" s="334">
        <f>GTA!C436</f>
        <v>0</v>
      </c>
      <c r="C922" s="331" t="s">
        <v>22</v>
      </c>
      <c r="D922" s="331">
        <v>20</v>
      </c>
      <c r="E922" s="332">
        <f>B922*D922</f>
        <v>0</v>
      </c>
    </row>
    <row r="923" spans="1:5" ht="18" hidden="1" customHeight="1">
      <c r="A923" s="136"/>
      <c r="B923" s="135"/>
      <c r="C923" s="135"/>
      <c r="D923" s="135"/>
      <c r="E923" s="314"/>
    </row>
    <row r="924" spans="1:5" ht="18" hidden="1" customHeight="1">
      <c r="A924" s="294" t="s">
        <v>11</v>
      </c>
      <c r="B924" s="295"/>
      <c r="C924" s="295"/>
      <c r="D924" s="295"/>
      <c r="E924" s="319"/>
    </row>
    <row r="925" spans="1:5" ht="18" hidden="1" customHeight="1">
      <c r="A925" s="136"/>
      <c r="B925" s="135"/>
      <c r="C925" s="135"/>
      <c r="D925" s="135"/>
      <c r="E925" s="314"/>
    </row>
    <row r="926" spans="1:5" ht="18" hidden="1" customHeight="1">
      <c r="A926" s="133" t="s">
        <v>647</v>
      </c>
      <c r="B926" s="135"/>
      <c r="C926" s="135"/>
      <c r="D926" s="135"/>
      <c r="E926" s="314"/>
    </row>
    <row r="927" spans="1:5" ht="18" hidden="1" customHeight="1">
      <c r="A927" s="134"/>
      <c r="B927" s="150"/>
      <c r="C927" s="135"/>
      <c r="D927" s="135"/>
      <c r="E927" s="314"/>
    </row>
    <row r="928" spans="1:5" ht="18" hidden="1" customHeight="1">
      <c r="A928" s="313"/>
      <c r="B928" s="313"/>
      <c r="C928" s="313"/>
      <c r="D928" s="313"/>
      <c r="E928" s="313"/>
    </row>
    <row r="929" ht="18" hidden="1" customHeight="1"/>
    <row r="930" ht="18" hidden="1" customHeight="1"/>
    <row r="931" ht="18" hidden="1" customHeight="1"/>
    <row r="932" ht="18" hidden="1" customHeight="1"/>
    <row r="933" ht="18" hidden="1" customHeight="1"/>
    <row r="934" ht="18" hidden="1" customHeight="1"/>
    <row r="935" ht="18" hidden="1" customHeight="1"/>
    <row r="936" ht="18" hidden="1" customHeight="1"/>
    <row r="937" ht="18" hidden="1" customHeight="1"/>
    <row r="938" ht="18" hidden="1" customHeight="1"/>
    <row r="939" ht="18" hidden="1" customHeight="1"/>
    <row r="940" ht="18" hidden="1" customHeight="1"/>
    <row r="941" ht="18" hidden="1" customHeight="1"/>
    <row r="942" ht="18" hidden="1" customHeight="1"/>
    <row r="943" ht="18" hidden="1" customHeight="1"/>
    <row r="944" ht="18" hidden="1" customHeight="1"/>
    <row r="945" ht="18" hidden="1" customHeight="1"/>
    <row r="946" ht="18" hidden="1" customHeight="1"/>
    <row r="947" ht="18" hidden="1" customHeight="1"/>
    <row r="948" ht="18" hidden="1" customHeight="1"/>
    <row r="949" ht="18" hidden="1" customHeight="1"/>
    <row r="950" ht="18" hidden="1" customHeight="1"/>
    <row r="951" ht="18" hidden="1" customHeight="1"/>
    <row r="952" ht="18" hidden="1" customHeight="1"/>
    <row r="953" ht="18" hidden="1" customHeight="1"/>
    <row r="954" ht="18" hidden="1" customHeight="1"/>
    <row r="955" ht="18" hidden="1" customHeight="1"/>
    <row r="956" ht="18" hidden="1" customHeight="1"/>
    <row r="957" ht="18" hidden="1" customHeight="1"/>
    <row r="958" ht="18" hidden="1" customHeight="1"/>
    <row r="959" ht="18" hidden="1" customHeight="1"/>
    <row r="960" ht="18" hidden="1" customHeight="1"/>
    <row r="961" ht="18" hidden="1" customHeight="1"/>
    <row r="962" ht="18" hidden="1" customHeight="1"/>
    <row r="963" ht="18" hidden="1" customHeight="1"/>
    <row r="964" ht="18" hidden="1" customHeight="1"/>
    <row r="965" ht="18" hidden="1" customHeight="1"/>
    <row r="966" ht="18" hidden="1" customHeight="1"/>
    <row r="967" ht="18" hidden="1" customHeight="1"/>
    <row r="968" ht="18" hidden="1" customHeight="1"/>
    <row r="969" ht="18" hidden="1" customHeight="1"/>
    <row r="970" ht="18" hidden="1" customHeight="1"/>
    <row r="971" ht="18" hidden="1" customHeight="1"/>
    <row r="972" ht="18" hidden="1" customHeight="1"/>
    <row r="973" ht="18" hidden="1" customHeight="1"/>
    <row r="974" ht="18" hidden="1" customHeight="1"/>
    <row r="975" ht="18" hidden="1" customHeight="1"/>
    <row r="976" ht="18" hidden="1" customHeight="1"/>
    <row r="977" ht="18" hidden="1" customHeight="1"/>
    <row r="978" ht="18" hidden="1" customHeight="1"/>
    <row r="979" ht="18" hidden="1" customHeight="1"/>
    <row r="980" ht="18" hidden="1" customHeight="1"/>
    <row r="981" ht="18" hidden="1" customHeight="1"/>
    <row r="982" ht="18" hidden="1" customHeight="1"/>
    <row r="983" ht="18" hidden="1" customHeight="1"/>
    <row r="984" ht="18" hidden="1" customHeight="1"/>
    <row r="985" ht="18" hidden="1" customHeight="1"/>
    <row r="986" ht="18" hidden="1" customHeight="1"/>
    <row r="987" ht="18" hidden="1" customHeight="1"/>
    <row r="988" ht="18" hidden="1" customHeight="1"/>
    <row r="989" ht="18" hidden="1" customHeight="1"/>
    <row r="990" ht="18" hidden="1" customHeight="1"/>
    <row r="991" ht="18" hidden="1" customHeight="1"/>
    <row r="992" ht="18" hidden="1" customHeight="1"/>
    <row r="993" ht="18" hidden="1" customHeight="1"/>
    <row r="994" ht="18" hidden="1" customHeight="1"/>
    <row r="995" ht="18" hidden="1" customHeight="1"/>
    <row r="996" ht="18" hidden="1" customHeight="1"/>
    <row r="997" ht="18" hidden="1" customHeight="1"/>
    <row r="998" ht="18" hidden="1" customHeight="1"/>
    <row r="999" ht="18" hidden="1" customHeight="1"/>
    <row r="1000" ht="18" hidden="1" customHeight="1"/>
    <row r="1001" ht="18" hidden="1" customHeight="1"/>
    <row r="1002" ht="18" hidden="1" customHeight="1"/>
    <row r="1003" ht="18" hidden="1" customHeight="1"/>
    <row r="1004" ht="18" hidden="1" customHeight="1"/>
    <row r="1005" ht="18" hidden="1" customHeight="1"/>
    <row r="1006" ht="18" hidden="1" customHeight="1"/>
    <row r="1007" ht="18" hidden="1" customHeight="1"/>
    <row r="1008" ht="18" hidden="1" customHeight="1"/>
    <row r="1009" ht="18" hidden="1" customHeight="1"/>
    <row r="1010" ht="18" hidden="1" customHeight="1"/>
    <row r="1011" ht="18" hidden="1" customHeight="1"/>
    <row r="1012" ht="18" hidden="1" customHeight="1"/>
    <row r="1013" ht="18" hidden="1" customHeight="1"/>
    <row r="1014" ht="18" hidden="1" customHeight="1"/>
    <row r="1015" ht="18" hidden="1" customHeight="1"/>
    <row r="1016" ht="18" hidden="1" customHeight="1"/>
    <row r="1017" ht="18" hidden="1" customHeight="1"/>
    <row r="1018" ht="18" hidden="1" customHeight="1"/>
    <row r="1019" ht="18" hidden="1" customHeight="1"/>
    <row r="1020" ht="18" hidden="1" customHeight="1"/>
    <row r="1021" ht="18" hidden="1" customHeight="1"/>
    <row r="1022" ht="18" hidden="1" customHeight="1"/>
    <row r="1023" ht="18" hidden="1" customHeight="1"/>
    <row r="1024" ht="18" hidden="1" customHeight="1"/>
    <row r="1025" ht="18" hidden="1" customHeight="1"/>
    <row r="1026" ht="18" hidden="1" customHeight="1"/>
    <row r="1027" ht="18" hidden="1" customHeight="1"/>
    <row r="1028" ht="18" hidden="1" customHeight="1"/>
  </sheetData>
  <autoFilter ref="A1:F1028" xr:uid="{0F28A14E-04CD-4B4B-BB08-8B61587BCE72}">
    <filterColumn colId="4">
      <filters>
        <filter val="$1,032.30"/>
        <filter val="$1,082.25"/>
        <filter val="$1,211.29"/>
        <filter val="$1,280.00"/>
        <filter val="$1,402.76"/>
        <filter val="$1,440.23"/>
        <filter val="$1,502.66"/>
        <filter val="$1,531.80"/>
        <filter val="$1,550.00"/>
        <filter val="$1,800.00"/>
        <filter val="$1,839.83"/>
        <filter val="$1,889.78"/>
        <filter val="$116.55"/>
        <filter val="$124.00"/>
        <filter val="$124.88"/>
        <filter val="$129.04"/>
        <filter val="$133.20"/>
        <filter val="$144.00"/>
        <filter val="$149.85"/>
        <filter val="$174.83"/>
        <filter val="$183.15"/>
        <filter val="$199.80"/>
        <filter val="$2,105.00"/>
        <filter val="$2,115.00"/>
        <filter val="$208.13"/>
        <filter val="$220.61"/>
        <filter val="$224.78"/>
        <filter val="$249.40"/>
        <filter val="$249.75"/>
        <filter val="$270.56"/>
        <filter val="$283.05"/>
        <filter val="$299.70"/>
        <filter val="$303.86"/>
        <filter val="$306.00"/>
        <filter val="$328.84"/>
        <filter val="$366.30"/>
        <filter val="$370.46"/>
        <filter val="$449.55"/>
        <filter val="$49.95"/>
        <filter val="$511.99"/>
        <filter val="$513.00"/>
        <filter val="$566.10"/>
        <filter val="$58.28"/>
        <filter val="$607.73"/>
        <filter val="$624.38"/>
        <filter val="$636.86"/>
        <filter val="$66.60"/>
        <filter val="$666.00"/>
        <filter val="$674.33"/>
        <filter val="$714.00"/>
        <filter val="$715.95"/>
        <filter val="$724.28"/>
        <filter val="$728.44"/>
        <filter val="$756.00"/>
        <filter val="$782.55"/>
        <filter val="$80.00"/>
        <filter val="$820.01"/>
        <filter val="$828.34"/>
        <filter val="$87.41"/>
        <filter val="$874.13"/>
        <filter val="$99.90"/>
      </filters>
    </filterColumn>
    <sortState xmlns:xlrd2="http://schemas.microsoft.com/office/spreadsheetml/2017/richdata2" ref="A25:F926">
      <sortCondition ref="F1:F1028"/>
    </sortState>
  </autoFilter>
  <conditionalFormatting sqref="A48:A56">
    <cfRule type="duplicateValues" dxfId="102" priority="11"/>
  </conditionalFormatting>
  <conditionalFormatting sqref="A70:A88">
    <cfRule type="duplicateValues" dxfId="101" priority="15"/>
  </conditionalFormatting>
  <conditionalFormatting sqref="A93:A94">
    <cfRule type="duplicateValues" dxfId="100" priority="16"/>
  </conditionalFormatting>
  <conditionalFormatting sqref="A118">
    <cfRule type="duplicateValues" dxfId="99" priority="2"/>
  </conditionalFormatting>
  <conditionalFormatting sqref="A125 A110:A114 A99:A104">
    <cfRule type="duplicateValues" dxfId="98" priority="6"/>
  </conditionalFormatting>
  <conditionalFormatting sqref="A125">
    <cfRule type="duplicateValues" dxfId="97" priority="7"/>
    <cfRule type="duplicateValues" dxfId="96" priority="8"/>
  </conditionalFormatting>
  <conditionalFormatting sqref="A159">
    <cfRule type="duplicateValues" dxfId="95" priority="13"/>
  </conditionalFormatting>
  <conditionalFormatting sqref="A281:A283">
    <cfRule type="duplicateValues" dxfId="94" priority="12"/>
  </conditionalFormatting>
  <conditionalFormatting sqref="A294">
    <cfRule type="duplicateValues" dxfId="93" priority="10"/>
  </conditionalFormatting>
  <conditionalFormatting sqref="A367:A370">
    <cfRule type="duplicateValues" dxfId="92" priority="4"/>
  </conditionalFormatting>
  <conditionalFormatting sqref="A377:A378">
    <cfRule type="duplicateValues" dxfId="91" priority="9"/>
  </conditionalFormatting>
  <conditionalFormatting sqref="A548">
    <cfRule type="duplicateValues" dxfId="90" priority="1"/>
  </conditionalFormatting>
  <conditionalFormatting sqref="A633 A635">
    <cfRule type="duplicateValues" dxfId="89" priority="17"/>
  </conditionalFormatting>
  <conditionalFormatting sqref="A640:A643 A647:A767">
    <cfRule type="duplicateValues" dxfId="88" priority="466"/>
  </conditionalFormatting>
  <conditionalFormatting sqref="A823">
    <cfRule type="duplicateValues" dxfId="87" priority="5"/>
  </conditionalFormatting>
  <pageMargins left="0.7" right="0.7" top="0.75" bottom="0.75" header="0.3" footer="0.3"/>
  <pageSetup scale="60" orientation="landscape" horizontalDpi="4294967292" verticalDpi="120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05ED0-02E5-499C-945E-E3F5C9A56129}">
  <sheetPr>
    <tabColor rgb="FF002060"/>
  </sheetPr>
  <dimension ref="A1:J1734"/>
  <sheetViews>
    <sheetView zoomScaleNormal="100" workbookViewId="0">
      <selection activeCell="A2" sqref="A2:J1734"/>
    </sheetView>
  </sheetViews>
  <sheetFormatPr defaultRowHeight="15"/>
  <cols>
    <col min="1" max="1" width="13.28515625" customWidth="1"/>
    <col min="2" max="2" width="39.5703125" customWidth="1"/>
    <col min="3" max="3" width="67.42578125" customWidth="1"/>
    <col min="4" max="4" width="36.5703125" customWidth="1"/>
    <col min="5" max="5" width="21" customWidth="1"/>
    <col min="6" max="6" width="25.42578125" customWidth="1"/>
    <col min="7" max="7" width="77.42578125" customWidth="1"/>
    <col min="8" max="8" width="27.42578125" style="65" customWidth="1"/>
  </cols>
  <sheetData>
    <row r="1" spans="1:10" ht="18.75">
      <c r="A1" s="893" t="s">
        <v>780</v>
      </c>
      <c r="B1" s="894" t="s">
        <v>781</v>
      </c>
      <c r="C1" s="894" t="s">
        <v>782</v>
      </c>
      <c r="D1" s="894" t="s">
        <v>783</v>
      </c>
      <c r="E1" s="894" t="s">
        <v>784</v>
      </c>
      <c r="F1" s="894" t="s">
        <v>785</v>
      </c>
      <c r="G1" s="894" t="s">
        <v>786</v>
      </c>
      <c r="H1" s="895" t="s">
        <v>787</v>
      </c>
      <c r="I1" s="893" t="s">
        <v>788</v>
      </c>
      <c r="J1" s="893" t="s">
        <v>789</v>
      </c>
    </row>
    <row r="2" spans="1:10">
      <c r="A2" s="896" t="s">
        <v>1909</v>
      </c>
      <c r="B2" s="897" t="s">
        <v>644</v>
      </c>
      <c r="C2" s="897" t="s">
        <v>1910</v>
      </c>
      <c r="D2" s="897" t="s">
        <v>1911</v>
      </c>
      <c r="E2" s="897" t="s">
        <v>1912</v>
      </c>
      <c r="F2" s="897" t="s">
        <v>527</v>
      </c>
      <c r="G2" s="897" t="s">
        <v>1913</v>
      </c>
      <c r="H2" s="898" t="s">
        <v>1914</v>
      </c>
      <c r="I2" s="899"/>
      <c r="J2" s="899"/>
    </row>
    <row r="3" spans="1:10">
      <c r="A3" s="896" t="s">
        <v>1915</v>
      </c>
      <c r="B3" s="897" t="s">
        <v>807</v>
      </c>
      <c r="C3" s="897" t="s">
        <v>1916</v>
      </c>
      <c r="D3" s="897" t="s">
        <v>1917</v>
      </c>
      <c r="E3" s="897" t="s">
        <v>1918</v>
      </c>
      <c r="F3" s="897"/>
      <c r="G3" s="897" t="s">
        <v>1919</v>
      </c>
      <c r="H3" s="898" t="e">
        <v>#N/A</v>
      </c>
      <c r="I3" s="899"/>
      <c r="J3" s="899"/>
    </row>
    <row r="4" spans="1:10">
      <c r="A4" s="896" t="s">
        <v>1920</v>
      </c>
      <c r="B4" s="897" t="s">
        <v>1921</v>
      </c>
      <c r="C4" s="897" t="s">
        <v>1922</v>
      </c>
      <c r="D4" s="897" t="s">
        <v>1923</v>
      </c>
      <c r="E4" s="897" t="s">
        <v>1924</v>
      </c>
      <c r="F4" s="897"/>
      <c r="G4" s="897"/>
      <c r="H4" s="898" t="e">
        <v>#N/A</v>
      </c>
      <c r="I4" s="899"/>
      <c r="J4" s="899"/>
    </row>
    <row r="5" spans="1:10">
      <c r="A5" s="896" t="s">
        <v>1925</v>
      </c>
      <c r="B5" s="897" t="s">
        <v>1926</v>
      </c>
      <c r="C5" s="897" t="s">
        <v>1927</v>
      </c>
      <c r="D5" s="897" t="s">
        <v>1928</v>
      </c>
      <c r="E5" s="897" t="s">
        <v>1929</v>
      </c>
      <c r="F5" s="897"/>
      <c r="G5" s="897"/>
      <c r="H5" s="898" t="e">
        <v>#N/A</v>
      </c>
      <c r="I5" s="899"/>
      <c r="J5" s="899"/>
    </row>
    <row r="6" spans="1:10">
      <c r="A6" s="896" t="s">
        <v>1930</v>
      </c>
      <c r="B6" s="897" t="s">
        <v>1931</v>
      </c>
      <c r="C6" s="897" t="s">
        <v>1932</v>
      </c>
      <c r="D6" s="897" t="s">
        <v>1933</v>
      </c>
      <c r="E6" s="897" t="s">
        <v>1934</v>
      </c>
      <c r="F6" s="897"/>
      <c r="G6" s="897" t="s">
        <v>1935</v>
      </c>
      <c r="H6" s="898" t="s">
        <v>1936</v>
      </c>
      <c r="I6" s="899"/>
      <c r="J6" s="899"/>
    </row>
    <row r="7" spans="1:10">
      <c r="A7" s="896" t="s">
        <v>1937</v>
      </c>
      <c r="B7" s="897" t="s">
        <v>39</v>
      </c>
      <c r="C7" s="897" t="s">
        <v>1932</v>
      </c>
      <c r="D7" s="897" t="s">
        <v>1933</v>
      </c>
      <c r="E7" s="897" t="s">
        <v>1934</v>
      </c>
      <c r="F7" s="897" t="s">
        <v>1938</v>
      </c>
      <c r="G7" s="897" t="s">
        <v>1939</v>
      </c>
      <c r="H7" s="898" t="s">
        <v>1936</v>
      </c>
      <c r="I7" s="899"/>
      <c r="J7" s="899"/>
    </row>
    <row r="8" spans="1:10">
      <c r="A8" s="896" t="s">
        <v>1940</v>
      </c>
      <c r="B8" s="897" t="s">
        <v>801</v>
      </c>
      <c r="C8" s="897" t="s">
        <v>1941</v>
      </c>
      <c r="D8" s="897" t="s">
        <v>1942</v>
      </c>
      <c r="E8" s="897" t="s">
        <v>1943</v>
      </c>
      <c r="F8" s="897"/>
      <c r="G8" s="897" t="s">
        <v>1944</v>
      </c>
      <c r="H8" s="898" t="e">
        <v>#N/A</v>
      </c>
      <c r="I8" s="899"/>
      <c r="J8" s="899"/>
    </row>
    <row r="9" spans="1:10">
      <c r="A9" s="896" t="s">
        <v>1945</v>
      </c>
      <c r="B9" s="897" t="s">
        <v>1946</v>
      </c>
      <c r="C9" s="897" t="s">
        <v>1947</v>
      </c>
      <c r="D9" s="897" t="s">
        <v>1948</v>
      </c>
      <c r="E9" s="897" t="s">
        <v>1949</v>
      </c>
      <c r="F9" s="897"/>
      <c r="G9" s="897"/>
      <c r="H9" s="898" t="e">
        <v>#N/A</v>
      </c>
      <c r="I9" s="899"/>
      <c r="J9" s="899"/>
    </row>
    <row r="10" spans="1:10">
      <c r="A10" s="896" t="s">
        <v>1950</v>
      </c>
      <c r="B10" s="897" t="s">
        <v>57</v>
      </c>
      <c r="C10" s="897" t="s">
        <v>1932</v>
      </c>
      <c r="D10" s="897" t="s">
        <v>1951</v>
      </c>
      <c r="E10" s="897" t="s">
        <v>1952</v>
      </c>
      <c r="F10" s="897"/>
      <c r="G10" s="897"/>
      <c r="H10" s="898" t="s">
        <v>1953</v>
      </c>
      <c r="I10" s="899"/>
      <c r="J10" s="899"/>
    </row>
    <row r="11" spans="1:10">
      <c r="A11" s="896" t="s">
        <v>1954</v>
      </c>
      <c r="B11" s="897" t="s">
        <v>1955</v>
      </c>
      <c r="C11" s="897" t="s">
        <v>1956</v>
      </c>
      <c r="D11" s="897" t="s">
        <v>1957</v>
      </c>
      <c r="E11" s="897" t="s">
        <v>1958</v>
      </c>
      <c r="F11" s="897"/>
      <c r="G11" s="897" t="s">
        <v>1959</v>
      </c>
      <c r="H11" s="898" t="s">
        <v>1936</v>
      </c>
      <c r="I11" s="899"/>
      <c r="J11" s="899"/>
    </row>
    <row r="12" spans="1:10">
      <c r="A12" s="896" t="s">
        <v>1960</v>
      </c>
      <c r="B12" s="897" t="s">
        <v>118</v>
      </c>
      <c r="C12" s="897" t="s">
        <v>1961</v>
      </c>
      <c r="D12" s="897" t="s">
        <v>1962</v>
      </c>
      <c r="E12" s="897" t="s">
        <v>1963</v>
      </c>
      <c r="F12" s="897"/>
      <c r="G12" s="897"/>
      <c r="H12" s="898" t="s">
        <v>1936</v>
      </c>
      <c r="I12" s="899"/>
      <c r="J12" s="899"/>
    </row>
    <row r="13" spans="1:10">
      <c r="A13" s="896" t="s">
        <v>1964</v>
      </c>
      <c r="B13" s="897" t="s">
        <v>104</v>
      </c>
      <c r="C13" s="897" t="s">
        <v>1965</v>
      </c>
      <c r="D13" s="897" t="s">
        <v>1966</v>
      </c>
      <c r="E13" s="897" t="s">
        <v>1967</v>
      </c>
      <c r="F13" s="897"/>
      <c r="G13" s="897" t="s">
        <v>1968</v>
      </c>
      <c r="H13" s="898">
        <v>0</v>
      </c>
      <c r="I13" s="899"/>
      <c r="J13" s="899"/>
    </row>
    <row r="14" spans="1:10">
      <c r="A14" s="896" t="s">
        <v>1969</v>
      </c>
      <c r="B14" s="897" t="s">
        <v>468</v>
      </c>
      <c r="C14" s="897" t="s">
        <v>1970</v>
      </c>
      <c r="D14" s="962" t="s">
        <v>1971</v>
      </c>
      <c r="E14" s="897" t="s">
        <v>1972</v>
      </c>
      <c r="F14" s="897"/>
      <c r="G14" s="897"/>
      <c r="H14" s="898" t="s">
        <v>1914</v>
      </c>
      <c r="I14" s="899"/>
      <c r="J14" s="899"/>
    </row>
    <row r="15" spans="1:10">
      <c r="A15" s="896" t="s">
        <v>1973</v>
      </c>
      <c r="B15" s="897" t="s">
        <v>1974</v>
      </c>
      <c r="C15" s="897" t="s">
        <v>1975</v>
      </c>
      <c r="D15" s="897" t="s">
        <v>1976</v>
      </c>
      <c r="E15" s="897" t="s">
        <v>1977</v>
      </c>
      <c r="F15" s="897"/>
      <c r="G15" s="897" t="s">
        <v>1978</v>
      </c>
      <c r="H15" s="898" t="s">
        <v>1953</v>
      </c>
      <c r="I15" s="899"/>
      <c r="J15" s="899"/>
    </row>
    <row r="16" spans="1:10">
      <c r="A16" s="896" t="s">
        <v>1979</v>
      </c>
      <c r="B16" s="897" t="s">
        <v>1980</v>
      </c>
      <c r="C16" s="897" t="s">
        <v>1981</v>
      </c>
      <c r="D16" s="897" t="s">
        <v>1982</v>
      </c>
      <c r="E16" s="897" t="s">
        <v>1983</v>
      </c>
      <c r="F16" s="897"/>
      <c r="G16" s="897"/>
      <c r="H16" s="898" t="e">
        <v>#N/A</v>
      </c>
      <c r="I16" s="899"/>
      <c r="J16" s="899"/>
    </row>
    <row r="17" spans="1:10">
      <c r="A17" s="896" t="s">
        <v>1984</v>
      </c>
      <c r="B17" s="897" t="s">
        <v>119</v>
      </c>
      <c r="C17" s="897" t="s">
        <v>1985</v>
      </c>
      <c r="D17" s="897" t="s">
        <v>1986</v>
      </c>
      <c r="E17" s="897" t="s">
        <v>1987</v>
      </c>
      <c r="F17" s="897"/>
      <c r="G17" s="897"/>
      <c r="H17" s="898" t="s">
        <v>1936</v>
      </c>
      <c r="I17" s="899"/>
      <c r="J17" s="899"/>
    </row>
    <row r="18" spans="1:10">
      <c r="A18" s="896" t="s">
        <v>1988</v>
      </c>
      <c r="B18" s="897" t="s">
        <v>110</v>
      </c>
      <c r="C18" s="897" t="s">
        <v>1989</v>
      </c>
      <c r="D18" s="897" t="s">
        <v>1990</v>
      </c>
      <c r="E18" s="897" t="s">
        <v>1991</v>
      </c>
      <c r="F18" s="897"/>
      <c r="G18" s="897" t="s">
        <v>1992</v>
      </c>
      <c r="H18" s="898" t="s">
        <v>1953</v>
      </c>
      <c r="I18" s="899"/>
      <c r="J18" s="899"/>
    </row>
    <row r="19" spans="1:10">
      <c r="A19" s="896" t="s">
        <v>1993</v>
      </c>
      <c r="B19" s="897" t="s">
        <v>109</v>
      </c>
      <c r="C19" s="897" t="s">
        <v>1994</v>
      </c>
      <c r="D19" s="897" t="s">
        <v>1995</v>
      </c>
      <c r="E19" s="897" t="s">
        <v>1996</v>
      </c>
      <c r="F19" s="897"/>
      <c r="G19" s="897"/>
      <c r="H19" s="898">
        <v>0</v>
      </c>
      <c r="I19" s="899"/>
      <c r="J19" s="899"/>
    </row>
    <row r="20" spans="1:10">
      <c r="A20" s="896" t="s">
        <v>1997</v>
      </c>
      <c r="B20" s="897" t="s">
        <v>32</v>
      </c>
      <c r="C20" s="897" t="s">
        <v>1998</v>
      </c>
      <c r="D20" s="897" t="s">
        <v>1999</v>
      </c>
      <c r="E20" s="897" t="s">
        <v>2000</v>
      </c>
      <c r="F20" s="897"/>
      <c r="G20" s="897"/>
      <c r="H20" s="898" t="s">
        <v>1953</v>
      </c>
      <c r="I20" s="899"/>
      <c r="J20" s="899"/>
    </row>
    <row r="21" spans="1:10">
      <c r="A21" s="896" t="s">
        <v>2001</v>
      </c>
      <c r="B21" s="897" t="s">
        <v>2002</v>
      </c>
      <c r="C21" s="897" t="s">
        <v>2003</v>
      </c>
      <c r="D21" s="897" t="s">
        <v>2004</v>
      </c>
      <c r="E21" s="897" t="s">
        <v>2005</v>
      </c>
      <c r="F21" s="897" t="s">
        <v>317</v>
      </c>
      <c r="G21" s="897" t="s">
        <v>2006</v>
      </c>
      <c r="H21" s="898" t="e">
        <v>#N/A</v>
      </c>
      <c r="I21" s="899"/>
      <c r="J21" s="899"/>
    </row>
    <row r="22" spans="1:10">
      <c r="A22" s="896" t="s">
        <v>2007</v>
      </c>
      <c r="B22" s="897" t="s">
        <v>417</v>
      </c>
      <c r="C22" s="897" t="s">
        <v>2008</v>
      </c>
      <c r="D22" s="897" t="s">
        <v>2009</v>
      </c>
      <c r="E22" s="897" t="s">
        <v>2010</v>
      </c>
      <c r="F22" s="897"/>
      <c r="G22" s="897" t="s">
        <v>2011</v>
      </c>
      <c r="H22" s="898" t="s">
        <v>1914</v>
      </c>
      <c r="I22" s="899"/>
      <c r="J22" s="899"/>
    </row>
    <row r="23" spans="1:10">
      <c r="A23" s="896" t="s">
        <v>2012</v>
      </c>
      <c r="B23" s="897" t="s">
        <v>107</v>
      </c>
      <c r="C23" s="897" t="s">
        <v>2013</v>
      </c>
      <c r="D23" s="897" t="s">
        <v>2014</v>
      </c>
      <c r="E23" s="897" t="s">
        <v>2015</v>
      </c>
      <c r="F23" s="897"/>
      <c r="G23" s="897"/>
      <c r="H23" s="898">
        <v>0</v>
      </c>
      <c r="I23" s="899"/>
      <c r="J23" s="899"/>
    </row>
    <row r="24" spans="1:10">
      <c r="A24" s="896" t="s">
        <v>2016</v>
      </c>
      <c r="B24" s="897" t="s">
        <v>749</v>
      </c>
      <c r="C24" s="897" t="s">
        <v>2017</v>
      </c>
      <c r="D24" s="897" t="s">
        <v>2018</v>
      </c>
      <c r="E24" s="897" t="s">
        <v>2019</v>
      </c>
      <c r="F24" s="897" t="s">
        <v>2020</v>
      </c>
      <c r="G24" s="897"/>
      <c r="H24" s="898" t="s">
        <v>1914</v>
      </c>
      <c r="I24" s="899"/>
      <c r="J24" s="899"/>
    </row>
    <row r="25" spans="1:10">
      <c r="A25" s="896" t="s">
        <v>2021</v>
      </c>
      <c r="B25" s="897" t="s">
        <v>2022</v>
      </c>
      <c r="C25" s="897" t="s">
        <v>2023</v>
      </c>
      <c r="D25" s="897" t="s">
        <v>2024</v>
      </c>
      <c r="E25" s="897" t="s">
        <v>2025</v>
      </c>
      <c r="F25" s="897"/>
      <c r="G25" s="897"/>
      <c r="H25" s="898" t="e">
        <v>#N/A</v>
      </c>
      <c r="I25" s="899"/>
      <c r="J25" s="899"/>
    </row>
    <row r="26" spans="1:10">
      <c r="A26" s="896" t="s">
        <v>2026</v>
      </c>
      <c r="B26" s="897" t="s">
        <v>2027</v>
      </c>
      <c r="C26" s="897" t="s">
        <v>2028</v>
      </c>
      <c r="D26" s="897" t="s">
        <v>2029</v>
      </c>
      <c r="E26" s="897" t="s">
        <v>2030</v>
      </c>
      <c r="F26" s="897"/>
      <c r="G26" s="897" t="s">
        <v>2031</v>
      </c>
      <c r="H26" s="898">
        <v>0</v>
      </c>
      <c r="I26" s="899"/>
      <c r="J26" s="899"/>
    </row>
    <row r="27" spans="1:10">
      <c r="A27" s="896" t="s">
        <v>2032</v>
      </c>
      <c r="B27" s="897" t="s">
        <v>2033</v>
      </c>
      <c r="C27" s="897" t="s">
        <v>2034</v>
      </c>
      <c r="D27" s="897" t="s">
        <v>2035</v>
      </c>
      <c r="E27" s="897" t="s">
        <v>2036</v>
      </c>
      <c r="F27" s="897"/>
      <c r="G27" s="897"/>
      <c r="H27" s="898" t="e">
        <v>#N/A</v>
      </c>
      <c r="I27" s="899"/>
      <c r="J27" s="899"/>
    </row>
    <row r="28" spans="1:10">
      <c r="A28" s="896" t="s">
        <v>2037</v>
      </c>
      <c r="B28" s="897" t="s">
        <v>1077</v>
      </c>
      <c r="C28" s="897" t="s">
        <v>2038</v>
      </c>
      <c r="D28" s="897" t="s">
        <v>2035</v>
      </c>
      <c r="E28" s="897" t="s">
        <v>2036</v>
      </c>
      <c r="F28" s="897"/>
      <c r="G28" s="897"/>
      <c r="H28" s="898">
        <v>0</v>
      </c>
      <c r="I28" s="899"/>
      <c r="J28" s="899"/>
    </row>
    <row r="29" spans="1:10">
      <c r="A29" s="896" t="s">
        <v>2039</v>
      </c>
      <c r="B29" s="897" t="s">
        <v>2040</v>
      </c>
      <c r="C29" s="897" t="s">
        <v>2041</v>
      </c>
      <c r="D29" s="897" t="s">
        <v>2042</v>
      </c>
      <c r="E29" s="897" t="s">
        <v>2043</v>
      </c>
      <c r="F29" s="897"/>
      <c r="G29" s="897"/>
      <c r="H29" s="898" t="e">
        <v>#N/A</v>
      </c>
      <c r="I29" s="899"/>
      <c r="J29" s="899"/>
    </row>
    <row r="30" spans="1:10">
      <c r="A30" s="896" t="s">
        <v>2044</v>
      </c>
      <c r="B30" s="897" t="s">
        <v>2045</v>
      </c>
      <c r="C30" s="897" t="s">
        <v>2046</v>
      </c>
      <c r="D30" s="897" t="s">
        <v>2047</v>
      </c>
      <c r="E30" s="897" t="s">
        <v>2048</v>
      </c>
      <c r="F30" s="897"/>
      <c r="G30" s="897" t="s">
        <v>2049</v>
      </c>
      <c r="H30" s="898" t="s">
        <v>1936</v>
      </c>
      <c r="I30" s="899"/>
      <c r="J30" s="899"/>
    </row>
    <row r="31" spans="1:10">
      <c r="A31" s="896" t="s">
        <v>2050</v>
      </c>
      <c r="B31" s="897" t="s">
        <v>2051</v>
      </c>
      <c r="C31" s="897" t="s">
        <v>2052</v>
      </c>
      <c r="D31" s="897" t="s">
        <v>2053</v>
      </c>
      <c r="E31" s="897" t="s">
        <v>2054</v>
      </c>
      <c r="F31" s="897"/>
      <c r="G31" s="897"/>
      <c r="H31" s="898" t="s">
        <v>1936</v>
      </c>
      <c r="I31" s="899"/>
      <c r="J31" s="899"/>
    </row>
    <row r="32" spans="1:10">
      <c r="A32" s="896" t="s">
        <v>2055</v>
      </c>
      <c r="B32" s="897" t="s">
        <v>2056</v>
      </c>
      <c r="C32" s="897" t="s">
        <v>2057</v>
      </c>
      <c r="D32" s="897" t="s">
        <v>2058</v>
      </c>
      <c r="E32" s="897" t="s">
        <v>2059</v>
      </c>
      <c r="F32" s="897"/>
      <c r="G32" s="897"/>
      <c r="H32" s="898" t="s">
        <v>1953</v>
      </c>
      <c r="I32" s="899"/>
      <c r="J32" s="899"/>
    </row>
    <row r="33" spans="1:10">
      <c r="A33" s="896" t="s">
        <v>2060</v>
      </c>
      <c r="B33" s="897" t="s">
        <v>2061</v>
      </c>
      <c r="C33" s="897" t="s">
        <v>2062</v>
      </c>
      <c r="D33" s="897" t="s">
        <v>2063</v>
      </c>
      <c r="E33" s="897" t="s">
        <v>2064</v>
      </c>
      <c r="F33" s="897"/>
      <c r="G33" s="897" t="s">
        <v>2065</v>
      </c>
      <c r="H33" s="898">
        <v>0</v>
      </c>
      <c r="I33" s="899"/>
      <c r="J33" s="899"/>
    </row>
    <row r="34" spans="1:10">
      <c r="A34" s="896" t="s">
        <v>2066</v>
      </c>
      <c r="B34" s="897" t="s">
        <v>2067</v>
      </c>
      <c r="C34" s="897" t="s">
        <v>2068</v>
      </c>
      <c r="D34" s="897" t="s">
        <v>2069</v>
      </c>
      <c r="E34" s="897" t="s">
        <v>2070</v>
      </c>
      <c r="F34" s="897" t="s">
        <v>2071</v>
      </c>
      <c r="G34" s="897" t="s">
        <v>2072</v>
      </c>
      <c r="H34" s="898">
        <v>0</v>
      </c>
      <c r="I34" s="899"/>
      <c r="J34" s="899"/>
    </row>
    <row r="35" spans="1:10">
      <c r="A35" s="896" t="s">
        <v>2073</v>
      </c>
      <c r="B35" s="897" t="s">
        <v>2074</v>
      </c>
      <c r="C35" s="897" t="s">
        <v>2075</v>
      </c>
      <c r="D35" s="897" t="s">
        <v>2076</v>
      </c>
      <c r="E35" s="897" t="s">
        <v>2077</v>
      </c>
      <c r="F35" s="897"/>
      <c r="G35" s="897"/>
      <c r="H35" s="898" t="e">
        <v>#N/A</v>
      </c>
      <c r="I35" s="899"/>
      <c r="J35" s="899"/>
    </row>
    <row r="36" spans="1:10">
      <c r="A36" s="896" t="s">
        <v>2078</v>
      </c>
      <c r="B36" s="897" t="s">
        <v>2079</v>
      </c>
      <c r="C36" s="897" t="s">
        <v>2080</v>
      </c>
      <c r="D36" s="897" t="s">
        <v>2081</v>
      </c>
      <c r="E36" s="897" t="s">
        <v>2082</v>
      </c>
      <c r="F36" s="897"/>
      <c r="G36" s="897" t="s">
        <v>2083</v>
      </c>
      <c r="H36" s="898" t="s">
        <v>1936</v>
      </c>
      <c r="I36" s="899"/>
      <c r="J36" s="899"/>
    </row>
    <row r="37" spans="1:10">
      <c r="A37" s="896" t="s">
        <v>2084</v>
      </c>
      <c r="B37" s="897" t="s">
        <v>591</v>
      </c>
      <c r="C37" s="897" t="s">
        <v>2085</v>
      </c>
      <c r="D37" s="897" t="s">
        <v>2086</v>
      </c>
      <c r="E37" s="897" t="s">
        <v>2087</v>
      </c>
      <c r="F37" s="897"/>
      <c r="G37" s="897"/>
      <c r="H37" s="898" t="s">
        <v>1936</v>
      </c>
      <c r="I37" s="899"/>
      <c r="J37" s="899"/>
    </row>
    <row r="38" spans="1:10">
      <c r="A38" s="896" t="s">
        <v>2088</v>
      </c>
      <c r="B38" s="897" t="s">
        <v>423</v>
      </c>
      <c r="C38" s="897" t="s">
        <v>2089</v>
      </c>
      <c r="D38" s="897" t="s">
        <v>1230</v>
      </c>
      <c r="E38" s="897" t="s">
        <v>2090</v>
      </c>
      <c r="F38" s="897"/>
      <c r="G38" s="897"/>
      <c r="H38" s="898" t="s">
        <v>1953</v>
      </c>
      <c r="I38" s="899"/>
      <c r="J38" s="899"/>
    </row>
    <row r="39" spans="1:10">
      <c r="A39" s="896" t="s">
        <v>2091</v>
      </c>
      <c r="B39" s="897" t="s">
        <v>2092</v>
      </c>
      <c r="C39" s="897" t="s">
        <v>2093</v>
      </c>
      <c r="D39" s="897" t="s">
        <v>2094</v>
      </c>
      <c r="E39" s="897" t="s">
        <v>2095</v>
      </c>
      <c r="F39" s="897"/>
      <c r="G39" s="897"/>
      <c r="H39" s="898" t="s">
        <v>1936</v>
      </c>
      <c r="I39" s="899"/>
      <c r="J39" s="899"/>
    </row>
    <row r="40" spans="1:10">
      <c r="A40" s="896" t="s">
        <v>2096</v>
      </c>
      <c r="B40" s="897" t="s">
        <v>2097</v>
      </c>
      <c r="C40" s="897" t="s">
        <v>2098</v>
      </c>
      <c r="D40" s="897" t="s">
        <v>2099</v>
      </c>
      <c r="E40" s="897" t="s">
        <v>2100</v>
      </c>
      <c r="F40" s="897"/>
      <c r="G40" s="897" t="s">
        <v>2101</v>
      </c>
      <c r="H40" s="898" t="e">
        <v>#N/A</v>
      </c>
      <c r="I40" s="899"/>
      <c r="J40" s="899"/>
    </row>
    <row r="41" spans="1:10">
      <c r="A41" s="896" t="s">
        <v>2102</v>
      </c>
      <c r="B41" s="897" t="s">
        <v>418</v>
      </c>
      <c r="C41" s="897" t="s">
        <v>2103</v>
      </c>
      <c r="D41" s="897" t="s">
        <v>1287</v>
      </c>
      <c r="E41" s="897" t="s">
        <v>2104</v>
      </c>
      <c r="F41" s="897"/>
      <c r="G41" s="897" t="s">
        <v>2105</v>
      </c>
      <c r="H41" s="898" t="s">
        <v>1953</v>
      </c>
      <c r="I41" s="899"/>
      <c r="J41" s="899"/>
    </row>
    <row r="42" spans="1:10">
      <c r="A42" s="896" t="s">
        <v>2106</v>
      </c>
      <c r="B42" s="897" t="s">
        <v>2107</v>
      </c>
      <c r="C42" s="897" t="s">
        <v>2108</v>
      </c>
      <c r="D42" s="897" t="s">
        <v>2109</v>
      </c>
      <c r="E42" s="897" t="s">
        <v>2110</v>
      </c>
      <c r="F42" s="897"/>
      <c r="G42" s="897"/>
      <c r="H42" s="898" t="e">
        <v>#N/A</v>
      </c>
      <c r="I42" s="899"/>
      <c r="J42" s="899"/>
    </row>
    <row r="43" spans="1:10">
      <c r="A43" s="896" t="s">
        <v>2111</v>
      </c>
      <c r="B43" s="897" t="s">
        <v>2112</v>
      </c>
      <c r="C43" s="897" t="s">
        <v>2113</v>
      </c>
      <c r="D43" s="897" t="s">
        <v>2114</v>
      </c>
      <c r="E43" s="897" t="s">
        <v>2115</v>
      </c>
      <c r="F43" s="897"/>
      <c r="G43" s="897"/>
      <c r="H43" s="898" t="e">
        <v>#N/A</v>
      </c>
      <c r="I43" s="899"/>
      <c r="J43" s="899"/>
    </row>
    <row r="44" spans="1:10">
      <c r="A44" s="896" t="s">
        <v>2116</v>
      </c>
      <c r="B44" s="897" t="s">
        <v>2117</v>
      </c>
      <c r="C44" s="897" t="s">
        <v>2118</v>
      </c>
      <c r="D44" s="897" t="s">
        <v>2119</v>
      </c>
      <c r="E44" s="897" t="s">
        <v>2120</v>
      </c>
      <c r="F44" s="897"/>
      <c r="G44" s="897"/>
      <c r="H44" s="898" t="e">
        <v>#N/A</v>
      </c>
      <c r="I44" s="899"/>
      <c r="J44" s="899"/>
    </row>
    <row r="45" spans="1:10">
      <c r="A45" s="896" t="s">
        <v>2121</v>
      </c>
      <c r="B45" s="897" t="s">
        <v>1270</v>
      </c>
      <c r="C45" s="897" t="s">
        <v>2122</v>
      </c>
      <c r="D45" s="897" t="s">
        <v>1271</v>
      </c>
      <c r="E45" s="897" t="s">
        <v>2123</v>
      </c>
      <c r="F45" s="897"/>
      <c r="G45" s="897" t="s">
        <v>2124</v>
      </c>
      <c r="H45" s="898" t="s">
        <v>1914</v>
      </c>
      <c r="I45" s="899"/>
      <c r="J45" s="899"/>
    </row>
    <row r="46" spans="1:10">
      <c r="A46" s="896" t="s">
        <v>2125</v>
      </c>
      <c r="B46" s="897" t="s">
        <v>1192</v>
      </c>
      <c r="C46" s="897" t="s">
        <v>2126</v>
      </c>
      <c r="D46" s="897" t="s">
        <v>1193</v>
      </c>
      <c r="E46" s="897" t="s">
        <v>2127</v>
      </c>
      <c r="F46" s="897"/>
      <c r="G46" s="897"/>
      <c r="H46" s="898" t="s">
        <v>1953</v>
      </c>
      <c r="I46" s="899"/>
      <c r="J46" s="899"/>
    </row>
    <row r="47" spans="1:10">
      <c r="A47" s="896" t="s">
        <v>2128</v>
      </c>
      <c r="B47" s="897" t="s">
        <v>2129</v>
      </c>
      <c r="C47" s="897" t="s">
        <v>2130</v>
      </c>
      <c r="D47" s="897" t="s">
        <v>2131</v>
      </c>
      <c r="E47" s="897" t="s">
        <v>2132</v>
      </c>
      <c r="F47" s="897"/>
      <c r="G47" s="897"/>
      <c r="H47" s="898">
        <v>0</v>
      </c>
      <c r="I47" s="899"/>
      <c r="J47" s="899"/>
    </row>
    <row r="48" spans="1:10">
      <c r="A48" s="896" t="s">
        <v>2133</v>
      </c>
      <c r="B48" s="897" t="s">
        <v>2134</v>
      </c>
      <c r="C48" s="897" t="s">
        <v>2135</v>
      </c>
      <c r="D48" s="897" t="s">
        <v>2136</v>
      </c>
      <c r="E48" s="897" t="s">
        <v>2137</v>
      </c>
      <c r="F48" s="897"/>
      <c r="G48" s="897"/>
      <c r="H48" s="898" t="s">
        <v>1914</v>
      </c>
      <c r="I48" s="899"/>
      <c r="J48" s="899"/>
    </row>
    <row r="49" spans="1:10">
      <c r="A49" s="896" t="s">
        <v>2138</v>
      </c>
      <c r="B49" s="897" t="s">
        <v>2139</v>
      </c>
      <c r="C49" s="897" t="s">
        <v>2140</v>
      </c>
      <c r="D49" s="897" t="s">
        <v>2141</v>
      </c>
      <c r="E49" s="897" t="s">
        <v>2142</v>
      </c>
      <c r="F49" s="897"/>
      <c r="G49" s="897"/>
      <c r="H49" s="898">
        <v>0</v>
      </c>
      <c r="I49" s="899"/>
      <c r="J49" s="899"/>
    </row>
    <row r="50" spans="1:10">
      <c r="A50" s="896" t="s">
        <v>2143</v>
      </c>
      <c r="B50" s="897" t="s">
        <v>70</v>
      </c>
      <c r="C50" s="897" t="s">
        <v>2144</v>
      </c>
      <c r="D50" s="897" t="s">
        <v>2145</v>
      </c>
      <c r="E50" s="897" t="s">
        <v>2146</v>
      </c>
      <c r="F50" s="897"/>
      <c r="G50" s="897"/>
      <c r="H50" s="898">
        <v>0</v>
      </c>
      <c r="I50" s="899"/>
      <c r="J50" s="899"/>
    </row>
    <row r="51" spans="1:10">
      <c r="A51" s="896" t="s">
        <v>2147</v>
      </c>
      <c r="B51" s="897" t="s">
        <v>67</v>
      </c>
      <c r="C51" s="897" t="s">
        <v>2148</v>
      </c>
      <c r="D51" s="897" t="s">
        <v>2149</v>
      </c>
      <c r="E51" s="897" t="s">
        <v>2150</v>
      </c>
      <c r="F51" s="897"/>
      <c r="G51" s="897"/>
      <c r="H51" s="898" t="s">
        <v>1953</v>
      </c>
      <c r="I51" s="899"/>
      <c r="J51" s="899"/>
    </row>
    <row r="52" spans="1:10">
      <c r="A52" s="896" t="s">
        <v>2151</v>
      </c>
      <c r="B52" s="897" t="s">
        <v>2152</v>
      </c>
      <c r="C52" s="897" t="s">
        <v>2153</v>
      </c>
      <c r="D52" s="897" t="s">
        <v>2154</v>
      </c>
      <c r="E52" s="897" t="s">
        <v>2155</v>
      </c>
      <c r="F52" s="897"/>
      <c r="G52" s="897"/>
      <c r="H52" s="898" t="s">
        <v>1953</v>
      </c>
      <c r="I52" s="899"/>
      <c r="J52" s="899"/>
    </row>
    <row r="53" spans="1:10">
      <c r="A53" s="896" t="s">
        <v>2156</v>
      </c>
      <c r="B53" s="897" t="s">
        <v>192</v>
      </c>
      <c r="C53" s="897" t="s">
        <v>2157</v>
      </c>
      <c r="D53" s="897" t="s">
        <v>2158</v>
      </c>
      <c r="E53" s="897" t="s">
        <v>2159</v>
      </c>
      <c r="F53" s="897"/>
      <c r="G53" s="897"/>
      <c r="H53" s="898">
        <v>0</v>
      </c>
      <c r="I53" s="899"/>
      <c r="J53" s="899"/>
    </row>
    <row r="54" spans="1:10">
      <c r="A54" s="896" t="s">
        <v>2160</v>
      </c>
      <c r="B54" s="897" t="s">
        <v>2161</v>
      </c>
      <c r="C54" s="897" t="s">
        <v>2162</v>
      </c>
      <c r="D54" s="897" t="s">
        <v>1214</v>
      </c>
      <c r="E54" s="897" t="s">
        <v>2163</v>
      </c>
      <c r="F54" s="897"/>
      <c r="G54" s="897"/>
      <c r="H54" s="898" t="e">
        <v>#N/A</v>
      </c>
      <c r="I54" s="899"/>
      <c r="J54" s="899"/>
    </row>
    <row r="55" spans="1:10">
      <c r="A55" s="896" t="s">
        <v>2164</v>
      </c>
      <c r="B55" s="897" t="s">
        <v>2165</v>
      </c>
      <c r="C55" s="897" t="s">
        <v>2166</v>
      </c>
      <c r="D55" s="897" t="s">
        <v>2167</v>
      </c>
      <c r="E55" s="897" t="s">
        <v>2168</v>
      </c>
      <c r="F55" s="897"/>
      <c r="G55" s="897"/>
      <c r="H55" s="898" t="e">
        <v>#N/A</v>
      </c>
      <c r="I55" s="899"/>
      <c r="J55" s="899"/>
    </row>
    <row r="56" spans="1:10">
      <c r="A56" s="896" t="s">
        <v>2169</v>
      </c>
      <c r="B56" s="897" t="s">
        <v>2170</v>
      </c>
      <c r="C56" s="897" t="s">
        <v>2171</v>
      </c>
      <c r="D56" s="897" t="s">
        <v>2167</v>
      </c>
      <c r="E56" s="897" t="s">
        <v>2168</v>
      </c>
      <c r="F56" s="897"/>
      <c r="G56" s="897" t="s">
        <v>2172</v>
      </c>
      <c r="H56" s="898" t="e">
        <v>#N/A</v>
      </c>
      <c r="I56" s="899"/>
      <c r="J56" s="899"/>
    </row>
    <row r="57" spans="1:10">
      <c r="A57" s="896" t="s">
        <v>2173</v>
      </c>
      <c r="B57" s="897" t="s">
        <v>307</v>
      </c>
      <c r="C57" s="897" t="s">
        <v>2174</v>
      </c>
      <c r="D57" s="897" t="s">
        <v>2175</v>
      </c>
      <c r="E57" s="897" t="s">
        <v>2176</v>
      </c>
      <c r="F57" s="897"/>
      <c r="G57" s="897"/>
      <c r="H57" s="898">
        <v>0</v>
      </c>
      <c r="I57" s="899"/>
      <c r="J57" s="899"/>
    </row>
    <row r="58" spans="1:10">
      <c r="A58" s="896" t="s">
        <v>2177</v>
      </c>
      <c r="B58" s="897" t="s">
        <v>2178</v>
      </c>
      <c r="C58" s="897" t="s">
        <v>2179</v>
      </c>
      <c r="D58" s="897" t="s">
        <v>2180</v>
      </c>
      <c r="E58" s="897" t="s">
        <v>2181</v>
      </c>
      <c r="F58" s="897"/>
      <c r="G58" s="897"/>
      <c r="H58" s="898" t="e">
        <v>#N/A</v>
      </c>
      <c r="I58" s="899"/>
      <c r="J58" s="899"/>
    </row>
    <row r="59" spans="1:10">
      <c r="A59" s="896" t="s">
        <v>2182</v>
      </c>
      <c r="B59" s="897" t="s">
        <v>195</v>
      </c>
      <c r="C59" s="897" t="s">
        <v>2183</v>
      </c>
      <c r="D59" s="897" t="s">
        <v>2184</v>
      </c>
      <c r="E59" s="897" t="s">
        <v>2185</v>
      </c>
      <c r="F59" s="897"/>
      <c r="G59" s="897" t="s">
        <v>2186</v>
      </c>
      <c r="H59" s="898">
        <v>0</v>
      </c>
      <c r="I59" s="899"/>
      <c r="J59" s="899"/>
    </row>
    <row r="60" spans="1:10">
      <c r="A60" s="896" t="s">
        <v>2187</v>
      </c>
      <c r="B60" s="897" t="s">
        <v>300</v>
      </c>
      <c r="C60" s="897" t="s">
        <v>2188</v>
      </c>
      <c r="D60" s="897" t="s">
        <v>2189</v>
      </c>
      <c r="E60" s="897" t="s">
        <v>2190</v>
      </c>
      <c r="F60" s="897"/>
      <c r="G60" s="897"/>
      <c r="H60" s="898" t="e">
        <v>#N/A</v>
      </c>
      <c r="I60" s="899"/>
      <c r="J60" s="899"/>
    </row>
    <row r="61" spans="1:10">
      <c r="A61" s="896" t="s">
        <v>2191</v>
      </c>
      <c r="B61" s="897" t="s">
        <v>183</v>
      </c>
      <c r="C61" s="897" t="s">
        <v>2192</v>
      </c>
      <c r="D61" s="897" t="s">
        <v>1225</v>
      </c>
      <c r="E61" s="897" t="s">
        <v>2193</v>
      </c>
      <c r="F61" s="897"/>
      <c r="G61" s="897"/>
      <c r="H61" s="898">
        <v>0</v>
      </c>
      <c r="I61" s="899"/>
      <c r="J61" s="899"/>
    </row>
    <row r="62" spans="1:10">
      <c r="A62" s="896" t="s">
        <v>2194</v>
      </c>
      <c r="B62" s="897" t="s">
        <v>304</v>
      </c>
      <c r="C62" s="897" t="s">
        <v>2195</v>
      </c>
      <c r="D62" s="897" t="s">
        <v>2196</v>
      </c>
      <c r="E62" s="897" t="s">
        <v>2197</v>
      </c>
      <c r="F62" s="897"/>
      <c r="G62" s="897"/>
      <c r="H62" s="898">
        <v>0</v>
      </c>
      <c r="I62" s="899"/>
      <c r="J62" s="899"/>
    </row>
    <row r="63" spans="1:10">
      <c r="A63" s="896" t="s">
        <v>2198</v>
      </c>
      <c r="B63" s="897" t="s">
        <v>2199</v>
      </c>
      <c r="C63" s="897" t="s">
        <v>2200</v>
      </c>
      <c r="D63" s="897" t="s">
        <v>2201</v>
      </c>
      <c r="E63" s="897" t="s">
        <v>2202</v>
      </c>
      <c r="F63" s="897"/>
      <c r="G63" s="897"/>
      <c r="H63" s="898" t="e">
        <v>#N/A</v>
      </c>
      <c r="I63" s="899"/>
      <c r="J63" s="899"/>
    </row>
    <row r="64" spans="1:10">
      <c r="A64" s="896" t="s">
        <v>2203</v>
      </c>
      <c r="B64" s="897" t="s">
        <v>303</v>
      </c>
      <c r="C64" s="897" t="s">
        <v>2204</v>
      </c>
      <c r="D64" s="897" t="s">
        <v>2205</v>
      </c>
      <c r="E64" s="897" t="s">
        <v>2206</v>
      </c>
      <c r="F64" s="897"/>
      <c r="G64" s="897" t="s">
        <v>2207</v>
      </c>
      <c r="H64" s="898" t="s">
        <v>1936</v>
      </c>
      <c r="I64" s="899"/>
      <c r="J64" s="899"/>
    </row>
    <row r="65" spans="1:10">
      <c r="A65" s="896" t="s">
        <v>2208</v>
      </c>
      <c r="B65" s="897" t="s">
        <v>2209</v>
      </c>
      <c r="C65" s="897" t="s">
        <v>2210</v>
      </c>
      <c r="D65" s="897" t="s">
        <v>2211</v>
      </c>
      <c r="E65" s="897" t="s">
        <v>2212</v>
      </c>
      <c r="F65" s="897"/>
      <c r="G65" s="897"/>
      <c r="H65" s="898" t="e">
        <v>#N/A</v>
      </c>
      <c r="I65" s="899"/>
      <c r="J65" s="899"/>
    </row>
    <row r="66" spans="1:10">
      <c r="A66" s="896" t="s">
        <v>2213</v>
      </c>
      <c r="B66" s="897" t="s">
        <v>164</v>
      </c>
      <c r="C66" s="897" t="s">
        <v>2214</v>
      </c>
      <c r="D66" s="897" t="s">
        <v>2215</v>
      </c>
      <c r="E66" s="897" t="s">
        <v>2216</v>
      </c>
      <c r="F66" s="897"/>
      <c r="G66" s="897"/>
      <c r="H66" s="898">
        <v>0</v>
      </c>
      <c r="I66" s="899"/>
      <c r="J66" s="899"/>
    </row>
    <row r="67" spans="1:10">
      <c r="A67" s="896" t="s">
        <v>2217</v>
      </c>
      <c r="B67" s="897" t="s">
        <v>2218</v>
      </c>
      <c r="C67" s="897" t="s">
        <v>2214</v>
      </c>
      <c r="D67" s="897" t="s">
        <v>2219</v>
      </c>
      <c r="E67" s="897" t="s">
        <v>2220</v>
      </c>
      <c r="F67" s="897"/>
      <c r="G67" s="897"/>
      <c r="H67" s="898" t="e">
        <v>#N/A</v>
      </c>
      <c r="I67" s="899"/>
      <c r="J67" s="899"/>
    </row>
    <row r="68" spans="1:10">
      <c r="A68" s="896" t="s">
        <v>2221</v>
      </c>
      <c r="B68" s="897" t="s">
        <v>265</v>
      </c>
      <c r="C68" s="897" t="s">
        <v>2222</v>
      </c>
      <c r="D68" s="897" t="s">
        <v>2223</v>
      </c>
      <c r="E68" s="897" t="s">
        <v>2224</v>
      </c>
      <c r="F68" s="897"/>
      <c r="G68" s="897"/>
      <c r="H68" s="898" t="s">
        <v>1936</v>
      </c>
      <c r="I68" s="899"/>
      <c r="J68" s="899"/>
    </row>
    <row r="69" spans="1:10">
      <c r="A69" s="896" t="s">
        <v>2225</v>
      </c>
      <c r="B69" s="897" t="s">
        <v>259</v>
      </c>
      <c r="C69" s="897" t="s">
        <v>2226</v>
      </c>
      <c r="D69" s="897" t="s">
        <v>2227</v>
      </c>
      <c r="E69" s="897" t="s">
        <v>2228</v>
      </c>
      <c r="F69" s="897"/>
      <c r="G69" s="897" t="s">
        <v>2229</v>
      </c>
      <c r="H69" s="898" t="s">
        <v>1953</v>
      </c>
      <c r="I69" s="899"/>
      <c r="J69" s="899"/>
    </row>
    <row r="70" spans="1:10">
      <c r="A70" s="896" t="s">
        <v>2230</v>
      </c>
      <c r="B70" s="897" t="s">
        <v>2231</v>
      </c>
      <c r="C70" s="897" t="s">
        <v>2232</v>
      </c>
      <c r="D70" s="897" t="s">
        <v>2233</v>
      </c>
      <c r="E70" s="897" t="s">
        <v>2234</v>
      </c>
      <c r="F70" s="897" t="s">
        <v>270</v>
      </c>
      <c r="G70" s="897"/>
      <c r="H70" s="898" t="s">
        <v>1953</v>
      </c>
      <c r="I70" s="899"/>
      <c r="J70" s="899"/>
    </row>
    <row r="71" spans="1:10">
      <c r="A71" s="896" t="s">
        <v>2235</v>
      </c>
      <c r="B71" s="897" t="s">
        <v>165</v>
      </c>
      <c r="C71" s="897" t="s">
        <v>2236</v>
      </c>
      <c r="D71" s="897" t="s">
        <v>2237</v>
      </c>
      <c r="E71" s="897" t="s">
        <v>2238</v>
      </c>
      <c r="F71" s="897"/>
      <c r="G71" s="897"/>
      <c r="H71" s="898">
        <v>0</v>
      </c>
      <c r="I71" s="899"/>
      <c r="J71" s="899"/>
    </row>
    <row r="72" spans="1:10">
      <c r="A72" s="896" t="s">
        <v>2239</v>
      </c>
      <c r="B72" s="897" t="s">
        <v>2240</v>
      </c>
      <c r="C72" s="897" t="s">
        <v>2241</v>
      </c>
      <c r="D72" s="897" t="s">
        <v>2242</v>
      </c>
      <c r="E72" s="897" t="s">
        <v>2243</v>
      </c>
      <c r="F72" s="897"/>
      <c r="G72" s="897"/>
      <c r="H72" s="898" t="e">
        <v>#N/A</v>
      </c>
      <c r="I72" s="899"/>
      <c r="J72" s="899"/>
    </row>
    <row r="73" spans="1:10">
      <c r="A73" s="896" t="s">
        <v>2244</v>
      </c>
      <c r="B73" s="897" t="s">
        <v>137</v>
      </c>
      <c r="C73" s="897" t="s">
        <v>2245</v>
      </c>
      <c r="D73" s="897" t="s">
        <v>2246</v>
      </c>
      <c r="E73" s="897" t="s">
        <v>2247</v>
      </c>
      <c r="F73" s="897"/>
      <c r="G73" s="897"/>
      <c r="H73" s="898" t="s">
        <v>1936</v>
      </c>
      <c r="I73" s="899"/>
      <c r="J73" s="899"/>
    </row>
    <row r="74" spans="1:10">
      <c r="A74" s="896" t="s">
        <v>2248</v>
      </c>
      <c r="B74" s="897" t="s">
        <v>261</v>
      </c>
      <c r="C74" s="897" t="s">
        <v>2249</v>
      </c>
      <c r="D74" s="897" t="s">
        <v>2250</v>
      </c>
      <c r="E74" s="897" t="s">
        <v>2251</v>
      </c>
      <c r="F74" s="897"/>
      <c r="G74" s="897"/>
      <c r="H74" s="898" t="s">
        <v>1953</v>
      </c>
      <c r="I74" s="899"/>
      <c r="J74" s="899"/>
    </row>
    <row r="75" spans="1:10">
      <c r="A75" s="896" t="s">
        <v>2252</v>
      </c>
      <c r="B75" s="897" t="s">
        <v>160</v>
      </c>
      <c r="C75" s="897" t="s">
        <v>2249</v>
      </c>
      <c r="D75" s="897" t="s">
        <v>2253</v>
      </c>
      <c r="E75" s="897" t="s">
        <v>2254</v>
      </c>
      <c r="F75" s="897"/>
      <c r="G75" s="897"/>
      <c r="H75" s="898">
        <v>0</v>
      </c>
      <c r="I75" s="899"/>
      <c r="J75" s="899"/>
    </row>
    <row r="76" spans="1:10">
      <c r="A76" s="896" t="s">
        <v>2255</v>
      </c>
      <c r="B76" s="897" t="s">
        <v>166</v>
      </c>
      <c r="C76" s="897" t="s">
        <v>2256</v>
      </c>
      <c r="D76" s="897" t="s">
        <v>2257</v>
      </c>
      <c r="E76" s="897" t="s">
        <v>2258</v>
      </c>
      <c r="F76" s="897"/>
      <c r="G76" s="897" t="s">
        <v>2259</v>
      </c>
      <c r="H76" s="898" t="s">
        <v>1953</v>
      </c>
      <c r="I76" s="899"/>
      <c r="J76" s="899"/>
    </row>
    <row r="77" spans="1:10">
      <c r="A77" s="896" t="s">
        <v>2260</v>
      </c>
      <c r="B77" s="897" t="s">
        <v>2261</v>
      </c>
      <c r="C77" s="897" t="s">
        <v>2262</v>
      </c>
      <c r="D77" s="897" t="s">
        <v>2263</v>
      </c>
      <c r="E77" s="897" t="s">
        <v>2264</v>
      </c>
      <c r="F77" s="897"/>
      <c r="G77" s="897"/>
      <c r="H77" s="898" t="e">
        <v>#N/A</v>
      </c>
      <c r="I77" s="899"/>
      <c r="J77" s="899"/>
    </row>
    <row r="78" spans="1:10">
      <c r="A78" s="896" t="s">
        <v>2265</v>
      </c>
      <c r="B78" s="897" t="s">
        <v>2266</v>
      </c>
      <c r="C78" s="897" t="s">
        <v>2267</v>
      </c>
      <c r="D78" s="897" t="s">
        <v>1912</v>
      </c>
      <c r="E78" s="897" t="s">
        <v>2268</v>
      </c>
      <c r="F78" s="897" t="s">
        <v>2269</v>
      </c>
      <c r="G78" s="897" t="s">
        <v>2270</v>
      </c>
      <c r="H78" s="898" t="e">
        <v>#N/A</v>
      </c>
      <c r="I78" s="899"/>
      <c r="J78" s="899"/>
    </row>
    <row r="79" spans="1:10">
      <c r="A79" s="896" t="s">
        <v>2271</v>
      </c>
      <c r="B79" s="897" t="s">
        <v>1017</v>
      </c>
      <c r="C79" s="897" t="s">
        <v>2272</v>
      </c>
      <c r="D79" s="897" t="s">
        <v>1288</v>
      </c>
      <c r="E79" s="897" t="s">
        <v>2273</v>
      </c>
      <c r="F79" s="897"/>
      <c r="G79" s="897"/>
      <c r="H79" s="898" t="s">
        <v>25</v>
      </c>
      <c r="I79" s="899"/>
      <c r="J79" s="899"/>
    </row>
    <row r="80" spans="1:10">
      <c r="A80" s="896" t="s">
        <v>2274</v>
      </c>
      <c r="B80" s="897" t="s">
        <v>277</v>
      </c>
      <c r="C80" s="897" t="s">
        <v>2275</v>
      </c>
      <c r="D80" s="897" t="s">
        <v>2276</v>
      </c>
      <c r="E80" s="897" t="s">
        <v>2277</v>
      </c>
      <c r="F80" s="897"/>
      <c r="G80" s="897"/>
      <c r="H80" s="898">
        <v>0</v>
      </c>
      <c r="I80" s="899"/>
      <c r="J80" s="899"/>
    </row>
    <row r="81" spans="1:10">
      <c r="A81" s="896" t="s">
        <v>2278</v>
      </c>
      <c r="B81" s="897" t="s">
        <v>289</v>
      </c>
      <c r="C81" s="897" t="s">
        <v>2279</v>
      </c>
      <c r="D81" s="897" t="s">
        <v>1210</v>
      </c>
      <c r="E81" s="897" t="s">
        <v>2280</v>
      </c>
      <c r="F81" s="897"/>
      <c r="G81" s="897" t="s">
        <v>2281</v>
      </c>
      <c r="H81" s="898" t="s">
        <v>1953</v>
      </c>
      <c r="I81" s="899"/>
      <c r="J81" s="899"/>
    </row>
    <row r="82" spans="1:10">
      <c r="A82" s="896" t="s">
        <v>2282</v>
      </c>
      <c r="B82" s="897" t="s">
        <v>2283</v>
      </c>
      <c r="C82" s="897" t="s">
        <v>2284</v>
      </c>
      <c r="D82" s="897" t="s">
        <v>2285</v>
      </c>
      <c r="E82" s="897" t="s">
        <v>2286</v>
      </c>
      <c r="F82" s="897"/>
      <c r="G82" s="897"/>
      <c r="H82" s="898" t="s">
        <v>1936</v>
      </c>
      <c r="I82" s="899"/>
      <c r="J82" s="899"/>
    </row>
    <row r="83" spans="1:10">
      <c r="A83" s="896" t="s">
        <v>2287</v>
      </c>
      <c r="B83" s="897" t="s">
        <v>723</v>
      </c>
      <c r="C83" s="897" t="s">
        <v>2288</v>
      </c>
      <c r="D83" s="897" t="s">
        <v>1267</v>
      </c>
      <c r="E83" s="897" t="s">
        <v>2289</v>
      </c>
      <c r="F83" s="897"/>
      <c r="G83" s="897"/>
      <c r="H83" s="898" t="s">
        <v>1953</v>
      </c>
      <c r="I83" s="899"/>
      <c r="J83" s="899"/>
    </row>
    <row r="84" spans="1:10">
      <c r="A84" s="896" t="s">
        <v>2290</v>
      </c>
      <c r="B84" s="897" t="s">
        <v>2291</v>
      </c>
      <c r="C84" s="897" t="s">
        <v>2292</v>
      </c>
      <c r="D84" s="897" t="s">
        <v>2293</v>
      </c>
      <c r="E84" s="897" t="s">
        <v>2294</v>
      </c>
      <c r="F84" s="897"/>
      <c r="G84" s="897"/>
      <c r="H84" s="898" t="s">
        <v>1953</v>
      </c>
      <c r="I84" s="899"/>
      <c r="J84" s="899"/>
    </row>
    <row r="85" spans="1:10">
      <c r="A85" s="896" t="s">
        <v>2295</v>
      </c>
      <c r="B85" s="897" t="s">
        <v>2296</v>
      </c>
      <c r="C85" s="897" t="s">
        <v>2297</v>
      </c>
      <c r="D85" s="897" t="s">
        <v>2298</v>
      </c>
      <c r="E85" s="897" t="s">
        <v>2299</v>
      </c>
      <c r="F85" s="897"/>
      <c r="G85" s="897"/>
      <c r="H85" s="898" t="s">
        <v>1914</v>
      </c>
      <c r="I85" s="899"/>
      <c r="J85" s="899"/>
    </row>
    <row r="86" spans="1:10">
      <c r="A86" s="896" t="s">
        <v>2300</v>
      </c>
      <c r="B86" s="897" t="s">
        <v>2301</v>
      </c>
      <c r="C86" s="897" t="s">
        <v>2302</v>
      </c>
      <c r="D86" s="897" t="s">
        <v>2303</v>
      </c>
      <c r="E86" s="897" t="s">
        <v>2304</v>
      </c>
      <c r="F86" s="897"/>
      <c r="G86" s="897"/>
      <c r="H86" s="898" t="s">
        <v>1953</v>
      </c>
      <c r="I86" s="899"/>
      <c r="J86" s="899"/>
    </row>
    <row r="87" spans="1:10">
      <c r="A87" s="896" t="s">
        <v>2305</v>
      </c>
      <c r="B87" s="897" t="s">
        <v>980</v>
      </c>
      <c r="C87" s="897" t="s">
        <v>2306</v>
      </c>
      <c r="D87" s="897" t="s">
        <v>1206</v>
      </c>
      <c r="E87" s="897" t="s">
        <v>2307</v>
      </c>
      <c r="F87" s="897"/>
      <c r="G87" s="897"/>
      <c r="H87" s="898" t="e">
        <v>#N/A</v>
      </c>
      <c r="I87" s="899"/>
      <c r="J87" s="899"/>
    </row>
    <row r="88" spans="1:10">
      <c r="A88" s="896" t="s">
        <v>2308</v>
      </c>
      <c r="B88" s="897" t="s">
        <v>373</v>
      </c>
      <c r="C88" s="897" t="s">
        <v>2309</v>
      </c>
      <c r="D88" s="897" t="s">
        <v>1272</v>
      </c>
      <c r="E88" s="897" t="s">
        <v>2310</v>
      </c>
      <c r="F88" s="897"/>
      <c r="G88" s="897"/>
      <c r="H88" s="898" t="s">
        <v>1953</v>
      </c>
      <c r="I88" s="899"/>
      <c r="J88" s="899"/>
    </row>
    <row r="89" spans="1:10">
      <c r="A89" s="896" t="s">
        <v>2311</v>
      </c>
      <c r="B89" s="897" t="s">
        <v>2312</v>
      </c>
      <c r="C89" s="897" t="s">
        <v>2313</v>
      </c>
      <c r="D89" s="897" t="s">
        <v>2314</v>
      </c>
      <c r="E89" s="897" t="s">
        <v>2315</v>
      </c>
      <c r="F89" s="897" t="s">
        <v>414</v>
      </c>
      <c r="G89" s="897" t="s">
        <v>2316</v>
      </c>
      <c r="H89" s="898" t="s">
        <v>1953</v>
      </c>
      <c r="I89" s="899"/>
      <c r="J89" s="899"/>
    </row>
    <row r="90" spans="1:10">
      <c r="A90" s="896" t="s">
        <v>2317</v>
      </c>
      <c r="B90" s="897" t="s">
        <v>187</v>
      </c>
      <c r="C90" s="897" t="s">
        <v>2318</v>
      </c>
      <c r="D90" s="897" t="s">
        <v>2319</v>
      </c>
      <c r="E90" s="897" t="s">
        <v>2320</v>
      </c>
      <c r="F90" s="897"/>
      <c r="G90" s="897" t="s">
        <v>1968</v>
      </c>
      <c r="H90" s="898">
        <v>0</v>
      </c>
      <c r="I90" s="899"/>
      <c r="J90" s="899"/>
    </row>
    <row r="91" spans="1:10">
      <c r="A91" s="896" t="s">
        <v>2321</v>
      </c>
      <c r="B91" s="897" t="s">
        <v>741</v>
      </c>
      <c r="C91" s="897" t="s">
        <v>7187</v>
      </c>
      <c r="D91" s="897" t="s">
        <v>2322</v>
      </c>
      <c r="E91" s="897" t="s">
        <v>2323</v>
      </c>
      <c r="F91" s="897"/>
      <c r="G91" s="897"/>
      <c r="H91" s="898" t="s">
        <v>1953</v>
      </c>
      <c r="I91" s="899"/>
      <c r="J91" s="899"/>
    </row>
    <row r="92" spans="1:10">
      <c r="A92" s="896" t="s">
        <v>2324</v>
      </c>
      <c r="B92" s="897" t="s">
        <v>139</v>
      </c>
      <c r="C92" s="897" t="s">
        <v>2195</v>
      </c>
      <c r="D92" s="897" t="s">
        <v>2325</v>
      </c>
      <c r="E92" s="897" t="s">
        <v>2326</v>
      </c>
      <c r="F92" s="897"/>
      <c r="G92" s="897"/>
      <c r="H92" s="898">
        <v>0</v>
      </c>
      <c r="I92" s="899"/>
      <c r="J92" s="899"/>
    </row>
    <row r="93" spans="1:10">
      <c r="A93" s="896" t="s">
        <v>2327</v>
      </c>
      <c r="B93" s="897" t="s">
        <v>1798</v>
      </c>
      <c r="C93" s="897" t="s">
        <v>2328</v>
      </c>
      <c r="D93" s="897" t="s">
        <v>2329</v>
      </c>
      <c r="E93" s="897" t="s">
        <v>2330</v>
      </c>
      <c r="F93" s="897"/>
      <c r="G93" s="897" t="s">
        <v>2331</v>
      </c>
      <c r="H93" s="898" t="s">
        <v>1914</v>
      </c>
      <c r="I93" s="899"/>
      <c r="J93" s="899"/>
    </row>
    <row r="94" spans="1:10">
      <c r="A94" s="896" t="s">
        <v>2332</v>
      </c>
      <c r="B94" s="897" t="s">
        <v>343</v>
      </c>
      <c r="C94" s="897" t="s">
        <v>2333</v>
      </c>
      <c r="D94" s="897" t="s">
        <v>2334</v>
      </c>
      <c r="E94" s="897" t="s">
        <v>2335</v>
      </c>
      <c r="F94" s="897"/>
      <c r="G94" s="897" t="s">
        <v>2336</v>
      </c>
      <c r="H94" s="898" t="s">
        <v>1914</v>
      </c>
      <c r="I94" s="899"/>
      <c r="J94" s="899"/>
    </row>
    <row r="95" spans="1:10">
      <c r="A95" s="896" t="s">
        <v>2337</v>
      </c>
      <c r="B95" s="897" t="s">
        <v>2338</v>
      </c>
      <c r="C95" s="897" t="s">
        <v>2339</v>
      </c>
      <c r="D95" s="897" t="s">
        <v>2340</v>
      </c>
      <c r="E95" s="897" t="s">
        <v>2341</v>
      </c>
      <c r="F95" s="897"/>
      <c r="G95" s="897" t="s">
        <v>2342</v>
      </c>
      <c r="H95" s="898">
        <v>0</v>
      </c>
      <c r="I95" s="899"/>
      <c r="J95" s="899"/>
    </row>
    <row r="96" spans="1:10">
      <c r="A96" s="896" t="s">
        <v>2343</v>
      </c>
      <c r="B96" s="897" t="s">
        <v>2344</v>
      </c>
      <c r="C96" s="897" t="s">
        <v>2345</v>
      </c>
      <c r="D96" s="897" t="s">
        <v>1195</v>
      </c>
      <c r="E96" s="897" t="s">
        <v>2346</v>
      </c>
      <c r="F96" s="897" t="s">
        <v>858</v>
      </c>
      <c r="G96" s="897" t="s">
        <v>2347</v>
      </c>
      <c r="H96" s="898" t="s">
        <v>794</v>
      </c>
      <c r="I96" s="899"/>
      <c r="J96" s="899"/>
    </row>
    <row r="97" spans="1:10">
      <c r="A97" s="896" t="s">
        <v>2348</v>
      </c>
      <c r="B97" s="897" t="s">
        <v>547</v>
      </c>
      <c r="C97" s="897" t="s">
        <v>2349</v>
      </c>
      <c r="D97" s="897" t="s">
        <v>2350</v>
      </c>
      <c r="E97" s="897" t="s">
        <v>2351</v>
      </c>
      <c r="F97" s="897"/>
      <c r="G97" s="897"/>
      <c r="H97" s="898" t="s">
        <v>1953</v>
      </c>
      <c r="I97" s="899"/>
      <c r="J97" s="899"/>
    </row>
    <row r="98" spans="1:10">
      <c r="A98" s="896" t="s">
        <v>2352</v>
      </c>
      <c r="B98" s="897" t="s">
        <v>509</v>
      </c>
      <c r="C98" s="897" t="s">
        <v>2353</v>
      </c>
      <c r="D98" s="897" t="s">
        <v>2354</v>
      </c>
      <c r="E98" s="897" t="s">
        <v>2355</v>
      </c>
      <c r="F98" s="897"/>
      <c r="G98" s="897"/>
      <c r="H98" s="898" t="s">
        <v>1914</v>
      </c>
      <c r="I98" s="899"/>
      <c r="J98" s="899"/>
    </row>
    <row r="99" spans="1:10">
      <c r="A99" s="896" t="s">
        <v>2356</v>
      </c>
      <c r="B99" s="897" t="s">
        <v>62</v>
      </c>
      <c r="C99" s="897" t="s">
        <v>2357</v>
      </c>
      <c r="D99" s="897" t="s">
        <v>2358</v>
      </c>
      <c r="E99" s="897" t="s">
        <v>2359</v>
      </c>
      <c r="F99" s="897"/>
      <c r="G99" s="897"/>
      <c r="H99" s="898" t="s">
        <v>1936</v>
      </c>
      <c r="I99" s="899"/>
      <c r="J99" s="899"/>
    </row>
    <row r="100" spans="1:10">
      <c r="A100" s="896" t="s">
        <v>2360</v>
      </c>
      <c r="B100" s="897" t="s">
        <v>703</v>
      </c>
      <c r="C100" s="897" t="s">
        <v>2361</v>
      </c>
      <c r="D100" s="897" t="s">
        <v>2362</v>
      </c>
      <c r="E100" s="897" t="s">
        <v>2363</v>
      </c>
      <c r="F100" s="897"/>
      <c r="G100" s="897" t="s">
        <v>2364</v>
      </c>
      <c r="H100" s="898" t="s">
        <v>1936</v>
      </c>
      <c r="I100" s="899"/>
      <c r="J100" s="899"/>
    </row>
    <row r="101" spans="1:10">
      <c r="A101" s="896" t="s">
        <v>2365</v>
      </c>
      <c r="B101" s="897" t="s">
        <v>758</v>
      </c>
      <c r="C101" s="897" t="s">
        <v>2366</v>
      </c>
      <c r="D101" s="897" t="s">
        <v>2367</v>
      </c>
      <c r="E101" s="897" t="s">
        <v>2368</v>
      </c>
      <c r="F101" s="897"/>
      <c r="G101" s="897" t="s">
        <v>2369</v>
      </c>
      <c r="H101" s="898" t="s">
        <v>1953</v>
      </c>
      <c r="I101" s="899"/>
      <c r="J101" s="899"/>
    </row>
    <row r="102" spans="1:10">
      <c r="A102" s="896" t="s">
        <v>2370</v>
      </c>
      <c r="B102" s="897" t="s">
        <v>2371</v>
      </c>
      <c r="C102" s="897" t="s">
        <v>2372</v>
      </c>
      <c r="D102" s="897" t="s">
        <v>2373</v>
      </c>
      <c r="E102" s="897" t="s">
        <v>2374</v>
      </c>
      <c r="F102" s="897"/>
      <c r="G102" s="897"/>
      <c r="H102" s="898" t="s">
        <v>1953</v>
      </c>
      <c r="I102" s="899"/>
      <c r="J102" s="899"/>
    </row>
    <row r="103" spans="1:10">
      <c r="A103" s="896" t="s">
        <v>2375</v>
      </c>
      <c r="B103" s="897" t="s">
        <v>2376</v>
      </c>
      <c r="C103" s="897" t="s">
        <v>2377</v>
      </c>
      <c r="D103" s="897" t="s">
        <v>2378</v>
      </c>
      <c r="E103" s="897" t="s">
        <v>2379</v>
      </c>
      <c r="F103" s="897"/>
      <c r="G103" s="897"/>
      <c r="H103" s="898" t="s">
        <v>1953</v>
      </c>
      <c r="I103" s="899"/>
      <c r="J103" s="899"/>
    </row>
    <row r="104" spans="1:10">
      <c r="A104" s="896" t="s">
        <v>2380</v>
      </c>
      <c r="B104" s="897" t="s">
        <v>751</v>
      </c>
      <c r="C104" s="897" t="s">
        <v>2381</v>
      </c>
      <c r="D104" s="897" t="s">
        <v>2382</v>
      </c>
      <c r="E104" s="897" t="s">
        <v>2383</v>
      </c>
      <c r="F104" s="897"/>
      <c r="G104" s="897"/>
      <c r="H104" s="898" t="s">
        <v>1914</v>
      </c>
      <c r="I104" s="899"/>
      <c r="J104" s="899"/>
    </row>
    <row r="105" spans="1:10">
      <c r="A105" s="896" t="s">
        <v>2384</v>
      </c>
      <c r="B105" s="897" t="s">
        <v>2385</v>
      </c>
      <c r="C105" s="897" t="s">
        <v>2386</v>
      </c>
      <c r="D105" s="897" t="s">
        <v>1204</v>
      </c>
      <c r="E105" s="897" t="s">
        <v>2387</v>
      </c>
      <c r="F105" s="897"/>
      <c r="G105" s="897"/>
      <c r="H105" s="898">
        <v>0</v>
      </c>
      <c r="I105" s="899"/>
      <c r="J105" s="899"/>
    </row>
    <row r="106" spans="1:10">
      <c r="A106" s="896" t="s">
        <v>2388</v>
      </c>
      <c r="B106" s="897" t="s">
        <v>2389</v>
      </c>
      <c r="C106" s="897" t="s">
        <v>2390</v>
      </c>
      <c r="D106" s="897" t="s">
        <v>2391</v>
      </c>
      <c r="E106" s="897" t="s">
        <v>2392</v>
      </c>
      <c r="F106" s="897"/>
      <c r="G106" s="897"/>
      <c r="H106" s="898" t="s">
        <v>1953</v>
      </c>
      <c r="I106" s="899"/>
      <c r="J106" s="899"/>
    </row>
    <row r="107" spans="1:10">
      <c r="A107" s="896" t="s">
        <v>2393</v>
      </c>
      <c r="B107" s="897" t="s">
        <v>2394</v>
      </c>
      <c r="C107" s="897" t="s">
        <v>2395</v>
      </c>
      <c r="D107" s="897" t="s">
        <v>2396</v>
      </c>
      <c r="E107" s="897" t="s">
        <v>2397</v>
      </c>
      <c r="F107" s="897"/>
      <c r="G107" s="897" t="s">
        <v>2398</v>
      </c>
      <c r="H107" s="898" t="e">
        <v>#N/A</v>
      </c>
      <c r="I107" s="899"/>
      <c r="J107" s="899"/>
    </row>
    <row r="108" spans="1:10">
      <c r="A108" s="896" t="s">
        <v>2399</v>
      </c>
      <c r="B108" s="897" t="s">
        <v>448</v>
      </c>
      <c r="C108" s="897" t="s">
        <v>2400</v>
      </c>
      <c r="D108" s="897" t="s">
        <v>2401</v>
      </c>
      <c r="E108" s="897" t="s">
        <v>2402</v>
      </c>
      <c r="F108" s="897"/>
      <c r="G108" s="897"/>
      <c r="H108" s="898" t="s">
        <v>1953</v>
      </c>
      <c r="I108" s="899"/>
      <c r="J108" s="899"/>
    </row>
    <row r="109" spans="1:10">
      <c r="A109" s="896" t="s">
        <v>2403</v>
      </c>
      <c r="B109" s="897" t="s">
        <v>246</v>
      </c>
      <c r="C109" s="897" t="s">
        <v>2404</v>
      </c>
      <c r="D109" s="897" t="s">
        <v>1195</v>
      </c>
      <c r="E109" s="897" t="s">
        <v>2405</v>
      </c>
      <c r="F109" s="897"/>
      <c r="G109" s="897"/>
      <c r="H109" s="898" t="s">
        <v>1953</v>
      </c>
      <c r="I109" s="899"/>
      <c r="J109" s="899"/>
    </row>
    <row r="110" spans="1:10">
      <c r="A110" s="896" t="s">
        <v>2406</v>
      </c>
      <c r="B110" s="897" t="s">
        <v>2407</v>
      </c>
      <c r="C110" s="897" t="s">
        <v>2408</v>
      </c>
      <c r="D110" s="897" t="s">
        <v>2409</v>
      </c>
      <c r="E110" s="897" t="s">
        <v>2410</v>
      </c>
      <c r="F110" s="897"/>
      <c r="G110" s="897" t="s">
        <v>2411</v>
      </c>
      <c r="H110" s="898" t="s">
        <v>1953</v>
      </c>
      <c r="I110" s="899"/>
      <c r="J110" s="899"/>
    </row>
    <row r="111" spans="1:10">
      <c r="A111" s="896" t="s">
        <v>2412</v>
      </c>
      <c r="B111" s="897" t="s">
        <v>2413</v>
      </c>
      <c r="C111" s="897" t="s">
        <v>2414</v>
      </c>
      <c r="D111" s="897" t="s">
        <v>2415</v>
      </c>
      <c r="E111" s="897" t="s">
        <v>2416</v>
      </c>
      <c r="F111" s="897"/>
      <c r="G111" s="897" t="s">
        <v>1992</v>
      </c>
      <c r="H111" s="898" t="s">
        <v>1953</v>
      </c>
      <c r="I111" s="899"/>
      <c r="J111" s="899"/>
    </row>
    <row r="112" spans="1:10">
      <c r="A112" s="896" t="s">
        <v>2417</v>
      </c>
      <c r="B112" s="897" t="s">
        <v>739</v>
      </c>
      <c r="C112" s="897" t="s">
        <v>2418</v>
      </c>
      <c r="D112" s="897" t="s">
        <v>2419</v>
      </c>
      <c r="E112" s="897" t="s">
        <v>2420</v>
      </c>
      <c r="F112" s="897"/>
      <c r="G112" s="897"/>
      <c r="H112" s="898" t="s">
        <v>1914</v>
      </c>
      <c r="I112" s="899"/>
      <c r="J112" s="899"/>
    </row>
    <row r="113" spans="1:10">
      <c r="A113" s="896" t="s">
        <v>2421</v>
      </c>
      <c r="B113" s="897" t="s">
        <v>525</v>
      </c>
      <c r="C113" s="897" t="s">
        <v>2422</v>
      </c>
      <c r="D113" s="897" t="s">
        <v>2423</v>
      </c>
      <c r="E113" s="897" t="s">
        <v>2424</v>
      </c>
      <c r="F113" s="897" t="s">
        <v>2425</v>
      </c>
      <c r="G113" s="897" t="s">
        <v>2426</v>
      </c>
      <c r="H113" s="898" t="s">
        <v>1953</v>
      </c>
      <c r="I113" s="899"/>
      <c r="J113" s="899"/>
    </row>
    <row r="114" spans="1:10">
      <c r="A114" s="896" t="s">
        <v>2427</v>
      </c>
      <c r="B114" s="897" t="s">
        <v>2428</v>
      </c>
      <c r="C114" s="897" t="s">
        <v>2318</v>
      </c>
      <c r="D114" s="897" t="s">
        <v>2429</v>
      </c>
      <c r="E114" s="897" t="s">
        <v>2430</v>
      </c>
      <c r="F114" s="897"/>
      <c r="G114" s="897"/>
      <c r="H114" s="898" t="s">
        <v>1936</v>
      </c>
      <c r="I114" s="899"/>
      <c r="J114" s="899"/>
    </row>
    <row r="115" spans="1:10">
      <c r="A115" s="896" t="s">
        <v>2431</v>
      </c>
      <c r="B115" s="897" t="s">
        <v>2432</v>
      </c>
      <c r="C115" s="897" t="s">
        <v>2433</v>
      </c>
      <c r="D115" s="897" t="s">
        <v>2434</v>
      </c>
      <c r="E115" s="897" t="s">
        <v>2435</v>
      </c>
      <c r="F115" s="897" t="s">
        <v>130</v>
      </c>
      <c r="G115" s="897"/>
      <c r="H115" s="898" t="s">
        <v>1953</v>
      </c>
      <c r="I115" s="899"/>
      <c r="J115" s="899"/>
    </row>
    <row r="116" spans="1:10">
      <c r="A116" s="896" t="s">
        <v>2436</v>
      </c>
      <c r="B116" s="897" t="s">
        <v>2432</v>
      </c>
      <c r="C116" s="897" t="s">
        <v>2433</v>
      </c>
      <c r="D116" s="897" t="s">
        <v>2434</v>
      </c>
      <c r="E116" s="897" t="s">
        <v>2435</v>
      </c>
      <c r="F116" s="897" t="s">
        <v>130</v>
      </c>
      <c r="G116" s="897"/>
      <c r="H116" s="898" t="s">
        <v>1953</v>
      </c>
      <c r="I116" s="899"/>
      <c r="J116" s="899"/>
    </row>
    <row r="117" spans="1:10">
      <c r="A117" s="896" t="s">
        <v>2437</v>
      </c>
      <c r="B117" s="897" t="s">
        <v>2438</v>
      </c>
      <c r="C117" s="897" t="s">
        <v>2439</v>
      </c>
      <c r="D117" s="897" t="s">
        <v>2440</v>
      </c>
      <c r="E117" s="897" t="s">
        <v>2441</v>
      </c>
      <c r="F117" s="897"/>
      <c r="G117" s="897" t="s">
        <v>2442</v>
      </c>
      <c r="H117" s="898" t="s">
        <v>1914</v>
      </c>
      <c r="I117" s="899"/>
      <c r="J117" s="899"/>
    </row>
    <row r="118" spans="1:10">
      <c r="A118" s="896" t="s">
        <v>2443</v>
      </c>
      <c r="B118" s="897" t="s">
        <v>264</v>
      </c>
      <c r="C118" s="897" t="s">
        <v>2318</v>
      </c>
      <c r="D118" s="897" t="s">
        <v>2444</v>
      </c>
      <c r="E118" s="897" t="s">
        <v>2445</v>
      </c>
      <c r="F118" s="897"/>
      <c r="G118" s="897" t="s">
        <v>2446</v>
      </c>
      <c r="H118" s="898">
        <v>0</v>
      </c>
      <c r="I118" s="899"/>
      <c r="J118" s="899"/>
    </row>
    <row r="119" spans="1:10">
      <c r="A119" s="896" t="s">
        <v>2447</v>
      </c>
      <c r="B119" s="897" t="s">
        <v>757</v>
      </c>
      <c r="C119" s="897" t="s">
        <v>2448</v>
      </c>
      <c r="D119" s="897" t="s">
        <v>2449</v>
      </c>
      <c r="E119" s="897" t="s">
        <v>2450</v>
      </c>
      <c r="F119" s="897"/>
      <c r="G119" s="897"/>
      <c r="H119" s="898" t="s">
        <v>1953</v>
      </c>
      <c r="I119" s="899"/>
      <c r="J119" s="899"/>
    </row>
    <row r="120" spans="1:10">
      <c r="A120" s="896" t="s">
        <v>2451</v>
      </c>
      <c r="B120" s="897" t="s">
        <v>2452</v>
      </c>
      <c r="C120" s="897" t="s">
        <v>2448</v>
      </c>
      <c r="D120" s="897" t="s">
        <v>1184</v>
      </c>
      <c r="E120" s="897" t="s">
        <v>2453</v>
      </c>
      <c r="F120" s="897"/>
      <c r="G120" s="897" t="s">
        <v>2454</v>
      </c>
      <c r="H120" s="898" t="s">
        <v>1953</v>
      </c>
      <c r="I120" s="899"/>
      <c r="J120" s="899"/>
    </row>
    <row r="121" spans="1:10">
      <c r="A121" s="896" t="s">
        <v>2455</v>
      </c>
      <c r="B121" s="897" t="s">
        <v>449</v>
      </c>
      <c r="C121" s="897" t="s">
        <v>2456</v>
      </c>
      <c r="D121" s="897" t="s">
        <v>2457</v>
      </c>
      <c r="E121" s="897" t="s">
        <v>2458</v>
      </c>
      <c r="F121" s="897"/>
      <c r="G121" s="897"/>
      <c r="H121" s="898" t="s">
        <v>1953</v>
      </c>
      <c r="I121" s="899"/>
      <c r="J121" s="899"/>
    </row>
    <row r="122" spans="1:10">
      <c r="A122" s="896" t="s">
        <v>2459</v>
      </c>
      <c r="B122" s="897" t="s">
        <v>213</v>
      </c>
      <c r="C122" s="897" t="s">
        <v>2460</v>
      </c>
      <c r="D122" s="897" t="s">
        <v>1298</v>
      </c>
      <c r="E122" s="897" t="s">
        <v>2461</v>
      </c>
      <c r="F122" s="897"/>
      <c r="G122" s="897"/>
      <c r="H122" s="898" t="e">
        <v>#N/A</v>
      </c>
      <c r="I122" s="899"/>
      <c r="J122" s="899"/>
    </row>
    <row r="123" spans="1:10">
      <c r="A123" s="896" t="s">
        <v>2462</v>
      </c>
      <c r="B123" s="897" t="s">
        <v>2463</v>
      </c>
      <c r="C123" s="897" t="s">
        <v>2464</v>
      </c>
      <c r="D123" s="897" t="s">
        <v>1243</v>
      </c>
      <c r="E123" s="897" t="s">
        <v>2465</v>
      </c>
      <c r="F123" s="897"/>
      <c r="G123" s="897"/>
      <c r="H123" s="898">
        <v>0</v>
      </c>
      <c r="I123" s="899"/>
      <c r="J123" s="899"/>
    </row>
    <row r="124" spans="1:10">
      <c r="A124" s="896" t="s">
        <v>2466</v>
      </c>
      <c r="B124" s="897" t="s">
        <v>1242</v>
      </c>
      <c r="C124" s="897" t="s">
        <v>2464</v>
      </c>
      <c r="D124" s="897" t="s">
        <v>1243</v>
      </c>
      <c r="E124" s="897" t="s">
        <v>2465</v>
      </c>
      <c r="F124" s="897"/>
      <c r="G124" s="897" t="s">
        <v>2467</v>
      </c>
      <c r="H124" s="898" t="s">
        <v>1953</v>
      </c>
      <c r="I124" s="899"/>
      <c r="J124" s="899"/>
    </row>
    <row r="125" spans="1:10">
      <c r="A125" s="896" t="s">
        <v>2468</v>
      </c>
      <c r="B125" s="897" t="s">
        <v>390</v>
      </c>
      <c r="C125" s="897" t="s">
        <v>2469</v>
      </c>
      <c r="D125" s="897" t="s">
        <v>2470</v>
      </c>
      <c r="E125" s="897" t="s">
        <v>2471</v>
      </c>
      <c r="F125" s="897"/>
      <c r="G125" s="897"/>
      <c r="H125" s="898" t="s">
        <v>1953</v>
      </c>
      <c r="I125" s="899"/>
      <c r="J125" s="899"/>
    </row>
    <row r="126" spans="1:10">
      <c r="A126" s="896" t="s">
        <v>2472</v>
      </c>
      <c r="B126" s="897" t="s">
        <v>726</v>
      </c>
      <c r="C126" s="897" t="s">
        <v>2473</v>
      </c>
      <c r="D126" s="897" t="s">
        <v>2474</v>
      </c>
      <c r="E126" s="897" t="s">
        <v>2475</v>
      </c>
      <c r="F126" s="897"/>
      <c r="G126" s="897" t="s">
        <v>2476</v>
      </c>
      <c r="H126" s="898" t="s">
        <v>1953</v>
      </c>
      <c r="I126" s="899"/>
      <c r="J126" s="899"/>
    </row>
    <row r="127" spans="1:10">
      <c r="A127" s="896" t="s">
        <v>2477</v>
      </c>
      <c r="B127" s="897" t="s">
        <v>2478</v>
      </c>
      <c r="C127" s="897" t="s">
        <v>2479</v>
      </c>
      <c r="D127" s="897" t="s">
        <v>1304</v>
      </c>
      <c r="E127" s="897" t="s">
        <v>2480</v>
      </c>
      <c r="F127" s="897"/>
      <c r="G127" s="897"/>
      <c r="H127" s="898" t="e">
        <v>#N/A</v>
      </c>
      <c r="I127" s="899"/>
      <c r="J127" s="899"/>
    </row>
    <row r="128" spans="1:10">
      <c r="A128" s="896" t="s">
        <v>2481</v>
      </c>
      <c r="B128" s="897" t="s">
        <v>637</v>
      </c>
      <c r="C128" s="897" t="s">
        <v>2482</v>
      </c>
      <c r="D128" s="897" t="s">
        <v>2483</v>
      </c>
      <c r="E128" s="897" t="s">
        <v>2484</v>
      </c>
      <c r="F128" s="897"/>
      <c r="G128" s="897"/>
      <c r="H128" s="898" t="s">
        <v>1953</v>
      </c>
      <c r="I128" s="899"/>
      <c r="J128" s="899"/>
    </row>
    <row r="129" spans="1:10">
      <c r="A129" s="896" t="s">
        <v>2485</v>
      </c>
      <c r="B129" s="897" t="s">
        <v>2486</v>
      </c>
      <c r="C129" s="897" t="s">
        <v>2487</v>
      </c>
      <c r="D129" s="897" t="s">
        <v>2488</v>
      </c>
      <c r="E129" s="897" t="s">
        <v>2489</v>
      </c>
      <c r="F129" s="897"/>
      <c r="G129" s="897"/>
      <c r="H129" s="898" t="e">
        <v>#N/A</v>
      </c>
      <c r="I129" s="899"/>
      <c r="J129" s="899"/>
    </row>
    <row r="130" spans="1:10">
      <c r="A130" s="896" t="s">
        <v>2490</v>
      </c>
      <c r="B130" s="897" t="s">
        <v>2491</v>
      </c>
      <c r="C130" s="897" t="s">
        <v>2492</v>
      </c>
      <c r="D130" s="897" t="s">
        <v>2493</v>
      </c>
      <c r="E130" s="897" t="s">
        <v>2494</v>
      </c>
      <c r="F130" s="897"/>
      <c r="G130" s="897"/>
      <c r="H130" s="898" t="s">
        <v>1953</v>
      </c>
      <c r="I130" s="899"/>
      <c r="J130" s="899"/>
    </row>
    <row r="131" spans="1:10">
      <c r="A131" s="896" t="s">
        <v>2495</v>
      </c>
      <c r="B131" s="897" t="s">
        <v>461</v>
      </c>
      <c r="C131" s="897" t="s">
        <v>2496</v>
      </c>
      <c r="D131" s="897" t="s">
        <v>1294</v>
      </c>
      <c r="E131" s="897" t="s">
        <v>2497</v>
      </c>
      <c r="F131" s="897"/>
      <c r="G131" s="897"/>
      <c r="H131" s="898" t="e">
        <v>#N/A</v>
      </c>
      <c r="I131" s="899"/>
      <c r="J131" s="899"/>
    </row>
    <row r="132" spans="1:10">
      <c r="A132" s="896" t="s">
        <v>2498</v>
      </c>
      <c r="B132" s="897" t="s">
        <v>388</v>
      </c>
      <c r="C132" s="897" t="s">
        <v>2499</v>
      </c>
      <c r="D132" s="897" t="s">
        <v>2500</v>
      </c>
      <c r="E132" s="897" t="s">
        <v>2501</v>
      </c>
      <c r="F132" s="897"/>
      <c r="G132" s="897"/>
      <c r="H132" s="898" t="s">
        <v>1953</v>
      </c>
      <c r="I132" s="899"/>
      <c r="J132" s="899"/>
    </row>
    <row r="133" spans="1:10">
      <c r="A133" s="896" t="s">
        <v>2502</v>
      </c>
      <c r="B133" s="897" t="s">
        <v>750</v>
      </c>
      <c r="C133" s="897" t="s">
        <v>2503</v>
      </c>
      <c r="D133" s="897" t="s">
        <v>2504</v>
      </c>
      <c r="E133" s="897" t="s">
        <v>2505</v>
      </c>
      <c r="F133" s="897"/>
      <c r="G133" s="897"/>
      <c r="H133" s="898" t="s">
        <v>1953</v>
      </c>
      <c r="I133" s="899"/>
      <c r="J133" s="899"/>
    </row>
    <row r="134" spans="1:10">
      <c r="A134" s="896" t="s">
        <v>2506</v>
      </c>
      <c r="B134" s="897" t="s">
        <v>227</v>
      </c>
      <c r="C134" s="897" t="s">
        <v>2507</v>
      </c>
      <c r="D134" s="897" t="s">
        <v>2508</v>
      </c>
      <c r="E134" s="897" t="s">
        <v>2509</v>
      </c>
      <c r="F134" s="897"/>
      <c r="G134" s="897" t="s">
        <v>2510</v>
      </c>
      <c r="H134" s="898" t="s">
        <v>1914</v>
      </c>
      <c r="I134" s="899"/>
      <c r="J134" s="899"/>
    </row>
    <row r="135" spans="1:10">
      <c r="A135" s="896" t="s">
        <v>2511</v>
      </c>
      <c r="B135" s="897" t="s">
        <v>730</v>
      </c>
      <c r="C135" s="897" t="s">
        <v>2512</v>
      </c>
      <c r="D135" s="897" t="s">
        <v>2513</v>
      </c>
      <c r="E135" s="897" t="s">
        <v>2514</v>
      </c>
      <c r="F135" s="897"/>
      <c r="G135" s="897"/>
      <c r="H135" s="898" t="s">
        <v>1953</v>
      </c>
      <c r="I135" s="899"/>
      <c r="J135" s="899"/>
    </row>
    <row r="136" spans="1:10">
      <c r="A136" s="896" t="s">
        <v>2515</v>
      </c>
      <c r="B136" s="897" t="s">
        <v>2516</v>
      </c>
      <c r="C136" s="897" t="s">
        <v>2517</v>
      </c>
      <c r="D136" s="897" t="s">
        <v>2518</v>
      </c>
      <c r="E136" s="897" t="s">
        <v>2519</v>
      </c>
      <c r="F136" s="897" t="s">
        <v>465</v>
      </c>
      <c r="G136" s="897" t="s">
        <v>2520</v>
      </c>
      <c r="H136" s="898" t="s">
        <v>1953</v>
      </c>
      <c r="I136" s="899"/>
      <c r="J136" s="899"/>
    </row>
    <row r="137" spans="1:10">
      <c r="A137" s="896" t="s">
        <v>2521</v>
      </c>
      <c r="B137" s="897" t="s">
        <v>2522</v>
      </c>
      <c r="C137" s="897" t="s">
        <v>2523</v>
      </c>
      <c r="D137" s="897" t="s">
        <v>2524</v>
      </c>
      <c r="E137" s="897" t="s">
        <v>2525</v>
      </c>
      <c r="F137" s="897"/>
      <c r="G137" s="897"/>
      <c r="H137" s="898" t="s">
        <v>1914</v>
      </c>
      <c r="I137" s="899"/>
      <c r="J137" s="899"/>
    </row>
    <row r="138" spans="1:10">
      <c r="A138" s="896" t="s">
        <v>2526</v>
      </c>
      <c r="B138" s="897" t="s">
        <v>2527</v>
      </c>
      <c r="C138" s="897" t="s">
        <v>2528</v>
      </c>
      <c r="D138" s="897" t="s">
        <v>2529</v>
      </c>
      <c r="E138" s="897" t="s">
        <v>2530</v>
      </c>
      <c r="F138" s="897"/>
      <c r="G138" s="897"/>
      <c r="H138" s="898" t="s">
        <v>1953</v>
      </c>
      <c r="I138" s="899"/>
      <c r="J138" s="899"/>
    </row>
    <row r="139" spans="1:10">
      <c r="A139" s="896" t="s">
        <v>2531</v>
      </c>
      <c r="B139" s="897" t="s">
        <v>2532</v>
      </c>
      <c r="C139" s="897" t="s">
        <v>2533</v>
      </c>
      <c r="D139" s="897" t="s">
        <v>2534</v>
      </c>
      <c r="E139" s="897" t="s">
        <v>2535</v>
      </c>
      <c r="F139" s="897"/>
      <c r="G139" s="897" t="s">
        <v>2536</v>
      </c>
      <c r="H139" s="898" t="e">
        <v>#N/A</v>
      </c>
      <c r="I139" s="899"/>
      <c r="J139" s="899"/>
    </row>
    <row r="140" spans="1:10">
      <c r="A140" s="896" t="s">
        <v>2537</v>
      </c>
      <c r="B140" s="897" t="s">
        <v>2538</v>
      </c>
      <c r="C140" s="897" t="s">
        <v>2539</v>
      </c>
      <c r="D140" s="897" t="s">
        <v>2540</v>
      </c>
      <c r="E140" s="897" t="s">
        <v>2541</v>
      </c>
      <c r="F140" s="897"/>
      <c r="G140" s="897"/>
      <c r="H140" s="898">
        <v>0</v>
      </c>
      <c r="I140" s="899"/>
      <c r="J140" s="899"/>
    </row>
    <row r="141" spans="1:10">
      <c r="A141" s="896" t="s">
        <v>2542</v>
      </c>
      <c r="B141" s="897" t="s">
        <v>551</v>
      </c>
      <c r="C141" s="897" t="s">
        <v>2543</v>
      </c>
      <c r="D141" s="897" t="s">
        <v>2544</v>
      </c>
      <c r="E141" s="897" t="s">
        <v>2545</v>
      </c>
      <c r="F141" s="897"/>
      <c r="G141" s="897"/>
      <c r="H141" s="898" t="s">
        <v>1953</v>
      </c>
      <c r="I141" s="899"/>
      <c r="J141" s="899"/>
    </row>
    <row r="142" spans="1:10">
      <c r="A142" s="896" t="s">
        <v>2546</v>
      </c>
      <c r="B142" s="897" t="s">
        <v>63</v>
      </c>
      <c r="C142" s="897" t="s">
        <v>2547</v>
      </c>
      <c r="D142" s="897" t="s">
        <v>2548</v>
      </c>
      <c r="E142" s="897" t="s">
        <v>2549</v>
      </c>
      <c r="F142" s="897"/>
      <c r="G142" s="897"/>
      <c r="H142" s="898" t="s">
        <v>1936</v>
      </c>
      <c r="I142" s="899"/>
      <c r="J142" s="899"/>
    </row>
    <row r="143" spans="1:10">
      <c r="A143" s="896" t="s">
        <v>2550</v>
      </c>
      <c r="B143" s="897" t="s">
        <v>2551</v>
      </c>
      <c r="C143" s="897" t="s">
        <v>2552</v>
      </c>
      <c r="D143" s="897" t="s">
        <v>2553</v>
      </c>
      <c r="E143" s="897" t="s">
        <v>2554</v>
      </c>
      <c r="F143" s="897"/>
      <c r="G143" s="897"/>
      <c r="H143" s="898" t="e">
        <v>#N/A</v>
      </c>
      <c r="I143" s="899"/>
      <c r="J143" s="899"/>
    </row>
    <row r="144" spans="1:10">
      <c r="A144" s="896" t="s">
        <v>2555</v>
      </c>
      <c r="B144" s="897" t="s">
        <v>2556</v>
      </c>
      <c r="C144" s="897" t="s">
        <v>2557</v>
      </c>
      <c r="D144" s="897" t="s">
        <v>2558</v>
      </c>
      <c r="E144" s="897" t="s">
        <v>2559</v>
      </c>
      <c r="F144" s="897"/>
      <c r="G144" s="897"/>
      <c r="H144" s="898" t="e">
        <v>#N/A</v>
      </c>
      <c r="I144" s="899"/>
      <c r="J144" s="899"/>
    </row>
    <row r="145" spans="1:10">
      <c r="A145" s="896" t="s">
        <v>2560</v>
      </c>
      <c r="B145" s="897" t="s">
        <v>2561</v>
      </c>
      <c r="C145" s="897" t="s">
        <v>2562</v>
      </c>
      <c r="D145" s="897" t="s">
        <v>2563</v>
      </c>
      <c r="E145" s="897" t="s">
        <v>2564</v>
      </c>
      <c r="F145" s="897"/>
      <c r="G145" s="897"/>
      <c r="H145" s="898">
        <v>0</v>
      </c>
      <c r="I145" s="899"/>
      <c r="J145" s="899"/>
    </row>
    <row r="146" spans="1:10">
      <c r="A146" s="896" t="s">
        <v>2565</v>
      </c>
      <c r="B146" s="897" t="s">
        <v>466</v>
      </c>
      <c r="C146" s="897" t="s">
        <v>2566</v>
      </c>
      <c r="D146" s="897" t="s">
        <v>2567</v>
      </c>
      <c r="E146" s="897" t="s">
        <v>2568</v>
      </c>
      <c r="F146" s="897"/>
      <c r="G146" s="897" t="s">
        <v>2569</v>
      </c>
      <c r="H146" s="898" t="s">
        <v>1953</v>
      </c>
      <c r="I146" s="899"/>
      <c r="J146" s="899"/>
    </row>
    <row r="147" spans="1:10">
      <c r="A147" s="896" t="s">
        <v>2570</v>
      </c>
      <c r="B147" s="897" t="s">
        <v>478</v>
      </c>
      <c r="C147" s="897" t="s">
        <v>2571</v>
      </c>
      <c r="D147" s="897" t="s">
        <v>2572</v>
      </c>
      <c r="E147" s="897" t="s">
        <v>2573</v>
      </c>
      <c r="F147" s="897"/>
      <c r="G147" s="897" t="s">
        <v>2574</v>
      </c>
      <c r="H147" s="898" t="s">
        <v>1914</v>
      </c>
      <c r="I147" s="899"/>
      <c r="J147" s="899"/>
    </row>
    <row r="148" spans="1:10">
      <c r="A148" s="896" t="s">
        <v>2575</v>
      </c>
      <c r="B148" s="897" t="s">
        <v>2576</v>
      </c>
      <c r="C148" s="897" t="s">
        <v>2577</v>
      </c>
      <c r="D148" s="897" t="s">
        <v>2578</v>
      </c>
      <c r="E148" s="897" t="s">
        <v>2579</v>
      </c>
      <c r="F148" s="897" t="s">
        <v>155</v>
      </c>
      <c r="G148" s="897" t="s">
        <v>2580</v>
      </c>
      <c r="H148" s="898" t="e">
        <v>#N/A</v>
      </c>
      <c r="I148" s="899"/>
      <c r="J148" s="899"/>
    </row>
    <row r="149" spans="1:10">
      <c r="A149" s="896" t="s">
        <v>2581</v>
      </c>
      <c r="B149" s="897" t="s">
        <v>2582</v>
      </c>
      <c r="C149" s="897" t="s">
        <v>2583</v>
      </c>
      <c r="D149" s="897" t="s">
        <v>2584</v>
      </c>
      <c r="E149" s="897" t="s">
        <v>2585</v>
      </c>
      <c r="F149" s="897"/>
      <c r="G149" s="897"/>
      <c r="H149" s="898" t="s">
        <v>1953</v>
      </c>
      <c r="I149" s="899"/>
      <c r="J149" s="899"/>
    </row>
    <row r="150" spans="1:10">
      <c r="A150" s="896" t="s">
        <v>2586</v>
      </c>
      <c r="B150" s="897" t="s">
        <v>379</v>
      </c>
      <c r="C150" s="897" t="s">
        <v>2587</v>
      </c>
      <c r="D150" s="897" t="s">
        <v>2588</v>
      </c>
      <c r="E150" s="897" t="s">
        <v>2589</v>
      </c>
      <c r="F150" s="897"/>
      <c r="G150" s="897"/>
      <c r="H150" s="898" t="s">
        <v>1953</v>
      </c>
      <c r="I150" s="899"/>
      <c r="J150" s="899"/>
    </row>
    <row r="151" spans="1:10">
      <c r="A151" s="896" t="s">
        <v>2590</v>
      </c>
      <c r="B151" s="897" t="s">
        <v>211</v>
      </c>
      <c r="C151" s="897" t="s">
        <v>2591</v>
      </c>
      <c r="D151" s="897" t="s">
        <v>2592</v>
      </c>
      <c r="E151" s="897" t="s">
        <v>2593</v>
      </c>
      <c r="F151" s="897"/>
      <c r="G151" s="897" t="s">
        <v>2594</v>
      </c>
      <c r="H151" s="898" t="s">
        <v>1953</v>
      </c>
      <c r="I151" s="899"/>
      <c r="J151" s="899"/>
    </row>
    <row r="152" spans="1:10">
      <c r="A152" s="896" t="s">
        <v>2595</v>
      </c>
      <c r="B152" s="897" t="s">
        <v>2596</v>
      </c>
      <c r="C152" s="897" t="s">
        <v>2597</v>
      </c>
      <c r="D152" s="897" t="s">
        <v>2598</v>
      </c>
      <c r="E152" s="897" t="s">
        <v>2599</v>
      </c>
      <c r="F152" s="897"/>
      <c r="G152" s="897" t="s">
        <v>2600</v>
      </c>
      <c r="H152" s="898">
        <v>0</v>
      </c>
      <c r="I152" s="899"/>
      <c r="J152" s="899"/>
    </row>
    <row r="153" spans="1:10">
      <c r="A153" s="896" t="s">
        <v>2601</v>
      </c>
      <c r="B153" s="897" t="s">
        <v>1170</v>
      </c>
      <c r="C153" s="897" t="s">
        <v>2602</v>
      </c>
      <c r="D153" s="897" t="s">
        <v>1171</v>
      </c>
      <c r="E153" s="897" t="s">
        <v>2603</v>
      </c>
      <c r="F153" s="897" t="s">
        <v>2604</v>
      </c>
      <c r="G153" s="897" t="s">
        <v>2605</v>
      </c>
      <c r="H153" s="898" t="e">
        <v>#N/A</v>
      </c>
      <c r="I153" s="899"/>
      <c r="J153" s="899"/>
    </row>
    <row r="154" spans="1:10">
      <c r="A154" s="896" t="s">
        <v>2606</v>
      </c>
      <c r="B154" s="897" t="s">
        <v>229</v>
      </c>
      <c r="C154" s="897" t="s">
        <v>2607</v>
      </c>
      <c r="D154" s="897" t="s">
        <v>1186</v>
      </c>
      <c r="E154" s="897" t="s">
        <v>2608</v>
      </c>
      <c r="F154" s="897"/>
      <c r="G154" s="897"/>
      <c r="H154" s="898" t="s">
        <v>1953</v>
      </c>
      <c r="I154" s="899"/>
      <c r="J154" s="899"/>
    </row>
    <row r="155" spans="1:10">
      <c r="A155" s="896" t="s">
        <v>2609</v>
      </c>
      <c r="B155" s="897" t="s">
        <v>408</v>
      </c>
      <c r="C155" s="897" t="s">
        <v>2610</v>
      </c>
      <c r="D155" s="897" t="s">
        <v>1133</v>
      </c>
      <c r="E155" s="897" t="s">
        <v>2611</v>
      </c>
      <c r="F155" s="897"/>
      <c r="G155" s="897"/>
      <c r="H155" s="898" t="s">
        <v>1953</v>
      </c>
      <c r="I155" s="899"/>
      <c r="J155" s="899"/>
    </row>
    <row r="156" spans="1:10">
      <c r="A156" s="896" t="s">
        <v>2612</v>
      </c>
      <c r="B156" s="897" t="s">
        <v>573</v>
      </c>
      <c r="C156" s="897" t="s">
        <v>2613</v>
      </c>
      <c r="D156" s="897" t="s">
        <v>2614</v>
      </c>
      <c r="E156" s="897" t="s">
        <v>2615</v>
      </c>
      <c r="F156" s="897"/>
      <c r="G156" s="897"/>
      <c r="H156" s="898" t="s">
        <v>1953</v>
      </c>
      <c r="I156" s="899"/>
      <c r="J156" s="899"/>
    </row>
    <row r="157" spans="1:10">
      <c r="A157" s="896" t="s">
        <v>2616</v>
      </c>
      <c r="B157" s="897" t="s">
        <v>262</v>
      </c>
      <c r="C157" s="897" t="s">
        <v>2617</v>
      </c>
      <c r="D157" s="897" t="s">
        <v>2618</v>
      </c>
      <c r="E157" s="897" t="s">
        <v>2619</v>
      </c>
      <c r="F157" s="897"/>
      <c r="G157" s="897" t="s">
        <v>2620</v>
      </c>
      <c r="H157" s="898" t="e">
        <v>#N/A</v>
      </c>
      <c r="I157" s="899"/>
      <c r="J157" s="899"/>
    </row>
    <row r="158" spans="1:10">
      <c r="A158" s="896" t="s">
        <v>2621</v>
      </c>
      <c r="B158" s="897" t="s">
        <v>114</v>
      </c>
      <c r="C158" s="897" t="s">
        <v>2622</v>
      </c>
      <c r="D158" s="897" t="s">
        <v>2623</v>
      </c>
      <c r="E158" s="897" t="s">
        <v>2624</v>
      </c>
      <c r="F158" s="897"/>
      <c r="G158" s="897"/>
      <c r="H158" s="898" t="s">
        <v>1953</v>
      </c>
      <c r="I158" s="899"/>
      <c r="J158" s="899"/>
    </row>
    <row r="159" spans="1:10">
      <c r="A159" s="896" t="s">
        <v>2625</v>
      </c>
      <c r="B159" s="897" t="s">
        <v>544</v>
      </c>
      <c r="C159" s="897" t="s">
        <v>2626</v>
      </c>
      <c r="D159" s="897" t="s">
        <v>1224</v>
      </c>
      <c r="E159" s="897" t="s">
        <v>2627</v>
      </c>
      <c r="F159" s="897"/>
      <c r="G159" s="897"/>
      <c r="H159" s="898" t="s">
        <v>1953</v>
      </c>
      <c r="I159" s="899"/>
      <c r="J159" s="899"/>
    </row>
    <row r="160" spans="1:10">
      <c r="A160" s="896" t="s">
        <v>2628</v>
      </c>
      <c r="B160" s="897" t="s">
        <v>712</v>
      </c>
      <c r="C160" s="897" t="s">
        <v>2629</v>
      </c>
      <c r="D160" s="897" t="s">
        <v>2630</v>
      </c>
      <c r="E160" s="897" t="s">
        <v>2631</v>
      </c>
      <c r="F160" s="897" t="s">
        <v>2632</v>
      </c>
      <c r="G160" s="897" t="s">
        <v>2633</v>
      </c>
      <c r="H160" s="898" t="e">
        <v>#N/A</v>
      </c>
      <c r="I160" s="899"/>
      <c r="J160" s="899"/>
    </row>
    <row r="161" spans="1:10">
      <c r="A161" s="896" t="s">
        <v>2634</v>
      </c>
      <c r="B161" s="897" t="s">
        <v>617</v>
      </c>
      <c r="C161" s="897" t="s">
        <v>2635</v>
      </c>
      <c r="D161" s="897" t="s">
        <v>2636</v>
      </c>
      <c r="E161" s="897" t="s">
        <v>2637</v>
      </c>
      <c r="F161" s="897" t="s">
        <v>2638</v>
      </c>
      <c r="G161" s="897" t="s">
        <v>2639</v>
      </c>
      <c r="H161" s="898" t="e">
        <v>#N/A</v>
      </c>
      <c r="I161" s="899"/>
      <c r="J161" s="899"/>
    </row>
    <row r="162" spans="1:10">
      <c r="A162" s="896" t="s">
        <v>2640</v>
      </c>
      <c r="B162" s="897" t="s">
        <v>2641</v>
      </c>
      <c r="C162" s="897" t="s">
        <v>2642</v>
      </c>
      <c r="D162" s="897" t="s">
        <v>2643</v>
      </c>
      <c r="E162" s="897" t="s">
        <v>2644</v>
      </c>
      <c r="F162" s="897"/>
      <c r="G162" s="897"/>
      <c r="H162" s="898" t="s">
        <v>1953</v>
      </c>
      <c r="I162" s="899"/>
      <c r="J162" s="899"/>
    </row>
    <row r="163" spans="1:10">
      <c r="A163" s="896" t="s">
        <v>2645</v>
      </c>
      <c r="B163" s="897" t="s">
        <v>2646</v>
      </c>
      <c r="C163" s="897" t="s">
        <v>2647</v>
      </c>
      <c r="D163" s="897" t="s">
        <v>2648</v>
      </c>
      <c r="E163" s="897" t="s">
        <v>2649</v>
      </c>
      <c r="F163" s="897"/>
      <c r="G163" s="897" t="s">
        <v>2650</v>
      </c>
      <c r="H163" s="898" t="e">
        <v>#N/A</v>
      </c>
      <c r="I163" s="899"/>
      <c r="J163" s="899"/>
    </row>
    <row r="164" spans="1:10">
      <c r="A164" s="896" t="s">
        <v>2651</v>
      </c>
      <c r="B164" s="897" t="s">
        <v>21</v>
      </c>
      <c r="C164" s="897" t="s">
        <v>2652</v>
      </c>
      <c r="D164" s="897" t="s">
        <v>1227</v>
      </c>
      <c r="E164" s="897" t="s">
        <v>2653</v>
      </c>
      <c r="F164" s="897"/>
      <c r="G164" s="897" t="s">
        <v>2654</v>
      </c>
      <c r="H164" s="898" t="s">
        <v>1953</v>
      </c>
      <c r="I164" s="899"/>
      <c r="J164" s="899"/>
    </row>
    <row r="165" spans="1:10">
      <c r="A165" s="896" t="s">
        <v>2655</v>
      </c>
      <c r="B165" s="897" t="s">
        <v>2656</v>
      </c>
      <c r="C165" s="897" t="s">
        <v>2657</v>
      </c>
      <c r="D165" s="897" t="s">
        <v>2658</v>
      </c>
      <c r="E165" s="897" t="s">
        <v>2659</v>
      </c>
      <c r="F165" s="897"/>
      <c r="G165" s="897"/>
      <c r="H165" s="898" t="e">
        <v>#N/A</v>
      </c>
      <c r="I165" s="899"/>
      <c r="J165" s="899"/>
    </row>
    <row r="166" spans="1:10">
      <c r="A166" s="896" t="s">
        <v>2660</v>
      </c>
      <c r="B166" s="897" t="s">
        <v>2661</v>
      </c>
      <c r="C166" s="897" t="s">
        <v>2662</v>
      </c>
      <c r="D166" s="897" t="s">
        <v>1912</v>
      </c>
      <c r="E166" s="897" t="s">
        <v>2663</v>
      </c>
      <c r="F166" s="897"/>
      <c r="G166" s="897"/>
      <c r="H166" s="898" t="e">
        <v>#N/A</v>
      </c>
      <c r="I166" s="899"/>
      <c r="J166" s="899"/>
    </row>
    <row r="167" spans="1:10">
      <c r="A167" s="896" t="s">
        <v>2664</v>
      </c>
      <c r="B167" s="897" t="s">
        <v>401</v>
      </c>
      <c r="C167" s="897" t="s">
        <v>2665</v>
      </c>
      <c r="D167" s="897" t="s">
        <v>2666</v>
      </c>
      <c r="E167" s="897" t="s">
        <v>2667</v>
      </c>
      <c r="F167" s="897"/>
      <c r="G167" s="897"/>
      <c r="H167" s="898" t="s">
        <v>1914</v>
      </c>
      <c r="I167" s="899"/>
      <c r="J167" s="899"/>
    </row>
    <row r="168" spans="1:10">
      <c r="A168" s="896" t="s">
        <v>2668</v>
      </c>
      <c r="B168" s="897" t="s">
        <v>419</v>
      </c>
      <c r="C168" s="897" t="s">
        <v>2669</v>
      </c>
      <c r="D168" s="897" t="s">
        <v>2670</v>
      </c>
      <c r="E168" s="897" t="s">
        <v>2671</v>
      </c>
      <c r="F168" s="897"/>
      <c r="G168" s="897" t="s">
        <v>2672</v>
      </c>
      <c r="H168" s="898" t="s">
        <v>1914</v>
      </c>
      <c r="I168" s="899"/>
      <c r="J168" s="899"/>
    </row>
    <row r="169" spans="1:10">
      <c r="A169" s="896" t="s">
        <v>2673</v>
      </c>
      <c r="B169" s="897" t="s">
        <v>2674</v>
      </c>
      <c r="C169" s="897" t="s">
        <v>2675</v>
      </c>
      <c r="D169" s="897" t="s">
        <v>2676</v>
      </c>
      <c r="E169" s="897" t="s">
        <v>2677</v>
      </c>
      <c r="F169" s="897"/>
      <c r="G169" s="897"/>
      <c r="H169" s="898" t="e">
        <v>#N/A</v>
      </c>
      <c r="I169" s="899"/>
      <c r="J169" s="899"/>
    </row>
    <row r="170" spans="1:10">
      <c r="A170" s="896" t="s">
        <v>2678</v>
      </c>
      <c r="B170" s="897" t="s">
        <v>557</v>
      </c>
      <c r="C170" s="897" t="s">
        <v>2679</v>
      </c>
      <c r="D170" s="897" t="s">
        <v>2680</v>
      </c>
      <c r="E170" s="897" t="s">
        <v>2681</v>
      </c>
      <c r="F170" s="897"/>
      <c r="G170" s="897"/>
      <c r="H170" s="898" t="s">
        <v>1953</v>
      </c>
      <c r="I170" s="899"/>
      <c r="J170" s="899"/>
    </row>
    <row r="171" spans="1:10">
      <c r="A171" s="896" t="s">
        <v>2682</v>
      </c>
      <c r="B171" s="897" t="s">
        <v>2683</v>
      </c>
      <c r="C171" s="897" t="s">
        <v>2684</v>
      </c>
      <c r="D171" s="897" t="s">
        <v>2685</v>
      </c>
      <c r="E171" s="897" t="s">
        <v>2686</v>
      </c>
      <c r="F171" s="897"/>
      <c r="G171" s="897" t="s">
        <v>2687</v>
      </c>
      <c r="H171" s="898" t="e">
        <v>#N/A</v>
      </c>
      <c r="I171" s="899"/>
      <c r="J171" s="899"/>
    </row>
    <row r="172" spans="1:10">
      <c r="A172" s="896" t="s">
        <v>2688</v>
      </c>
      <c r="B172" s="897" t="s">
        <v>755</v>
      </c>
      <c r="C172" s="897" t="s">
        <v>2448</v>
      </c>
      <c r="D172" s="897" t="s">
        <v>1307</v>
      </c>
      <c r="E172" s="897" t="s">
        <v>2689</v>
      </c>
      <c r="F172" s="897"/>
      <c r="G172" s="897" t="s">
        <v>2690</v>
      </c>
      <c r="H172" s="898" t="s">
        <v>1953</v>
      </c>
      <c r="I172" s="899"/>
      <c r="J172" s="899"/>
    </row>
    <row r="173" spans="1:10">
      <c r="A173" s="896" t="s">
        <v>2691</v>
      </c>
      <c r="B173" s="897" t="s">
        <v>528</v>
      </c>
      <c r="C173" s="897" t="s">
        <v>2692</v>
      </c>
      <c r="D173" s="897" t="s">
        <v>2693</v>
      </c>
      <c r="E173" s="897" t="s">
        <v>2694</v>
      </c>
      <c r="F173" s="897"/>
      <c r="G173" s="897"/>
      <c r="H173" s="898" t="s">
        <v>1914</v>
      </c>
      <c r="I173" s="899"/>
      <c r="J173" s="899"/>
    </row>
    <row r="174" spans="1:10">
      <c r="A174" s="896" t="s">
        <v>2695</v>
      </c>
      <c r="B174" s="897" t="s">
        <v>707</v>
      </c>
      <c r="C174" s="897" t="s">
        <v>2696</v>
      </c>
      <c r="D174" s="897" t="s">
        <v>2697</v>
      </c>
      <c r="E174" s="897" t="s">
        <v>2698</v>
      </c>
      <c r="F174" s="897" t="s">
        <v>527</v>
      </c>
      <c r="G174" s="897" t="s">
        <v>2699</v>
      </c>
      <c r="H174" s="898">
        <v>0</v>
      </c>
      <c r="I174" s="899"/>
      <c r="J174" s="899"/>
    </row>
    <row r="175" spans="1:10">
      <c r="A175" s="896" t="s">
        <v>2700</v>
      </c>
      <c r="B175" s="897" t="s">
        <v>2701</v>
      </c>
      <c r="C175" s="897" t="s">
        <v>2702</v>
      </c>
      <c r="D175" s="897" t="s">
        <v>1308</v>
      </c>
      <c r="E175" s="897" t="s">
        <v>2703</v>
      </c>
      <c r="F175" s="897"/>
      <c r="G175" s="897"/>
      <c r="H175" s="898" t="s">
        <v>1953</v>
      </c>
      <c r="I175" s="899"/>
      <c r="J175" s="899"/>
    </row>
    <row r="176" spans="1:10">
      <c r="A176" s="896" t="s">
        <v>2704</v>
      </c>
      <c r="B176" s="897" t="s">
        <v>2705</v>
      </c>
      <c r="C176" s="897" t="s">
        <v>2706</v>
      </c>
      <c r="D176" s="897" t="s">
        <v>1912</v>
      </c>
      <c r="E176" s="897" t="s">
        <v>2707</v>
      </c>
      <c r="F176" s="897"/>
      <c r="G176" s="897"/>
      <c r="H176" s="898" t="e">
        <v>#N/A</v>
      </c>
      <c r="I176" s="899"/>
      <c r="J176" s="899"/>
    </row>
    <row r="177" spans="1:10">
      <c r="A177" s="896" t="s">
        <v>2708</v>
      </c>
      <c r="B177" s="897" t="s">
        <v>30</v>
      </c>
      <c r="C177" s="897" t="s">
        <v>2709</v>
      </c>
      <c r="D177" s="897" t="s">
        <v>2710</v>
      </c>
      <c r="E177" s="897" t="s">
        <v>2711</v>
      </c>
      <c r="F177" s="897"/>
      <c r="G177" s="897"/>
      <c r="H177" s="898">
        <v>0</v>
      </c>
      <c r="I177" s="899"/>
      <c r="J177" s="899"/>
    </row>
    <row r="178" spans="1:10">
      <c r="A178" s="896" t="s">
        <v>2712</v>
      </c>
      <c r="B178" s="897" t="s">
        <v>2713</v>
      </c>
      <c r="C178" s="897" t="s">
        <v>2714</v>
      </c>
      <c r="D178" s="897" t="s">
        <v>2715</v>
      </c>
      <c r="E178" s="897" t="s">
        <v>2716</v>
      </c>
      <c r="F178" s="897"/>
      <c r="G178" s="897"/>
      <c r="H178" s="898" t="e">
        <v>#N/A</v>
      </c>
      <c r="I178" s="899"/>
      <c r="J178" s="899"/>
    </row>
    <row r="179" spans="1:10">
      <c r="A179" s="896" t="s">
        <v>2717</v>
      </c>
      <c r="B179" s="897" t="s">
        <v>464</v>
      </c>
      <c r="C179" s="897" t="s">
        <v>2718</v>
      </c>
      <c r="D179" s="897" t="s">
        <v>2719</v>
      </c>
      <c r="E179" s="897" t="s">
        <v>2720</v>
      </c>
      <c r="F179" s="897"/>
      <c r="G179" s="897" t="s">
        <v>2721</v>
      </c>
      <c r="H179" s="898" t="s">
        <v>1953</v>
      </c>
      <c r="I179" s="899"/>
      <c r="J179" s="899"/>
    </row>
    <row r="180" spans="1:10">
      <c r="A180" s="896" t="s">
        <v>2722</v>
      </c>
      <c r="B180" s="897" t="s">
        <v>2723</v>
      </c>
      <c r="C180" s="897" t="s">
        <v>2724</v>
      </c>
      <c r="D180" s="897" t="s">
        <v>2725</v>
      </c>
      <c r="E180" s="897" t="s">
        <v>2726</v>
      </c>
      <c r="F180" s="897"/>
      <c r="G180" s="897" t="s">
        <v>2727</v>
      </c>
      <c r="H180" s="898" t="e">
        <v>#N/A</v>
      </c>
      <c r="I180" s="899"/>
      <c r="J180" s="899"/>
    </row>
    <row r="181" spans="1:10">
      <c r="A181" s="896" t="s">
        <v>2728</v>
      </c>
      <c r="B181" s="897" t="s">
        <v>728</v>
      </c>
      <c r="C181" s="897" t="s">
        <v>2729</v>
      </c>
      <c r="D181" s="897" t="s">
        <v>1273</v>
      </c>
      <c r="E181" s="897" t="s">
        <v>2730</v>
      </c>
      <c r="F181" s="897"/>
      <c r="G181" s="897"/>
      <c r="H181" s="898" t="s">
        <v>1953</v>
      </c>
      <c r="I181" s="899"/>
      <c r="J181" s="899"/>
    </row>
    <row r="182" spans="1:10">
      <c r="A182" s="896" t="s">
        <v>2731</v>
      </c>
      <c r="B182" s="897" t="s">
        <v>1293</v>
      </c>
      <c r="C182" s="897" t="s">
        <v>2732</v>
      </c>
      <c r="D182" s="897" t="s">
        <v>1301</v>
      </c>
      <c r="E182" s="897" t="s">
        <v>2733</v>
      </c>
      <c r="F182" s="897"/>
      <c r="G182" s="897" t="s">
        <v>2734</v>
      </c>
      <c r="H182" s="898" t="s">
        <v>1914</v>
      </c>
      <c r="I182" s="899"/>
      <c r="J182" s="899"/>
    </row>
    <row r="183" spans="1:10">
      <c r="A183" s="896" t="s">
        <v>2735</v>
      </c>
      <c r="B183" s="897" t="s">
        <v>2736</v>
      </c>
      <c r="C183" s="897" t="s">
        <v>2737</v>
      </c>
      <c r="D183" s="897" t="s">
        <v>2738</v>
      </c>
      <c r="E183" s="897" t="s">
        <v>2739</v>
      </c>
      <c r="F183" s="897"/>
      <c r="G183" s="897"/>
      <c r="H183" s="898" t="s">
        <v>1914</v>
      </c>
      <c r="I183" s="899"/>
      <c r="J183" s="899"/>
    </row>
    <row r="184" spans="1:10">
      <c r="A184" s="896" t="s">
        <v>2740</v>
      </c>
      <c r="B184" s="897" t="s">
        <v>374</v>
      </c>
      <c r="C184" s="897" t="s">
        <v>2741</v>
      </c>
      <c r="D184" s="897" t="s">
        <v>1255</v>
      </c>
      <c r="E184" s="897" t="s">
        <v>2742</v>
      </c>
      <c r="F184" s="897"/>
      <c r="G184" s="897"/>
      <c r="H184" s="898" t="s">
        <v>1953</v>
      </c>
      <c r="I184" s="899"/>
      <c r="J184" s="899"/>
    </row>
    <row r="185" spans="1:10">
      <c r="A185" s="896" t="s">
        <v>2743</v>
      </c>
      <c r="B185" s="897" t="s">
        <v>1733</v>
      </c>
      <c r="C185" s="897" t="s">
        <v>2744</v>
      </c>
      <c r="D185" s="897" t="s">
        <v>2745</v>
      </c>
      <c r="E185" s="897" t="s">
        <v>2746</v>
      </c>
      <c r="F185" s="897"/>
      <c r="G185" s="897" t="s">
        <v>2072</v>
      </c>
      <c r="H185" s="898" t="s">
        <v>1953</v>
      </c>
      <c r="I185" s="899"/>
      <c r="J185" s="899"/>
    </row>
    <row r="186" spans="1:10">
      <c r="A186" s="896" t="s">
        <v>2747</v>
      </c>
      <c r="B186" s="897" t="s">
        <v>2748</v>
      </c>
      <c r="C186" s="897" t="s">
        <v>2749</v>
      </c>
      <c r="D186" s="897" t="s">
        <v>2750</v>
      </c>
      <c r="E186" s="897" t="s">
        <v>2751</v>
      </c>
      <c r="F186" s="897"/>
      <c r="G186" s="897"/>
      <c r="H186" s="898" t="s">
        <v>1953</v>
      </c>
      <c r="I186" s="899"/>
      <c r="J186" s="899"/>
    </row>
    <row r="187" spans="1:10">
      <c r="A187" s="896" t="s">
        <v>2752</v>
      </c>
      <c r="B187" s="897" t="s">
        <v>340</v>
      </c>
      <c r="C187" s="897" t="s">
        <v>2753</v>
      </c>
      <c r="D187" s="897" t="s">
        <v>2754</v>
      </c>
      <c r="E187" s="897" t="s">
        <v>2755</v>
      </c>
      <c r="F187" s="897"/>
      <c r="G187" s="897" t="s">
        <v>2756</v>
      </c>
      <c r="H187" s="898" t="s">
        <v>1914</v>
      </c>
      <c r="I187" s="899"/>
      <c r="J187" s="899"/>
    </row>
    <row r="188" spans="1:10">
      <c r="A188" s="896" t="s">
        <v>2757</v>
      </c>
      <c r="B188" s="897" t="s">
        <v>2758</v>
      </c>
      <c r="C188" s="897" t="s">
        <v>2759</v>
      </c>
      <c r="D188" s="897" t="s">
        <v>2760</v>
      </c>
      <c r="E188" s="897" t="s">
        <v>2761</v>
      </c>
      <c r="F188" s="897"/>
      <c r="G188" s="897"/>
      <c r="H188" s="898" t="s">
        <v>1953</v>
      </c>
      <c r="I188" s="899"/>
      <c r="J188" s="899"/>
    </row>
    <row r="189" spans="1:10">
      <c r="A189" s="896" t="s">
        <v>2762</v>
      </c>
      <c r="B189" s="897" t="s">
        <v>2763</v>
      </c>
      <c r="C189" s="897" t="s">
        <v>2523</v>
      </c>
      <c r="D189" s="897" t="s">
        <v>2764</v>
      </c>
      <c r="E189" s="897" t="s">
        <v>2765</v>
      </c>
      <c r="F189" s="897"/>
      <c r="G189" s="897"/>
      <c r="H189" s="898" t="s">
        <v>1914</v>
      </c>
      <c r="I189" s="899"/>
      <c r="J189" s="899"/>
    </row>
    <row r="190" spans="1:10">
      <c r="A190" s="896" t="s">
        <v>2766</v>
      </c>
      <c r="B190" s="897" t="s">
        <v>2767</v>
      </c>
      <c r="C190" s="897" t="s">
        <v>2768</v>
      </c>
      <c r="D190" s="897" t="s">
        <v>2769</v>
      </c>
      <c r="E190" s="897" t="s">
        <v>2770</v>
      </c>
      <c r="F190" s="897"/>
      <c r="G190" s="897"/>
      <c r="H190" s="898" t="s">
        <v>1914</v>
      </c>
      <c r="I190" s="899"/>
      <c r="J190" s="899"/>
    </row>
    <row r="191" spans="1:10">
      <c r="A191" s="896" t="s">
        <v>2771</v>
      </c>
      <c r="B191" s="897" t="s">
        <v>1413</v>
      </c>
      <c r="C191" s="897" t="s">
        <v>2772</v>
      </c>
      <c r="D191" s="897" t="s">
        <v>2773</v>
      </c>
      <c r="E191" s="897" t="s">
        <v>2774</v>
      </c>
      <c r="F191" s="897"/>
      <c r="G191" s="897" t="s">
        <v>2775</v>
      </c>
      <c r="H191" s="898" t="s">
        <v>1953</v>
      </c>
      <c r="I191" s="899"/>
      <c r="J191" s="899"/>
    </row>
    <row r="192" spans="1:10">
      <c r="A192" s="896" t="s">
        <v>2776</v>
      </c>
      <c r="B192" s="897" t="s">
        <v>806</v>
      </c>
      <c r="C192" s="897" t="s">
        <v>2777</v>
      </c>
      <c r="D192" s="897" t="s">
        <v>2778</v>
      </c>
      <c r="E192" s="897" t="s">
        <v>2779</v>
      </c>
      <c r="F192" s="897"/>
      <c r="G192" s="897"/>
      <c r="H192" s="898" t="e">
        <v>#N/A</v>
      </c>
      <c r="I192" s="899"/>
      <c r="J192" s="899"/>
    </row>
    <row r="193" spans="1:10">
      <c r="A193" s="896" t="s">
        <v>2780</v>
      </c>
      <c r="B193" s="897" t="s">
        <v>2781</v>
      </c>
      <c r="C193" s="897" t="s">
        <v>2782</v>
      </c>
      <c r="D193" s="897" t="s">
        <v>2783</v>
      </c>
      <c r="E193" s="897" t="s">
        <v>2784</v>
      </c>
      <c r="F193" s="897"/>
      <c r="G193" s="897"/>
      <c r="H193" s="898" t="s">
        <v>1914</v>
      </c>
      <c r="I193" s="899"/>
      <c r="J193" s="899"/>
    </row>
    <row r="194" spans="1:10">
      <c r="A194" s="896" t="s">
        <v>2785</v>
      </c>
      <c r="B194" s="897" t="s">
        <v>60</v>
      </c>
      <c r="C194" s="897" t="s">
        <v>2622</v>
      </c>
      <c r="D194" s="897" t="s">
        <v>2786</v>
      </c>
      <c r="E194" s="897" t="s">
        <v>2787</v>
      </c>
      <c r="F194" s="897"/>
      <c r="G194" s="897" t="s">
        <v>2788</v>
      </c>
      <c r="H194" s="898" t="s">
        <v>1936</v>
      </c>
      <c r="I194" s="899"/>
      <c r="J194" s="899"/>
    </row>
    <row r="195" spans="1:10">
      <c r="A195" s="896" t="s">
        <v>2789</v>
      </c>
      <c r="B195" s="897" t="s">
        <v>223</v>
      </c>
      <c r="C195" s="897" t="s">
        <v>2790</v>
      </c>
      <c r="D195" s="897" t="s">
        <v>1300</v>
      </c>
      <c r="E195" s="897" t="s">
        <v>2791</v>
      </c>
      <c r="F195" s="897"/>
      <c r="G195" s="897"/>
      <c r="H195" s="898" t="s">
        <v>1953</v>
      </c>
      <c r="I195" s="899"/>
      <c r="J195" s="899"/>
    </row>
    <row r="196" spans="1:10">
      <c r="A196" s="896" t="s">
        <v>2792</v>
      </c>
      <c r="B196" s="897" t="s">
        <v>2793</v>
      </c>
      <c r="C196" s="897" t="s">
        <v>2794</v>
      </c>
      <c r="D196" s="897" t="s">
        <v>2795</v>
      </c>
      <c r="E196" s="897" t="s">
        <v>2796</v>
      </c>
      <c r="F196" s="897"/>
      <c r="G196" s="897" t="s">
        <v>2072</v>
      </c>
      <c r="H196" s="898" t="e">
        <v>#N/A</v>
      </c>
      <c r="I196" s="899"/>
      <c r="J196" s="899"/>
    </row>
    <row r="197" spans="1:10">
      <c r="A197" s="896" t="s">
        <v>2797</v>
      </c>
      <c r="B197" s="897" t="s">
        <v>2798</v>
      </c>
      <c r="C197" s="897" t="s">
        <v>2799</v>
      </c>
      <c r="D197" s="897" t="s">
        <v>2800</v>
      </c>
      <c r="E197" s="897" t="s">
        <v>2801</v>
      </c>
      <c r="F197" s="897"/>
      <c r="G197" s="897"/>
      <c r="H197" s="898" t="s">
        <v>1953</v>
      </c>
      <c r="I197" s="899"/>
      <c r="J197" s="899"/>
    </row>
    <row r="198" spans="1:10">
      <c r="A198" s="896" t="s">
        <v>2802</v>
      </c>
      <c r="B198" s="897" t="s">
        <v>361</v>
      </c>
      <c r="C198" s="897" t="s">
        <v>2803</v>
      </c>
      <c r="D198" s="897" t="s">
        <v>1178</v>
      </c>
      <c r="E198" s="897" t="s">
        <v>2804</v>
      </c>
      <c r="F198" s="897"/>
      <c r="G198" s="897" t="s">
        <v>2805</v>
      </c>
      <c r="H198" s="898" t="s">
        <v>1953</v>
      </c>
      <c r="I198" s="899"/>
      <c r="J198" s="899"/>
    </row>
    <row r="199" spans="1:10">
      <c r="A199" s="896" t="s">
        <v>2806</v>
      </c>
      <c r="B199" s="897" t="s">
        <v>756</v>
      </c>
      <c r="C199" s="897" t="s">
        <v>2807</v>
      </c>
      <c r="D199" s="897" t="s">
        <v>2808</v>
      </c>
      <c r="E199" s="897" t="s">
        <v>2809</v>
      </c>
      <c r="F199" s="897"/>
      <c r="G199" s="897"/>
      <c r="H199" s="898" t="s">
        <v>1914</v>
      </c>
      <c r="I199" s="899"/>
      <c r="J199" s="899"/>
    </row>
    <row r="200" spans="1:10">
      <c r="A200" s="896" t="s">
        <v>2810</v>
      </c>
      <c r="B200" s="897" t="s">
        <v>2811</v>
      </c>
      <c r="C200" s="897" t="s">
        <v>2812</v>
      </c>
      <c r="D200" s="897" t="s">
        <v>2813</v>
      </c>
      <c r="E200" s="897" t="s">
        <v>2814</v>
      </c>
      <c r="F200" s="897"/>
      <c r="G200" s="897" t="s">
        <v>2815</v>
      </c>
      <c r="H200" s="898" t="s">
        <v>1953</v>
      </c>
      <c r="I200" s="899"/>
      <c r="J200" s="899"/>
    </row>
    <row r="201" spans="1:10">
      <c r="A201" s="896" t="s">
        <v>2816</v>
      </c>
      <c r="B201" s="897" t="s">
        <v>543</v>
      </c>
      <c r="C201" s="897" t="s">
        <v>2817</v>
      </c>
      <c r="D201" s="897" t="s">
        <v>2818</v>
      </c>
      <c r="E201" s="897" t="s">
        <v>2819</v>
      </c>
      <c r="F201" s="897"/>
      <c r="G201" s="897"/>
      <c r="H201" s="898" t="s">
        <v>1953</v>
      </c>
      <c r="I201" s="899"/>
      <c r="J201" s="899"/>
    </row>
    <row r="202" spans="1:10">
      <c r="A202" s="896" t="s">
        <v>2820</v>
      </c>
      <c r="B202" s="897" t="s">
        <v>2821</v>
      </c>
      <c r="C202" s="897" t="s">
        <v>2822</v>
      </c>
      <c r="D202" s="897" t="s">
        <v>2823</v>
      </c>
      <c r="E202" s="897" t="s">
        <v>2824</v>
      </c>
      <c r="F202" s="897"/>
      <c r="G202" s="897" t="s">
        <v>2825</v>
      </c>
      <c r="H202" s="898" t="e">
        <v>#N/A</v>
      </c>
      <c r="I202" s="899"/>
      <c r="J202" s="899"/>
    </row>
    <row r="203" spans="1:10">
      <c r="A203" s="896" t="s">
        <v>2826</v>
      </c>
      <c r="B203" s="897" t="s">
        <v>236</v>
      </c>
      <c r="C203" s="897" t="s">
        <v>2827</v>
      </c>
      <c r="D203" s="897" t="s">
        <v>1234</v>
      </c>
      <c r="E203" s="897" t="s">
        <v>2828</v>
      </c>
      <c r="F203" s="897"/>
      <c r="G203" s="897"/>
      <c r="H203" s="898" t="s">
        <v>1953</v>
      </c>
      <c r="I203" s="899"/>
      <c r="J203" s="899"/>
    </row>
    <row r="204" spans="1:10">
      <c r="A204" s="896" t="s">
        <v>2829</v>
      </c>
      <c r="B204" s="897" t="s">
        <v>2830</v>
      </c>
      <c r="C204" s="897" t="s">
        <v>2831</v>
      </c>
      <c r="D204" s="897" t="s">
        <v>2832</v>
      </c>
      <c r="E204" s="897" t="s">
        <v>2833</v>
      </c>
      <c r="F204" s="897"/>
      <c r="G204" s="897" t="s">
        <v>2834</v>
      </c>
      <c r="H204" s="898" t="s">
        <v>1953</v>
      </c>
      <c r="I204" s="899"/>
      <c r="J204" s="899"/>
    </row>
    <row r="205" spans="1:10">
      <c r="A205" s="896" t="s">
        <v>2835</v>
      </c>
      <c r="B205" s="897" t="s">
        <v>746</v>
      </c>
      <c r="C205" s="897" t="s">
        <v>2836</v>
      </c>
      <c r="D205" s="897" t="s">
        <v>1310</v>
      </c>
      <c r="E205" s="897" t="s">
        <v>2837</v>
      </c>
      <c r="F205" s="897"/>
      <c r="G205" s="897"/>
      <c r="H205" s="898" t="s">
        <v>1953</v>
      </c>
      <c r="I205" s="899"/>
      <c r="J205" s="899"/>
    </row>
    <row r="206" spans="1:10">
      <c r="A206" s="896" t="s">
        <v>2838</v>
      </c>
      <c r="B206" s="897" t="s">
        <v>2839</v>
      </c>
      <c r="C206" s="897" t="s">
        <v>2840</v>
      </c>
      <c r="D206" s="897" t="s">
        <v>2841</v>
      </c>
      <c r="E206" s="897" t="s">
        <v>2842</v>
      </c>
      <c r="F206" s="897"/>
      <c r="G206" s="897"/>
      <c r="H206" s="898" t="e">
        <v>#N/A</v>
      </c>
      <c r="I206" s="899"/>
      <c r="J206" s="899"/>
    </row>
    <row r="207" spans="1:10">
      <c r="A207" s="896" t="s">
        <v>2843</v>
      </c>
      <c r="B207" s="897" t="s">
        <v>2844</v>
      </c>
      <c r="C207" s="897" t="s">
        <v>2845</v>
      </c>
      <c r="D207" s="897" t="s">
        <v>2846</v>
      </c>
      <c r="E207" s="897" t="s">
        <v>2847</v>
      </c>
      <c r="F207" s="897"/>
      <c r="G207" s="897"/>
      <c r="H207" s="898" t="e">
        <v>#N/A</v>
      </c>
      <c r="I207" s="899"/>
      <c r="J207" s="899"/>
    </row>
    <row r="208" spans="1:10">
      <c r="A208" s="896" t="s">
        <v>2848</v>
      </c>
      <c r="B208" s="897" t="s">
        <v>2849</v>
      </c>
      <c r="C208" s="897" t="s">
        <v>2850</v>
      </c>
      <c r="D208" s="897" t="s">
        <v>2851</v>
      </c>
      <c r="E208" s="897" t="s">
        <v>2852</v>
      </c>
      <c r="F208" s="897"/>
      <c r="G208" s="897"/>
      <c r="H208" s="898" t="e">
        <v>#N/A</v>
      </c>
      <c r="I208" s="899"/>
      <c r="J208" s="899"/>
    </row>
    <row r="209" spans="1:10">
      <c r="A209" s="896" t="s">
        <v>2853</v>
      </c>
      <c r="B209" s="897" t="s">
        <v>2854</v>
      </c>
      <c r="C209" s="897" t="s">
        <v>2855</v>
      </c>
      <c r="D209" s="897" t="s">
        <v>1184</v>
      </c>
      <c r="E209" s="897" t="s">
        <v>2856</v>
      </c>
      <c r="F209" s="897"/>
      <c r="G209" s="897"/>
      <c r="H209" s="898" t="e">
        <v>#N/A</v>
      </c>
      <c r="I209" s="899"/>
      <c r="J209" s="899"/>
    </row>
    <row r="210" spans="1:10">
      <c r="A210" s="896" t="s">
        <v>2857</v>
      </c>
      <c r="B210" s="897" t="s">
        <v>428</v>
      </c>
      <c r="C210" s="897" t="s">
        <v>2858</v>
      </c>
      <c r="D210" s="897" t="s">
        <v>2859</v>
      </c>
      <c r="E210" s="897" t="s">
        <v>2860</v>
      </c>
      <c r="F210" s="897"/>
      <c r="G210" s="897" t="s">
        <v>2861</v>
      </c>
      <c r="H210" s="898" t="s">
        <v>1953</v>
      </c>
      <c r="I210" s="899"/>
      <c r="J210" s="899"/>
    </row>
    <row r="211" spans="1:10">
      <c r="A211" s="896" t="s">
        <v>2862</v>
      </c>
      <c r="B211" s="897" t="s">
        <v>818</v>
      </c>
      <c r="C211" s="897" t="s">
        <v>2863</v>
      </c>
      <c r="D211" s="897" t="s">
        <v>2864</v>
      </c>
      <c r="E211" s="897" t="s">
        <v>2865</v>
      </c>
      <c r="F211" s="897"/>
      <c r="G211" s="897"/>
      <c r="H211" s="898" t="s">
        <v>1953</v>
      </c>
      <c r="I211" s="899"/>
      <c r="J211" s="899"/>
    </row>
    <row r="212" spans="1:10">
      <c r="A212" s="896" t="s">
        <v>2866</v>
      </c>
      <c r="B212" s="897" t="s">
        <v>2867</v>
      </c>
      <c r="C212" s="897" t="s">
        <v>2868</v>
      </c>
      <c r="D212" s="897" t="s">
        <v>2869</v>
      </c>
      <c r="E212" s="897" t="s">
        <v>2870</v>
      </c>
      <c r="F212" s="897"/>
      <c r="G212" s="897"/>
      <c r="H212" s="898" t="s">
        <v>1953</v>
      </c>
      <c r="I212" s="899"/>
      <c r="J212" s="899"/>
    </row>
    <row r="213" spans="1:10">
      <c r="A213" s="896" t="s">
        <v>2871</v>
      </c>
      <c r="B213" s="897" t="s">
        <v>2872</v>
      </c>
      <c r="C213" s="897" t="s">
        <v>2873</v>
      </c>
      <c r="D213" s="897" t="s">
        <v>2874</v>
      </c>
      <c r="E213" s="897" t="s">
        <v>2875</v>
      </c>
      <c r="F213" s="897"/>
      <c r="G213" s="897"/>
      <c r="H213" s="898" t="s">
        <v>1914</v>
      </c>
      <c r="I213" s="899"/>
      <c r="J213" s="899"/>
    </row>
    <row r="214" spans="1:10">
      <c r="A214" s="896" t="s">
        <v>2876</v>
      </c>
      <c r="B214" s="897" t="s">
        <v>534</v>
      </c>
      <c r="C214" s="897" t="s">
        <v>2877</v>
      </c>
      <c r="D214" s="897" t="s">
        <v>2878</v>
      </c>
      <c r="E214" s="897" t="s">
        <v>2879</v>
      </c>
      <c r="F214" s="897"/>
      <c r="G214" s="897"/>
      <c r="H214" s="898" t="s">
        <v>1953</v>
      </c>
      <c r="I214" s="899"/>
      <c r="J214" s="899"/>
    </row>
    <row r="215" spans="1:10">
      <c r="A215" s="896" t="s">
        <v>2880</v>
      </c>
      <c r="B215" s="897" t="s">
        <v>88</v>
      </c>
      <c r="C215" s="897"/>
      <c r="D215" s="897" t="s">
        <v>2881</v>
      </c>
      <c r="E215" s="897" t="s">
        <v>2882</v>
      </c>
      <c r="F215" s="897"/>
      <c r="G215" s="897"/>
      <c r="H215" s="898" t="s">
        <v>1914</v>
      </c>
      <c r="I215" s="899"/>
      <c r="J215" s="899"/>
    </row>
    <row r="216" spans="1:10">
      <c r="A216" s="896" t="s">
        <v>2883</v>
      </c>
      <c r="B216" s="897" t="s">
        <v>2884</v>
      </c>
      <c r="C216" s="897" t="s">
        <v>2629</v>
      </c>
      <c r="D216" s="897" t="s">
        <v>2881</v>
      </c>
      <c r="E216" s="897" t="s">
        <v>2882</v>
      </c>
      <c r="F216" s="897"/>
      <c r="G216" s="897"/>
      <c r="H216" s="898" t="s">
        <v>1914</v>
      </c>
      <c r="I216" s="899"/>
      <c r="J216" s="899"/>
    </row>
    <row r="217" spans="1:10">
      <c r="A217" s="896" t="s">
        <v>2885</v>
      </c>
      <c r="B217" s="897" t="s">
        <v>576</v>
      </c>
      <c r="C217" s="897" t="s">
        <v>2840</v>
      </c>
      <c r="D217" s="897" t="s">
        <v>2886</v>
      </c>
      <c r="E217" s="897" t="s">
        <v>2887</v>
      </c>
      <c r="F217" s="897"/>
      <c r="G217" s="897"/>
      <c r="H217" s="898" t="s">
        <v>1953</v>
      </c>
      <c r="I217" s="899"/>
      <c r="J217" s="899"/>
    </row>
    <row r="218" spans="1:10">
      <c r="A218" s="896" t="s">
        <v>2888</v>
      </c>
      <c r="B218" s="897" t="s">
        <v>1905</v>
      </c>
      <c r="C218" s="897" t="s">
        <v>2889</v>
      </c>
      <c r="D218" s="897" t="s">
        <v>2890</v>
      </c>
      <c r="E218" s="897" t="s">
        <v>2891</v>
      </c>
      <c r="F218" s="897"/>
      <c r="G218" s="897" t="s">
        <v>2892</v>
      </c>
      <c r="H218" s="898" t="s">
        <v>1953</v>
      </c>
      <c r="I218" s="899"/>
      <c r="J218" s="899"/>
    </row>
    <row r="219" spans="1:10">
      <c r="A219" s="896" t="s">
        <v>2893</v>
      </c>
      <c r="B219" s="897" t="s">
        <v>1903</v>
      </c>
      <c r="C219" s="897" t="s">
        <v>2894</v>
      </c>
      <c r="D219" s="897" t="s">
        <v>2895</v>
      </c>
      <c r="E219" s="897" t="s">
        <v>2896</v>
      </c>
      <c r="F219" s="897"/>
      <c r="G219" s="897"/>
      <c r="H219" s="898" t="s">
        <v>1953</v>
      </c>
      <c r="I219" s="899"/>
      <c r="J219" s="899"/>
    </row>
    <row r="220" spans="1:10">
      <c r="A220" s="896" t="s">
        <v>2897</v>
      </c>
      <c r="B220" s="897" t="s">
        <v>2898</v>
      </c>
      <c r="C220" s="897" t="s">
        <v>2899</v>
      </c>
      <c r="D220" s="897" t="s">
        <v>2900</v>
      </c>
      <c r="E220" s="897" t="s">
        <v>2901</v>
      </c>
      <c r="F220" s="897"/>
      <c r="G220" s="897"/>
      <c r="H220" s="898" t="s">
        <v>1914</v>
      </c>
      <c r="I220" s="899"/>
      <c r="J220" s="899"/>
    </row>
    <row r="221" spans="1:10">
      <c r="A221" s="896" t="s">
        <v>2902</v>
      </c>
      <c r="B221" s="897" t="s">
        <v>811</v>
      </c>
      <c r="C221" s="897" t="s">
        <v>2903</v>
      </c>
      <c r="D221" s="897" t="s">
        <v>2904</v>
      </c>
      <c r="E221" s="897" t="s">
        <v>2905</v>
      </c>
      <c r="F221" s="897"/>
      <c r="G221" s="897"/>
      <c r="H221" s="898" t="s">
        <v>1953</v>
      </c>
      <c r="I221" s="899"/>
      <c r="J221" s="899"/>
    </row>
    <row r="222" spans="1:10">
      <c r="A222" s="896" t="s">
        <v>2906</v>
      </c>
      <c r="B222" s="897" t="s">
        <v>533</v>
      </c>
      <c r="C222" s="897" t="s">
        <v>2907</v>
      </c>
      <c r="D222" s="897" t="s">
        <v>2908</v>
      </c>
      <c r="E222" s="897" t="s">
        <v>2909</v>
      </c>
      <c r="F222" s="897"/>
      <c r="G222" s="897"/>
      <c r="H222" s="898" t="s">
        <v>1953</v>
      </c>
      <c r="I222" s="899"/>
      <c r="J222" s="899"/>
    </row>
    <row r="223" spans="1:10">
      <c r="A223" s="896" t="s">
        <v>2910</v>
      </c>
      <c r="B223" s="897" t="s">
        <v>406</v>
      </c>
      <c r="C223" s="897" t="s">
        <v>2911</v>
      </c>
      <c r="D223" s="897" t="s">
        <v>2912</v>
      </c>
      <c r="E223" s="897" t="s">
        <v>2913</v>
      </c>
      <c r="F223" s="897"/>
      <c r="G223" s="897"/>
      <c r="H223" s="898" t="s">
        <v>1953</v>
      </c>
      <c r="I223" s="899"/>
      <c r="J223" s="899"/>
    </row>
    <row r="224" spans="1:10">
      <c r="A224" s="896" t="s">
        <v>2914</v>
      </c>
      <c r="B224" s="897" t="s">
        <v>238</v>
      </c>
      <c r="C224" s="897"/>
      <c r="D224" s="897" t="s">
        <v>2915</v>
      </c>
      <c r="E224" s="897" t="s">
        <v>2916</v>
      </c>
      <c r="F224" s="897" t="s">
        <v>2917</v>
      </c>
      <c r="G224" s="897" t="s">
        <v>2918</v>
      </c>
      <c r="H224" s="898" t="e">
        <v>#N/A</v>
      </c>
      <c r="I224" s="899"/>
      <c r="J224" s="899"/>
    </row>
    <row r="225" spans="1:10">
      <c r="A225" s="896" t="s">
        <v>2919</v>
      </c>
      <c r="B225" s="897" t="s">
        <v>128</v>
      </c>
      <c r="C225" s="897" t="s">
        <v>2920</v>
      </c>
      <c r="D225" s="897" t="s">
        <v>2921</v>
      </c>
      <c r="E225" s="897" t="s">
        <v>2922</v>
      </c>
      <c r="F225" s="897"/>
      <c r="G225" s="897"/>
      <c r="H225" s="898" t="s">
        <v>1936</v>
      </c>
      <c r="I225" s="899"/>
      <c r="J225" s="899"/>
    </row>
    <row r="226" spans="1:10">
      <c r="A226" s="896" t="s">
        <v>2923</v>
      </c>
      <c r="B226" s="897" t="s">
        <v>196</v>
      </c>
      <c r="C226" s="897" t="s">
        <v>2924</v>
      </c>
      <c r="D226" s="897" t="s">
        <v>2925</v>
      </c>
      <c r="E226" s="897" t="s">
        <v>2926</v>
      </c>
      <c r="F226" s="897"/>
      <c r="G226" s="897"/>
      <c r="H226" s="898" t="s">
        <v>1953</v>
      </c>
      <c r="I226" s="899"/>
      <c r="J226" s="899"/>
    </row>
    <row r="227" spans="1:10">
      <c r="A227" s="896" t="s">
        <v>2927</v>
      </c>
      <c r="B227" s="897" t="s">
        <v>2928</v>
      </c>
      <c r="C227" s="897" t="s">
        <v>2929</v>
      </c>
      <c r="D227" s="897" t="s">
        <v>1933</v>
      </c>
      <c r="E227" s="897" t="s">
        <v>2930</v>
      </c>
      <c r="F227" s="897"/>
      <c r="G227" s="897" t="s">
        <v>2931</v>
      </c>
      <c r="H227" s="898" t="e">
        <v>#N/A</v>
      </c>
      <c r="I227" s="899"/>
      <c r="J227" s="899"/>
    </row>
    <row r="228" spans="1:10">
      <c r="A228" s="896" t="s">
        <v>2932</v>
      </c>
      <c r="B228" s="897" t="s">
        <v>234</v>
      </c>
      <c r="C228" s="897" t="s">
        <v>2933</v>
      </c>
      <c r="D228" s="897" t="s">
        <v>1207</v>
      </c>
      <c r="E228" s="897" t="s">
        <v>2934</v>
      </c>
      <c r="F228" s="897"/>
      <c r="G228" s="897" t="s">
        <v>2935</v>
      </c>
      <c r="H228" s="898" t="s">
        <v>1953</v>
      </c>
      <c r="I228" s="899"/>
      <c r="J228" s="899"/>
    </row>
    <row r="229" spans="1:10">
      <c r="A229" s="896" t="s">
        <v>2936</v>
      </c>
      <c r="B229" s="897" t="s">
        <v>447</v>
      </c>
      <c r="C229" s="897" t="s">
        <v>2933</v>
      </c>
      <c r="D229" s="897" t="s">
        <v>1207</v>
      </c>
      <c r="E229" s="897" t="s">
        <v>2934</v>
      </c>
      <c r="F229" s="897"/>
      <c r="G229" s="897" t="s">
        <v>2935</v>
      </c>
      <c r="H229" s="898" t="s">
        <v>1953</v>
      </c>
      <c r="I229" s="899"/>
      <c r="J229" s="899"/>
    </row>
    <row r="230" spans="1:10">
      <c r="A230" s="896" t="s">
        <v>2937</v>
      </c>
      <c r="B230" s="897" t="s">
        <v>179</v>
      </c>
      <c r="C230" s="897" t="s">
        <v>2938</v>
      </c>
      <c r="D230" s="897" t="s">
        <v>1290</v>
      </c>
      <c r="E230" s="897" t="s">
        <v>2939</v>
      </c>
      <c r="F230" s="897"/>
      <c r="G230" s="897" t="s">
        <v>2940</v>
      </c>
      <c r="H230" s="898">
        <v>0</v>
      </c>
      <c r="I230" s="899"/>
      <c r="J230" s="899"/>
    </row>
    <row r="231" spans="1:10">
      <c r="A231" s="896" t="s">
        <v>2941</v>
      </c>
      <c r="B231" s="897" t="s">
        <v>2942</v>
      </c>
      <c r="C231" s="897" t="s">
        <v>2943</v>
      </c>
      <c r="D231" s="897" t="s">
        <v>2944</v>
      </c>
      <c r="E231" s="897" t="s">
        <v>2945</v>
      </c>
      <c r="F231" s="897"/>
      <c r="G231" s="897"/>
      <c r="H231" s="898" t="e">
        <v>#N/A</v>
      </c>
      <c r="I231" s="899"/>
      <c r="J231" s="899"/>
    </row>
    <row r="232" spans="1:10">
      <c r="A232" s="896" t="s">
        <v>2946</v>
      </c>
      <c r="B232" s="897" t="s">
        <v>2947</v>
      </c>
      <c r="C232" s="897" t="s">
        <v>2948</v>
      </c>
      <c r="D232" s="897" t="s">
        <v>2949</v>
      </c>
      <c r="E232" s="897" t="s">
        <v>2950</v>
      </c>
      <c r="F232" s="897"/>
      <c r="G232" s="897" t="s">
        <v>2951</v>
      </c>
      <c r="H232" s="898" t="s">
        <v>1953</v>
      </c>
      <c r="I232" s="899"/>
      <c r="J232" s="899"/>
    </row>
    <row r="233" spans="1:10">
      <c r="A233" s="896" t="s">
        <v>2952</v>
      </c>
      <c r="B233" s="897" t="s">
        <v>2953</v>
      </c>
      <c r="C233" s="897" t="s">
        <v>2954</v>
      </c>
      <c r="D233" s="897" t="s">
        <v>2955</v>
      </c>
      <c r="E233" s="897" t="s">
        <v>2956</v>
      </c>
      <c r="F233" s="897"/>
      <c r="G233" s="897"/>
      <c r="H233" s="898" t="e">
        <v>#N/A</v>
      </c>
      <c r="I233" s="899"/>
      <c r="J233" s="899"/>
    </row>
    <row r="234" spans="1:10">
      <c r="A234" s="896" t="s">
        <v>2957</v>
      </c>
      <c r="B234" s="897" t="s">
        <v>101</v>
      </c>
      <c r="C234" s="897" t="s">
        <v>2958</v>
      </c>
      <c r="D234" s="897" t="s">
        <v>2959</v>
      </c>
      <c r="E234" s="897" t="s">
        <v>2960</v>
      </c>
      <c r="F234" s="897"/>
      <c r="G234" s="897"/>
      <c r="H234" s="898">
        <v>0</v>
      </c>
      <c r="I234" s="899"/>
      <c r="J234" s="899"/>
    </row>
    <row r="235" spans="1:10">
      <c r="A235" s="896" t="s">
        <v>2961</v>
      </c>
      <c r="B235" s="897" t="s">
        <v>98</v>
      </c>
      <c r="C235" s="897" t="s">
        <v>2962</v>
      </c>
      <c r="D235" s="897" t="s">
        <v>2963</v>
      </c>
      <c r="E235" s="897" t="s">
        <v>2964</v>
      </c>
      <c r="F235" s="897"/>
      <c r="G235" s="897"/>
      <c r="H235" s="898" t="s">
        <v>1936</v>
      </c>
      <c r="I235" s="899"/>
      <c r="J235" s="899"/>
    </row>
    <row r="236" spans="1:10">
      <c r="A236" s="896" t="s">
        <v>2965</v>
      </c>
      <c r="B236" s="897" t="s">
        <v>524</v>
      </c>
      <c r="C236" s="897" t="s">
        <v>2966</v>
      </c>
      <c r="D236" s="897" t="s">
        <v>1276</v>
      </c>
      <c r="E236" s="897" t="s">
        <v>2967</v>
      </c>
      <c r="F236" s="897"/>
      <c r="G236" s="897"/>
      <c r="H236" s="898" t="s">
        <v>1953</v>
      </c>
      <c r="I236" s="899"/>
      <c r="J236" s="899"/>
    </row>
    <row r="237" spans="1:10">
      <c r="A237" s="896" t="s">
        <v>2968</v>
      </c>
      <c r="B237" s="897" t="s">
        <v>813</v>
      </c>
      <c r="C237" s="897" t="s">
        <v>2969</v>
      </c>
      <c r="D237" s="897" t="s">
        <v>814</v>
      </c>
      <c r="E237" s="897" t="s">
        <v>2970</v>
      </c>
      <c r="F237" s="897"/>
      <c r="G237" s="897"/>
      <c r="H237" s="898" t="e">
        <v>#N/A</v>
      </c>
      <c r="I237" s="899"/>
      <c r="J237" s="899"/>
    </row>
    <row r="238" spans="1:10">
      <c r="A238" s="896" t="s">
        <v>2971</v>
      </c>
      <c r="B238" s="897" t="s">
        <v>79</v>
      </c>
      <c r="C238" s="897" t="s">
        <v>2972</v>
      </c>
      <c r="D238" s="897" t="s">
        <v>814</v>
      </c>
      <c r="E238" s="897" t="s">
        <v>2973</v>
      </c>
      <c r="F238" s="897"/>
      <c r="G238" s="897"/>
      <c r="H238" s="898" t="e">
        <v>#N/A</v>
      </c>
      <c r="I238" s="899"/>
      <c r="J238" s="899"/>
    </row>
    <row r="239" spans="1:10">
      <c r="A239" s="896" t="s">
        <v>2974</v>
      </c>
      <c r="B239" s="897" t="s">
        <v>56</v>
      </c>
      <c r="C239" s="897" t="s">
        <v>1932</v>
      </c>
      <c r="D239" s="897" t="s">
        <v>2975</v>
      </c>
      <c r="E239" s="897" t="s">
        <v>2976</v>
      </c>
      <c r="F239" s="897" t="s">
        <v>931</v>
      </c>
      <c r="G239" s="897" t="s">
        <v>2977</v>
      </c>
      <c r="H239" s="898" t="s">
        <v>1936</v>
      </c>
      <c r="I239" s="899"/>
      <c r="J239" s="899"/>
    </row>
    <row r="240" spans="1:10">
      <c r="A240" s="896" t="s">
        <v>2978</v>
      </c>
      <c r="B240" s="897" t="s">
        <v>34</v>
      </c>
      <c r="C240" s="897" t="s">
        <v>2979</v>
      </c>
      <c r="D240" s="897" t="s">
        <v>2980</v>
      </c>
      <c r="E240" s="897" t="s">
        <v>2981</v>
      </c>
      <c r="F240" s="897"/>
      <c r="G240" s="897"/>
      <c r="H240" s="898" t="s">
        <v>1936</v>
      </c>
      <c r="I240" s="899"/>
      <c r="J240" s="899"/>
    </row>
    <row r="241" spans="1:10">
      <c r="A241" s="896" t="s">
        <v>2982</v>
      </c>
      <c r="B241" s="897" t="s">
        <v>58</v>
      </c>
      <c r="C241" s="897" t="s">
        <v>2983</v>
      </c>
      <c r="D241" s="897" t="s">
        <v>2984</v>
      </c>
      <c r="E241" s="897" t="s">
        <v>2985</v>
      </c>
      <c r="F241" s="897"/>
      <c r="G241" s="897"/>
      <c r="H241" s="898" t="s">
        <v>1953</v>
      </c>
      <c r="I241" s="899"/>
      <c r="J241" s="899"/>
    </row>
    <row r="242" spans="1:10">
      <c r="A242" s="896" t="s">
        <v>2986</v>
      </c>
      <c r="B242" s="897" t="s">
        <v>96</v>
      </c>
      <c r="C242" s="897" t="s">
        <v>2987</v>
      </c>
      <c r="D242" s="897" t="s">
        <v>2988</v>
      </c>
      <c r="E242" s="897" t="s">
        <v>2989</v>
      </c>
      <c r="F242" s="897"/>
      <c r="G242" s="897"/>
      <c r="H242" s="898" t="s">
        <v>1936</v>
      </c>
      <c r="I242" s="899"/>
      <c r="J242" s="899"/>
    </row>
    <row r="243" spans="1:10">
      <c r="A243" s="896" t="s">
        <v>2990</v>
      </c>
      <c r="B243" s="897" t="s">
        <v>2991</v>
      </c>
      <c r="C243" s="897" t="s">
        <v>2992</v>
      </c>
      <c r="D243" s="897" t="s">
        <v>1302</v>
      </c>
      <c r="E243" s="897" t="s">
        <v>2993</v>
      </c>
      <c r="F243" s="897"/>
      <c r="G243" s="897" t="s">
        <v>2654</v>
      </c>
      <c r="H243" s="898">
        <v>0</v>
      </c>
      <c r="I243" s="899"/>
      <c r="J243" s="899"/>
    </row>
    <row r="244" spans="1:10">
      <c r="A244" s="896" t="s">
        <v>2994</v>
      </c>
      <c r="B244" s="897" t="s">
        <v>33</v>
      </c>
      <c r="C244" s="897" t="s">
        <v>2979</v>
      </c>
      <c r="D244" s="897" t="s">
        <v>2995</v>
      </c>
      <c r="E244" s="897" t="s">
        <v>2996</v>
      </c>
      <c r="F244" s="897"/>
      <c r="G244" s="897"/>
      <c r="H244" s="898" t="s">
        <v>1936</v>
      </c>
      <c r="I244" s="899"/>
      <c r="J244" s="899"/>
    </row>
    <row r="245" spans="1:10">
      <c r="A245" s="896" t="s">
        <v>2997</v>
      </c>
      <c r="B245" s="897" t="s">
        <v>59</v>
      </c>
      <c r="C245" s="897" t="s">
        <v>2998</v>
      </c>
      <c r="D245" s="897" t="s">
        <v>2999</v>
      </c>
      <c r="E245" s="897" t="s">
        <v>3000</v>
      </c>
      <c r="F245" s="897"/>
      <c r="G245" s="897" t="s">
        <v>3001</v>
      </c>
      <c r="H245" s="898" t="s">
        <v>1953</v>
      </c>
      <c r="I245" s="899"/>
      <c r="J245" s="899"/>
    </row>
    <row r="246" spans="1:10">
      <c r="A246" s="896" t="s">
        <v>3002</v>
      </c>
      <c r="B246" s="897" t="s">
        <v>106</v>
      </c>
      <c r="C246" s="897" t="s">
        <v>3003</v>
      </c>
      <c r="D246" s="897" t="s">
        <v>3004</v>
      </c>
      <c r="E246" s="897" t="s">
        <v>3005</v>
      </c>
      <c r="F246" s="897"/>
      <c r="G246" s="897"/>
      <c r="H246" s="898" t="s">
        <v>1936</v>
      </c>
      <c r="I246" s="899"/>
      <c r="J246" s="899"/>
    </row>
    <row r="247" spans="1:10">
      <c r="A247" s="896" t="s">
        <v>3006</v>
      </c>
      <c r="B247" s="897" t="s">
        <v>103</v>
      </c>
      <c r="C247" s="897" t="s">
        <v>3007</v>
      </c>
      <c r="D247" s="897" t="s">
        <v>3008</v>
      </c>
      <c r="E247" s="897" t="s">
        <v>3009</v>
      </c>
      <c r="F247" s="897"/>
      <c r="G247" s="897"/>
      <c r="H247" s="898">
        <v>0</v>
      </c>
      <c r="I247" s="899"/>
      <c r="J247" s="899"/>
    </row>
    <row r="248" spans="1:10">
      <c r="A248" s="896" t="s">
        <v>3010</v>
      </c>
      <c r="B248" s="897" t="s">
        <v>3011</v>
      </c>
      <c r="C248" s="897" t="s">
        <v>3012</v>
      </c>
      <c r="D248" s="897" t="s">
        <v>3013</v>
      </c>
      <c r="E248" s="897" t="s">
        <v>3014</v>
      </c>
      <c r="F248" s="897"/>
      <c r="G248" s="897" t="s">
        <v>983</v>
      </c>
      <c r="H248" s="898" t="e">
        <v>#N/A</v>
      </c>
      <c r="I248" s="899"/>
      <c r="J248" s="899"/>
    </row>
    <row r="249" spans="1:10">
      <c r="A249" s="896" t="s">
        <v>3015</v>
      </c>
      <c r="B249" s="897" t="s">
        <v>803</v>
      </c>
      <c r="C249" s="897" t="s">
        <v>3016</v>
      </c>
      <c r="D249" s="897" t="s">
        <v>3017</v>
      </c>
      <c r="E249" s="897" t="s">
        <v>3018</v>
      </c>
      <c r="F249" s="897"/>
      <c r="G249" s="897"/>
      <c r="H249" s="898" t="s">
        <v>1936</v>
      </c>
      <c r="I249" s="899"/>
      <c r="J249" s="899"/>
    </row>
    <row r="250" spans="1:10">
      <c r="A250" s="896" t="s">
        <v>3019</v>
      </c>
      <c r="B250" s="897" t="s">
        <v>276</v>
      </c>
      <c r="C250" s="897" t="s">
        <v>3020</v>
      </c>
      <c r="D250" s="897" t="s">
        <v>1167</v>
      </c>
      <c r="E250" s="897" t="s">
        <v>3021</v>
      </c>
      <c r="F250" s="897"/>
      <c r="G250" s="897"/>
      <c r="H250" s="898" t="s">
        <v>1936</v>
      </c>
      <c r="I250" s="899"/>
      <c r="J250" s="899"/>
    </row>
    <row r="251" spans="1:10">
      <c r="A251" s="896" t="s">
        <v>3022</v>
      </c>
      <c r="B251" s="897" t="s">
        <v>171</v>
      </c>
      <c r="C251" s="897" t="s">
        <v>3023</v>
      </c>
      <c r="D251" s="897" t="s">
        <v>1198</v>
      </c>
      <c r="E251" s="897" t="s">
        <v>3024</v>
      </c>
      <c r="F251" s="897"/>
      <c r="G251" s="897"/>
      <c r="H251" s="898" t="e">
        <v>#N/A</v>
      </c>
      <c r="I251" s="899"/>
      <c r="J251" s="899"/>
    </row>
    <row r="252" spans="1:10">
      <c r="A252" s="896" t="s">
        <v>3025</v>
      </c>
      <c r="B252" s="897" t="s">
        <v>142</v>
      </c>
      <c r="C252" s="897" t="s">
        <v>3026</v>
      </c>
      <c r="D252" s="897" t="s">
        <v>3027</v>
      </c>
      <c r="E252" s="897" t="s">
        <v>3028</v>
      </c>
      <c r="F252" s="897"/>
      <c r="G252" s="897"/>
      <c r="H252" s="898" t="s">
        <v>1936</v>
      </c>
      <c r="I252" s="899"/>
      <c r="J252" s="899"/>
    </row>
    <row r="253" spans="1:10">
      <c r="A253" s="896" t="s">
        <v>3029</v>
      </c>
      <c r="B253" s="897" t="s">
        <v>3030</v>
      </c>
      <c r="C253" s="897" t="s">
        <v>3031</v>
      </c>
      <c r="D253" s="897" t="s">
        <v>3032</v>
      </c>
      <c r="E253" s="897" t="s">
        <v>3033</v>
      </c>
      <c r="F253" s="897"/>
      <c r="G253" s="897"/>
      <c r="H253" s="898" t="s">
        <v>1953</v>
      </c>
      <c r="I253" s="899"/>
      <c r="J253" s="899"/>
    </row>
    <row r="254" spans="1:10">
      <c r="A254" s="896" t="s">
        <v>3034</v>
      </c>
      <c r="B254" s="897" t="s">
        <v>275</v>
      </c>
      <c r="C254" s="897" t="s">
        <v>3035</v>
      </c>
      <c r="D254" s="897" t="s">
        <v>1279</v>
      </c>
      <c r="E254" s="897" t="s">
        <v>3036</v>
      </c>
      <c r="F254" s="897"/>
      <c r="G254" s="897"/>
      <c r="H254" s="898" t="s">
        <v>1953</v>
      </c>
      <c r="I254" s="899"/>
      <c r="J254" s="899"/>
    </row>
    <row r="255" spans="1:10">
      <c r="A255" s="896" t="s">
        <v>3037</v>
      </c>
      <c r="B255" s="897" t="s">
        <v>143</v>
      </c>
      <c r="C255" s="897" t="s">
        <v>3038</v>
      </c>
      <c r="D255" s="897" t="s">
        <v>1146</v>
      </c>
      <c r="E255" s="897" t="s">
        <v>3039</v>
      </c>
      <c r="F255" s="897"/>
      <c r="G255" s="897"/>
      <c r="H255" s="898" t="s">
        <v>1936</v>
      </c>
      <c r="I255" s="899"/>
      <c r="J255" s="899"/>
    </row>
    <row r="256" spans="1:10">
      <c r="A256" s="896" t="s">
        <v>3040</v>
      </c>
      <c r="B256" s="897" t="s">
        <v>3041</v>
      </c>
      <c r="C256" s="897" t="s">
        <v>3042</v>
      </c>
      <c r="D256" s="897" t="s">
        <v>1282</v>
      </c>
      <c r="E256" s="897" t="s">
        <v>3043</v>
      </c>
      <c r="F256" s="897"/>
      <c r="G256" s="897"/>
      <c r="H256" s="898">
        <v>0</v>
      </c>
      <c r="I256" s="899"/>
      <c r="J256" s="899"/>
    </row>
    <row r="257" spans="1:10">
      <c r="A257" s="896" t="s">
        <v>3044</v>
      </c>
      <c r="B257" s="897" t="s">
        <v>3045</v>
      </c>
      <c r="C257" s="897" t="s">
        <v>3046</v>
      </c>
      <c r="D257" s="897" t="s">
        <v>3047</v>
      </c>
      <c r="E257" s="897" t="s">
        <v>3048</v>
      </c>
      <c r="F257" s="897" t="s">
        <v>3049</v>
      </c>
      <c r="G257" s="897" t="s">
        <v>3050</v>
      </c>
      <c r="H257" s="898" t="s">
        <v>1953</v>
      </c>
      <c r="I257" s="899"/>
      <c r="J257" s="899"/>
    </row>
    <row r="258" spans="1:10">
      <c r="A258" s="896" t="s">
        <v>3051</v>
      </c>
      <c r="B258" s="897" t="s">
        <v>150</v>
      </c>
      <c r="C258" s="897" t="s">
        <v>2245</v>
      </c>
      <c r="D258" s="897" t="s">
        <v>3052</v>
      </c>
      <c r="E258" s="897" t="s">
        <v>3053</v>
      </c>
      <c r="F258" s="897"/>
      <c r="G258" s="897"/>
      <c r="H258" s="898">
        <v>0</v>
      </c>
      <c r="I258" s="899"/>
      <c r="J258" s="899"/>
    </row>
    <row r="259" spans="1:10">
      <c r="A259" s="896" t="s">
        <v>3054</v>
      </c>
      <c r="B259" s="897" t="s">
        <v>3055</v>
      </c>
      <c r="C259" s="897" t="s">
        <v>2226</v>
      </c>
      <c r="D259" s="897" t="s">
        <v>3056</v>
      </c>
      <c r="E259" s="897" t="s">
        <v>3057</v>
      </c>
      <c r="F259" s="897"/>
      <c r="G259" s="897" t="s">
        <v>3058</v>
      </c>
      <c r="H259" s="898" t="s">
        <v>1936</v>
      </c>
      <c r="I259" s="899"/>
      <c r="J259" s="899"/>
    </row>
    <row r="260" spans="1:10">
      <c r="A260" s="896" t="s">
        <v>3059</v>
      </c>
      <c r="B260" s="897" t="s">
        <v>3060</v>
      </c>
      <c r="C260" s="897" t="s">
        <v>3061</v>
      </c>
      <c r="D260" s="897" t="s">
        <v>3062</v>
      </c>
      <c r="E260" s="897" t="s">
        <v>3063</v>
      </c>
      <c r="F260" s="897"/>
      <c r="G260" s="897" t="s">
        <v>3064</v>
      </c>
      <c r="H260" s="898" t="s">
        <v>1953</v>
      </c>
      <c r="I260" s="899"/>
      <c r="J260" s="899"/>
    </row>
    <row r="261" spans="1:10">
      <c r="A261" s="896" t="s">
        <v>3065</v>
      </c>
      <c r="B261" s="897" t="s">
        <v>105</v>
      </c>
      <c r="C261" s="897" t="s">
        <v>3066</v>
      </c>
      <c r="D261" s="897" t="s">
        <v>3067</v>
      </c>
      <c r="E261" s="897" t="s">
        <v>3068</v>
      </c>
      <c r="F261" s="897"/>
      <c r="G261" s="897" t="s">
        <v>3069</v>
      </c>
      <c r="H261" s="898" t="s">
        <v>1953</v>
      </c>
      <c r="I261" s="899"/>
      <c r="J261" s="899"/>
    </row>
    <row r="262" spans="1:10">
      <c r="A262" s="896" t="s">
        <v>3070</v>
      </c>
      <c r="B262" s="897" t="s">
        <v>296</v>
      </c>
      <c r="C262" s="897" t="s">
        <v>3071</v>
      </c>
      <c r="D262" s="897" t="s">
        <v>1218</v>
      </c>
      <c r="E262" s="897" t="s">
        <v>3072</v>
      </c>
      <c r="F262" s="897"/>
      <c r="G262" s="897"/>
      <c r="H262" s="898" t="e">
        <v>#N/A</v>
      </c>
      <c r="I262" s="899"/>
      <c r="J262" s="899"/>
    </row>
    <row r="263" spans="1:10">
      <c r="A263" s="896" t="s">
        <v>3073</v>
      </c>
      <c r="B263" s="897" t="s">
        <v>3074</v>
      </c>
      <c r="C263" s="897" t="s">
        <v>3075</v>
      </c>
      <c r="D263" s="897" t="s">
        <v>1280</v>
      </c>
      <c r="E263" s="897" t="s">
        <v>3076</v>
      </c>
      <c r="F263" s="897" t="s">
        <v>3077</v>
      </c>
      <c r="G263" s="897" t="s">
        <v>3078</v>
      </c>
      <c r="H263" s="898" t="e">
        <v>#N/A</v>
      </c>
      <c r="I263" s="899"/>
      <c r="J263" s="899"/>
    </row>
    <row r="264" spans="1:10">
      <c r="A264" s="896" t="s">
        <v>3079</v>
      </c>
      <c r="B264" s="897" t="s">
        <v>3080</v>
      </c>
      <c r="C264" s="897" t="s">
        <v>3075</v>
      </c>
      <c r="D264" s="897" t="s">
        <v>3081</v>
      </c>
      <c r="E264" s="897" t="s">
        <v>3076</v>
      </c>
      <c r="F264" s="897"/>
      <c r="G264" s="897" t="s">
        <v>3082</v>
      </c>
      <c r="H264" s="898" t="e">
        <v>#N/A</v>
      </c>
      <c r="I264" s="899"/>
      <c r="J264" s="899"/>
    </row>
    <row r="265" spans="1:10">
      <c r="A265" s="896" t="s">
        <v>3083</v>
      </c>
      <c r="B265" s="897" t="s">
        <v>3084</v>
      </c>
      <c r="C265" s="897" t="s">
        <v>3085</v>
      </c>
      <c r="D265" s="897" t="s">
        <v>1912</v>
      </c>
      <c r="E265" s="897" t="s">
        <v>3086</v>
      </c>
      <c r="F265" s="897"/>
      <c r="G265" s="897" t="s">
        <v>3087</v>
      </c>
      <c r="H265" s="898" t="e">
        <v>#N/A</v>
      </c>
      <c r="I265" s="899"/>
      <c r="J265" s="899"/>
    </row>
    <row r="266" spans="1:10">
      <c r="A266" s="896" t="s">
        <v>3088</v>
      </c>
      <c r="B266" s="897" t="s">
        <v>3089</v>
      </c>
      <c r="C266" s="897" t="s">
        <v>3090</v>
      </c>
      <c r="D266" s="897" t="s">
        <v>3091</v>
      </c>
      <c r="E266" s="897" t="s">
        <v>3092</v>
      </c>
      <c r="F266" s="897"/>
      <c r="G266" s="897"/>
      <c r="H266" s="898" t="e">
        <v>#N/A</v>
      </c>
      <c r="I266" s="899"/>
      <c r="J266" s="899"/>
    </row>
    <row r="267" spans="1:10">
      <c r="A267" s="896" t="s">
        <v>3093</v>
      </c>
      <c r="B267" s="897" t="s">
        <v>3094</v>
      </c>
      <c r="C267" s="897" t="s">
        <v>2226</v>
      </c>
      <c r="D267" s="897" t="s">
        <v>3095</v>
      </c>
      <c r="E267" s="897" t="s">
        <v>3096</v>
      </c>
      <c r="F267" s="897"/>
      <c r="G267" s="897"/>
      <c r="H267" s="898" t="s">
        <v>1936</v>
      </c>
      <c r="I267" s="899"/>
      <c r="J267" s="899"/>
    </row>
    <row r="268" spans="1:10">
      <c r="A268" s="896" t="s">
        <v>3097</v>
      </c>
      <c r="B268" s="897" t="s">
        <v>314</v>
      </c>
      <c r="C268" s="897" t="s">
        <v>3098</v>
      </c>
      <c r="D268" s="897" t="s">
        <v>1309</v>
      </c>
      <c r="E268" s="897" t="s">
        <v>3099</v>
      </c>
      <c r="F268" s="897"/>
      <c r="G268" s="897" t="s">
        <v>2072</v>
      </c>
      <c r="H268" s="898" t="s">
        <v>1953</v>
      </c>
      <c r="I268" s="899"/>
      <c r="J268" s="899"/>
    </row>
    <row r="269" spans="1:10">
      <c r="A269" s="896" t="s">
        <v>3100</v>
      </c>
      <c r="B269" s="897" t="s">
        <v>311</v>
      </c>
      <c r="C269" s="897" t="s">
        <v>3101</v>
      </c>
      <c r="D269" s="897" t="s">
        <v>3102</v>
      </c>
      <c r="E269" s="897" t="s">
        <v>3103</v>
      </c>
      <c r="F269" s="897"/>
      <c r="G269" s="897" t="s">
        <v>3104</v>
      </c>
      <c r="H269" s="898" t="s">
        <v>1936</v>
      </c>
      <c r="I269" s="899"/>
      <c r="J269" s="899"/>
    </row>
    <row r="270" spans="1:10">
      <c r="A270" s="896" t="s">
        <v>3105</v>
      </c>
      <c r="B270" s="897" t="s">
        <v>163</v>
      </c>
      <c r="C270" s="897" t="s">
        <v>3106</v>
      </c>
      <c r="D270" s="897" t="s">
        <v>3107</v>
      </c>
      <c r="E270" s="897" t="s">
        <v>3108</v>
      </c>
      <c r="F270" s="897" t="s">
        <v>3109</v>
      </c>
      <c r="G270" s="897" t="s">
        <v>3110</v>
      </c>
      <c r="H270" s="898" t="s">
        <v>1953</v>
      </c>
      <c r="I270" s="899"/>
      <c r="J270" s="899"/>
    </row>
    <row r="271" spans="1:10">
      <c r="A271" s="896" t="s">
        <v>3111</v>
      </c>
      <c r="B271" s="897" t="s">
        <v>3112</v>
      </c>
      <c r="C271" s="897" t="s">
        <v>3113</v>
      </c>
      <c r="D271" s="897" t="s">
        <v>3114</v>
      </c>
      <c r="E271" s="897" t="s">
        <v>3115</v>
      </c>
      <c r="F271" s="897"/>
      <c r="G271" s="897" t="s">
        <v>3116</v>
      </c>
      <c r="H271" s="898" t="e">
        <v>#N/A</v>
      </c>
      <c r="I271" s="899"/>
      <c r="J271" s="899"/>
    </row>
    <row r="272" spans="1:10">
      <c r="A272" s="896" t="s">
        <v>3117</v>
      </c>
      <c r="B272" s="897" t="s">
        <v>3118</v>
      </c>
      <c r="C272" s="897" t="s">
        <v>3119</v>
      </c>
      <c r="D272" s="897" t="s">
        <v>3120</v>
      </c>
      <c r="E272" s="897" t="s">
        <v>3121</v>
      </c>
      <c r="F272" s="897"/>
      <c r="G272" s="897"/>
      <c r="H272" s="898">
        <v>0</v>
      </c>
      <c r="I272" s="899"/>
      <c r="J272" s="899"/>
    </row>
    <row r="273" spans="1:10">
      <c r="A273" s="896" t="s">
        <v>3122</v>
      </c>
      <c r="B273" s="897" t="s">
        <v>153</v>
      </c>
      <c r="C273" s="897" t="s">
        <v>3123</v>
      </c>
      <c r="D273" s="897" t="s">
        <v>1157</v>
      </c>
      <c r="E273" s="897" t="s">
        <v>3124</v>
      </c>
      <c r="F273" s="897"/>
      <c r="G273" s="897" t="s">
        <v>3125</v>
      </c>
      <c r="H273" s="898" t="e">
        <v>#N/A</v>
      </c>
      <c r="I273" s="899"/>
      <c r="J273" s="899"/>
    </row>
    <row r="274" spans="1:10">
      <c r="A274" s="896" t="s">
        <v>3126</v>
      </c>
      <c r="B274" s="897" t="s">
        <v>3127</v>
      </c>
      <c r="C274" s="897" t="s">
        <v>3128</v>
      </c>
      <c r="D274" s="897" t="s">
        <v>3129</v>
      </c>
      <c r="E274" s="897" t="s">
        <v>3130</v>
      </c>
      <c r="F274" s="897" t="s">
        <v>263</v>
      </c>
      <c r="G274" s="897" t="s">
        <v>3131</v>
      </c>
      <c r="H274" s="898">
        <v>0</v>
      </c>
      <c r="I274" s="899"/>
      <c r="J274" s="899"/>
    </row>
    <row r="275" spans="1:10">
      <c r="A275" s="896" t="s">
        <v>3132</v>
      </c>
      <c r="B275" s="897" t="s">
        <v>1216</v>
      </c>
      <c r="C275" s="897" t="s">
        <v>3133</v>
      </c>
      <c r="D275" s="897" t="s">
        <v>1217</v>
      </c>
      <c r="E275" s="897" t="s">
        <v>3134</v>
      </c>
      <c r="F275" s="897"/>
      <c r="G275" s="897"/>
      <c r="H275" s="898" t="s">
        <v>1953</v>
      </c>
      <c r="I275" s="899"/>
      <c r="J275" s="899"/>
    </row>
    <row r="276" spans="1:10">
      <c r="A276" s="896" t="s">
        <v>3135</v>
      </c>
      <c r="B276" s="897" t="s">
        <v>3136</v>
      </c>
      <c r="C276" s="897" t="s">
        <v>3137</v>
      </c>
      <c r="D276" s="897" t="s">
        <v>3138</v>
      </c>
      <c r="E276" s="897" t="s">
        <v>3139</v>
      </c>
      <c r="F276" s="897"/>
      <c r="G276" s="897"/>
      <c r="H276" s="898" t="e">
        <v>#N/A</v>
      </c>
      <c r="I276" s="899"/>
      <c r="J276" s="899"/>
    </row>
    <row r="277" spans="1:10">
      <c r="A277" s="896" t="s">
        <v>3140</v>
      </c>
      <c r="B277" s="897" t="s">
        <v>177</v>
      </c>
      <c r="C277" s="897" t="s">
        <v>3141</v>
      </c>
      <c r="D277" s="897" t="s">
        <v>1215</v>
      </c>
      <c r="E277" s="897" t="s">
        <v>3142</v>
      </c>
      <c r="F277" s="897"/>
      <c r="G277" s="897"/>
      <c r="H277" s="898">
        <v>0</v>
      </c>
      <c r="I277" s="899"/>
      <c r="J277" s="899"/>
    </row>
    <row r="278" spans="1:10">
      <c r="A278" s="896" t="s">
        <v>3143</v>
      </c>
      <c r="B278" s="897" t="s">
        <v>260</v>
      </c>
      <c r="C278" s="897" t="s">
        <v>3144</v>
      </c>
      <c r="D278" s="897" t="s">
        <v>3145</v>
      </c>
      <c r="E278" s="897" t="s">
        <v>3146</v>
      </c>
      <c r="F278" s="897"/>
      <c r="G278" s="897" t="s">
        <v>2072</v>
      </c>
      <c r="H278" s="898">
        <v>0</v>
      </c>
      <c r="I278" s="899"/>
      <c r="J278" s="899"/>
    </row>
    <row r="279" spans="1:10">
      <c r="A279" s="896" t="s">
        <v>3147</v>
      </c>
      <c r="B279" s="897" t="s">
        <v>3148</v>
      </c>
      <c r="C279" s="897" t="s">
        <v>3149</v>
      </c>
      <c r="D279" s="897" t="s">
        <v>3150</v>
      </c>
      <c r="E279" s="897" t="s">
        <v>3151</v>
      </c>
      <c r="F279" s="897"/>
      <c r="G279" s="897"/>
      <c r="H279" s="898" t="s">
        <v>1936</v>
      </c>
      <c r="I279" s="899"/>
      <c r="J279" s="899"/>
    </row>
    <row r="280" spans="1:10">
      <c r="A280" s="896" t="s">
        <v>3152</v>
      </c>
      <c r="B280" s="897" t="s">
        <v>3153</v>
      </c>
      <c r="C280" s="897" t="s">
        <v>3154</v>
      </c>
      <c r="D280" s="897" t="s">
        <v>3155</v>
      </c>
      <c r="E280" s="897" t="s">
        <v>3156</v>
      </c>
      <c r="F280" s="897"/>
      <c r="G280" s="897"/>
      <c r="H280" s="898">
        <v>0</v>
      </c>
      <c r="I280" s="899"/>
      <c r="J280" s="899"/>
    </row>
    <row r="281" spans="1:10">
      <c r="A281" s="896" t="s">
        <v>3157</v>
      </c>
      <c r="B281" s="897" t="s">
        <v>3158</v>
      </c>
      <c r="C281" s="897" t="s">
        <v>3159</v>
      </c>
      <c r="D281" s="897" t="s">
        <v>3160</v>
      </c>
      <c r="E281" s="897" t="s">
        <v>3161</v>
      </c>
      <c r="F281" s="897"/>
      <c r="G281" s="897" t="s">
        <v>3162</v>
      </c>
      <c r="H281" s="898" t="e">
        <v>#N/A</v>
      </c>
      <c r="I281" s="899"/>
      <c r="J281" s="899"/>
    </row>
    <row r="282" spans="1:10">
      <c r="A282" s="896" t="s">
        <v>3163</v>
      </c>
      <c r="B282" s="897" t="s">
        <v>3164</v>
      </c>
      <c r="C282" s="897" t="s">
        <v>3165</v>
      </c>
      <c r="D282" s="897" t="s">
        <v>3166</v>
      </c>
      <c r="E282" s="897" t="s">
        <v>3167</v>
      </c>
      <c r="F282" s="897" t="s">
        <v>320</v>
      </c>
      <c r="G282" s="897" t="s">
        <v>3168</v>
      </c>
      <c r="H282" s="898" t="e">
        <v>#N/A</v>
      </c>
      <c r="I282" s="899"/>
      <c r="J282" s="899"/>
    </row>
    <row r="283" spans="1:10">
      <c r="A283" s="896" t="s">
        <v>3169</v>
      </c>
      <c r="B283" s="897" t="s">
        <v>3170</v>
      </c>
      <c r="C283" s="897" t="s">
        <v>3133</v>
      </c>
      <c r="D283" s="897" t="s">
        <v>1277</v>
      </c>
      <c r="E283" s="897" t="s">
        <v>3171</v>
      </c>
      <c r="F283" s="897"/>
      <c r="G283" s="897"/>
      <c r="H283" s="898">
        <v>0</v>
      </c>
      <c r="I283" s="899"/>
      <c r="J283" s="899"/>
    </row>
    <row r="284" spans="1:10">
      <c r="A284" s="896" t="s">
        <v>3172</v>
      </c>
      <c r="B284" s="897" t="s">
        <v>290</v>
      </c>
      <c r="C284" s="897" t="s">
        <v>3173</v>
      </c>
      <c r="D284" s="897" t="s">
        <v>1303</v>
      </c>
      <c r="E284" s="897" t="s">
        <v>3174</v>
      </c>
      <c r="F284" s="897"/>
      <c r="G284" s="897"/>
      <c r="H284" s="898" t="s">
        <v>1953</v>
      </c>
      <c r="I284" s="899"/>
      <c r="J284" s="899"/>
    </row>
    <row r="285" spans="1:10">
      <c r="A285" s="896" t="s">
        <v>3175</v>
      </c>
      <c r="B285" s="897" t="s">
        <v>1208</v>
      </c>
      <c r="C285" s="897" t="s">
        <v>3176</v>
      </c>
      <c r="D285" s="897" t="s">
        <v>1209</v>
      </c>
      <c r="E285" s="897" t="s">
        <v>3177</v>
      </c>
      <c r="F285" s="897"/>
      <c r="G285" s="897"/>
      <c r="H285" s="898">
        <v>0</v>
      </c>
      <c r="I285" s="899"/>
      <c r="J285" s="899"/>
    </row>
    <row r="286" spans="1:10">
      <c r="A286" s="896" t="s">
        <v>3178</v>
      </c>
      <c r="B286" s="897" t="s">
        <v>3179</v>
      </c>
      <c r="C286" s="897" t="s">
        <v>3180</v>
      </c>
      <c r="D286" s="897" t="s">
        <v>3181</v>
      </c>
      <c r="E286" s="897" t="s">
        <v>3182</v>
      </c>
      <c r="F286" s="897"/>
      <c r="G286" s="897"/>
      <c r="H286" s="898" t="e">
        <v>#N/A</v>
      </c>
      <c r="I286" s="899"/>
      <c r="J286" s="899"/>
    </row>
    <row r="287" spans="1:10">
      <c r="A287" s="896" t="s">
        <v>3183</v>
      </c>
      <c r="B287" s="897" t="s">
        <v>140</v>
      </c>
      <c r="C287" s="897" t="s">
        <v>3184</v>
      </c>
      <c r="D287" s="897" t="s">
        <v>1135</v>
      </c>
      <c r="E287" s="897" t="s">
        <v>3185</v>
      </c>
      <c r="F287" s="897"/>
      <c r="G287" s="897" t="s">
        <v>3186</v>
      </c>
      <c r="H287" s="898" t="s">
        <v>1953</v>
      </c>
      <c r="I287" s="899"/>
      <c r="J287" s="899"/>
    </row>
    <row r="288" spans="1:10">
      <c r="A288" s="896" t="s">
        <v>3187</v>
      </c>
      <c r="B288" s="897" t="s">
        <v>3188</v>
      </c>
      <c r="C288" s="897" t="s">
        <v>3189</v>
      </c>
      <c r="D288" s="897" t="s">
        <v>3190</v>
      </c>
      <c r="E288" s="897" t="s">
        <v>3191</v>
      </c>
      <c r="F288" s="897"/>
      <c r="G288" s="897" t="s">
        <v>3192</v>
      </c>
      <c r="H288" s="898" t="s">
        <v>1936</v>
      </c>
      <c r="I288" s="899"/>
      <c r="J288" s="899"/>
    </row>
    <row r="289" spans="1:10">
      <c r="A289" s="896" t="s">
        <v>3193</v>
      </c>
      <c r="B289" s="897" t="s">
        <v>288</v>
      </c>
      <c r="C289" s="897" t="s">
        <v>3194</v>
      </c>
      <c r="D289" s="897" t="s">
        <v>1203</v>
      </c>
      <c r="E289" s="897" t="s">
        <v>3195</v>
      </c>
      <c r="F289" s="897"/>
      <c r="G289" s="897" t="s">
        <v>3196</v>
      </c>
      <c r="H289" s="898" t="s">
        <v>1936</v>
      </c>
      <c r="I289" s="899"/>
      <c r="J289" s="899"/>
    </row>
    <row r="290" spans="1:10">
      <c r="A290" s="896" t="s">
        <v>3197</v>
      </c>
      <c r="B290" s="897" t="s">
        <v>1389</v>
      </c>
      <c r="C290" s="897" t="s">
        <v>3198</v>
      </c>
      <c r="D290" s="897" t="s">
        <v>3199</v>
      </c>
      <c r="E290" s="897" t="s">
        <v>3200</v>
      </c>
      <c r="F290" s="897"/>
      <c r="G290" s="897"/>
      <c r="H290" s="898" t="e">
        <v>#N/A</v>
      </c>
      <c r="I290" s="899"/>
      <c r="J290" s="899"/>
    </row>
    <row r="291" spans="1:10">
      <c r="A291" s="896" t="s">
        <v>3201</v>
      </c>
      <c r="B291" s="897" t="s">
        <v>3202</v>
      </c>
      <c r="C291" s="897" t="s">
        <v>3203</v>
      </c>
      <c r="D291" s="897" t="s">
        <v>3204</v>
      </c>
      <c r="E291" s="897" t="s">
        <v>3205</v>
      </c>
      <c r="F291" s="897"/>
      <c r="G291" s="897"/>
      <c r="H291" s="898" t="s">
        <v>1936</v>
      </c>
      <c r="I291" s="899"/>
      <c r="J291" s="899"/>
    </row>
    <row r="292" spans="1:10">
      <c r="A292" s="896" t="s">
        <v>3206</v>
      </c>
      <c r="B292" s="897" t="s">
        <v>69</v>
      </c>
      <c r="C292" s="897" t="s">
        <v>3207</v>
      </c>
      <c r="D292" s="897" t="s">
        <v>3208</v>
      </c>
      <c r="E292" s="897" t="s">
        <v>3209</v>
      </c>
      <c r="F292" s="897"/>
      <c r="G292" s="897"/>
      <c r="H292" s="898" t="s">
        <v>1936</v>
      </c>
      <c r="I292" s="899"/>
      <c r="J292" s="899"/>
    </row>
    <row r="293" spans="1:10">
      <c r="A293" s="896" t="s">
        <v>3210</v>
      </c>
      <c r="B293" s="897" t="s">
        <v>3211</v>
      </c>
      <c r="C293" s="897" t="s">
        <v>3212</v>
      </c>
      <c r="D293" s="897" t="s">
        <v>1296</v>
      </c>
      <c r="E293" s="897" t="s">
        <v>3213</v>
      </c>
      <c r="F293" s="897"/>
      <c r="G293" s="897" t="s">
        <v>3214</v>
      </c>
      <c r="H293" s="898" t="e">
        <v>#N/A</v>
      </c>
      <c r="I293" s="899"/>
      <c r="J293" s="899"/>
    </row>
    <row r="294" spans="1:10">
      <c r="A294" s="896" t="s">
        <v>3215</v>
      </c>
      <c r="B294" s="897" t="s">
        <v>1256</v>
      </c>
      <c r="C294" s="897" t="s">
        <v>3216</v>
      </c>
      <c r="D294" s="897" t="s">
        <v>1257</v>
      </c>
      <c r="E294" s="897" t="s">
        <v>3217</v>
      </c>
      <c r="F294" s="897"/>
      <c r="G294" s="897"/>
      <c r="H294" s="898" t="s">
        <v>1953</v>
      </c>
      <c r="I294" s="899"/>
      <c r="J294" s="899"/>
    </row>
    <row r="295" spans="1:10">
      <c r="A295" s="896" t="s">
        <v>3218</v>
      </c>
      <c r="B295" s="897" t="s">
        <v>480</v>
      </c>
      <c r="C295" s="897" t="s">
        <v>3219</v>
      </c>
      <c r="D295" s="897" t="s">
        <v>3220</v>
      </c>
      <c r="E295" s="897" t="s">
        <v>3221</v>
      </c>
      <c r="F295" s="897"/>
      <c r="G295" s="897"/>
      <c r="H295" s="898" t="s">
        <v>1953</v>
      </c>
      <c r="I295" s="899"/>
      <c r="J295" s="899"/>
    </row>
    <row r="296" spans="1:10">
      <c r="A296" s="896" t="s">
        <v>3222</v>
      </c>
      <c r="B296" s="897" t="s">
        <v>231</v>
      </c>
      <c r="C296" s="897" t="s">
        <v>1970</v>
      </c>
      <c r="D296" s="897" t="s">
        <v>3223</v>
      </c>
      <c r="E296" s="897" t="s">
        <v>3224</v>
      </c>
      <c r="F296" s="897"/>
      <c r="G296" s="897" t="s">
        <v>3225</v>
      </c>
      <c r="H296" s="898" t="s">
        <v>1914</v>
      </c>
      <c r="I296" s="899"/>
      <c r="J296" s="899"/>
    </row>
    <row r="297" spans="1:10">
      <c r="A297" s="896" t="s">
        <v>3226</v>
      </c>
      <c r="B297" s="897" t="s">
        <v>1081</v>
      </c>
      <c r="C297" s="897" t="s">
        <v>3227</v>
      </c>
      <c r="D297" s="897" t="s">
        <v>3228</v>
      </c>
      <c r="E297" s="897" t="s">
        <v>3229</v>
      </c>
      <c r="F297" s="897"/>
      <c r="G297" s="897"/>
      <c r="H297" s="898">
        <v>0</v>
      </c>
      <c r="I297" s="899"/>
      <c r="J297" s="899"/>
    </row>
    <row r="298" spans="1:10">
      <c r="A298" s="896" t="s">
        <v>3230</v>
      </c>
      <c r="B298" s="897" t="s">
        <v>3231</v>
      </c>
      <c r="C298" s="897" t="s">
        <v>3232</v>
      </c>
      <c r="D298" s="897" t="s">
        <v>1912</v>
      </c>
      <c r="E298" s="897" t="s">
        <v>3233</v>
      </c>
      <c r="F298" s="897"/>
      <c r="G298" s="897" t="s">
        <v>3234</v>
      </c>
      <c r="H298" s="898" t="e">
        <v>#N/A</v>
      </c>
      <c r="I298" s="899"/>
      <c r="J298" s="899"/>
    </row>
    <row r="299" spans="1:10">
      <c r="A299" s="896" t="s">
        <v>3235</v>
      </c>
      <c r="B299" s="897" t="s">
        <v>3236</v>
      </c>
      <c r="C299" s="897" t="s">
        <v>3237</v>
      </c>
      <c r="D299" s="897" t="s">
        <v>1283</v>
      </c>
      <c r="E299" s="897" t="s">
        <v>3238</v>
      </c>
      <c r="F299" s="897"/>
      <c r="G299" s="897"/>
      <c r="H299" s="898" t="e">
        <v>#N/A</v>
      </c>
      <c r="I299" s="899"/>
      <c r="J299" s="899"/>
    </row>
    <row r="300" spans="1:10">
      <c r="A300" s="896" t="s">
        <v>3239</v>
      </c>
      <c r="B300" s="897" t="s">
        <v>3240</v>
      </c>
      <c r="C300" s="897" t="s">
        <v>3237</v>
      </c>
      <c r="D300" s="897" t="s">
        <v>1283</v>
      </c>
      <c r="E300" s="897" t="s">
        <v>3238</v>
      </c>
      <c r="F300" s="897"/>
      <c r="G300" s="897"/>
      <c r="H300" s="898" t="s">
        <v>181</v>
      </c>
      <c r="I300" s="899"/>
      <c r="J300" s="899"/>
    </row>
    <row r="301" spans="1:10">
      <c r="A301" s="896" t="s">
        <v>3241</v>
      </c>
      <c r="B301" s="897" t="s">
        <v>3242</v>
      </c>
      <c r="C301" s="897" t="s">
        <v>3243</v>
      </c>
      <c r="D301" s="897" t="s">
        <v>3244</v>
      </c>
      <c r="E301" s="897" t="s">
        <v>3245</v>
      </c>
      <c r="F301" s="897"/>
      <c r="G301" s="897" t="s">
        <v>3246</v>
      </c>
      <c r="H301" s="898" t="s">
        <v>1936</v>
      </c>
      <c r="I301" s="899"/>
      <c r="J301" s="899"/>
    </row>
    <row r="302" spans="1:10">
      <c r="A302" s="896" t="s">
        <v>3247</v>
      </c>
      <c r="B302" s="897" t="s">
        <v>744</v>
      </c>
      <c r="C302" s="897" t="s">
        <v>3248</v>
      </c>
      <c r="D302" s="897" t="s">
        <v>1183</v>
      </c>
      <c r="E302" s="897" t="s">
        <v>3249</v>
      </c>
      <c r="F302" s="897"/>
      <c r="G302" s="897" t="s">
        <v>2072</v>
      </c>
      <c r="H302" s="898" t="s">
        <v>1914</v>
      </c>
      <c r="I302" s="899"/>
      <c r="J302" s="899"/>
    </row>
    <row r="303" spans="1:10">
      <c r="A303" s="896" t="s">
        <v>3250</v>
      </c>
      <c r="B303" s="897" t="s">
        <v>3251</v>
      </c>
      <c r="C303" s="897" t="s">
        <v>2345</v>
      </c>
      <c r="D303" s="897" t="s">
        <v>3252</v>
      </c>
      <c r="E303" s="897" t="s">
        <v>3253</v>
      </c>
      <c r="F303" s="897"/>
      <c r="G303" s="897"/>
      <c r="H303" s="898" t="s">
        <v>1953</v>
      </c>
      <c r="I303" s="899"/>
      <c r="J303" s="899"/>
    </row>
    <row r="304" spans="1:10">
      <c r="A304" s="896" t="s">
        <v>3254</v>
      </c>
      <c r="B304" s="897" t="s">
        <v>394</v>
      </c>
      <c r="C304" s="897" t="s">
        <v>3255</v>
      </c>
      <c r="D304" s="897" t="s">
        <v>1211</v>
      </c>
      <c r="E304" s="897" t="s">
        <v>3256</v>
      </c>
      <c r="F304" s="897"/>
      <c r="G304" s="897"/>
      <c r="H304" s="898" t="s">
        <v>1953</v>
      </c>
      <c r="I304" s="899"/>
      <c r="J304" s="899"/>
    </row>
    <row r="305" spans="1:10">
      <c r="A305" s="896" t="s">
        <v>3257</v>
      </c>
      <c r="B305" s="897" t="s">
        <v>400</v>
      </c>
      <c r="C305" s="897" t="s">
        <v>3258</v>
      </c>
      <c r="D305" s="897" t="s">
        <v>1258</v>
      </c>
      <c r="E305" s="897" t="s">
        <v>3259</v>
      </c>
      <c r="F305" s="897"/>
      <c r="G305" s="897" t="s">
        <v>2072</v>
      </c>
      <c r="H305" s="898" t="s">
        <v>1953</v>
      </c>
      <c r="I305" s="899"/>
      <c r="J305" s="899"/>
    </row>
    <row r="306" spans="1:10">
      <c r="A306" s="896" t="s">
        <v>3260</v>
      </c>
      <c r="B306" s="897" t="s">
        <v>460</v>
      </c>
      <c r="C306" s="897" t="s">
        <v>3261</v>
      </c>
      <c r="D306" s="897" t="s">
        <v>3262</v>
      </c>
      <c r="E306" s="897" t="s">
        <v>3263</v>
      </c>
      <c r="F306" s="897"/>
      <c r="G306" s="897"/>
      <c r="H306" s="898" t="s">
        <v>1953</v>
      </c>
      <c r="I306" s="899"/>
      <c r="J306" s="899"/>
    </row>
    <row r="307" spans="1:10">
      <c r="A307" s="896" t="s">
        <v>3264</v>
      </c>
      <c r="B307" s="897" t="s">
        <v>429</v>
      </c>
      <c r="C307" s="897" t="s">
        <v>3265</v>
      </c>
      <c r="D307" s="897" t="s">
        <v>3266</v>
      </c>
      <c r="E307" s="897" t="s">
        <v>3267</v>
      </c>
      <c r="F307" s="897"/>
      <c r="G307" s="897" t="s">
        <v>2072</v>
      </c>
      <c r="H307" s="898" t="s">
        <v>1953</v>
      </c>
      <c r="I307" s="899"/>
      <c r="J307" s="899"/>
    </row>
    <row r="308" spans="1:10">
      <c r="A308" s="896" t="s">
        <v>3268</v>
      </c>
      <c r="B308" s="897" t="s">
        <v>479</v>
      </c>
      <c r="C308" s="897" t="s">
        <v>3269</v>
      </c>
      <c r="D308" s="897" t="s">
        <v>1202</v>
      </c>
      <c r="E308" s="897" t="s">
        <v>3270</v>
      </c>
      <c r="F308" s="897"/>
      <c r="G308" s="897"/>
      <c r="H308" s="898" t="s">
        <v>1914</v>
      </c>
      <c r="I308" s="899"/>
      <c r="J308" s="899"/>
    </row>
    <row r="309" spans="1:10">
      <c r="A309" s="896" t="s">
        <v>3271</v>
      </c>
      <c r="B309" s="897" t="s">
        <v>578</v>
      </c>
      <c r="C309" s="897" t="s">
        <v>3272</v>
      </c>
      <c r="D309" s="897" t="s">
        <v>3273</v>
      </c>
      <c r="E309" s="897" t="s">
        <v>3274</v>
      </c>
      <c r="F309" s="897"/>
      <c r="G309" s="897" t="s">
        <v>3275</v>
      </c>
      <c r="H309" s="898" t="s">
        <v>1914</v>
      </c>
      <c r="I309" s="899"/>
      <c r="J309" s="899"/>
    </row>
    <row r="310" spans="1:10">
      <c r="A310" s="896" t="s">
        <v>3276</v>
      </c>
      <c r="B310" s="897" t="s">
        <v>722</v>
      </c>
      <c r="C310" s="897" t="s">
        <v>3272</v>
      </c>
      <c r="D310" s="897" t="s">
        <v>3273</v>
      </c>
      <c r="E310" s="897" t="s">
        <v>3274</v>
      </c>
      <c r="F310" s="897"/>
      <c r="G310" s="897" t="s">
        <v>3275</v>
      </c>
      <c r="H310" s="898" t="s">
        <v>1914</v>
      </c>
      <c r="I310" s="899"/>
      <c r="J310" s="899"/>
    </row>
    <row r="311" spans="1:10">
      <c r="A311" s="896" t="s">
        <v>3277</v>
      </c>
      <c r="B311" s="897" t="s">
        <v>634</v>
      </c>
      <c r="C311" s="897" t="s">
        <v>3278</v>
      </c>
      <c r="D311" s="897" t="s">
        <v>1179</v>
      </c>
      <c r="E311" s="897" t="s">
        <v>3279</v>
      </c>
      <c r="F311" s="897"/>
      <c r="G311" s="897"/>
      <c r="H311" s="898" t="s">
        <v>1953</v>
      </c>
      <c r="I311" s="899"/>
      <c r="J311" s="899"/>
    </row>
    <row r="312" spans="1:10">
      <c r="A312" s="896" t="s">
        <v>3280</v>
      </c>
      <c r="B312" s="897" t="s">
        <v>467</v>
      </c>
      <c r="C312" s="897" t="s">
        <v>3281</v>
      </c>
      <c r="D312" s="897" t="s">
        <v>1122</v>
      </c>
      <c r="E312" s="897" t="s">
        <v>3282</v>
      </c>
      <c r="F312" s="897"/>
      <c r="G312" s="897"/>
      <c r="H312" s="898" t="s">
        <v>1914</v>
      </c>
      <c r="I312" s="899"/>
      <c r="J312" s="899"/>
    </row>
    <row r="313" spans="1:10">
      <c r="A313" s="896" t="s">
        <v>3283</v>
      </c>
      <c r="B313" s="897" t="s">
        <v>3284</v>
      </c>
      <c r="C313" s="897" t="s">
        <v>3285</v>
      </c>
      <c r="D313" s="897" t="s">
        <v>3286</v>
      </c>
      <c r="E313" s="897" t="s">
        <v>3287</v>
      </c>
      <c r="F313" s="897"/>
      <c r="G313" s="897" t="s">
        <v>3288</v>
      </c>
      <c r="H313" s="898" t="s">
        <v>1914</v>
      </c>
      <c r="I313" s="899"/>
      <c r="J313" s="899"/>
    </row>
    <row r="314" spans="1:10">
      <c r="A314" s="896" t="s">
        <v>3289</v>
      </c>
      <c r="B314" s="897" t="s">
        <v>472</v>
      </c>
      <c r="C314" s="897" t="s">
        <v>3290</v>
      </c>
      <c r="D314" s="897" t="s">
        <v>3291</v>
      </c>
      <c r="E314" s="897" t="s">
        <v>3292</v>
      </c>
      <c r="F314" s="897"/>
      <c r="G314" s="897"/>
      <c r="H314" s="898" t="s">
        <v>1914</v>
      </c>
      <c r="I314" s="899"/>
      <c r="J314" s="899"/>
    </row>
    <row r="315" spans="1:10">
      <c r="A315" s="896" t="s">
        <v>3293</v>
      </c>
      <c r="B315" s="897" t="s">
        <v>399</v>
      </c>
      <c r="C315" s="897" t="s">
        <v>2372</v>
      </c>
      <c r="D315" s="897" t="s">
        <v>3294</v>
      </c>
      <c r="E315" s="897" t="s">
        <v>3295</v>
      </c>
      <c r="F315" s="897"/>
      <c r="G315" s="897"/>
      <c r="H315" s="898" t="s">
        <v>1953</v>
      </c>
      <c r="I315" s="899"/>
      <c r="J315" s="899"/>
    </row>
    <row r="316" spans="1:10">
      <c r="A316" s="896" t="s">
        <v>3296</v>
      </c>
      <c r="B316" s="897" t="s">
        <v>3297</v>
      </c>
      <c r="C316" s="897" t="s">
        <v>3298</v>
      </c>
      <c r="D316" s="897" t="s">
        <v>3299</v>
      </c>
      <c r="E316" s="897" t="s">
        <v>3300</v>
      </c>
      <c r="F316" s="897"/>
      <c r="G316" s="897"/>
      <c r="H316" s="898" t="e">
        <v>#N/A</v>
      </c>
      <c r="I316" s="899"/>
      <c r="J316" s="899"/>
    </row>
    <row r="317" spans="1:10">
      <c r="A317" s="896" t="s">
        <v>3301</v>
      </c>
      <c r="B317" s="897" t="s">
        <v>3302</v>
      </c>
      <c r="C317" s="897" t="s">
        <v>3303</v>
      </c>
      <c r="D317" s="897" t="s">
        <v>3304</v>
      </c>
      <c r="E317" s="897" t="s">
        <v>3305</v>
      </c>
      <c r="F317" s="897"/>
      <c r="G317" s="897"/>
      <c r="H317" s="898" t="s">
        <v>1953</v>
      </c>
      <c r="I317" s="899"/>
      <c r="J317" s="899"/>
    </row>
    <row r="318" spans="1:10">
      <c r="A318" s="896" t="s">
        <v>3306</v>
      </c>
      <c r="B318" s="897" t="s">
        <v>215</v>
      </c>
      <c r="C318" s="897" t="s">
        <v>3307</v>
      </c>
      <c r="D318" s="897" t="s">
        <v>1122</v>
      </c>
      <c r="E318" s="897" t="s">
        <v>3308</v>
      </c>
      <c r="F318" s="897"/>
      <c r="G318" s="897"/>
      <c r="H318" s="898" t="e">
        <v>#N/A</v>
      </c>
      <c r="I318" s="899"/>
      <c r="J318" s="899"/>
    </row>
    <row r="319" spans="1:10">
      <c r="A319" s="896" t="s">
        <v>3309</v>
      </c>
      <c r="B319" s="897" t="s">
        <v>3310</v>
      </c>
      <c r="C319" s="897" t="s">
        <v>3311</v>
      </c>
      <c r="D319" s="897" t="s">
        <v>3312</v>
      </c>
      <c r="E319" s="897" t="s">
        <v>3313</v>
      </c>
      <c r="F319" s="897"/>
      <c r="G319" s="897"/>
      <c r="H319" s="898" t="s">
        <v>1953</v>
      </c>
      <c r="I319" s="899"/>
      <c r="J319" s="899"/>
    </row>
    <row r="320" spans="1:10">
      <c r="A320" s="896" t="s">
        <v>3314</v>
      </c>
      <c r="B320" s="897" t="s">
        <v>511</v>
      </c>
      <c r="C320" s="897" t="s">
        <v>3315</v>
      </c>
      <c r="D320" s="897" t="s">
        <v>3316</v>
      </c>
      <c r="E320" s="897" t="s">
        <v>3317</v>
      </c>
      <c r="F320" s="897"/>
      <c r="G320" s="897" t="s">
        <v>3318</v>
      </c>
      <c r="H320" s="898" t="s">
        <v>1953</v>
      </c>
      <c r="I320" s="899"/>
      <c r="J320" s="899"/>
    </row>
    <row r="321" spans="1:10">
      <c r="A321" s="896" t="s">
        <v>3319</v>
      </c>
      <c r="B321" s="897" t="s">
        <v>3320</v>
      </c>
      <c r="C321" s="897" t="s">
        <v>3321</v>
      </c>
      <c r="D321" s="897" t="s">
        <v>3322</v>
      </c>
      <c r="E321" s="897" t="s">
        <v>3323</v>
      </c>
      <c r="F321" s="897"/>
      <c r="G321" s="897" t="s">
        <v>3324</v>
      </c>
      <c r="H321" s="898" t="e">
        <v>#N/A</v>
      </c>
      <c r="I321" s="899"/>
      <c r="J321" s="899"/>
    </row>
    <row r="322" spans="1:10">
      <c r="A322" s="896" t="s">
        <v>3325</v>
      </c>
      <c r="B322" s="897" t="s">
        <v>3326</v>
      </c>
      <c r="C322" s="897" t="s">
        <v>3327</v>
      </c>
      <c r="D322" s="897" t="s">
        <v>3328</v>
      </c>
      <c r="E322" s="897" t="s">
        <v>3329</v>
      </c>
      <c r="F322" s="897"/>
      <c r="G322" s="897" t="s">
        <v>3330</v>
      </c>
      <c r="H322" s="898" t="s">
        <v>1953</v>
      </c>
      <c r="I322" s="899"/>
      <c r="J322" s="899"/>
    </row>
    <row r="323" spans="1:10">
      <c r="A323" s="896" t="s">
        <v>3331</v>
      </c>
      <c r="B323" s="897" t="s">
        <v>3332</v>
      </c>
      <c r="C323" s="897" t="s">
        <v>3333</v>
      </c>
      <c r="D323" s="897" t="s">
        <v>3334</v>
      </c>
      <c r="E323" s="897" t="s">
        <v>3335</v>
      </c>
      <c r="F323" s="897"/>
      <c r="G323" s="897"/>
      <c r="H323" s="898" t="e">
        <v>#N/A</v>
      </c>
      <c r="I323" s="899"/>
      <c r="J323" s="899"/>
    </row>
    <row r="324" spans="1:10">
      <c r="A324" s="896" t="s">
        <v>3336</v>
      </c>
      <c r="B324" s="897" t="s">
        <v>430</v>
      </c>
      <c r="C324" s="897" t="s">
        <v>3337</v>
      </c>
      <c r="D324" s="897" t="s">
        <v>1259</v>
      </c>
      <c r="E324" s="897" t="s">
        <v>3338</v>
      </c>
      <c r="F324" s="897"/>
      <c r="G324" s="897"/>
      <c r="H324" s="898" t="s">
        <v>1914</v>
      </c>
      <c r="I324" s="899"/>
      <c r="J324" s="899"/>
    </row>
    <row r="325" spans="1:10">
      <c r="A325" s="896" t="s">
        <v>3339</v>
      </c>
      <c r="B325" s="897" t="s">
        <v>477</v>
      </c>
      <c r="C325" s="897" t="s">
        <v>3340</v>
      </c>
      <c r="D325" s="897" t="s">
        <v>3341</v>
      </c>
      <c r="E325" s="897" t="s">
        <v>3342</v>
      </c>
      <c r="F325" s="897"/>
      <c r="G325" s="897"/>
      <c r="H325" s="898" t="s">
        <v>1914</v>
      </c>
      <c r="I325" s="899"/>
      <c r="J325" s="899"/>
    </row>
    <row r="326" spans="1:10">
      <c r="A326" s="896" t="s">
        <v>3343</v>
      </c>
      <c r="B326" s="897" t="s">
        <v>116</v>
      </c>
      <c r="C326" s="897"/>
      <c r="D326" s="897"/>
      <c r="E326" s="897" t="s">
        <v>3344</v>
      </c>
      <c r="F326" s="897"/>
      <c r="G326" s="897"/>
      <c r="H326" s="898" t="e">
        <v>#N/A</v>
      </c>
      <c r="I326" s="899"/>
      <c r="J326" s="899"/>
    </row>
    <row r="327" spans="1:10">
      <c r="A327" s="896" t="s">
        <v>3345</v>
      </c>
      <c r="B327" s="897" t="s">
        <v>396</v>
      </c>
      <c r="C327" s="897" t="s">
        <v>3346</v>
      </c>
      <c r="D327" s="897" t="s">
        <v>3347</v>
      </c>
      <c r="E327" s="897" t="s">
        <v>3348</v>
      </c>
      <c r="F327" s="897"/>
      <c r="G327" s="897"/>
      <c r="H327" s="898" t="s">
        <v>1953</v>
      </c>
      <c r="I327" s="899"/>
      <c r="J327" s="899"/>
    </row>
    <row r="328" spans="1:10">
      <c r="A328" s="896" t="s">
        <v>3349</v>
      </c>
      <c r="B328" s="897" t="s">
        <v>396</v>
      </c>
      <c r="C328" s="897" t="s">
        <v>3346</v>
      </c>
      <c r="D328" s="897" t="s">
        <v>3350</v>
      </c>
      <c r="E328" s="897" t="s">
        <v>3348</v>
      </c>
      <c r="F328" s="897"/>
      <c r="G328" s="897" t="s">
        <v>3351</v>
      </c>
      <c r="H328" s="898" t="s">
        <v>1953</v>
      </c>
      <c r="I328" s="899"/>
      <c r="J328" s="899"/>
    </row>
    <row r="329" spans="1:10">
      <c r="A329" s="896" t="s">
        <v>3352</v>
      </c>
      <c r="B329" s="897" t="s">
        <v>3353</v>
      </c>
      <c r="C329" s="897" t="s">
        <v>3354</v>
      </c>
      <c r="D329" s="897" t="s">
        <v>3355</v>
      </c>
      <c r="E329" s="897" t="s">
        <v>3356</v>
      </c>
      <c r="F329" s="897"/>
      <c r="G329" s="897" t="s">
        <v>3357</v>
      </c>
      <c r="H329" s="898" t="s">
        <v>1953</v>
      </c>
      <c r="I329" s="899"/>
      <c r="J329" s="899"/>
    </row>
    <row r="330" spans="1:10">
      <c r="A330" s="896" t="s">
        <v>3358</v>
      </c>
      <c r="B330" s="897" t="s">
        <v>3359</v>
      </c>
      <c r="C330" s="897" t="s">
        <v>3360</v>
      </c>
      <c r="D330" s="897" t="s">
        <v>3361</v>
      </c>
      <c r="E330" s="897" t="s">
        <v>3362</v>
      </c>
      <c r="F330" s="897"/>
      <c r="G330" s="897" t="s">
        <v>3363</v>
      </c>
      <c r="H330" s="898" t="s">
        <v>1914</v>
      </c>
      <c r="I330" s="899"/>
      <c r="J330" s="899"/>
    </row>
    <row r="331" spans="1:10">
      <c r="A331" s="896" t="s">
        <v>3364</v>
      </c>
      <c r="B331" s="897" t="s">
        <v>1902</v>
      </c>
      <c r="C331" s="897" t="s">
        <v>3365</v>
      </c>
      <c r="D331" s="897" t="s">
        <v>3366</v>
      </c>
      <c r="E331" s="897" t="s">
        <v>3367</v>
      </c>
      <c r="F331" s="897"/>
      <c r="G331" s="897" t="s">
        <v>3368</v>
      </c>
      <c r="H331" s="898" t="s">
        <v>1953</v>
      </c>
      <c r="I331" s="899"/>
      <c r="J331" s="899"/>
    </row>
    <row r="332" spans="1:10">
      <c r="A332" s="896" t="s">
        <v>3369</v>
      </c>
      <c r="B332" s="897" t="s">
        <v>427</v>
      </c>
      <c r="C332" s="897" t="s">
        <v>3370</v>
      </c>
      <c r="D332" s="897" t="s">
        <v>3371</v>
      </c>
      <c r="E332" s="897" t="s">
        <v>3372</v>
      </c>
      <c r="F332" s="897"/>
      <c r="G332" s="897"/>
      <c r="H332" s="898" t="s">
        <v>1953</v>
      </c>
      <c r="I332" s="899"/>
      <c r="J332" s="899"/>
    </row>
    <row r="333" spans="1:10">
      <c r="A333" s="896" t="s">
        <v>3373</v>
      </c>
      <c r="B333" s="897" t="s">
        <v>1900</v>
      </c>
      <c r="C333" s="897" t="s">
        <v>3374</v>
      </c>
      <c r="D333" s="897" t="s">
        <v>3375</v>
      </c>
      <c r="E333" s="897" t="s">
        <v>3376</v>
      </c>
      <c r="F333" s="897"/>
      <c r="G333" s="897" t="s">
        <v>3377</v>
      </c>
      <c r="H333" s="898" t="s">
        <v>1953</v>
      </c>
      <c r="I333" s="899"/>
      <c r="J333" s="899"/>
    </row>
    <row r="334" spans="1:10">
      <c r="A334" s="896" t="s">
        <v>3378</v>
      </c>
      <c r="B334" s="897" t="s">
        <v>809</v>
      </c>
      <c r="C334" s="897"/>
      <c r="D334" s="897" t="s">
        <v>3379</v>
      </c>
      <c r="E334" s="897" t="s">
        <v>3380</v>
      </c>
      <c r="F334" s="897"/>
      <c r="G334" s="897"/>
      <c r="H334" s="898" t="e">
        <v>#N/A</v>
      </c>
      <c r="I334" s="899"/>
      <c r="J334" s="899"/>
    </row>
    <row r="335" spans="1:10">
      <c r="A335" s="896" t="s">
        <v>3381</v>
      </c>
      <c r="B335" s="897" t="s">
        <v>3382</v>
      </c>
      <c r="C335" s="897" t="s">
        <v>3383</v>
      </c>
      <c r="D335" s="897" t="s">
        <v>3384</v>
      </c>
      <c r="E335" s="897" t="s">
        <v>3385</v>
      </c>
      <c r="F335" s="897"/>
      <c r="G335" s="897"/>
      <c r="H335" s="898" t="s">
        <v>1953</v>
      </c>
      <c r="I335" s="899"/>
      <c r="J335" s="899"/>
    </row>
    <row r="336" spans="1:10">
      <c r="A336" s="896" t="s">
        <v>3386</v>
      </c>
      <c r="B336" s="897" t="s">
        <v>3387</v>
      </c>
      <c r="C336" s="897" t="s">
        <v>3388</v>
      </c>
      <c r="D336" s="897" t="s">
        <v>3389</v>
      </c>
      <c r="E336" s="897" t="s">
        <v>3390</v>
      </c>
      <c r="F336" s="897" t="s">
        <v>3391</v>
      </c>
      <c r="G336" s="897"/>
      <c r="H336" s="898" t="s">
        <v>1914</v>
      </c>
      <c r="I336" s="899"/>
      <c r="J336" s="899"/>
    </row>
    <row r="337" spans="1:10">
      <c r="A337" s="896" t="s">
        <v>3392</v>
      </c>
      <c r="B337" s="897" t="s">
        <v>812</v>
      </c>
      <c r="C337" s="897" t="s">
        <v>3393</v>
      </c>
      <c r="D337" s="897" t="s">
        <v>3394</v>
      </c>
      <c r="E337" s="897" t="s">
        <v>3395</v>
      </c>
      <c r="F337" s="897"/>
      <c r="G337" s="897" t="s">
        <v>3396</v>
      </c>
      <c r="H337" s="898" t="e">
        <v>#N/A</v>
      </c>
      <c r="I337" s="899"/>
      <c r="J337" s="899"/>
    </row>
    <row r="338" spans="1:10">
      <c r="A338" s="896" t="s">
        <v>3397</v>
      </c>
      <c r="B338" s="897" t="s">
        <v>812</v>
      </c>
      <c r="C338" s="897" t="s">
        <v>3393</v>
      </c>
      <c r="D338" s="897" t="s">
        <v>3398</v>
      </c>
      <c r="E338" s="897" t="s">
        <v>3395</v>
      </c>
      <c r="F338" s="897"/>
      <c r="G338" s="897" t="s">
        <v>3396</v>
      </c>
      <c r="H338" s="898" t="e">
        <v>#N/A</v>
      </c>
      <c r="I338" s="899"/>
      <c r="J338" s="899"/>
    </row>
    <row r="339" spans="1:10">
      <c r="A339" s="896" t="s">
        <v>3399</v>
      </c>
      <c r="B339" s="897" t="s">
        <v>3400</v>
      </c>
      <c r="C339" s="897" t="s">
        <v>3401</v>
      </c>
      <c r="D339" s="897" t="s">
        <v>3402</v>
      </c>
      <c r="E339" s="897" t="s">
        <v>3403</v>
      </c>
      <c r="F339" s="897"/>
      <c r="G339" s="897"/>
      <c r="H339" s="898" t="s">
        <v>1953</v>
      </c>
      <c r="I339" s="899"/>
      <c r="J339" s="899"/>
    </row>
    <row r="340" spans="1:10">
      <c r="A340" s="896" t="s">
        <v>3404</v>
      </c>
      <c r="B340" s="897" t="s">
        <v>3405</v>
      </c>
      <c r="C340" s="897" t="s">
        <v>3406</v>
      </c>
      <c r="D340" s="897" t="s">
        <v>3407</v>
      </c>
      <c r="E340" s="897" t="s">
        <v>3408</v>
      </c>
      <c r="F340" s="897"/>
      <c r="G340" s="897"/>
      <c r="H340" s="898" t="s">
        <v>1914</v>
      </c>
      <c r="I340" s="899"/>
      <c r="J340" s="899"/>
    </row>
    <row r="341" spans="1:10">
      <c r="A341" s="896" t="s">
        <v>3409</v>
      </c>
      <c r="B341" s="897" t="s">
        <v>577</v>
      </c>
      <c r="C341" s="897" t="s">
        <v>3410</v>
      </c>
      <c r="D341" s="897" t="s">
        <v>3411</v>
      </c>
      <c r="E341" s="897" t="s">
        <v>3412</v>
      </c>
      <c r="F341" s="897"/>
      <c r="G341" s="897" t="s">
        <v>3413</v>
      </c>
      <c r="H341" s="898" t="s">
        <v>1914</v>
      </c>
      <c r="I341" s="899"/>
      <c r="J341" s="899"/>
    </row>
    <row r="342" spans="1:10">
      <c r="A342" s="896" t="s">
        <v>3414</v>
      </c>
      <c r="B342" s="897" t="s">
        <v>3415</v>
      </c>
      <c r="C342" s="897" t="s">
        <v>3416</v>
      </c>
      <c r="D342" s="897" t="s">
        <v>3417</v>
      </c>
      <c r="E342" s="897" t="s">
        <v>3418</v>
      </c>
      <c r="F342" s="897"/>
      <c r="G342" s="897"/>
      <c r="H342" s="898" t="s">
        <v>1953</v>
      </c>
      <c r="I342" s="899"/>
      <c r="J342" s="899"/>
    </row>
    <row r="343" spans="1:10">
      <c r="A343" s="896" t="s">
        <v>3419</v>
      </c>
      <c r="B343" s="897" t="s">
        <v>3420</v>
      </c>
      <c r="C343" s="897" t="s">
        <v>3421</v>
      </c>
      <c r="D343" s="897" t="s">
        <v>3422</v>
      </c>
      <c r="E343" s="897" t="s">
        <v>3423</v>
      </c>
      <c r="F343" s="897"/>
      <c r="G343" s="897"/>
      <c r="H343" s="898" t="s">
        <v>1953</v>
      </c>
      <c r="I343" s="899"/>
      <c r="J343" s="899"/>
    </row>
    <row r="344" spans="1:10">
      <c r="A344" s="896" t="s">
        <v>3424</v>
      </c>
      <c r="B344" s="897" t="s">
        <v>3425</v>
      </c>
      <c r="C344" s="897" t="s">
        <v>3426</v>
      </c>
      <c r="D344" s="897" t="s">
        <v>3427</v>
      </c>
      <c r="E344" s="897" t="s">
        <v>3428</v>
      </c>
      <c r="F344" s="897"/>
      <c r="G344" s="897"/>
      <c r="H344" s="898" t="s">
        <v>1936</v>
      </c>
      <c r="I344" s="899"/>
      <c r="J344" s="899"/>
    </row>
    <row r="345" spans="1:10">
      <c r="A345" s="896" t="s">
        <v>3429</v>
      </c>
      <c r="B345" s="897" t="s">
        <v>3430</v>
      </c>
      <c r="C345" s="897" t="s">
        <v>3431</v>
      </c>
      <c r="D345" s="897" t="s">
        <v>3432</v>
      </c>
      <c r="E345" s="897" t="s">
        <v>3433</v>
      </c>
      <c r="F345" s="897"/>
      <c r="G345" s="897"/>
      <c r="H345" s="898" t="e">
        <v>#N/A</v>
      </c>
      <c r="I345" s="899"/>
      <c r="J345" s="899"/>
    </row>
    <row r="346" spans="1:10">
      <c r="A346" s="896" t="s">
        <v>3434</v>
      </c>
      <c r="B346" s="897" t="s">
        <v>606</v>
      </c>
      <c r="C346" s="897" t="s">
        <v>3435</v>
      </c>
      <c r="D346" s="897" t="s">
        <v>3436</v>
      </c>
      <c r="E346" s="897" t="s">
        <v>3437</v>
      </c>
      <c r="F346" s="897" t="s">
        <v>3438</v>
      </c>
      <c r="G346" s="897"/>
      <c r="H346" s="898" t="s">
        <v>1953</v>
      </c>
      <c r="I346" s="899"/>
      <c r="J346" s="899"/>
    </row>
    <row r="347" spans="1:10">
      <c r="A347" s="896" t="s">
        <v>3439</v>
      </c>
      <c r="B347" s="897" t="s">
        <v>3440</v>
      </c>
      <c r="C347" s="897" t="s">
        <v>3441</v>
      </c>
      <c r="D347" s="897" t="s">
        <v>3442</v>
      </c>
      <c r="E347" s="897" t="s">
        <v>3443</v>
      </c>
      <c r="F347" s="897"/>
      <c r="G347" s="897"/>
      <c r="H347" s="898" t="e">
        <v>#N/A</v>
      </c>
      <c r="I347" s="899"/>
      <c r="J347" s="899"/>
    </row>
    <row r="348" spans="1:10">
      <c r="A348" s="896" t="s">
        <v>3444</v>
      </c>
      <c r="B348" s="897" t="s">
        <v>3445</v>
      </c>
      <c r="C348" s="897" t="s">
        <v>3446</v>
      </c>
      <c r="D348" s="897" t="s">
        <v>3447</v>
      </c>
      <c r="E348" s="897" t="s">
        <v>3448</v>
      </c>
      <c r="F348" s="897"/>
      <c r="G348" s="897"/>
      <c r="H348" s="898" t="e">
        <v>#N/A</v>
      </c>
      <c r="I348" s="899"/>
      <c r="J348" s="899"/>
    </row>
    <row r="349" spans="1:10">
      <c r="A349" s="896" t="s">
        <v>3449</v>
      </c>
      <c r="B349" s="897" t="s">
        <v>186</v>
      </c>
      <c r="C349" s="897" t="s">
        <v>3450</v>
      </c>
      <c r="D349" s="897" t="s">
        <v>3451</v>
      </c>
      <c r="E349" s="897" t="s">
        <v>3452</v>
      </c>
      <c r="F349" s="897" t="s">
        <v>1035</v>
      </c>
      <c r="G349" s="897" t="s">
        <v>3453</v>
      </c>
      <c r="H349" s="898">
        <v>0</v>
      </c>
      <c r="I349" s="899"/>
      <c r="J349" s="899"/>
    </row>
    <row r="350" spans="1:10">
      <c r="A350" s="896" t="s">
        <v>3454</v>
      </c>
      <c r="B350" s="897" t="s">
        <v>3455</v>
      </c>
      <c r="C350" s="897" t="s">
        <v>3456</v>
      </c>
      <c r="D350" s="897" t="s">
        <v>3457</v>
      </c>
      <c r="E350" s="897" t="s">
        <v>3458</v>
      </c>
      <c r="F350" s="897"/>
      <c r="G350" s="897" t="s">
        <v>3459</v>
      </c>
      <c r="H350" s="898" t="e">
        <v>#N/A</v>
      </c>
      <c r="I350" s="899"/>
      <c r="J350" s="899"/>
    </row>
    <row r="351" spans="1:10">
      <c r="A351" s="896" t="s">
        <v>3460</v>
      </c>
      <c r="B351" s="897" t="s">
        <v>3461</v>
      </c>
      <c r="C351" s="897" t="s">
        <v>2714</v>
      </c>
      <c r="D351" s="897" t="s">
        <v>3462</v>
      </c>
      <c r="E351" s="897" t="s">
        <v>3463</v>
      </c>
      <c r="F351" s="897"/>
      <c r="G351" s="897"/>
      <c r="H351" s="898" t="e">
        <v>#N/A</v>
      </c>
      <c r="I351" s="899"/>
      <c r="J351" s="899"/>
    </row>
    <row r="352" spans="1:10">
      <c r="A352" s="896" t="s">
        <v>3464</v>
      </c>
      <c r="B352" s="897" t="s">
        <v>3465</v>
      </c>
      <c r="C352" s="897" t="s">
        <v>3466</v>
      </c>
      <c r="D352" s="897" t="s">
        <v>3467</v>
      </c>
      <c r="E352" s="897" t="s">
        <v>3468</v>
      </c>
      <c r="F352" s="897"/>
      <c r="G352" s="897" t="s">
        <v>3469</v>
      </c>
      <c r="H352" s="898" t="s">
        <v>1953</v>
      </c>
      <c r="I352" s="899"/>
      <c r="J352" s="899"/>
    </row>
    <row r="353" spans="1:10">
      <c r="A353" s="896" t="s">
        <v>3470</v>
      </c>
      <c r="B353" s="897" t="s">
        <v>3471</v>
      </c>
      <c r="C353" s="897" t="s">
        <v>3472</v>
      </c>
      <c r="D353" s="897" t="s">
        <v>3473</v>
      </c>
      <c r="E353" s="897" t="s">
        <v>3474</v>
      </c>
      <c r="F353" s="897"/>
      <c r="G353" s="897"/>
      <c r="H353" s="898" t="s">
        <v>1953</v>
      </c>
      <c r="I353" s="899"/>
      <c r="J353" s="899"/>
    </row>
    <row r="354" spans="1:10">
      <c r="A354" s="896" t="s">
        <v>3475</v>
      </c>
      <c r="B354" s="897" t="s">
        <v>3476</v>
      </c>
      <c r="C354" s="897" t="s">
        <v>3477</v>
      </c>
      <c r="D354" s="897" t="s">
        <v>3478</v>
      </c>
      <c r="E354" s="897" t="s">
        <v>3479</v>
      </c>
      <c r="F354" s="897"/>
      <c r="G354" s="897"/>
      <c r="H354" s="898" t="s">
        <v>1953</v>
      </c>
      <c r="I354" s="899"/>
      <c r="J354" s="899"/>
    </row>
    <row r="355" spans="1:10">
      <c r="A355" s="896" t="s">
        <v>3480</v>
      </c>
      <c r="B355" s="897" t="s">
        <v>3481</v>
      </c>
      <c r="C355" s="897" t="s">
        <v>3482</v>
      </c>
      <c r="D355" s="897" t="s">
        <v>3483</v>
      </c>
      <c r="E355" s="897" t="s">
        <v>3484</v>
      </c>
      <c r="F355" s="897"/>
      <c r="G355" s="897" t="s">
        <v>3485</v>
      </c>
      <c r="H355" s="898" t="s">
        <v>1953</v>
      </c>
      <c r="I355" s="899"/>
      <c r="J355" s="899"/>
    </row>
    <row r="356" spans="1:10">
      <c r="A356" s="896" t="s">
        <v>3486</v>
      </c>
      <c r="B356" s="897" t="s">
        <v>535</v>
      </c>
      <c r="C356" s="897" t="s">
        <v>3487</v>
      </c>
      <c r="D356" s="897" t="s">
        <v>3488</v>
      </c>
      <c r="E356" s="897" t="s">
        <v>3489</v>
      </c>
      <c r="F356" s="897"/>
      <c r="G356" s="897"/>
      <c r="H356" s="898" t="s">
        <v>1953</v>
      </c>
      <c r="I356" s="899"/>
      <c r="J356" s="899"/>
    </row>
    <row r="357" spans="1:10">
      <c r="A357" s="896" t="s">
        <v>3490</v>
      </c>
      <c r="B357" s="897" t="s">
        <v>3491</v>
      </c>
      <c r="C357" s="897" t="s">
        <v>3492</v>
      </c>
      <c r="D357" s="897" t="s">
        <v>3493</v>
      </c>
      <c r="E357" s="897" t="s">
        <v>3494</v>
      </c>
      <c r="F357" s="897"/>
      <c r="G357" s="897"/>
      <c r="H357" s="898" t="e">
        <v>#N/A</v>
      </c>
      <c r="I357" s="899"/>
      <c r="J357" s="899"/>
    </row>
    <row r="358" spans="1:10">
      <c r="A358" s="896" t="s">
        <v>3495</v>
      </c>
      <c r="B358" s="897" t="s">
        <v>3496</v>
      </c>
      <c r="C358" s="897" t="s">
        <v>3497</v>
      </c>
      <c r="D358" s="897" t="s">
        <v>3498</v>
      </c>
      <c r="E358" s="897" t="s">
        <v>3499</v>
      </c>
      <c r="F358" s="897"/>
      <c r="G358" s="897"/>
      <c r="H358" s="898" t="e">
        <v>#N/A</v>
      </c>
      <c r="I358" s="899"/>
      <c r="J358" s="899"/>
    </row>
    <row r="359" spans="1:10">
      <c r="A359" s="896" t="s">
        <v>3500</v>
      </c>
      <c r="B359" s="897" t="s">
        <v>3501</v>
      </c>
      <c r="C359" s="897" t="s">
        <v>3502</v>
      </c>
      <c r="D359" s="897" t="s">
        <v>3503</v>
      </c>
      <c r="E359" s="897" t="s">
        <v>3504</v>
      </c>
      <c r="F359" s="897" t="s">
        <v>3505</v>
      </c>
      <c r="G359" s="897"/>
      <c r="H359" s="898" t="s">
        <v>1936</v>
      </c>
      <c r="I359" s="899"/>
      <c r="J359" s="899"/>
    </row>
    <row r="360" spans="1:10">
      <c r="A360" s="896" t="s">
        <v>3506</v>
      </c>
      <c r="B360" s="897" t="s">
        <v>85</v>
      </c>
      <c r="C360" s="897" t="s">
        <v>3507</v>
      </c>
      <c r="D360" s="897" t="s">
        <v>3508</v>
      </c>
      <c r="E360" s="897" t="s">
        <v>3509</v>
      </c>
      <c r="F360" s="897"/>
      <c r="G360" s="897"/>
      <c r="H360" s="898" t="e">
        <v>#N/A</v>
      </c>
      <c r="I360" s="899"/>
      <c r="J360" s="899"/>
    </row>
    <row r="361" spans="1:10">
      <c r="A361" s="896" t="s">
        <v>3510</v>
      </c>
      <c r="B361" s="897" t="s">
        <v>89</v>
      </c>
      <c r="C361" s="897" t="s">
        <v>3507</v>
      </c>
      <c r="D361" s="897" t="s">
        <v>3508</v>
      </c>
      <c r="E361" s="897" t="s">
        <v>3509</v>
      </c>
      <c r="F361" s="897"/>
      <c r="G361" s="897"/>
      <c r="H361" s="898" t="e">
        <v>#N/A</v>
      </c>
      <c r="I361" s="899"/>
      <c r="J361" s="899"/>
    </row>
    <row r="362" spans="1:10">
      <c r="A362" s="896" t="s">
        <v>3511</v>
      </c>
      <c r="B362" s="897" t="s">
        <v>75</v>
      </c>
      <c r="C362" s="897" t="s">
        <v>3507</v>
      </c>
      <c r="D362" s="897" t="s">
        <v>3508</v>
      </c>
      <c r="E362" s="897" t="s">
        <v>3509</v>
      </c>
      <c r="F362" s="897"/>
      <c r="G362" s="897"/>
      <c r="H362" s="898" t="e">
        <v>#N/A</v>
      </c>
      <c r="I362" s="899"/>
      <c r="J362" s="899"/>
    </row>
    <row r="363" spans="1:10">
      <c r="A363" s="896" t="s">
        <v>3512</v>
      </c>
      <c r="B363" s="897" t="s">
        <v>3513</v>
      </c>
      <c r="C363" s="897" t="s">
        <v>3507</v>
      </c>
      <c r="D363" s="897" t="s">
        <v>3508</v>
      </c>
      <c r="E363" s="897" t="s">
        <v>3509</v>
      </c>
      <c r="F363" s="897"/>
      <c r="G363" s="897" t="s">
        <v>3514</v>
      </c>
      <c r="H363" s="898" t="e">
        <v>#N/A</v>
      </c>
      <c r="I363" s="899"/>
      <c r="J363" s="899"/>
    </row>
    <row r="364" spans="1:10">
      <c r="A364" s="896" t="s">
        <v>3515</v>
      </c>
      <c r="B364" s="897" t="s">
        <v>305</v>
      </c>
      <c r="C364" s="897" t="s">
        <v>3516</v>
      </c>
      <c r="D364" s="897" t="s">
        <v>3517</v>
      </c>
      <c r="E364" s="897" t="s">
        <v>3518</v>
      </c>
      <c r="F364" s="897"/>
      <c r="G364" s="897" t="s">
        <v>3519</v>
      </c>
      <c r="H364" s="898">
        <v>0</v>
      </c>
      <c r="I364" s="899"/>
      <c r="J364" s="899"/>
    </row>
    <row r="365" spans="1:10">
      <c r="A365" s="896" t="s">
        <v>3520</v>
      </c>
      <c r="B365" s="897" t="s">
        <v>284</v>
      </c>
      <c r="C365" s="897" t="s">
        <v>3521</v>
      </c>
      <c r="D365" s="897" t="s">
        <v>1188</v>
      </c>
      <c r="E365" s="897" t="s">
        <v>3522</v>
      </c>
      <c r="F365" s="897"/>
      <c r="G365" s="897" t="s">
        <v>3523</v>
      </c>
      <c r="H365" s="898">
        <v>0</v>
      </c>
      <c r="I365" s="899"/>
      <c r="J365" s="899"/>
    </row>
    <row r="366" spans="1:10">
      <c r="A366" s="896" t="s">
        <v>3524</v>
      </c>
      <c r="B366" s="897" t="s">
        <v>3525</v>
      </c>
      <c r="C366" s="897" t="s">
        <v>3526</v>
      </c>
      <c r="D366" s="897" t="s">
        <v>3527</v>
      </c>
      <c r="E366" s="897" t="s">
        <v>3528</v>
      </c>
      <c r="F366" s="897"/>
      <c r="G366" s="897"/>
      <c r="H366" s="898" t="s">
        <v>1936</v>
      </c>
      <c r="I366" s="899"/>
      <c r="J366" s="899"/>
    </row>
    <row r="367" spans="1:10">
      <c r="A367" s="896" t="s">
        <v>3529</v>
      </c>
      <c r="B367" s="897" t="s">
        <v>156</v>
      </c>
      <c r="C367" s="897" t="s">
        <v>3530</v>
      </c>
      <c r="D367" s="897" t="s">
        <v>1162</v>
      </c>
      <c r="E367" s="897" t="s">
        <v>3531</v>
      </c>
      <c r="F367" s="897"/>
      <c r="G367" s="897"/>
      <c r="H367" s="898">
        <v>0</v>
      </c>
      <c r="I367" s="899"/>
      <c r="J367" s="899"/>
    </row>
    <row r="368" spans="1:10">
      <c r="A368" s="896" t="s">
        <v>3532</v>
      </c>
      <c r="B368" s="897" t="s">
        <v>3533</v>
      </c>
      <c r="C368" s="897" t="s">
        <v>3534</v>
      </c>
      <c r="D368" s="897" t="s">
        <v>3535</v>
      </c>
      <c r="E368" s="897" t="s">
        <v>3536</v>
      </c>
      <c r="F368" s="897"/>
      <c r="G368" s="897" t="s">
        <v>3537</v>
      </c>
      <c r="H368" s="898" t="s">
        <v>1936</v>
      </c>
      <c r="I368" s="899"/>
      <c r="J368" s="899"/>
    </row>
    <row r="369" spans="1:10">
      <c r="A369" s="896" t="s">
        <v>3538</v>
      </c>
      <c r="B369" s="897" t="s">
        <v>133</v>
      </c>
      <c r="C369" s="897" t="s">
        <v>3539</v>
      </c>
      <c r="D369" s="897" t="s">
        <v>3540</v>
      </c>
      <c r="E369" s="897" t="s">
        <v>3541</v>
      </c>
      <c r="F369" s="897"/>
      <c r="G369" s="897" t="s">
        <v>3542</v>
      </c>
      <c r="H369" s="898" t="s">
        <v>1936</v>
      </c>
      <c r="I369" s="899"/>
      <c r="J369" s="899"/>
    </row>
    <row r="370" spans="1:10">
      <c r="A370" s="896" t="s">
        <v>3543</v>
      </c>
      <c r="B370" s="897" t="s">
        <v>3544</v>
      </c>
      <c r="C370" s="897" t="s">
        <v>3545</v>
      </c>
      <c r="D370" s="897" t="s">
        <v>3546</v>
      </c>
      <c r="E370" s="897" t="s">
        <v>3547</v>
      </c>
      <c r="F370" s="897"/>
      <c r="G370" s="897" t="s">
        <v>3548</v>
      </c>
      <c r="H370" s="898" t="s">
        <v>1953</v>
      </c>
      <c r="I370" s="899"/>
      <c r="J370" s="899"/>
    </row>
    <row r="371" spans="1:10">
      <c r="A371" s="896" t="s">
        <v>3549</v>
      </c>
      <c r="B371" s="897" t="s">
        <v>3550</v>
      </c>
      <c r="C371" s="897" t="s">
        <v>3551</v>
      </c>
      <c r="D371" s="897" t="s">
        <v>800</v>
      </c>
      <c r="E371" s="897" t="s">
        <v>3552</v>
      </c>
      <c r="F371" s="897"/>
      <c r="G371" s="897"/>
      <c r="H371" s="898" t="s">
        <v>1936</v>
      </c>
      <c r="I371" s="899"/>
      <c r="J371" s="899"/>
    </row>
    <row r="372" spans="1:10">
      <c r="A372" s="896" t="s">
        <v>3553</v>
      </c>
      <c r="B372" s="897" t="s">
        <v>1248</v>
      </c>
      <c r="C372" s="897" t="s">
        <v>3554</v>
      </c>
      <c r="D372" s="897" t="s">
        <v>1249</v>
      </c>
      <c r="E372" s="897" t="s">
        <v>3555</v>
      </c>
      <c r="F372" s="897"/>
      <c r="G372" s="897"/>
      <c r="H372" s="898" t="s">
        <v>1953</v>
      </c>
      <c r="I372" s="899"/>
      <c r="J372" s="899"/>
    </row>
    <row r="373" spans="1:10">
      <c r="A373" s="896" t="s">
        <v>3556</v>
      </c>
      <c r="B373" s="897" t="s">
        <v>3557</v>
      </c>
      <c r="C373" s="897" t="s">
        <v>3558</v>
      </c>
      <c r="D373" s="897" t="s">
        <v>3559</v>
      </c>
      <c r="E373" s="897" t="s">
        <v>3560</v>
      </c>
      <c r="F373" s="897"/>
      <c r="G373" s="897"/>
      <c r="H373" s="898" t="e">
        <v>#N/A</v>
      </c>
      <c r="I373" s="899"/>
      <c r="J373" s="899"/>
    </row>
    <row r="374" spans="1:10">
      <c r="A374" s="896" t="s">
        <v>3561</v>
      </c>
      <c r="B374" s="897" t="s">
        <v>3562</v>
      </c>
      <c r="C374" s="897" t="s">
        <v>3563</v>
      </c>
      <c r="D374" s="897" t="s">
        <v>3564</v>
      </c>
      <c r="E374" s="897" t="s">
        <v>3565</v>
      </c>
      <c r="F374" s="897"/>
      <c r="G374" s="897"/>
      <c r="H374" s="898" t="s">
        <v>1953</v>
      </c>
      <c r="I374" s="899"/>
      <c r="J374" s="899"/>
    </row>
    <row r="375" spans="1:10">
      <c r="A375" s="896" t="s">
        <v>3566</v>
      </c>
      <c r="B375" s="897" t="s">
        <v>471</v>
      </c>
      <c r="C375" s="897" t="s">
        <v>3567</v>
      </c>
      <c r="D375" s="897" t="s">
        <v>3568</v>
      </c>
      <c r="E375" s="897" t="s">
        <v>3569</v>
      </c>
      <c r="F375" s="897"/>
      <c r="G375" s="897" t="s">
        <v>3570</v>
      </c>
      <c r="H375" s="898" t="s">
        <v>1914</v>
      </c>
      <c r="I375" s="899"/>
      <c r="J375" s="899"/>
    </row>
    <row r="376" spans="1:10">
      <c r="A376" s="896" t="s">
        <v>3571</v>
      </c>
      <c r="B376" s="897" t="s">
        <v>593</v>
      </c>
      <c r="C376" s="897" t="s">
        <v>3572</v>
      </c>
      <c r="D376" s="897" t="s">
        <v>3573</v>
      </c>
      <c r="E376" s="897" t="s">
        <v>3574</v>
      </c>
      <c r="F376" s="897"/>
      <c r="G376" s="897"/>
      <c r="H376" s="898">
        <v>0</v>
      </c>
      <c r="I376" s="899"/>
      <c r="J376" s="899"/>
    </row>
    <row r="377" spans="1:10">
      <c r="A377" s="896" t="s">
        <v>3575</v>
      </c>
      <c r="B377" s="897" t="s">
        <v>747</v>
      </c>
      <c r="C377" s="897" t="s">
        <v>3576</v>
      </c>
      <c r="D377" s="897" t="s">
        <v>1265</v>
      </c>
      <c r="E377" s="897" t="s">
        <v>3577</v>
      </c>
      <c r="F377" s="897"/>
      <c r="G377" s="897"/>
      <c r="H377" s="898" t="s">
        <v>1953</v>
      </c>
      <c r="I377" s="899"/>
      <c r="J377" s="899"/>
    </row>
    <row r="378" spans="1:10">
      <c r="A378" s="896" t="s">
        <v>3578</v>
      </c>
      <c r="B378" s="897" t="s">
        <v>3579</v>
      </c>
      <c r="C378" s="897" t="s">
        <v>3580</v>
      </c>
      <c r="D378" s="897" t="s">
        <v>3581</v>
      </c>
      <c r="E378" s="897" t="s">
        <v>3582</v>
      </c>
      <c r="F378" s="897"/>
      <c r="G378" s="897" t="s">
        <v>790</v>
      </c>
      <c r="H378" s="898" t="s">
        <v>1953</v>
      </c>
      <c r="I378" s="899"/>
      <c r="J378" s="899"/>
    </row>
    <row r="379" spans="1:10">
      <c r="A379" s="896" t="s">
        <v>3583</v>
      </c>
      <c r="B379" s="897" t="s">
        <v>485</v>
      </c>
      <c r="C379" s="897" t="s">
        <v>3584</v>
      </c>
      <c r="D379" s="897" t="s">
        <v>1291</v>
      </c>
      <c r="E379" s="897" t="s">
        <v>3585</v>
      </c>
      <c r="F379" s="897"/>
      <c r="G379" s="897"/>
      <c r="H379" s="898" t="s">
        <v>1914</v>
      </c>
      <c r="I379" s="899"/>
      <c r="J379" s="899"/>
    </row>
    <row r="380" spans="1:10">
      <c r="A380" s="896" t="s">
        <v>3586</v>
      </c>
      <c r="B380" s="897" t="s">
        <v>207</v>
      </c>
      <c r="C380" s="897" t="s">
        <v>3587</v>
      </c>
      <c r="D380" s="897" t="s">
        <v>3588</v>
      </c>
      <c r="E380" s="897" t="s">
        <v>3589</v>
      </c>
      <c r="F380" s="897"/>
      <c r="G380" s="897" t="s">
        <v>3590</v>
      </c>
      <c r="H380" s="898" t="s">
        <v>1953</v>
      </c>
      <c r="I380" s="899"/>
      <c r="J380" s="899"/>
    </row>
    <row r="381" spans="1:10">
      <c r="A381" s="896" t="s">
        <v>3591</v>
      </c>
      <c r="B381" s="897" t="s">
        <v>536</v>
      </c>
      <c r="C381" s="897" t="s">
        <v>3592</v>
      </c>
      <c r="D381" s="897" t="s">
        <v>3593</v>
      </c>
      <c r="E381" s="897" t="s">
        <v>3594</v>
      </c>
      <c r="F381" s="897"/>
      <c r="G381" s="897"/>
      <c r="H381" s="898" t="e">
        <v>#N/A</v>
      </c>
      <c r="I381" s="899"/>
      <c r="J381" s="899"/>
    </row>
    <row r="382" spans="1:10">
      <c r="A382" s="896" t="s">
        <v>3595</v>
      </c>
      <c r="B382" s="897" t="s">
        <v>1893</v>
      </c>
      <c r="C382" s="897" t="s">
        <v>3596</v>
      </c>
      <c r="D382" s="897" t="s">
        <v>3597</v>
      </c>
      <c r="E382" s="897" t="s">
        <v>3598</v>
      </c>
      <c r="F382" s="897"/>
      <c r="G382" s="897"/>
      <c r="H382" s="898" t="s">
        <v>1953</v>
      </c>
      <c r="I382" s="899"/>
      <c r="J382" s="899"/>
    </row>
    <row r="383" spans="1:10">
      <c r="A383" s="896" t="s">
        <v>3599</v>
      </c>
      <c r="B383" s="897" t="s">
        <v>802</v>
      </c>
      <c r="C383" s="897" t="s">
        <v>3600</v>
      </c>
      <c r="D383" s="897" t="s">
        <v>3601</v>
      </c>
      <c r="E383" s="897" t="s">
        <v>3602</v>
      </c>
      <c r="F383" s="897"/>
      <c r="G383" s="897"/>
      <c r="H383" s="898" t="s">
        <v>1936</v>
      </c>
      <c r="I383" s="899"/>
      <c r="J383" s="899"/>
    </row>
    <row r="384" spans="1:10">
      <c r="A384" s="896" t="s">
        <v>3603</v>
      </c>
      <c r="B384" s="897" t="s">
        <v>740</v>
      </c>
      <c r="C384" s="897" t="s">
        <v>3604</v>
      </c>
      <c r="D384" s="897" t="s">
        <v>3605</v>
      </c>
      <c r="E384" s="897" t="s">
        <v>3606</v>
      </c>
      <c r="F384" s="897"/>
      <c r="G384" s="897"/>
      <c r="H384" s="898" t="s">
        <v>1953</v>
      </c>
      <c r="I384" s="899"/>
      <c r="J384" s="899"/>
    </row>
    <row r="385" spans="1:10">
      <c r="A385" s="896" t="s">
        <v>3607</v>
      </c>
      <c r="B385" s="897" t="s">
        <v>384</v>
      </c>
      <c r="C385" s="897" t="s">
        <v>3608</v>
      </c>
      <c r="D385" s="897" t="s">
        <v>1182</v>
      </c>
      <c r="E385" s="897" t="s">
        <v>3609</v>
      </c>
      <c r="F385" s="897" t="s">
        <v>3610</v>
      </c>
      <c r="G385" s="897"/>
      <c r="H385" s="898" t="s">
        <v>1914</v>
      </c>
      <c r="I385" s="899"/>
      <c r="J385" s="899"/>
    </row>
    <row r="386" spans="1:10">
      <c r="A386" s="896" t="s">
        <v>3611</v>
      </c>
      <c r="B386" s="897" t="s">
        <v>31</v>
      </c>
      <c r="C386" s="897" t="s">
        <v>3612</v>
      </c>
      <c r="D386" s="897" t="s">
        <v>1912</v>
      </c>
      <c r="E386" s="897"/>
      <c r="F386" s="897"/>
      <c r="G386" s="897"/>
      <c r="H386" s="898" t="s">
        <v>1953</v>
      </c>
      <c r="I386" s="899"/>
      <c r="J386" s="899"/>
    </row>
    <row r="387" spans="1:10">
      <c r="A387" s="896" t="s">
        <v>3613</v>
      </c>
      <c r="B387" s="897" t="s">
        <v>3614</v>
      </c>
      <c r="C387" s="897" t="s">
        <v>3615</v>
      </c>
      <c r="D387" s="897" t="s">
        <v>1912</v>
      </c>
      <c r="E387" s="897"/>
      <c r="F387" s="897"/>
      <c r="G387" s="897"/>
      <c r="H387" s="898" t="s">
        <v>1953</v>
      </c>
      <c r="I387" s="899"/>
      <c r="J387" s="899"/>
    </row>
    <row r="388" spans="1:10">
      <c r="A388" s="896" t="s">
        <v>3616</v>
      </c>
      <c r="B388" s="897" t="s">
        <v>3617</v>
      </c>
      <c r="C388" s="897" t="s">
        <v>3618</v>
      </c>
      <c r="D388" s="897" t="s">
        <v>1912</v>
      </c>
      <c r="E388" s="897"/>
      <c r="F388" s="897"/>
      <c r="G388" s="897"/>
      <c r="H388" s="898" t="e">
        <v>#N/A</v>
      </c>
      <c r="I388" s="899"/>
      <c r="J388" s="899"/>
    </row>
    <row r="389" spans="1:10">
      <c r="A389" s="896" t="s">
        <v>3619</v>
      </c>
      <c r="B389" s="897" t="s">
        <v>3620</v>
      </c>
      <c r="C389" s="897" t="s">
        <v>3621</v>
      </c>
      <c r="D389" s="897" t="s">
        <v>1912</v>
      </c>
      <c r="E389" s="897"/>
      <c r="F389" s="897"/>
      <c r="G389" s="897"/>
      <c r="H389" s="898" t="e">
        <v>#N/A</v>
      </c>
      <c r="I389" s="899"/>
      <c r="J389" s="899"/>
    </row>
    <row r="390" spans="1:10">
      <c r="A390" s="896" t="s">
        <v>3622</v>
      </c>
      <c r="B390" s="897" t="s">
        <v>3623</v>
      </c>
      <c r="C390" s="897" t="s">
        <v>3624</v>
      </c>
      <c r="D390" s="897" t="s">
        <v>1912</v>
      </c>
      <c r="E390" s="897"/>
      <c r="F390" s="897"/>
      <c r="G390" s="897"/>
      <c r="H390" s="898" t="e">
        <v>#N/A</v>
      </c>
      <c r="I390" s="899"/>
      <c r="J390" s="899"/>
    </row>
    <row r="391" spans="1:10">
      <c r="A391" s="896" t="s">
        <v>3625</v>
      </c>
      <c r="B391" s="897" t="s">
        <v>3626</v>
      </c>
      <c r="C391" s="897" t="s">
        <v>3627</v>
      </c>
      <c r="D391" s="897" t="s">
        <v>1912</v>
      </c>
      <c r="E391" s="897"/>
      <c r="F391" s="897"/>
      <c r="G391" s="897"/>
      <c r="H391" s="898" t="s">
        <v>1953</v>
      </c>
      <c r="I391" s="899"/>
      <c r="J391" s="899"/>
    </row>
    <row r="392" spans="1:10">
      <c r="A392" s="896" t="s">
        <v>3628</v>
      </c>
      <c r="B392" s="897" t="s">
        <v>3629</v>
      </c>
      <c r="C392" s="897" t="s">
        <v>3630</v>
      </c>
      <c r="D392" s="897" t="s">
        <v>1912</v>
      </c>
      <c r="E392" s="897"/>
      <c r="F392" s="897"/>
      <c r="G392" s="897"/>
      <c r="H392" s="898" t="s">
        <v>1936</v>
      </c>
      <c r="I392" s="899"/>
      <c r="J392" s="899"/>
    </row>
    <row r="393" spans="1:10">
      <c r="A393" s="896" t="s">
        <v>3631</v>
      </c>
      <c r="B393" s="897" t="s">
        <v>3632</v>
      </c>
      <c r="C393" s="897" t="s">
        <v>3633</v>
      </c>
      <c r="D393" s="897" t="s">
        <v>1912</v>
      </c>
      <c r="E393" s="897"/>
      <c r="F393" s="897"/>
      <c r="G393" s="897"/>
      <c r="H393" s="898" t="s">
        <v>1953</v>
      </c>
      <c r="I393" s="899"/>
      <c r="J393" s="899"/>
    </row>
    <row r="394" spans="1:10">
      <c r="A394" s="896" t="s">
        <v>3634</v>
      </c>
      <c r="B394" s="897" t="s">
        <v>1343</v>
      </c>
      <c r="C394" s="897" t="s">
        <v>3635</v>
      </c>
      <c r="D394" s="897" t="s">
        <v>1912</v>
      </c>
      <c r="E394" s="897"/>
      <c r="F394" s="897"/>
      <c r="G394" s="897"/>
      <c r="H394" s="898" t="e">
        <v>#N/A</v>
      </c>
      <c r="I394" s="899"/>
      <c r="J394" s="899"/>
    </row>
    <row r="395" spans="1:10">
      <c r="A395" s="896" t="s">
        <v>3636</v>
      </c>
      <c r="B395" s="897" t="s">
        <v>3637</v>
      </c>
      <c r="C395" s="897" t="s">
        <v>1989</v>
      </c>
      <c r="D395" s="897" t="s">
        <v>1912</v>
      </c>
      <c r="E395" s="897"/>
      <c r="F395" s="897"/>
      <c r="G395" s="897"/>
      <c r="H395" s="898" t="s">
        <v>1936</v>
      </c>
      <c r="I395" s="899"/>
      <c r="J395" s="899"/>
    </row>
    <row r="396" spans="1:10">
      <c r="A396" s="896" t="s">
        <v>3638</v>
      </c>
      <c r="B396" s="897" t="s">
        <v>1900</v>
      </c>
      <c r="C396" s="897" t="s">
        <v>3639</v>
      </c>
      <c r="D396" s="897" t="s">
        <v>1912</v>
      </c>
      <c r="E396" s="897"/>
      <c r="F396" s="897"/>
      <c r="G396" s="897"/>
      <c r="H396" s="898" t="s">
        <v>1953</v>
      </c>
      <c r="I396" s="899"/>
      <c r="J396" s="899"/>
    </row>
    <row r="397" spans="1:10">
      <c r="A397" s="896" t="s">
        <v>3640</v>
      </c>
      <c r="B397" s="897" t="s">
        <v>3641</v>
      </c>
      <c r="C397" s="897" t="s">
        <v>3642</v>
      </c>
      <c r="D397" s="897" t="s">
        <v>1912</v>
      </c>
      <c r="E397" s="897"/>
      <c r="F397" s="897"/>
      <c r="G397" s="897"/>
      <c r="H397" s="898" t="e">
        <v>#N/A</v>
      </c>
      <c r="I397" s="899"/>
      <c r="J397" s="899"/>
    </row>
    <row r="398" spans="1:10">
      <c r="A398" s="896" t="s">
        <v>3643</v>
      </c>
      <c r="B398" s="897" t="s">
        <v>3644</v>
      </c>
      <c r="C398" s="897" t="s">
        <v>3645</v>
      </c>
      <c r="D398" s="897" t="s">
        <v>1912</v>
      </c>
      <c r="E398" s="897"/>
      <c r="F398" s="897" t="s">
        <v>3646</v>
      </c>
      <c r="G398" s="897" t="s">
        <v>3647</v>
      </c>
      <c r="H398" s="898" t="e">
        <v>#N/A</v>
      </c>
      <c r="I398" s="899"/>
      <c r="J398" s="899"/>
    </row>
    <row r="399" spans="1:10">
      <c r="A399" s="896" t="s">
        <v>3648</v>
      </c>
      <c r="B399" s="897" t="s">
        <v>3649</v>
      </c>
      <c r="C399" s="897" t="s">
        <v>3650</v>
      </c>
      <c r="D399" s="897" t="s">
        <v>1912</v>
      </c>
      <c r="E399" s="897"/>
      <c r="F399" s="897"/>
      <c r="G399" s="897"/>
      <c r="H399" s="898" t="e">
        <v>#N/A</v>
      </c>
      <c r="I399" s="899"/>
      <c r="J399" s="899"/>
    </row>
    <row r="400" spans="1:10">
      <c r="A400" s="896" t="s">
        <v>3651</v>
      </c>
      <c r="B400" s="897" t="s">
        <v>1346</v>
      </c>
      <c r="C400" s="897" t="s">
        <v>1912</v>
      </c>
      <c r="D400" s="897" t="s">
        <v>1912</v>
      </c>
      <c r="E400" s="897"/>
      <c r="F400" s="897"/>
      <c r="G400" s="897"/>
      <c r="H400" s="898" t="e">
        <v>#N/A</v>
      </c>
      <c r="I400" s="899"/>
      <c r="J400" s="899"/>
    </row>
    <row r="401" spans="1:10">
      <c r="A401" s="896" t="s">
        <v>3652</v>
      </c>
      <c r="B401" s="897" t="s">
        <v>3653</v>
      </c>
      <c r="C401" s="897" t="s">
        <v>3654</v>
      </c>
      <c r="D401" s="897" t="s">
        <v>1912</v>
      </c>
      <c r="E401" s="897"/>
      <c r="F401" s="897"/>
      <c r="G401" s="897"/>
      <c r="H401" s="898" t="e">
        <v>#N/A</v>
      </c>
      <c r="I401" s="899"/>
      <c r="J401" s="899"/>
    </row>
    <row r="402" spans="1:10">
      <c r="A402" s="896" t="s">
        <v>3655</v>
      </c>
      <c r="B402" s="897" t="s">
        <v>3656</v>
      </c>
      <c r="C402" s="897" t="s">
        <v>3657</v>
      </c>
      <c r="D402" s="897" t="s">
        <v>1912</v>
      </c>
      <c r="E402" s="897"/>
      <c r="F402" s="897"/>
      <c r="G402" s="897"/>
      <c r="H402" s="898" t="e">
        <v>#N/A</v>
      </c>
      <c r="I402" s="899"/>
      <c r="J402" s="899"/>
    </row>
    <row r="403" spans="1:10">
      <c r="A403" s="896" t="s">
        <v>3658</v>
      </c>
      <c r="B403" s="897" t="s">
        <v>3659</v>
      </c>
      <c r="C403" s="897" t="s">
        <v>3660</v>
      </c>
      <c r="D403" s="897" t="s">
        <v>1912</v>
      </c>
      <c r="E403" s="897"/>
      <c r="F403" s="897"/>
      <c r="G403" s="897"/>
      <c r="H403" s="898" t="e">
        <v>#N/A</v>
      </c>
      <c r="I403" s="899"/>
      <c r="J403" s="899"/>
    </row>
    <row r="404" spans="1:10">
      <c r="A404" s="896" t="s">
        <v>3661</v>
      </c>
      <c r="B404" s="897" t="s">
        <v>3662</v>
      </c>
      <c r="C404" s="897" t="s">
        <v>3663</v>
      </c>
      <c r="D404" s="897" t="s">
        <v>1912</v>
      </c>
      <c r="E404" s="897"/>
      <c r="F404" s="897" t="s">
        <v>3664</v>
      </c>
      <c r="G404" s="897" t="s">
        <v>3665</v>
      </c>
      <c r="H404" s="898" t="e">
        <v>#N/A</v>
      </c>
      <c r="I404" s="899"/>
      <c r="J404" s="899"/>
    </row>
    <row r="405" spans="1:10">
      <c r="A405" s="896" t="s">
        <v>3666</v>
      </c>
      <c r="B405" s="897" t="s">
        <v>3667</v>
      </c>
      <c r="C405" s="897" t="s">
        <v>3668</v>
      </c>
      <c r="D405" s="897" t="s">
        <v>1912</v>
      </c>
      <c r="E405" s="897"/>
      <c r="F405" s="897"/>
      <c r="G405" s="897"/>
      <c r="H405" s="898" t="e">
        <v>#N/A</v>
      </c>
      <c r="I405" s="899"/>
      <c r="J405" s="899"/>
    </row>
    <row r="406" spans="1:10">
      <c r="A406" s="896" t="s">
        <v>3669</v>
      </c>
      <c r="B406" s="897" t="s">
        <v>3670</v>
      </c>
      <c r="C406" s="897" t="s">
        <v>3671</v>
      </c>
      <c r="D406" s="897" t="s">
        <v>1912</v>
      </c>
      <c r="E406" s="897"/>
      <c r="F406" s="897"/>
      <c r="G406" s="897"/>
      <c r="H406" s="898" t="s">
        <v>1953</v>
      </c>
      <c r="I406" s="899"/>
      <c r="J406" s="899"/>
    </row>
    <row r="407" spans="1:10">
      <c r="A407" s="896" t="s">
        <v>3672</v>
      </c>
      <c r="B407" s="897" t="s">
        <v>3673</v>
      </c>
      <c r="C407" s="897" t="s">
        <v>3674</v>
      </c>
      <c r="D407" s="897" t="s">
        <v>1912</v>
      </c>
      <c r="E407" s="897"/>
      <c r="F407" s="897"/>
      <c r="G407" s="897"/>
      <c r="H407" s="898" t="e">
        <v>#N/A</v>
      </c>
      <c r="I407" s="899"/>
      <c r="J407" s="899"/>
    </row>
    <row r="408" spans="1:10">
      <c r="A408" s="896" t="s">
        <v>3675</v>
      </c>
      <c r="B408" s="897" t="s">
        <v>3676</v>
      </c>
      <c r="C408" s="897" t="s">
        <v>3677</v>
      </c>
      <c r="D408" s="897" t="s">
        <v>1912</v>
      </c>
      <c r="E408" s="897"/>
      <c r="F408" s="897"/>
      <c r="G408" s="897"/>
      <c r="H408" s="898" t="s">
        <v>1953</v>
      </c>
      <c r="I408" s="899"/>
      <c r="J408" s="899"/>
    </row>
    <row r="409" spans="1:10">
      <c r="A409" s="896" t="s">
        <v>3678</v>
      </c>
      <c r="B409" s="897" t="s">
        <v>357</v>
      </c>
      <c r="C409" s="897" t="s">
        <v>3679</v>
      </c>
      <c r="D409" s="897" t="s">
        <v>1118</v>
      </c>
      <c r="E409" s="897"/>
      <c r="F409" s="897"/>
      <c r="G409" s="897"/>
      <c r="H409" s="898" t="s">
        <v>1914</v>
      </c>
      <c r="I409" s="899"/>
      <c r="J409" s="899"/>
    </row>
    <row r="410" spans="1:10">
      <c r="A410" s="896" t="s">
        <v>3680</v>
      </c>
      <c r="B410" s="897" t="s">
        <v>3681</v>
      </c>
      <c r="C410" s="897" t="s">
        <v>3682</v>
      </c>
      <c r="D410" s="897" t="s">
        <v>1912</v>
      </c>
      <c r="E410" s="897"/>
      <c r="F410" s="897"/>
      <c r="G410" s="897"/>
      <c r="H410" s="898" t="e">
        <v>#N/A</v>
      </c>
      <c r="I410" s="899"/>
      <c r="J410" s="899"/>
    </row>
    <row r="411" spans="1:10">
      <c r="A411" s="896" t="s">
        <v>3683</v>
      </c>
      <c r="B411" s="897" t="s">
        <v>3684</v>
      </c>
      <c r="C411" s="897" t="s">
        <v>3685</v>
      </c>
      <c r="D411" s="897" t="s">
        <v>1912</v>
      </c>
      <c r="E411" s="897"/>
      <c r="F411" s="897"/>
      <c r="G411" s="897"/>
      <c r="H411" s="898" t="e">
        <v>#N/A</v>
      </c>
      <c r="I411" s="899"/>
      <c r="J411" s="899"/>
    </row>
    <row r="412" spans="1:10">
      <c r="A412" s="896" t="s">
        <v>3686</v>
      </c>
      <c r="B412" s="897" t="s">
        <v>3687</v>
      </c>
      <c r="C412" s="897" t="s">
        <v>3688</v>
      </c>
      <c r="D412" s="897" t="s">
        <v>1912</v>
      </c>
      <c r="E412" s="897"/>
      <c r="F412" s="897"/>
      <c r="G412" s="897"/>
      <c r="H412" s="898" t="s">
        <v>1953</v>
      </c>
      <c r="I412" s="899"/>
      <c r="J412" s="899"/>
    </row>
    <row r="413" spans="1:10">
      <c r="A413" s="896" t="s">
        <v>3689</v>
      </c>
      <c r="B413" s="897" t="s">
        <v>3690</v>
      </c>
      <c r="C413" s="897" t="s">
        <v>3691</v>
      </c>
      <c r="D413" s="897" t="s">
        <v>3692</v>
      </c>
      <c r="E413" s="897"/>
      <c r="F413" s="897" t="s">
        <v>3693</v>
      </c>
      <c r="G413" s="897" t="s">
        <v>3694</v>
      </c>
      <c r="H413" s="898" t="e">
        <v>#N/A</v>
      </c>
      <c r="I413" s="899"/>
      <c r="J413" s="899"/>
    </row>
    <row r="414" spans="1:10">
      <c r="A414" s="896" t="s">
        <v>3695</v>
      </c>
      <c r="B414" s="897" t="s">
        <v>324</v>
      </c>
      <c r="C414" s="897" t="s">
        <v>3696</v>
      </c>
      <c r="D414" s="897" t="s">
        <v>1119</v>
      </c>
      <c r="E414" s="897"/>
      <c r="F414" s="897"/>
      <c r="G414" s="897"/>
      <c r="H414" s="898" t="s">
        <v>1914</v>
      </c>
      <c r="I414" s="899"/>
      <c r="J414" s="899"/>
    </row>
    <row r="415" spans="1:10">
      <c r="A415" s="896" t="s">
        <v>3697</v>
      </c>
      <c r="B415" s="897" t="s">
        <v>3698</v>
      </c>
      <c r="C415" s="897" t="s">
        <v>3699</v>
      </c>
      <c r="D415" s="897" t="s">
        <v>1912</v>
      </c>
      <c r="E415" s="897"/>
      <c r="F415" s="897"/>
      <c r="G415" s="897"/>
      <c r="H415" s="898" t="e">
        <v>#N/A</v>
      </c>
      <c r="I415" s="899"/>
      <c r="J415" s="899"/>
    </row>
    <row r="416" spans="1:10">
      <c r="A416" s="896" t="s">
        <v>3700</v>
      </c>
      <c r="B416" s="897" t="s">
        <v>3701</v>
      </c>
      <c r="C416" s="897" t="s">
        <v>3702</v>
      </c>
      <c r="D416" s="897" t="s">
        <v>1912</v>
      </c>
      <c r="E416" s="897"/>
      <c r="F416" s="897"/>
      <c r="G416" s="897"/>
      <c r="H416" s="898" t="s">
        <v>1953</v>
      </c>
      <c r="I416" s="899"/>
      <c r="J416" s="899"/>
    </row>
    <row r="417" spans="1:10">
      <c r="A417" s="896" t="s">
        <v>3703</v>
      </c>
      <c r="B417" s="897" t="s">
        <v>3704</v>
      </c>
      <c r="C417" s="897" t="s">
        <v>3705</v>
      </c>
      <c r="D417" s="897" t="s">
        <v>1912</v>
      </c>
      <c r="E417" s="897"/>
      <c r="F417" s="897"/>
      <c r="G417" s="897"/>
      <c r="H417" s="898" t="e">
        <v>#N/A</v>
      </c>
      <c r="I417" s="899"/>
      <c r="J417" s="899"/>
    </row>
    <row r="418" spans="1:10">
      <c r="A418" s="896" t="s">
        <v>3706</v>
      </c>
      <c r="B418" s="897" t="s">
        <v>3707</v>
      </c>
      <c r="C418" s="897" t="s">
        <v>3708</v>
      </c>
      <c r="D418" s="897" t="s">
        <v>1912</v>
      </c>
      <c r="E418" s="897"/>
      <c r="F418" s="897"/>
      <c r="G418" s="897"/>
      <c r="H418" s="898" t="e">
        <v>#N/A</v>
      </c>
      <c r="I418" s="899"/>
      <c r="J418" s="899"/>
    </row>
    <row r="419" spans="1:10">
      <c r="A419" s="896" t="s">
        <v>3709</v>
      </c>
      <c r="B419" s="897" t="s">
        <v>3710</v>
      </c>
      <c r="C419" s="897" t="s">
        <v>3711</v>
      </c>
      <c r="D419" s="897" t="s">
        <v>1912</v>
      </c>
      <c r="E419" s="897"/>
      <c r="F419" s="897"/>
      <c r="G419" s="897"/>
      <c r="H419" s="898" t="e">
        <v>#N/A</v>
      </c>
      <c r="I419" s="899"/>
      <c r="J419" s="899"/>
    </row>
    <row r="420" spans="1:10">
      <c r="A420" s="896" t="s">
        <v>3712</v>
      </c>
      <c r="B420" s="897" t="s">
        <v>3713</v>
      </c>
      <c r="C420" s="897" t="s">
        <v>3714</v>
      </c>
      <c r="D420" s="897" t="s">
        <v>1912</v>
      </c>
      <c r="E420" s="897"/>
      <c r="F420" s="897" t="s">
        <v>3715</v>
      </c>
      <c r="G420" s="897" t="s">
        <v>3716</v>
      </c>
      <c r="H420" s="898" t="s">
        <v>1953</v>
      </c>
      <c r="I420" s="899"/>
      <c r="J420" s="899"/>
    </row>
    <row r="421" spans="1:10">
      <c r="A421" s="896" t="s">
        <v>3717</v>
      </c>
      <c r="B421" s="897" t="s">
        <v>3718</v>
      </c>
      <c r="C421" s="897" t="s">
        <v>3719</v>
      </c>
      <c r="D421" s="897" t="s">
        <v>1912</v>
      </c>
      <c r="E421" s="897"/>
      <c r="F421" s="897"/>
      <c r="G421" s="897"/>
      <c r="H421" s="898" t="s">
        <v>1953</v>
      </c>
      <c r="I421" s="899"/>
      <c r="J421" s="899"/>
    </row>
    <row r="422" spans="1:10">
      <c r="A422" s="896" t="s">
        <v>3720</v>
      </c>
      <c r="B422" s="897" t="s">
        <v>484</v>
      </c>
      <c r="C422" s="897" t="s">
        <v>3721</v>
      </c>
      <c r="D422" s="897" t="s">
        <v>1120</v>
      </c>
      <c r="E422" s="897"/>
      <c r="F422" s="897"/>
      <c r="G422" s="897"/>
      <c r="H422" s="898" t="s">
        <v>1914</v>
      </c>
      <c r="I422" s="899"/>
      <c r="J422" s="899"/>
    </row>
    <row r="423" spans="1:10">
      <c r="A423" s="896" t="s">
        <v>3722</v>
      </c>
      <c r="B423" s="897" t="s">
        <v>3723</v>
      </c>
      <c r="C423" s="897" t="s">
        <v>1912</v>
      </c>
      <c r="D423" s="897" t="s">
        <v>1912</v>
      </c>
      <c r="E423" s="897"/>
      <c r="F423" s="897"/>
      <c r="G423" s="897"/>
      <c r="H423" s="898" t="e">
        <v>#N/A</v>
      </c>
      <c r="I423" s="899"/>
      <c r="J423" s="899"/>
    </row>
    <row r="424" spans="1:10">
      <c r="A424" s="896" t="s">
        <v>3724</v>
      </c>
      <c r="B424" s="897" t="s">
        <v>3725</v>
      </c>
      <c r="C424" s="897" t="s">
        <v>3726</v>
      </c>
      <c r="D424" s="897" t="s">
        <v>1912</v>
      </c>
      <c r="E424" s="897"/>
      <c r="F424" s="897"/>
      <c r="G424" s="897" t="s">
        <v>3726</v>
      </c>
      <c r="H424" s="898" t="e">
        <v>#N/A</v>
      </c>
      <c r="I424" s="899"/>
      <c r="J424" s="899"/>
    </row>
    <row r="425" spans="1:10">
      <c r="A425" s="896" t="s">
        <v>3727</v>
      </c>
      <c r="B425" s="897" t="s">
        <v>3728</v>
      </c>
      <c r="C425" s="897" t="s">
        <v>3729</v>
      </c>
      <c r="D425" s="897" t="s">
        <v>1912</v>
      </c>
      <c r="E425" s="897"/>
      <c r="F425" s="897"/>
      <c r="G425" s="897"/>
      <c r="H425" s="898" t="e">
        <v>#N/A</v>
      </c>
      <c r="I425" s="899"/>
      <c r="J425" s="899"/>
    </row>
    <row r="426" spans="1:10">
      <c r="A426" s="896" t="s">
        <v>3730</v>
      </c>
      <c r="B426" s="897" t="s">
        <v>3731</v>
      </c>
      <c r="C426" s="897" t="s">
        <v>3732</v>
      </c>
      <c r="D426" s="897" t="s">
        <v>1912</v>
      </c>
      <c r="E426" s="897"/>
      <c r="F426" s="897"/>
      <c r="G426" s="897"/>
      <c r="H426" s="898" t="e">
        <v>#N/A</v>
      </c>
      <c r="I426" s="899"/>
      <c r="J426" s="899"/>
    </row>
    <row r="427" spans="1:10">
      <c r="A427" s="896" t="s">
        <v>3733</v>
      </c>
      <c r="B427" s="897" t="s">
        <v>3734</v>
      </c>
      <c r="C427" s="897" t="s">
        <v>3735</v>
      </c>
      <c r="D427" s="897" t="s">
        <v>1912</v>
      </c>
      <c r="E427" s="897"/>
      <c r="F427" s="897"/>
      <c r="G427" s="897"/>
      <c r="H427" s="898" t="s">
        <v>1953</v>
      </c>
      <c r="I427" s="899"/>
      <c r="J427" s="899"/>
    </row>
    <row r="428" spans="1:10">
      <c r="A428" s="896" t="s">
        <v>3736</v>
      </c>
      <c r="B428" s="897" t="s">
        <v>3737</v>
      </c>
      <c r="C428" s="897" t="s">
        <v>3738</v>
      </c>
      <c r="D428" s="897" t="s">
        <v>1912</v>
      </c>
      <c r="E428" s="897"/>
      <c r="F428" s="897"/>
      <c r="G428" s="897"/>
      <c r="H428" s="898" t="e">
        <v>#N/A</v>
      </c>
      <c r="I428" s="899"/>
      <c r="J428" s="899"/>
    </row>
    <row r="429" spans="1:10">
      <c r="A429" s="896" t="s">
        <v>3739</v>
      </c>
      <c r="B429" s="897" t="s">
        <v>3740</v>
      </c>
      <c r="C429" s="897" t="s">
        <v>3741</v>
      </c>
      <c r="D429" s="897" t="s">
        <v>1912</v>
      </c>
      <c r="E429" s="897"/>
      <c r="F429" s="897"/>
      <c r="G429" s="897"/>
      <c r="H429" s="898" t="e">
        <v>#N/A</v>
      </c>
      <c r="I429" s="899"/>
      <c r="J429" s="899"/>
    </row>
    <row r="430" spans="1:10">
      <c r="A430" s="896" t="s">
        <v>3742</v>
      </c>
      <c r="B430" s="897" t="s">
        <v>3743</v>
      </c>
      <c r="C430" s="897" t="s">
        <v>3744</v>
      </c>
      <c r="D430" s="897" t="s">
        <v>1912</v>
      </c>
      <c r="E430" s="897"/>
      <c r="F430" s="897"/>
      <c r="G430" s="897"/>
      <c r="H430" s="898" t="e">
        <v>#N/A</v>
      </c>
      <c r="I430" s="899"/>
      <c r="J430" s="899"/>
    </row>
    <row r="431" spans="1:10">
      <c r="A431" s="896" t="s">
        <v>3745</v>
      </c>
      <c r="B431" s="897" t="s">
        <v>1662</v>
      </c>
      <c r="C431" s="897" t="s">
        <v>3746</v>
      </c>
      <c r="D431" s="897" t="s">
        <v>1912</v>
      </c>
      <c r="E431" s="897"/>
      <c r="F431" s="897"/>
      <c r="G431" s="897"/>
      <c r="H431" s="898" t="e">
        <v>#N/A</v>
      </c>
      <c r="I431" s="899"/>
      <c r="J431" s="899"/>
    </row>
    <row r="432" spans="1:10">
      <c r="A432" s="896" t="s">
        <v>3747</v>
      </c>
      <c r="B432" s="897" t="s">
        <v>3748</v>
      </c>
      <c r="C432" s="897" t="s">
        <v>3749</v>
      </c>
      <c r="D432" s="897" t="s">
        <v>1912</v>
      </c>
      <c r="E432" s="897"/>
      <c r="F432" s="897" t="s">
        <v>3750</v>
      </c>
      <c r="G432" s="897" t="s">
        <v>3751</v>
      </c>
      <c r="H432" s="898" t="e">
        <v>#N/A</v>
      </c>
      <c r="I432" s="899"/>
      <c r="J432" s="899"/>
    </row>
    <row r="433" spans="1:10">
      <c r="A433" s="896" t="s">
        <v>3752</v>
      </c>
      <c r="B433" s="897" t="s">
        <v>3753</v>
      </c>
      <c r="C433" s="897" t="s">
        <v>3754</v>
      </c>
      <c r="D433" s="897" t="s">
        <v>1912</v>
      </c>
      <c r="E433" s="897"/>
      <c r="F433" s="897"/>
      <c r="G433" s="897"/>
      <c r="H433" s="898" t="e">
        <v>#N/A</v>
      </c>
      <c r="I433" s="899"/>
      <c r="J433" s="899"/>
    </row>
    <row r="434" spans="1:10">
      <c r="A434" s="896" t="s">
        <v>3755</v>
      </c>
      <c r="B434" s="897" t="s">
        <v>3756</v>
      </c>
      <c r="C434" s="897" t="s">
        <v>3657</v>
      </c>
      <c r="D434" s="897" t="s">
        <v>1912</v>
      </c>
      <c r="E434" s="897"/>
      <c r="F434" s="897"/>
      <c r="G434" s="897"/>
      <c r="H434" s="898" t="e">
        <v>#N/A</v>
      </c>
      <c r="I434" s="899"/>
      <c r="J434" s="899"/>
    </row>
    <row r="435" spans="1:10">
      <c r="A435" s="896" t="s">
        <v>3757</v>
      </c>
      <c r="B435" s="897" t="s">
        <v>3758</v>
      </c>
      <c r="C435" s="897" t="s">
        <v>3759</v>
      </c>
      <c r="D435" s="897" t="s">
        <v>1912</v>
      </c>
      <c r="E435" s="897"/>
      <c r="F435" s="897"/>
      <c r="G435" s="897"/>
      <c r="H435" s="898" t="e">
        <v>#N/A</v>
      </c>
      <c r="I435" s="899"/>
      <c r="J435" s="899"/>
    </row>
    <row r="436" spans="1:10">
      <c r="A436" s="896" t="s">
        <v>3760</v>
      </c>
      <c r="B436" s="897" t="s">
        <v>3761</v>
      </c>
      <c r="C436" s="897" t="s">
        <v>3762</v>
      </c>
      <c r="D436" s="897" t="s">
        <v>1912</v>
      </c>
      <c r="E436" s="897"/>
      <c r="F436" s="897"/>
      <c r="G436" s="897"/>
      <c r="H436" s="898" t="e">
        <v>#N/A</v>
      </c>
      <c r="I436" s="899"/>
      <c r="J436" s="899"/>
    </row>
    <row r="437" spans="1:10">
      <c r="A437" s="896" t="s">
        <v>3763</v>
      </c>
      <c r="B437" s="897" t="s">
        <v>3764</v>
      </c>
      <c r="C437" s="897" t="s">
        <v>1912</v>
      </c>
      <c r="D437" s="897" t="s">
        <v>1912</v>
      </c>
      <c r="E437" s="897"/>
      <c r="F437" s="897"/>
      <c r="G437" s="897"/>
      <c r="H437" s="898" t="e">
        <v>#N/A</v>
      </c>
      <c r="I437" s="899"/>
      <c r="J437" s="899"/>
    </row>
    <row r="438" spans="1:10">
      <c r="A438" s="896" t="s">
        <v>3765</v>
      </c>
      <c r="B438" s="897" t="s">
        <v>3766</v>
      </c>
      <c r="C438" s="897" t="s">
        <v>1912</v>
      </c>
      <c r="D438" s="897" t="s">
        <v>1912</v>
      </c>
      <c r="E438" s="897"/>
      <c r="F438" s="897"/>
      <c r="G438" s="897"/>
      <c r="H438" s="898" t="e">
        <v>#N/A</v>
      </c>
      <c r="I438" s="899"/>
      <c r="J438" s="899"/>
    </row>
    <row r="439" spans="1:10">
      <c r="A439" s="896" t="s">
        <v>3767</v>
      </c>
      <c r="B439" s="897" t="s">
        <v>3768</v>
      </c>
      <c r="C439" s="897" t="s">
        <v>3769</v>
      </c>
      <c r="D439" s="897" t="s">
        <v>1912</v>
      </c>
      <c r="E439" s="897"/>
      <c r="F439" s="897"/>
      <c r="G439" s="897"/>
      <c r="H439" s="898" t="e">
        <v>#N/A</v>
      </c>
      <c r="I439" s="899"/>
      <c r="J439" s="899"/>
    </row>
    <row r="440" spans="1:10">
      <c r="A440" s="896" t="s">
        <v>3770</v>
      </c>
      <c r="B440" s="897" t="s">
        <v>3771</v>
      </c>
      <c r="C440" s="897" t="s">
        <v>3772</v>
      </c>
      <c r="D440" s="897" t="s">
        <v>1912</v>
      </c>
      <c r="E440" s="897"/>
      <c r="F440" s="897"/>
      <c r="G440" s="897"/>
      <c r="H440" s="898" t="e">
        <v>#N/A</v>
      </c>
      <c r="I440" s="899"/>
      <c r="J440" s="899"/>
    </row>
    <row r="441" spans="1:10">
      <c r="A441" s="896" t="s">
        <v>3773</v>
      </c>
      <c r="B441" s="897" t="s">
        <v>3774</v>
      </c>
      <c r="C441" s="897" t="s">
        <v>3775</v>
      </c>
      <c r="D441" s="897" t="s">
        <v>1912</v>
      </c>
      <c r="E441" s="897"/>
      <c r="F441" s="897"/>
      <c r="G441" s="897"/>
      <c r="H441" s="898" t="e">
        <v>#N/A</v>
      </c>
      <c r="I441" s="899"/>
      <c r="J441" s="899"/>
    </row>
    <row r="442" spans="1:10">
      <c r="A442" s="896" t="s">
        <v>3776</v>
      </c>
      <c r="B442" s="897" t="s">
        <v>3777</v>
      </c>
      <c r="C442" s="897" t="s">
        <v>3778</v>
      </c>
      <c r="D442" s="897" t="s">
        <v>1912</v>
      </c>
      <c r="E442" s="897"/>
      <c r="F442" s="897"/>
      <c r="G442" s="897"/>
      <c r="H442" s="898" t="s">
        <v>1953</v>
      </c>
      <c r="I442" s="899"/>
      <c r="J442" s="899"/>
    </row>
    <row r="443" spans="1:10">
      <c r="A443" s="896" t="s">
        <v>3779</v>
      </c>
      <c r="B443" s="897" t="s">
        <v>3780</v>
      </c>
      <c r="C443" s="897" t="s">
        <v>3781</v>
      </c>
      <c r="D443" s="897" t="s">
        <v>1912</v>
      </c>
      <c r="E443" s="897"/>
      <c r="F443" s="897"/>
      <c r="G443" s="897"/>
      <c r="H443" s="898" t="e">
        <v>#N/A</v>
      </c>
      <c r="I443" s="899"/>
      <c r="J443" s="899"/>
    </row>
    <row r="444" spans="1:10">
      <c r="A444" s="896" t="s">
        <v>3782</v>
      </c>
      <c r="B444" s="897" t="s">
        <v>3783</v>
      </c>
      <c r="C444" s="897" t="s">
        <v>3784</v>
      </c>
      <c r="D444" s="897" t="s">
        <v>1912</v>
      </c>
      <c r="E444" s="897"/>
      <c r="F444" s="897"/>
      <c r="G444" s="897"/>
      <c r="H444" s="898" t="s">
        <v>1953</v>
      </c>
      <c r="I444" s="899"/>
      <c r="J444" s="899"/>
    </row>
    <row r="445" spans="1:10">
      <c r="A445" s="896" t="s">
        <v>3785</v>
      </c>
      <c r="B445" s="897" t="s">
        <v>3786</v>
      </c>
      <c r="C445" s="897" t="s">
        <v>3787</v>
      </c>
      <c r="D445" s="897" t="s">
        <v>1912</v>
      </c>
      <c r="E445" s="897"/>
      <c r="F445" s="897"/>
      <c r="G445" s="897"/>
      <c r="H445" s="898" t="e">
        <v>#N/A</v>
      </c>
      <c r="I445" s="899"/>
      <c r="J445" s="899"/>
    </row>
    <row r="446" spans="1:10">
      <c r="A446" s="896" t="s">
        <v>3788</v>
      </c>
      <c r="B446" s="897" t="s">
        <v>3789</v>
      </c>
      <c r="C446" s="897" t="s">
        <v>3787</v>
      </c>
      <c r="D446" s="897" t="s">
        <v>1912</v>
      </c>
      <c r="E446" s="897"/>
      <c r="F446" s="897"/>
      <c r="G446" s="897"/>
      <c r="H446" s="898" t="e">
        <v>#N/A</v>
      </c>
      <c r="I446" s="899"/>
      <c r="J446" s="899"/>
    </row>
    <row r="447" spans="1:10">
      <c r="A447" s="896" t="s">
        <v>3790</v>
      </c>
      <c r="B447" s="897" t="s">
        <v>3791</v>
      </c>
      <c r="C447" s="897" t="s">
        <v>3792</v>
      </c>
      <c r="D447" s="897" t="s">
        <v>1912</v>
      </c>
      <c r="E447" s="897"/>
      <c r="F447" s="897"/>
      <c r="G447" s="897"/>
      <c r="H447" s="898" t="s">
        <v>1953</v>
      </c>
      <c r="I447" s="899"/>
      <c r="J447" s="899"/>
    </row>
    <row r="448" spans="1:10">
      <c r="A448" s="896" t="s">
        <v>3793</v>
      </c>
      <c r="B448" s="897" t="s">
        <v>3794</v>
      </c>
      <c r="C448" s="897" t="s">
        <v>3795</v>
      </c>
      <c r="D448" s="897" t="s">
        <v>1912</v>
      </c>
      <c r="E448" s="897"/>
      <c r="F448" s="897"/>
      <c r="G448" s="897"/>
      <c r="H448" s="898" t="s">
        <v>1953</v>
      </c>
      <c r="I448" s="899"/>
      <c r="J448" s="899"/>
    </row>
    <row r="449" spans="1:10">
      <c r="A449" s="896" t="s">
        <v>3796</v>
      </c>
      <c r="B449" s="897" t="s">
        <v>3797</v>
      </c>
      <c r="C449" s="897" t="s">
        <v>3798</v>
      </c>
      <c r="D449" s="897" t="s">
        <v>1912</v>
      </c>
      <c r="E449" s="897"/>
      <c r="F449" s="897"/>
      <c r="G449" s="897"/>
      <c r="H449" s="898" t="e">
        <v>#N/A</v>
      </c>
      <c r="I449" s="899"/>
      <c r="J449" s="899"/>
    </row>
    <row r="450" spans="1:10">
      <c r="A450" s="896" t="s">
        <v>3799</v>
      </c>
      <c r="B450" s="897" t="s">
        <v>325</v>
      </c>
      <c r="C450" s="897" t="s">
        <v>3800</v>
      </c>
      <c r="D450" s="897" t="s">
        <v>1122</v>
      </c>
      <c r="E450" s="897"/>
      <c r="F450" s="897"/>
      <c r="G450" s="897"/>
      <c r="H450" s="898" t="s">
        <v>1914</v>
      </c>
      <c r="I450" s="899"/>
      <c r="J450" s="899"/>
    </row>
    <row r="451" spans="1:10">
      <c r="A451" s="896" t="s">
        <v>3801</v>
      </c>
      <c r="B451" s="897" t="s">
        <v>3802</v>
      </c>
      <c r="C451" s="897" t="s">
        <v>3803</v>
      </c>
      <c r="D451" s="897" t="s">
        <v>1912</v>
      </c>
      <c r="E451" s="897"/>
      <c r="F451" s="897"/>
      <c r="G451" s="897"/>
      <c r="H451" s="898" t="e">
        <v>#N/A</v>
      </c>
      <c r="I451" s="899"/>
      <c r="J451" s="899"/>
    </row>
    <row r="452" spans="1:10">
      <c r="A452" s="896" t="s">
        <v>3804</v>
      </c>
      <c r="B452" s="897" t="s">
        <v>3805</v>
      </c>
      <c r="C452" s="897" t="s">
        <v>3806</v>
      </c>
      <c r="D452" s="897" t="s">
        <v>1912</v>
      </c>
      <c r="E452" s="897"/>
      <c r="F452" s="897"/>
      <c r="G452" s="897"/>
      <c r="H452" s="898" t="s">
        <v>1953</v>
      </c>
      <c r="I452" s="899"/>
      <c r="J452" s="899"/>
    </row>
    <row r="453" spans="1:10">
      <c r="A453" s="896" t="s">
        <v>3807</v>
      </c>
      <c r="B453" s="897" t="s">
        <v>3808</v>
      </c>
      <c r="C453" s="897" t="s">
        <v>3809</v>
      </c>
      <c r="D453" s="897" t="s">
        <v>1912</v>
      </c>
      <c r="E453" s="897"/>
      <c r="F453" s="897"/>
      <c r="G453" s="897"/>
      <c r="H453" s="898" t="e">
        <v>#N/A</v>
      </c>
      <c r="I453" s="899"/>
      <c r="J453" s="899"/>
    </row>
    <row r="454" spans="1:10">
      <c r="A454" s="896" t="s">
        <v>3810</v>
      </c>
      <c r="B454" s="897" t="s">
        <v>3811</v>
      </c>
      <c r="C454" s="897" t="s">
        <v>3812</v>
      </c>
      <c r="D454" s="897" t="s">
        <v>1912</v>
      </c>
      <c r="E454" s="897"/>
      <c r="F454" s="897" t="s">
        <v>3813</v>
      </c>
      <c r="G454" s="897" t="s">
        <v>3814</v>
      </c>
      <c r="H454" s="898" t="e">
        <v>#N/A</v>
      </c>
      <c r="I454" s="899"/>
      <c r="J454" s="899"/>
    </row>
    <row r="455" spans="1:10">
      <c r="A455" s="896" t="s">
        <v>3815</v>
      </c>
      <c r="B455" s="897" t="s">
        <v>3816</v>
      </c>
      <c r="C455" s="897" t="s">
        <v>3817</v>
      </c>
      <c r="D455" s="897" t="s">
        <v>1912</v>
      </c>
      <c r="E455" s="897"/>
      <c r="F455" s="897" t="s">
        <v>3818</v>
      </c>
      <c r="G455" s="897" t="s">
        <v>3819</v>
      </c>
      <c r="H455" s="898" t="e">
        <v>#N/A</v>
      </c>
      <c r="I455" s="899"/>
      <c r="J455" s="899"/>
    </row>
    <row r="456" spans="1:10">
      <c r="A456" s="896" t="s">
        <v>3820</v>
      </c>
      <c r="B456" s="897" t="s">
        <v>3821</v>
      </c>
      <c r="C456" s="897" t="s">
        <v>3822</v>
      </c>
      <c r="D456" s="897" t="s">
        <v>1912</v>
      </c>
      <c r="E456" s="897"/>
      <c r="F456" s="897"/>
      <c r="G456" s="897"/>
      <c r="H456" s="898" t="e">
        <v>#N/A</v>
      </c>
      <c r="I456" s="899"/>
      <c r="J456" s="899"/>
    </row>
    <row r="457" spans="1:10">
      <c r="A457" s="896" t="s">
        <v>3823</v>
      </c>
      <c r="B457" s="897" t="s">
        <v>3824</v>
      </c>
      <c r="C457" s="897" t="s">
        <v>3825</v>
      </c>
      <c r="D457" s="897" t="s">
        <v>1912</v>
      </c>
      <c r="E457" s="897"/>
      <c r="F457" s="897"/>
      <c r="G457" s="897" t="s">
        <v>3826</v>
      </c>
      <c r="H457" s="898" t="s">
        <v>1914</v>
      </c>
      <c r="I457" s="899"/>
      <c r="J457" s="899"/>
    </row>
    <row r="458" spans="1:10">
      <c r="A458" s="896" t="s">
        <v>3827</v>
      </c>
      <c r="B458" s="897" t="s">
        <v>3828</v>
      </c>
      <c r="C458" s="897" t="s">
        <v>3829</v>
      </c>
      <c r="D458" s="897" t="s">
        <v>1912</v>
      </c>
      <c r="E458" s="897"/>
      <c r="F458" s="897"/>
      <c r="G458" s="897"/>
      <c r="H458" s="898" t="e">
        <v>#N/A</v>
      </c>
      <c r="I458" s="899"/>
      <c r="J458" s="899"/>
    </row>
    <row r="459" spans="1:10">
      <c r="A459" s="896" t="s">
        <v>3830</v>
      </c>
      <c r="B459" s="897" t="s">
        <v>3831</v>
      </c>
      <c r="C459" s="897" t="s">
        <v>3832</v>
      </c>
      <c r="D459" s="897" t="s">
        <v>1912</v>
      </c>
      <c r="E459" s="897"/>
      <c r="F459" s="897"/>
      <c r="G459" s="897"/>
      <c r="H459" s="898" t="e">
        <v>#N/A</v>
      </c>
      <c r="I459" s="899"/>
      <c r="J459" s="899"/>
    </row>
    <row r="460" spans="1:10">
      <c r="A460" s="896" t="s">
        <v>3833</v>
      </c>
      <c r="B460" s="897" t="s">
        <v>3834</v>
      </c>
      <c r="C460" s="897" t="s">
        <v>3835</v>
      </c>
      <c r="D460" s="897" t="s">
        <v>1912</v>
      </c>
      <c r="E460" s="897"/>
      <c r="F460" s="897" t="s">
        <v>3836</v>
      </c>
      <c r="G460" s="897" t="s">
        <v>3837</v>
      </c>
      <c r="H460" s="898" t="e">
        <v>#N/A</v>
      </c>
      <c r="I460" s="899"/>
      <c r="J460" s="899"/>
    </row>
    <row r="461" spans="1:10">
      <c r="A461" s="896" t="s">
        <v>3838</v>
      </c>
      <c r="B461" s="897" t="s">
        <v>3839</v>
      </c>
      <c r="C461" s="897" t="s">
        <v>3840</v>
      </c>
      <c r="D461" s="897" t="s">
        <v>1912</v>
      </c>
      <c r="E461" s="897"/>
      <c r="F461" s="897" t="s">
        <v>3841</v>
      </c>
      <c r="G461" s="897" t="s">
        <v>3842</v>
      </c>
      <c r="H461" s="898" t="s">
        <v>1953</v>
      </c>
      <c r="I461" s="899"/>
      <c r="J461" s="899"/>
    </row>
    <row r="462" spans="1:10">
      <c r="A462" s="896" t="s">
        <v>3843</v>
      </c>
      <c r="B462" s="897" t="s">
        <v>441</v>
      </c>
      <c r="C462" s="897" t="s">
        <v>3844</v>
      </c>
      <c r="D462" s="897" t="s">
        <v>1125</v>
      </c>
      <c r="E462" s="897"/>
      <c r="F462" s="897"/>
      <c r="G462" s="897"/>
      <c r="H462" s="898" t="s">
        <v>1914</v>
      </c>
      <c r="I462" s="899"/>
      <c r="J462" s="899"/>
    </row>
    <row r="463" spans="1:10">
      <c r="A463" s="896" t="s">
        <v>3845</v>
      </c>
      <c r="B463" s="897" t="s">
        <v>3846</v>
      </c>
      <c r="C463" s="897" t="s">
        <v>3847</v>
      </c>
      <c r="D463" s="897" t="s">
        <v>1912</v>
      </c>
      <c r="E463" s="897"/>
      <c r="F463" s="897"/>
      <c r="G463" s="897"/>
      <c r="H463" s="898" t="e">
        <v>#N/A</v>
      </c>
      <c r="I463" s="899"/>
      <c r="J463" s="899"/>
    </row>
    <row r="464" spans="1:10">
      <c r="A464" s="896" t="s">
        <v>3848</v>
      </c>
      <c r="B464" s="897" t="s">
        <v>3849</v>
      </c>
      <c r="C464" s="897" t="s">
        <v>3850</v>
      </c>
      <c r="D464" s="897" t="s">
        <v>1912</v>
      </c>
      <c r="E464" s="897"/>
      <c r="F464" s="897"/>
      <c r="G464" s="897"/>
      <c r="H464" s="898" t="e">
        <v>#N/A</v>
      </c>
      <c r="I464" s="899"/>
      <c r="J464" s="899"/>
    </row>
    <row r="465" spans="1:10">
      <c r="A465" s="896" t="s">
        <v>3851</v>
      </c>
      <c r="B465" s="897" t="s">
        <v>1348</v>
      </c>
      <c r="C465" s="897" t="s">
        <v>3657</v>
      </c>
      <c r="D465" s="897" t="s">
        <v>1912</v>
      </c>
      <c r="E465" s="897"/>
      <c r="F465" s="897"/>
      <c r="G465" s="897"/>
      <c r="H465" s="898" t="e">
        <v>#N/A</v>
      </c>
      <c r="I465" s="899"/>
      <c r="J465" s="899"/>
    </row>
    <row r="466" spans="1:10">
      <c r="A466" s="896" t="s">
        <v>3852</v>
      </c>
      <c r="B466" s="897" t="s">
        <v>3853</v>
      </c>
      <c r="C466" s="897" t="s">
        <v>3854</v>
      </c>
      <c r="D466" s="897" t="s">
        <v>1912</v>
      </c>
      <c r="E466" s="897"/>
      <c r="F466" s="897"/>
      <c r="G466" s="897"/>
      <c r="H466" s="898" t="e">
        <v>#N/A</v>
      </c>
      <c r="I466" s="899"/>
      <c r="J466" s="899"/>
    </row>
    <row r="467" spans="1:10">
      <c r="A467" s="896" t="s">
        <v>3855</v>
      </c>
      <c r="B467" s="897" t="s">
        <v>3856</v>
      </c>
      <c r="C467" s="897" t="s">
        <v>3857</v>
      </c>
      <c r="D467" s="897" t="s">
        <v>1912</v>
      </c>
      <c r="E467" s="897"/>
      <c r="F467" s="897" t="s">
        <v>3858</v>
      </c>
      <c r="G467" s="897" t="s">
        <v>3859</v>
      </c>
      <c r="H467" s="898" t="s">
        <v>1953</v>
      </c>
      <c r="I467" s="899"/>
      <c r="J467" s="899"/>
    </row>
    <row r="468" spans="1:10">
      <c r="A468" s="896" t="s">
        <v>3860</v>
      </c>
      <c r="B468" s="897" t="s">
        <v>3861</v>
      </c>
      <c r="C468" s="897" t="s">
        <v>3862</v>
      </c>
      <c r="D468" s="897" t="s">
        <v>1912</v>
      </c>
      <c r="E468" s="897"/>
      <c r="F468" s="897"/>
      <c r="G468" s="897"/>
      <c r="H468" s="898" t="e">
        <v>#N/A</v>
      </c>
      <c r="I468" s="899"/>
      <c r="J468" s="899"/>
    </row>
    <row r="469" spans="1:10">
      <c r="A469" s="896" t="s">
        <v>3863</v>
      </c>
      <c r="B469" s="897" t="s">
        <v>3864</v>
      </c>
      <c r="C469" s="897" t="s">
        <v>3865</v>
      </c>
      <c r="D469" s="897" t="s">
        <v>1912</v>
      </c>
      <c r="E469" s="897"/>
      <c r="F469" s="897"/>
      <c r="G469" s="897"/>
      <c r="H469" s="898" t="e">
        <v>#N/A</v>
      </c>
      <c r="I469" s="899"/>
      <c r="J469" s="899"/>
    </row>
    <row r="470" spans="1:10">
      <c r="A470" s="896" t="s">
        <v>3866</v>
      </c>
      <c r="B470" s="897" t="s">
        <v>3867</v>
      </c>
      <c r="C470" s="897" t="s">
        <v>3868</v>
      </c>
      <c r="D470" s="897" t="s">
        <v>1912</v>
      </c>
      <c r="E470" s="897"/>
      <c r="F470" s="897"/>
      <c r="G470" s="897"/>
      <c r="H470" s="898" t="e">
        <v>#N/A</v>
      </c>
      <c r="I470" s="899"/>
      <c r="J470" s="899"/>
    </row>
    <row r="471" spans="1:10">
      <c r="A471" s="896" t="s">
        <v>3869</v>
      </c>
      <c r="B471" s="897" t="s">
        <v>3870</v>
      </c>
      <c r="C471" s="897" t="s">
        <v>3871</v>
      </c>
      <c r="D471" s="897" t="s">
        <v>1912</v>
      </c>
      <c r="E471" s="897"/>
      <c r="F471" s="897" t="s">
        <v>3872</v>
      </c>
      <c r="G471" s="897" t="s">
        <v>3873</v>
      </c>
      <c r="H471" s="898" t="e">
        <v>#N/A</v>
      </c>
      <c r="I471" s="899"/>
      <c r="J471" s="899"/>
    </row>
    <row r="472" spans="1:10">
      <c r="A472" s="896" t="s">
        <v>3874</v>
      </c>
      <c r="B472" s="897" t="s">
        <v>3875</v>
      </c>
      <c r="C472" s="897" t="s">
        <v>3876</v>
      </c>
      <c r="D472" s="897" t="s">
        <v>1912</v>
      </c>
      <c r="E472" s="897"/>
      <c r="F472" s="897"/>
      <c r="G472" s="897"/>
      <c r="H472" s="898" t="e">
        <v>#N/A</v>
      </c>
      <c r="I472" s="899"/>
      <c r="J472" s="899"/>
    </row>
    <row r="473" spans="1:10">
      <c r="A473" s="896" t="s">
        <v>3877</v>
      </c>
      <c r="B473" s="897" t="s">
        <v>3878</v>
      </c>
      <c r="C473" s="897" t="s">
        <v>3879</v>
      </c>
      <c r="D473" s="897" t="s">
        <v>1912</v>
      </c>
      <c r="E473" s="897"/>
      <c r="F473" s="897"/>
      <c r="G473" s="897"/>
      <c r="H473" s="898" t="e">
        <v>#N/A</v>
      </c>
      <c r="I473" s="899"/>
      <c r="J473" s="899"/>
    </row>
    <row r="474" spans="1:10">
      <c r="A474" s="896" t="s">
        <v>3880</v>
      </c>
      <c r="B474" s="897" t="s">
        <v>3881</v>
      </c>
      <c r="C474" s="897" t="s">
        <v>3882</v>
      </c>
      <c r="D474" s="897" t="s">
        <v>1912</v>
      </c>
      <c r="E474" s="897"/>
      <c r="F474" s="897"/>
      <c r="G474" s="897"/>
      <c r="H474" s="898" t="s">
        <v>1953</v>
      </c>
      <c r="I474" s="899"/>
      <c r="J474" s="899"/>
    </row>
    <row r="475" spans="1:10">
      <c r="A475" s="896" t="s">
        <v>3883</v>
      </c>
      <c r="B475" s="897" t="s">
        <v>3884</v>
      </c>
      <c r="C475" s="897" t="s">
        <v>3885</v>
      </c>
      <c r="D475" s="897" t="s">
        <v>1912</v>
      </c>
      <c r="E475" s="897"/>
      <c r="F475" s="897"/>
      <c r="G475" s="897"/>
      <c r="H475" s="898" t="e">
        <v>#N/A</v>
      </c>
      <c r="I475" s="899"/>
      <c r="J475" s="899"/>
    </row>
    <row r="476" spans="1:10">
      <c r="A476" s="896" t="s">
        <v>3886</v>
      </c>
      <c r="B476" s="897" t="s">
        <v>3887</v>
      </c>
      <c r="C476" s="897" t="s">
        <v>3888</v>
      </c>
      <c r="D476" s="897" t="s">
        <v>1912</v>
      </c>
      <c r="E476" s="897"/>
      <c r="F476" s="897"/>
      <c r="G476" s="897"/>
      <c r="H476" s="898" t="e">
        <v>#N/A</v>
      </c>
      <c r="I476" s="899"/>
      <c r="J476" s="899"/>
    </row>
    <row r="477" spans="1:10">
      <c r="A477" s="896" t="s">
        <v>3889</v>
      </c>
      <c r="B477" s="897" t="s">
        <v>3890</v>
      </c>
      <c r="C477" s="897" t="s">
        <v>3891</v>
      </c>
      <c r="D477" s="897" t="s">
        <v>1912</v>
      </c>
      <c r="E477" s="897"/>
      <c r="F477" s="897"/>
      <c r="G477" s="897"/>
      <c r="H477" s="898" t="s">
        <v>1953</v>
      </c>
      <c r="I477" s="899"/>
      <c r="J477" s="899"/>
    </row>
    <row r="478" spans="1:10">
      <c r="A478" s="896" t="s">
        <v>3892</v>
      </c>
      <c r="B478" s="897" t="s">
        <v>3893</v>
      </c>
      <c r="C478" s="897" t="s">
        <v>3894</v>
      </c>
      <c r="D478" s="897" t="s">
        <v>1912</v>
      </c>
      <c r="E478" s="897"/>
      <c r="F478" s="897"/>
      <c r="G478" s="897"/>
      <c r="H478" s="898" t="s">
        <v>1914</v>
      </c>
      <c r="I478" s="899"/>
      <c r="J478" s="899"/>
    </row>
    <row r="479" spans="1:10">
      <c r="A479" s="896" t="s">
        <v>3895</v>
      </c>
      <c r="B479" s="897" t="s">
        <v>3896</v>
      </c>
      <c r="C479" s="897" t="s">
        <v>3897</v>
      </c>
      <c r="D479" s="897" t="s">
        <v>1912</v>
      </c>
      <c r="E479" s="897"/>
      <c r="F479" s="897"/>
      <c r="G479" s="897"/>
      <c r="H479" s="898" t="s">
        <v>1953</v>
      </c>
      <c r="I479" s="899"/>
      <c r="J479" s="899"/>
    </row>
    <row r="480" spans="1:10">
      <c r="A480" s="896" t="s">
        <v>3898</v>
      </c>
      <c r="B480" s="897" t="s">
        <v>3899</v>
      </c>
      <c r="C480" s="897" t="s">
        <v>3900</v>
      </c>
      <c r="D480" s="897" t="s">
        <v>1912</v>
      </c>
      <c r="E480" s="897"/>
      <c r="F480" s="897"/>
      <c r="G480" s="897"/>
      <c r="H480" s="898" t="e">
        <v>#N/A</v>
      </c>
      <c r="I480" s="899"/>
      <c r="J480" s="899"/>
    </row>
    <row r="481" spans="1:10">
      <c r="A481" s="896" t="s">
        <v>3901</v>
      </c>
      <c r="B481" s="897" t="s">
        <v>3902</v>
      </c>
      <c r="C481" s="897" t="s">
        <v>3903</v>
      </c>
      <c r="D481" s="897" t="s">
        <v>3904</v>
      </c>
      <c r="E481" s="897"/>
      <c r="F481" s="897"/>
      <c r="G481" s="897"/>
      <c r="H481" s="898" t="s">
        <v>1953</v>
      </c>
      <c r="I481" s="899"/>
      <c r="J481" s="899"/>
    </row>
    <row r="482" spans="1:10">
      <c r="A482" s="896" t="s">
        <v>3905</v>
      </c>
      <c r="B482" s="897" t="s">
        <v>1667</v>
      </c>
      <c r="C482" s="897" t="s">
        <v>3726</v>
      </c>
      <c r="D482" s="897" t="s">
        <v>1912</v>
      </c>
      <c r="E482" s="897"/>
      <c r="F482" s="897"/>
      <c r="G482" s="897"/>
      <c r="H482" s="898" t="e">
        <v>#N/A</v>
      </c>
      <c r="I482" s="899"/>
      <c r="J482" s="899"/>
    </row>
    <row r="483" spans="1:10">
      <c r="A483" s="896" t="s">
        <v>3906</v>
      </c>
      <c r="B483" s="897" t="s">
        <v>3907</v>
      </c>
      <c r="C483" s="897" t="s">
        <v>2794</v>
      </c>
      <c r="D483" s="897" t="s">
        <v>1912</v>
      </c>
      <c r="E483" s="897"/>
      <c r="F483" s="897"/>
      <c r="G483" s="897"/>
      <c r="H483" s="898" t="s">
        <v>1953</v>
      </c>
      <c r="I483" s="899"/>
      <c r="J483" s="899"/>
    </row>
    <row r="484" spans="1:10">
      <c r="A484" s="896" t="s">
        <v>3908</v>
      </c>
      <c r="B484" s="897" t="s">
        <v>3909</v>
      </c>
      <c r="C484" s="897" t="s">
        <v>3910</v>
      </c>
      <c r="D484" s="897" t="s">
        <v>1912</v>
      </c>
      <c r="E484" s="897"/>
      <c r="F484" s="897"/>
      <c r="G484" s="897"/>
      <c r="H484" s="898" t="e">
        <v>#N/A</v>
      </c>
      <c r="I484" s="899"/>
      <c r="J484" s="899"/>
    </row>
    <row r="485" spans="1:10">
      <c r="A485" s="896" t="s">
        <v>3911</v>
      </c>
      <c r="B485" s="897" t="s">
        <v>1349</v>
      </c>
      <c r="C485" s="897" t="s">
        <v>3912</v>
      </c>
      <c r="D485" s="897" t="s">
        <v>1912</v>
      </c>
      <c r="E485" s="897"/>
      <c r="F485" s="897"/>
      <c r="G485" s="897"/>
      <c r="H485" s="898" t="e">
        <v>#N/A</v>
      </c>
      <c r="I485" s="899"/>
      <c r="J485" s="899"/>
    </row>
    <row r="486" spans="1:10">
      <c r="A486" s="896" t="s">
        <v>3913</v>
      </c>
      <c r="B486" s="897" t="s">
        <v>3914</v>
      </c>
      <c r="C486" s="897" t="s">
        <v>3654</v>
      </c>
      <c r="D486" s="897" t="s">
        <v>1912</v>
      </c>
      <c r="E486" s="897"/>
      <c r="F486" s="897"/>
      <c r="G486" s="897"/>
      <c r="H486" s="898" t="e">
        <v>#N/A</v>
      </c>
      <c r="I486" s="899"/>
      <c r="J486" s="899"/>
    </row>
    <row r="487" spans="1:10">
      <c r="A487" s="896" t="s">
        <v>3915</v>
      </c>
      <c r="B487" s="897" t="s">
        <v>3916</v>
      </c>
      <c r="C487" s="897" t="s">
        <v>3917</v>
      </c>
      <c r="D487" s="897" t="s">
        <v>1912</v>
      </c>
      <c r="E487" s="897"/>
      <c r="F487" s="897"/>
      <c r="G487" s="897"/>
      <c r="H487" s="898" t="s">
        <v>1953</v>
      </c>
      <c r="I487" s="899"/>
      <c r="J487" s="899"/>
    </row>
    <row r="488" spans="1:10">
      <c r="A488" s="896" t="s">
        <v>3918</v>
      </c>
      <c r="B488" s="897" t="s">
        <v>3919</v>
      </c>
      <c r="C488" s="897" t="s">
        <v>3920</v>
      </c>
      <c r="D488" s="897" t="s">
        <v>1912</v>
      </c>
      <c r="E488" s="897"/>
      <c r="F488" s="897"/>
      <c r="G488" s="897"/>
      <c r="H488" s="898" t="e">
        <v>#N/A</v>
      </c>
      <c r="I488" s="899"/>
      <c r="J488" s="899"/>
    </row>
    <row r="489" spans="1:10">
      <c r="A489" s="896" t="s">
        <v>3921</v>
      </c>
      <c r="B489" s="897" t="s">
        <v>3922</v>
      </c>
      <c r="C489" s="897" t="s">
        <v>3923</v>
      </c>
      <c r="D489" s="897" t="s">
        <v>1912</v>
      </c>
      <c r="E489" s="897"/>
      <c r="F489" s="897"/>
      <c r="G489" s="897"/>
      <c r="H489" s="898" t="e">
        <v>#N/A</v>
      </c>
      <c r="I489" s="899"/>
      <c r="J489" s="899"/>
    </row>
    <row r="490" spans="1:10">
      <c r="A490" s="896" t="s">
        <v>3924</v>
      </c>
      <c r="B490" s="897" t="s">
        <v>1350</v>
      </c>
      <c r="C490" s="897" t="s">
        <v>3885</v>
      </c>
      <c r="D490" s="897" t="s">
        <v>1912</v>
      </c>
      <c r="E490" s="897"/>
      <c r="F490" s="897"/>
      <c r="G490" s="897"/>
      <c r="H490" s="898" t="e">
        <v>#N/A</v>
      </c>
      <c r="I490" s="899"/>
      <c r="J490" s="899"/>
    </row>
    <row r="491" spans="1:10">
      <c r="A491" s="896" t="s">
        <v>3925</v>
      </c>
      <c r="B491" s="897" t="s">
        <v>3926</v>
      </c>
      <c r="C491" s="897" t="s">
        <v>3927</v>
      </c>
      <c r="D491" s="897" t="s">
        <v>1912</v>
      </c>
      <c r="E491" s="897"/>
      <c r="F491" s="897"/>
      <c r="G491" s="897"/>
      <c r="H491" s="898" t="e">
        <v>#N/A</v>
      </c>
      <c r="I491" s="899"/>
      <c r="J491" s="899"/>
    </row>
    <row r="492" spans="1:10">
      <c r="A492" s="896" t="s">
        <v>3928</v>
      </c>
      <c r="B492" s="897" t="s">
        <v>3929</v>
      </c>
      <c r="C492" s="897" t="s">
        <v>3930</v>
      </c>
      <c r="D492" s="897" t="s">
        <v>1912</v>
      </c>
      <c r="E492" s="897"/>
      <c r="F492" s="897"/>
      <c r="G492" s="897"/>
      <c r="H492" s="898" t="e">
        <v>#N/A</v>
      </c>
      <c r="I492" s="899"/>
      <c r="J492" s="899"/>
    </row>
    <row r="493" spans="1:10">
      <c r="A493" s="896" t="s">
        <v>3931</v>
      </c>
      <c r="B493" s="897" t="s">
        <v>3932</v>
      </c>
      <c r="C493" s="897" t="s">
        <v>3933</v>
      </c>
      <c r="D493" s="897" t="s">
        <v>1912</v>
      </c>
      <c r="E493" s="897"/>
      <c r="F493" s="897"/>
      <c r="G493" s="897"/>
      <c r="H493" s="898" t="e">
        <v>#N/A</v>
      </c>
      <c r="I493" s="899"/>
      <c r="J493" s="899"/>
    </row>
    <row r="494" spans="1:10">
      <c r="A494" s="896" t="s">
        <v>3934</v>
      </c>
      <c r="B494" s="897" t="s">
        <v>3935</v>
      </c>
      <c r="C494" s="897" t="s">
        <v>3936</v>
      </c>
      <c r="D494" s="897" t="s">
        <v>1912</v>
      </c>
      <c r="E494" s="897"/>
      <c r="F494" s="897"/>
      <c r="G494" s="897"/>
      <c r="H494" s="898" t="s">
        <v>1914</v>
      </c>
      <c r="I494" s="899"/>
      <c r="J494" s="899"/>
    </row>
    <row r="495" spans="1:10">
      <c r="A495" s="896" t="s">
        <v>3937</v>
      </c>
      <c r="B495" s="897" t="s">
        <v>3938</v>
      </c>
      <c r="C495" s="897" t="s">
        <v>3939</v>
      </c>
      <c r="D495" s="897" t="s">
        <v>1912</v>
      </c>
      <c r="E495" s="897"/>
      <c r="F495" s="897"/>
      <c r="G495" s="897"/>
      <c r="H495" s="898" t="e">
        <v>#N/A</v>
      </c>
      <c r="I495" s="899"/>
      <c r="J495" s="899"/>
    </row>
    <row r="496" spans="1:10">
      <c r="A496" s="896" t="s">
        <v>3940</v>
      </c>
      <c r="B496" s="897" t="s">
        <v>3941</v>
      </c>
      <c r="C496" s="897" t="s">
        <v>3942</v>
      </c>
      <c r="D496" s="897" t="s">
        <v>1912</v>
      </c>
      <c r="E496" s="897"/>
      <c r="F496" s="897"/>
      <c r="G496" s="897"/>
      <c r="H496" s="898" t="e">
        <v>#N/A</v>
      </c>
      <c r="I496" s="899"/>
      <c r="J496" s="899"/>
    </row>
    <row r="497" spans="1:10">
      <c r="A497" s="896" t="s">
        <v>3943</v>
      </c>
      <c r="B497" s="897" t="s">
        <v>3944</v>
      </c>
      <c r="C497" s="897" t="s">
        <v>3945</v>
      </c>
      <c r="D497" s="897" t="s">
        <v>1912</v>
      </c>
      <c r="E497" s="897"/>
      <c r="F497" s="897"/>
      <c r="G497" s="897"/>
      <c r="H497" s="898" t="e">
        <v>#N/A</v>
      </c>
      <c r="I497" s="899"/>
      <c r="J497" s="899"/>
    </row>
    <row r="498" spans="1:10">
      <c r="A498" s="896" t="s">
        <v>3946</v>
      </c>
      <c r="B498" s="897" t="s">
        <v>3947</v>
      </c>
      <c r="C498" s="897" t="s">
        <v>3948</v>
      </c>
      <c r="D498" s="897" t="s">
        <v>1912</v>
      </c>
      <c r="E498" s="897"/>
      <c r="F498" s="897"/>
      <c r="G498" s="897"/>
      <c r="H498" s="898" t="e">
        <v>#N/A</v>
      </c>
      <c r="I498" s="899"/>
      <c r="J498" s="899"/>
    </row>
    <row r="499" spans="1:10">
      <c r="A499" s="896" t="s">
        <v>3949</v>
      </c>
      <c r="B499" s="897" t="s">
        <v>3950</v>
      </c>
      <c r="C499" s="897" t="s">
        <v>3951</v>
      </c>
      <c r="D499" s="897" t="s">
        <v>1912</v>
      </c>
      <c r="E499" s="897"/>
      <c r="F499" s="897"/>
      <c r="G499" s="897"/>
      <c r="H499" s="898" t="s">
        <v>1953</v>
      </c>
      <c r="I499" s="899"/>
      <c r="J499" s="899"/>
    </row>
    <row r="500" spans="1:10">
      <c r="A500" s="896" t="s">
        <v>3952</v>
      </c>
      <c r="B500" s="897" t="s">
        <v>3953</v>
      </c>
      <c r="C500" s="897" t="s">
        <v>3954</v>
      </c>
      <c r="D500" s="897" t="s">
        <v>1120</v>
      </c>
      <c r="E500" s="897"/>
      <c r="F500" s="897"/>
      <c r="G500" s="897"/>
      <c r="H500" s="898" t="e">
        <v>#N/A</v>
      </c>
      <c r="I500" s="899"/>
      <c r="J500" s="899"/>
    </row>
    <row r="501" spans="1:10">
      <c r="A501" s="896" t="s">
        <v>3955</v>
      </c>
      <c r="B501" s="897" t="s">
        <v>3956</v>
      </c>
      <c r="C501" s="897" t="s">
        <v>3957</v>
      </c>
      <c r="D501" s="897" t="s">
        <v>1912</v>
      </c>
      <c r="E501" s="897"/>
      <c r="F501" s="897"/>
      <c r="G501" s="897"/>
      <c r="H501" s="898" t="e">
        <v>#N/A</v>
      </c>
      <c r="I501" s="899"/>
      <c r="J501" s="899"/>
    </row>
    <row r="502" spans="1:10">
      <c r="A502" s="896" t="s">
        <v>3958</v>
      </c>
      <c r="B502" s="897" t="s">
        <v>3959</v>
      </c>
      <c r="C502" s="897" t="s">
        <v>3960</v>
      </c>
      <c r="D502" s="897" t="s">
        <v>1912</v>
      </c>
      <c r="E502" s="897"/>
      <c r="F502" s="897"/>
      <c r="G502" s="897"/>
      <c r="H502" s="898" t="e">
        <v>#N/A</v>
      </c>
      <c r="I502" s="899"/>
      <c r="J502" s="899"/>
    </row>
    <row r="503" spans="1:10">
      <c r="A503" s="896" t="s">
        <v>3961</v>
      </c>
      <c r="B503" s="897" t="s">
        <v>3962</v>
      </c>
      <c r="C503" s="897" t="s">
        <v>3963</v>
      </c>
      <c r="D503" s="897" t="s">
        <v>1912</v>
      </c>
      <c r="E503" s="897"/>
      <c r="F503" s="897"/>
      <c r="G503" s="897"/>
      <c r="H503" s="898" t="e">
        <v>#N/A</v>
      </c>
      <c r="I503" s="899"/>
      <c r="J503" s="899"/>
    </row>
    <row r="504" spans="1:10">
      <c r="A504" s="896" t="s">
        <v>3964</v>
      </c>
      <c r="B504" s="897" t="s">
        <v>3965</v>
      </c>
      <c r="C504" s="897" t="s">
        <v>3966</v>
      </c>
      <c r="D504" s="897" t="s">
        <v>1912</v>
      </c>
      <c r="E504" s="897"/>
      <c r="F504" s="897"/>
      <c r="G504" s="897"/>
      <c r="H504" s="898" t="e">
        <v>#N/A</v>
      </c>
      <c r="I504" s="899"/>
      <c r="J504" s="899"/>
    </row>
    <row r="505" spans="1:10">
      <c r="A505" s="896" t="s">
        <v>3967</v>
      </c>
      <c r="B505" s="897" t="s">
        <v>3968</v>
      </c>
      <c r="C505" s="897" t="s">
        <v>3969</v>
      </c>
      <c r="D505" s="897" t="s">
        <v>1912</v>
      </c>
      <c r="E505" s="897"/>
      <c r="F505" s="897"/>
      <c r="G505" s="897"/>
      <c r="H505" s="898" t="s">
        <v>1953</v>
      </c>
      <c r="I505" s="899"/>
      <c r="J505" s="899"/>
    </row>
    <row r="506" spans="1:10">
      <c r="A506" s="896" t="s">
        <v>3970</v>
      </c>
      <c r="B506" s="897" t="s">
        <v>3971</v>
      </c>
      <c r="C506" s="897" t="s">
        <v>3972</v>
      </c>
      <c r="D506" s="897" t="s">
        <v>1912</v>
      </c>
      <c r="E506" s="897"/>
      <c r="F506" s="897"/>
      <c r="G506" s="897"/>
      <c r="H506" s="898" t="e">
        <v>#N/A</v>
      </c>
      <c r="I506" s="899"/>
      <c r="J506" s="899"/>
    </row>
    <row r="507" spans="1:10">
      <c r="A507" s="896" t="s">
        <v>3973</v>
      </c>
      <c r="B507" s="897" t="s">
        <v>1351</v>
      </c>
      <c r="C507" s="897" t="s">
        <v>3974</v>
      </c>
      <c r="D507" s="897" t="s">
        <v>1912</v>
      </c>
      <c r="E507" s="897"/>
      <c r="F507" s="897"/>
      <c r="G507" s="897"/>
      <c r="H507" s="898" t="e">
        <v>#N/A</v>
      </c>
      <c r="I507" s="899"/>
      <c r="J507" s="899"/>
    </row>
    <row r="508" spans="1:10">
      <c r="A508" s="896" t="s">
        <v>3975</v>
      </c>
      <c r="B508" s="897" t="s">
        <v>3976</v>
      </c>
      <c r="C508" s="897" t="s">
        <v>3977</v>
      </c>
      <c r="D508" s="897" t="s">
        <v>1912</v>
      </c>
      <c r="E508" s="897"/>
      <c r="F508" s="897"/>
      <c r="G508" s="897"/>
      <c r="H508" s="898" t="e">
        <v>#N/A</v>
      </c>
      <c r="I508" s="899"/>
      <c r="J508" s="899"/>
    </row>
    <row r="509" spans="1:10">
      <c r="A509" s="896" t="s">
        <v>3978</v>
      </c>
      <c r="B509" s="897" t="s">
        <v>3979</v>
      </c>
      <c r="C509" s="897" t="s">
        <v>3980</v>
      </c>
      <c r="D509" s="897" t="s">
        <v>1912</v>
      </c>
      <c r="E509" s="897"/>
      <c r="F509" s="897"/>
      <c r="G509" s="897"/>
      <c r="H509" s="898" t="e">
        <v>#N/A</v>
      </c>
      <c r="I509" s="899"/>
      <c r="J509" s="899"/>
    </row>
    <row r="510" spans="1:10">
      <c r="A510" s="896" t="s">
        <v>3981</v>
      </c>
      <c r="B510" s="897" t="s">
        <v>1906</v>
      </c>
      <c r="C510" s="897" t="s">
        <v>3982</v>
      </c>
      <c r="D510" s="897" t="s">
        <v>1296</v>
      </c>
      <c r="E510" s="897"/>
      <c r="F510" s="897" t="s">
        <v>748</v>
      </c>
      <c r="G510" s="897"/>
      <c r="H510" s="898" t="s">
        <v>1953</v>
      </c>
      <c r="I510" s="899"/>
      <c r="J510" s="899"/>
    </row>
    <row r="511" spans="1:10">
      <c r="A511" s="896" t="s">
        <v>3983</v>
      </c>
      <c r="B511" s="897" t="s">
        <v>748</v>
      </c>
      <c r="C511" s="897"/>
      <c r="D511" s="897" t="s">
        <v>1296</v>
      </c>
      <c r="E511" s="897"/>
      <c r="F511" s="897"/>
      <c r="G511" s="897"/>
      <c r="H511" s="898" t="s">
        <v>1953</v>
      </c>
      <c r="I511" s="899"/>
      <c r="J511" s="899"/>
    </row>
    <row r="512" spans="1:10">
      <c r="A512" s="896" t="s">
        <v>3984</v>
      </c>
      <c r="B512" s="897" t="s">
        <v>3985</v>
      </c>
      <c r="C512" s="897" t="s">
        <v>3986</v>
      </c>
      <c r="D512" s="897" t="s">
        <v>1912</v>
      </c>
      <c r="E512" s="897"/>
      <c r="F512" s="897"/>
      <c r="G512" s="897"/>
      <c r="H512" s="898" t="e">
        <v>#N/A</v>
      </c>
      <c r="I512" s="899"/>
      <c r="J512" s="899"/>
    </row>
    <row r="513" spans="1:10">
      <c r="A513" s="896" t="s">
        <v>3987</v>
      </c>
      <c r="B513" s="897" t="s">
        <v>3988</v>
      </c>
      <c r="C513" s="897" t="s">
        <v>3482</v>
      </c>
      <c r="D513" s="897" t="s">
        <v>1912</v>
      </c>
      <c r="E513" s="897"/>
      <c r="F513" s="897"/>
      <c r="G513" s="897"/>
      <c r="H513" s="898" t="s">
        <v>1953</v>
      </c>
      <c r="I513" s="899"/>
      <c r="J513" s="899"/>
    </row>
    <row r="514" spans="1:10">
      <c r="A514" s="896" t="s">
        <v>3989</v>
      </c>
      <c r="B514" s="897" t="s">
        <v>3990</v>
      </c>
      <c r="C514" s="897" t="s">
        <v>3991</v>
      </c>
      <c r="D514" s="897" t="s">
        <v>1912</v>
      </c>
      <c r="E514" s="897"/>
      <c r="F514" s="897"/>
      <c r="G514" s="897"/>
      <c r="H514" s="898" t="s">
        <v>1914</v>
      </c>
      <c r="I514" s="899"/>
      <c r="J514" s="899"/>
    </row>
    <row r="515" spans="1:10">
      <c r="A515" s="896" t="s">
        <v>3992</v>
      </c>
      <c r="B515" s="897" t="s">
        <v>3993</v>
      </c>
      <c r="C515" s="897" t="s">
        <v>3994</v>
      </c>
      <c r="D515" s="897" t="s">
        <v>1912</v>
      </c>
      <c r="E515" s="897"/>
      <c r="F515" s="897"/>
      <c r="G515" s="897"/>
      <c r="H515" s="898" t="s">
        <v>1953</v>
      </c>
      <c r="I515" s="899"/>
      <c r="J515" s="899"/>
    </row>
    <row r="516" spans="1:10">
      <c r="A516" s="896" t="s">
        <v>3995</v>
      </c>
      <c r="B516" s="897" t="s">
        <v>3996</v>
      </c>
      <c r="C516" s="897" t="s">
        <v>3997</v>
      </c>
      <c r="D516" s="897" t="s">
        <v>1912</v>
      </c>
      <c r="E516" s="897"/>
      <c r="F516" s="897"/>
      <c r="G516" s="897"/>
      <c r="H516" s="898" t="e">
        <v>#N/A</v>
      </c>
      <c r="I516" s="899"/>
      <c r="J516" s="899"/>
    </row>
    <row r="517" spans="1:10">
      <c r="A517" s="896" t="s">
        <v>3998</v>
      </c>
      <c r="B517" s="897" t="s">
        <v>3999</v>
      </c>
      <c r="C517" s="897" t="s">
        <v>3674</v>
      </c>
      <c r="D517" s="897" t="s">
        <v>1912</v>
      </c>
      <c r="E517" s="897"/>
      <c r="F517" s="897"/>
      <c r="G517" s="897"/>
      <c r="H517" s="898" t="e">
        <v>#N/A</v>
      </c>
      <c r="I517" s="899"/>
      <c r="J517" s="899"/>
    </row>
    <row r="518" spans="1:10">
      <c r="A518" s="896" t="s">
        <v>4000</v>
      </c>
      <c r="B518" s="897" t="s">
        <v>4001</v>
      </c>
      <c r="C518" s="897" t="s">
        <v>1912</v>
      </c>
      <c r="D518" s="897" t="s">
        <v>1912</v>
      </c>
      <c r="E518" s="897"/>
      <c r="F518" s="897"/>
      <c r="G518" s="897"/>
      <c r="H518" s="898" t="e">
        <v>#N/A</v>
      </c>
      <c r="I518" s="899"/>
      <c r="J518" s="899"/>
    </row>
    <row r="519" spans="1:10">
      <c r="A519" s="896" t="s">
        <v>4002</v>
      </c>
      <c r="B519" s="897" t="s">
        <v>4003</v>
      </c>
      <c r="C519" s="897" t="s">
        <v>4004</v>
      </c>
      <c r="D519" s="897" t="s">
        <v>1912</v>
      </c>
      <c r="E519" s="897"/>
      <c r="F519" s="897"/>
      <c r="G519" s="897"/>
      <c r="H519" s="898" t="s">
        <v>1953</v>
      </c>
      <c r="I519" s="899"/>
      <c r="J519" s="899"/>
    </row>
    <row r="520" spans="1:10">
      <c r="A520" s="896" t="s">
        <v>4005</v>
      </c>
      <c r="B520" s="897" t="s">
        <v>904</v>
      </c>
      <c r="C520" s="897" t="s">
        <v>4006</v>
      </c>
      <c r="D520" s="897" t="s">
        <v>1292</v>
      </c>
      <c r="E520" s="897"/>
      <c r="F520" s="897"/>
      <c r="G520" s="897"/>
      <c r="H520" s="898" t="s">
        <v>181</v>
      </c>
      <c r="I520" s="899"/>
      <c r="J520" s="899"/>
    </row>
    <row r="521" spans="1:10">
      <c r="A521" s="896" t="s">
        <v>4007</v>
      </c>
      <c r="B521" s="897" t="s">
        <v>4008</v>
      </c>
      <c r="C521" s="897" t="s">
        <v>4009</v>
      </c>
      <c r="D521" s="897" t="s">
        <v>1912</v>
      </c>
      <c r="E521" s="897"/>
      <c r="F521" s="897"/>
      <c r="G521" s="897"/>
      <c r="H521" s="898" t="s">
        <v>1953</v>
      </c>
      <c r="I521" s="899"/>
      <c r="J521" s="899"/>
    </row>
    <row r="522" spans="1:10">
      <c r="A522" s="896" t="s">
        <v>4010</v>
      </c>
      <c r="B522" s="897" t="s">
        <v>4011</v>
      </c>
      <c r="C522" s="897" t="s">
        <v>4012</v>
      </c>
      <c r="D522" s="897" t="s">
        <v>1912</v>
      </c>
      <c r="E522" s="897"/>
      <c r="F522" s="897"/>
      <c r="G522" s="897"/>
      <c r="H522" s="898" t="e">
        <v>#N/A</v>
      </c>
      <c r="I522" s="899"/>
      <c r="J522" s="899"/>
    </row>
    <row r="523" spans="1:10">
      <c r="A523" s="896" t="s">
        <v>4013</v>
      </c>
      <c r="B523" s="897" t="s">
        <v>4014</v>
      </c>
      <c r="C523" s="897" t="s">
        <v>4015</v>
      </c>
      <c r="D523" s="897" t="s">
        <v>1912</v>
      </c>
      <c r="E523" s="897"/>
      <c r="F523" s="897"/>
      <c r="G523" s="897"/>
      <c r="H523" s="898" t="e">
        <v>#N/A</v>
      </c>
      <c r="I523" s="899"/>
      <c r="J523" s="899"/>
    </row>
    <row r="524" spans="1:10">
      <c r="A524" s="896" t="s">
        <v>4016</v>
      </c>
      <c r="B524" s="897" t="s">
        <v>4017</v>
      </c>
      <c r="C524" s="897" t="s">
        <v>4018</v>
      </c>
      <c r="D524" s="897" t="s">
        <v>1912</v>
      </c>
      <c r="E524" s="897"/>
      <c r="F524" s="897"/>
      <c r="G524" s="897"/>
      <c r="H524" s="898" t="e">
        <v>#N/A</v>
      </c>
      <c r="I524" s="899"/>
      <c r="J524" s="899"/>
    </row>
    <row r="525" spans="1:10">
      <c r="A525" s="896" t="s">
        <v>4019</v>
      </c>
      <c r="B525" s="897" t="s">
        <v>4020</v>
      </c>
      <c r="C525" s="897" t="s">
        <v>4021</v>
      </c>
      <c r="D525" s="897" t="s">
        <v>1912</v>
      </c>
      <c r="E525" s="897"/>
      <c r="F525" s="897"/>
      <c r="G525" s="897"/>
      <c r="H525" s="898" t="e">
        <v>#N/A</v>
      </c>
      <c r="I525" s="899"/>
      <c r="J525" s="899"/>
    </row>
    <row r="526" spans="1:10">
      <c r="A526" s="896" t="s">
        <v>4022</v>
      </c>
      <c r="B526" s="897" t="s">
        <v>4023</v>
      </c>
      <c r="C526" s="897" t="s">
        <v>4024</v>
      </c>
      <c r="D526" s="897" t="s">
        <v>1912</v>
      </c>
      <c r="E526" s="897"/>
      <c r="F526" s="897"/>
      <c r="G526" s="897"/>
      <c r="H526" s="898" t="e">
        <v>#N/A</v>
      </c>
      <c r="I526" s="899"/>
      <c r="J526" s="899"/>
    </row>
    <row r="527" spans="1:10">
      <c r="A527" s="896" t="s">
        <v>4025</v>
      </c>
      <c r="B527" s="897" t="s">
        <v>4026</v>
      </c>
      <c r="C527" s="897" t="s">
        <v>4027</v>
      </c>
      <c r="D527" s="897" t="s">
        <v>1912</v>
      </c>
      <c r="E527" s="897"/>
      <c r="F527" s="897"/>
      <c r="G527" s="897"/>
      <c r="H527" s="898" t="e">
        <v>#N/A</v>
      </c>
      <c r="I527" s="899"/>
      <c r="J527" s="899"/>
    </row>
    <row r="528" spans="1:10">
      <c r="A528" s="896" t="s">
        <v>4028</v>
      </c>
      <c r="B528" s="897" t="s">
        <v>4029</v>
      </c>
      <c r="C528" s="897" t="s">
        <v>4030</v>
      </c>
      <c r="D528" s="897" t="s">
        <v>1912</v>
      </c>
      <c r="E528" s="897"/>
      <c r="F528" s="897"/>
      <c r="G528" s="897"/>
      <c r="H528" s="898" t="e">
        <v>#N/A</v>
      </c>
      <c r="I528" s="899"/>
      <c r="J528" s="899"/>
    </row>
    <row r="529" spans="1:10">
      <c r="A529" s="896" t="s">
        <v>4031</v>
      </c>
      <c r="B529" s="897" t="s">
        <v>4032</v>
      </c>
      <c r="C529" s="897" t="s">
        <v>4033</v>
      </c>
      <c r="D529" s="897" t="s">
        <v>1912</v>
      </c>
      <c r="E529" s="897"/>
      <c r="F529" s="897"/>
      <c r="G529" s="897"/>
      <c r="H529" s="898" t="s">
        <v>1953</v>
      </c>
      <c r="I529" s="899"/>
      <c r="J529" s="899"/>
    </row>
    <row r="530" spans="1:10">
      <c r="A530" s="896" t="s">
        <v>4034</v>
      </c>
      <c r="B530" s="897" t="s">
        <v>4035</v>
      </c>
      <c r="C530" s="897" t="s">
        <v>4036</v>
      </c>
      <c r="D530" s="897" t="s">
        <v>1912</v>
      </c>
      <c r="E530" s="897"/>
      <c r="F530" s="897"/>
      <c r="G530" s="897"/>
      <c r="H530" s="898" t="s">
        <v>1953</v>
      </c>
      <c r="I530" s="899"/>
      <c r="J530" s="899"/>
    </row>
    <row r="531" spans="1:10">
      <c r="A531" s="896" t="s">
        <v>4037</v>
      </c>
      <c r="B531" s="897" t="s">
        <v>4038</v>
      </c>
      <c r="C531" s="897" t="s">
        <v>4039</v>
      </c>
      <c r="D531" s="897" t="s">
        <v>1912</v>
      </c>
      <c r="E531" s="897"/>
      <c r="F531" s="897"/>
      <c r="G531" s="897"/>
      <c r="H531" s="898" t="s">
        <v>1953</v>
      </c>
      <c r="I531" s="899"/>
      <c r="J531" s="899"/>
    </row>
    <row r="532" spans="1:10">
      <c r="A532" s="896" t="s">
        <v>4040</v>
      </c>
      <c r="B532" s="897" t="s">
        <v>4041</v>
      </c>
      <c r="C532" s="897" t="s">
        <v>4042</v>
      </c>
      <c r="D532" s="897" t="s">
        <v>1912</v>
      </c>
      <c r="E532" s="897"/>
      <c r="F532" s="897"/>
      <c r="G532" s="897"/>
      <c r="H532" s="898" t="e">
        <v>#N/A</v>
      </c>
      <c r="I532" s="899"/>
      <c r="J532" s="899"/>
    </row>
    <row r="533" spans="1:10">
      <c r="A533" s="896" t="s">
        <v>4043</v>
      </c>
      <c r="B533" s="897" t="s">
        <v>4044</v>
      </c>
      <c r="C533" s="897" t="s">
        <v>4045</v>
      </c>
      <c r="D533" s="897" t="s">
        <v>1912</v>
      </c>
      <c r="E533" s="897"/>
      <c r="F533" s="897"/>
      <c r="G533" s="897"/>
      <c r="H533" s="898" t="e">
        <v>#N/A</v>
      </c>
      <c r="I533" s="899"/>
      <c r="J533" s="899"/>
    </row>
    <row r="534" spans="1:10">
      <c r="A534" s="896" t="s">
        <v>4046</v>
      </c>
      <c r="B534" s="897" t="s">
        <v>752</v>
      </c>
      <c r="C534" s="897" t="s">
        <v>4047</v>
      </c>
      <c r="D534" s="897" t="s">
        <v>1233</v>
      </c>
      <c r="E534" s="897"/>
      <c r="F534" s="897"/>
      <c r="G534" s="897"/>
      <c r="H534" s="898" t="s">
        <v>1953</v>
      </c>
      <c r="I534" s="899"/>
      <c r="J534" s="899"/>
    </row>
    <row r="535" spans="1:10">
      <c r="A535" s="896" t="s">
        <v>4048</v>
      </c>
      <c r="B535" s="897" t="s">
        <v>358</v>
      </c>
      <c r="C535" s="897" t="s">
        <v>4049</v>
      </c>
      <c r="D535" s="897" t="s">
        <v>1912</v>
      </c>
      <c r="E535" s="897"/>
      <c r="F535" s="897"/>
      <c r="G535" s="897"/>
      <c r="H535" s="898" t="s">
        <v>1914</v>
      </c>
      <c r="I535" s="899"/>
      <c r="J535" s="899"/>
    </row>
    <row r="536" spans="1:10">
      <c r="A536" s="896" t="s">
        <v>4050</v>
      </c>
      <c r="B536" s="897" t="s">
        <v>209</v>
      </c>
      <c r="C536" s="897" t="s">
        <v>4051</v>
      </c>
      <c r="D536" s="897" t="s">
        <v>1912</v>
      </c>
      <c r="E536" s="897"/>
      <c r="F536" s="897"/>
      <c r="G536" s="897"/>
      <c r="H536" s="898" t="s">
        <v>1953</v>
      </c>
      <c r="I536" s="899"/>
      <c r="J536" s="899"/>
    </row>
    <row r="537" spans="1:10">
      <c r="A537" s="896" t="s">
        <v>4052</v>
      </c>
      <c r="B537" s="897" t="s">
        <v>4053</v>
      </c>
      <c r="C537" s="897" t="s">
        <v>4054</v>
      </c>
      <c r="D537" s="897" t="s">
        <v>1912</v>
      </c>
      <c r="E537" s="897"/>
      <c r="F537" s="897"/>
      <c r="G537" s="897"/>
      <c r="H537" s="898" t="e">
        <v>#N/A</v>
      </c>
      <c r="I537" s="899"/>
      <c r="J537" s="899"/>
    </row>
    <row r="538" spans="1:10">
      <c r="A538" s="896" t="s">
        <v>4055</v>
      </c>
      <c r="B538" s="897" t="s">
        <v>4056</v>
      </c>
      <c r="C538" s="897" t="s">
        <v>4057</v>
      </c>
      <c r="D538" s="897" t="s">
        <v>4058</v>
      </c>
      <c r="E538" s="897"/>
      <c r="F538" s="897"/>
      <c r="G538" s="897"/>
      <c r="H538" s="898" t="s">
        <v>1936</v>
      </c>
      <c r="I538" s="899"/>
      <c r="J538" s="899"/>
    </row>
    <row r="539" spans="1:10">
      <c r="A539" s="896" t="s">
        <v>4059</v>
      </c>
      <c r="B539" s="897" t="s">
        <v>4060</v>
      </c>
      <c r="C539" s="897" t="s">
        <v>4061</v>
      </c>
      <c r="D539" s="897" t="s">
        <v>1912</v>
      </c>
      <c r="E539" s="897"/>
      <c r="F539" s="897"/>
      <c r="G539" s="897"/>
      <c r="H539" s="898" t="e">
        <v>#N/A</v>
      </c>
      <c r="I539" s="899"/>
      <c r="J539" s="899"/>
    </row>
    <row r="540" spans="1:10">
      <c r="A540" s="896" t="s">
        <v>4062</v>
      </c>
      <c r="B540" s="897" t="s">
        <v>4063</v>
      </c>
      <c r="C540" s="897" t="s">
        <v>4064</v>
      </c>
      <c r="D540" s="897" t="s">
        <v>1912</v>
      </c>
      <c r="E540" s="897"/>
      <c r="F540" s="897"/>
      <c r="G540" s="897"/>
      <c r="H540" s="898" t="s">
        <v>1953</v>
      </c>
      <c r="I540" s="899"/>
      <c r="J540" s="899"/>
    </row>
    <row r="541" spans="1:10">
      <c r="A541" s="896" t="s">
        <v>4065</v>
      </c>
      <c r="B541" s="897" t="s">
        <v>4066</v>
      </c>
      <c r="C541" s="897" t="s">
        <v>4067</v>
      </c>
      <c r="D541" s="897" t="s">
        <v>1912</v>
      </c>
      <c r="E541" s="897"/>
      <c r="F541" s="897"/>
      <c r="G541" s="897"/>
      <c r="H541" s="898" t="e">
        <v>#N/A</v>
      </c>
      <c r="I541" s="899"/>
      <c r="J541" s="899"/>
    </row>
    <row r="542" spans="1:10">
      <c r="A542" s="896" t="s">
        <v>4068</v>
      </c>
      <c r="B542" s="897" t="s">
        <v>4069</v>
      </c>
      <c r="C542" s="897" t="s">
        <v>4070</v>
      </c>
      <c r="D542" s="897" t="s">
        <v>1912</v>
      </c>
      <c r="E542" s="897"/>
      <c r="F542" s="897"/>
      <c r="G542" s="897"/>
      <c r="H542" s="898" t="s">
        <v>1953</v>
      </c>
      <c r="I542" s="899"/>
      <c r="J542" s="899"/>
    </row>
    <row r="543" spans="1:10">
      <c r="A543" s="896" t="s">
        <v>4071</v>
      </c>
      <c r="B543" s="897" t="s">
        <v>4072</v>
      </c>
      <c r="C543" s="897" t="s">
        <v>4073</v>
      </c>
      <c r="D543" s="897" t="s">
        <v>1912</v>
      </c>
      <c r="E543" s="897"/>
      <c r="F543" s="897"/>
      <c r="G543" s="897"/>
      <c r="H543" s="898" t="e">
        <v>#N/A</v>
      </c>
      <c r="I543" s="899"/>
      <c r="J543" s="899"/>
    </row>
    <row r="544" spans="1:10">
      <c r="A544" s="896" t="s">
        <v>4074</v>
      </c>
      <c r="B544" s="897" t="s">
        <v>1674</v>
      </c>
      <c r="C544" s="897" t="s">
        <v>4075</v>
      </c>
      <c r="D544" s="897" t="s">
        <v>1912</v>
      </c>
      <c r="E544" s="897"/>
      <c r="F544" s="897"/>
      <c r="G544" s="897"/>
      <c r="H544" s="898" t="e">
        <v>#N/A</v>
      </c>
      <c r="I544" s="899"/>
      <c r="J544" s="899"/>
    </row>
    <row r="545" spans="1:10">
      <c r="A545" s="896" t="s">
        <v>4076</v>
      </c>
      <c r="B545" s="897" t="s">
        <v>4077</v>
      </c>
      <c r="C545" s="897" t="s">
        <v>2482</v>
      </c>
      <c r="D545" s="897" t="s">
        <v>1912</v>
      </c>
      <c r="E545" s="897"/>
      <c r="F545" s="897" t="s">
        <v>4078</v>
      </c>
      <c r="G545" s="897" t="s">
        <v>4079</v>
      </c>
      <c r="H545" s="898" t="e">
        <v>#N/A</v>
      </c>
      <c r="I545" s="899"/>
      <c r="J545" s="899"/>
    </row>
    <row r="546" spans="1:10">
      <c r="A546" s="896" t="s">
        <v>4080</v>
      </c>
      <c r="B546" s="897" t="s">
        <v>4081</v>
      </c>
      <c r="C546" s="897" t="s">
        <v>4082</v>
      </c>
      <c r="D546" s="897" t="s">
        <v>1912</v>
      </c>
      <c r="E546" s="897"/>
      <c r="F546" s="897"/>
      <c r="G546" s="897"/>
      <c r="H546" s="898" t="e">
        <v>#N/A</v>
      </c>
      <c r="I546" s="899"/>
      <c r="J546" s="899"/>
    </row>
    <row r="547" spans="1:10">
      <c r="A547" s="896" t="s">
        <v>4083</v>
      </c>
      <c r="B547" s="897" t="s">
        <v>4084</v>
      </c>
      <c r="C547" s="897" t="s">
        <v>4085</v>
      </c>
      <c r="D547" s="897" t="s">
        <v>1912</v>
      </c>
      <c r="E547" s="897"/>
      <c r="F547" s="897"/>
      <c r="G547" s="897"/>
      <c r="H547" s="898" t="s">
        <v>1914</v>
      </c>
      <c r="I547" s="899"/>
      <c r="J547" s="899"/>
    </row>
    <row r="548" spans="1:10">
      <c r="A548" s="896" t="s">
        <v>4086</v>
      </c>
      <c r="B548" s="897" t="s">
        <v>4087</v>
      </c>
      <c r="C548" s="897" t="s">
        <v>4088</v>
      </c>
      <c r="D548" s="897" t="s">
        <v>1912</v>
      </c>
      <c r="E548" s="897"/>
      <c r="F548" s="897"/>
      <c r="G548" s="897"/>
      <c r="H548" s="898" t="e">
        <v>#N/A</v>
      </c>
      <c r="I548" s="899"/>
      <c r="J548" s="899"/>
    </row>
    <row r="549" spans="1:10">
      <c r="A549" s="896" t="s">
        <v>4089</v>
      </c>
      <c r="B549" s="897" t="s">
        <v>4090</v>
      </c>
      <c r="C549" s="897" t="s">
        <v>4091</v>
      </c>
      <c r="D549" s="897" t="s">
        <v>1912</v>
      </c>
      <c r="E549" s="897"/>
      <c r="F549" s="897"/>
      <c r="G549" s="897"/>
      <c r="H549" s="898" t="e">
        <v>#N/A</v>
      </c>
      <c r="I549" s="899"/>
      <c r="J549" s="899"/>
    </row>
    <row r="550" spans="1:10">
      <c r="A550" s="896" t="s">
        <v>4092</v>
      </c>
      <c r="B550" s="897" t="s">
        <v>1675</v>
      </c>
      <c r="C550" s="897" t="s">
        <v>4091</v>
      </c>
      <c r="D550" s="897" t="s">
        <v>1912</v>
      </c>
      <c r="E550" s="897"/>
      <c r="F550" s="897"/>
      <c r="G550" s="897"/>
      <c r="H550" s="898" t="e">
        <v>#N/A</v>
      </c>
      <c r="I550" s="899"/>
      <c r="J550" s="899"/>
    </row>
    <row r="551" spans="1:10">
      <c r="A551" s="896" t="s">
        <v>4093</v>
      </c>
      <c r="B551" s="897" t="s">
        <v>4094</v>
      </c>
      <c r="C551" s="897" t="s">
        <v>4095</v>
      </c>
      <c r="D551" s="897" t="s">
        <v>1912</v>
      </c>
      <c r="E551" s="897"/>
      <c r="F551" s="897"/>
      <c r="G551" s="897" t="s">
        <v>4096</v>
      </c>
      <c r="H551" s="898" t="e">
        <v>#N/A</v>
      </c>
      <c r="I551" s="899"/>
      <c r="J551" s="899"/>
    </row>
    <row r="552" spans="1:10">
      <c r="A552" s="896" t="s">
        <v>4097</v>
      </c>
      <c r="B552" s="897" t="s">
        <v>4098</v>
      </c>
      <c r="C552" s="897" t="s">
        <v>2333</v>
      </c>
      <c r="D552" s="897" t="s">
        <v>1912</v>
      </c>
      <c r="E552" s="897"/>
      <c r="F552" s="897"/>
      <c r="G552" s="897"/>
      <c r="H552" s="898" t="e">
        <v>#N/A</v>
      </c>
      <c r="I552" s="899"/>
      <c r="J552" s="899"/>
    </row>
    <row r="553" spans="1:10">
      <c r="A553" s="896" t="s">
        <v>4099</v>
      </c>
      <c r="B553" s="897" t="s">
        <v>4100</v>
      </c>
      <c r="C553" s="897" t="s">
        <v>4101</v>
      </c>
      <c r="D553" s="897" t="s">
        <v>1912</v>
      </c>
      <c r="E553" s="897"/>
      <c r="F553" s="897"/>
      <c r="G553" s="897"/>
      <c r="H553" s="898" t="e">
        <v>#N/A</v>
      </c>
      <c r="I553" s="899"/>
      <c r="J553" s="899"/>
    </row>
    <row r="554" spans="1:10">
      <c r="A554" s="896" t="s">
        <v>4102</v>
      </c>
      <c r="B554" s="897" t="s">
        <v>4103</v>
      </c>
      <c r="C554" s="897" t="s">
        <v>4104</v>
      </c>
      <c r="D554" s="897" t="s">
        <v>1912</v>
      </c>
      <c r="E554" s="897"/>
      <c r="F554" s="897"/>
      <c r="G554" s="897"/>
      <c r="H554" s="898" t="s">
        <v>1953</v>
      </c>
      <c r="I554" s="899"/>
      <c r="J554" s="899"/>
    </row>
    <row r="555" spans="1:10">
      <c r="A555" s="896" t="s">
        <v>4105</v>
      </c>
      <c r="B555" s="897" t="s">
        <v>4106</v>
      </c>
      <c r="C555" s="897" t="s">
        <v>4107</v>
      </c>
      <c r="D555" s="897" t="s">
        <v>1912</v>
      </c>
      <c r="E555" s="897"/>
      <c r="F555" s="897"/>
      <c r="G555" s="897"/>
      <c r="H555" s="898" t="e">
        <v>#N/A</v>
      </c>
      <c r="I555" s="899"/>
      <c r="J555" s="899"/>
    </row>
    <row r="556" spans="1:10">
      <c r="A556" s="896" t="s">
        <v>4108</v>
      </c>
      <c r="B556" s="897" t="s">
        <v>4109</v>
      </c>
      <c r="C556" s="897" t="s">
        <v>4110</v>
      </c>
      <c r="D556" s="897" t="s">
        <v>1912</v>
      </c>
      <c r="E556" s="897"/>
      <c r="F556" s="897"/>
      <c r="G556" s="897"/>
      <c r="H556" s="898" t="e">
        <v>#N/A</v>
      </c>
      <c r="I556" s="899"/>
      <c r="J556" s="899"/>
    </row>
    <row r="557" spans="1:10">
      <c r="A557" s="896" t="s">
        <v>4111</v>
      </c>
      <c r="B557" s="897" t="s">
        <v>4112</v>
      </c>
      <c r="C557" s="897" t="s">
        <v>4113</v>
      </c>
      <c r="D557" s="897" t="s">
        <v>1912</v>
      </c>
      <c r="E557" s="897"/>
      <c r="F557" s="897"/>
      <c r="G557" s="897"/>
      <c r="H557" s="898" t="s">
        <v>1953</v>
      </c>
      <c r="I557" s="899"/>
      <c r="J557" s="899"/>
    </row>
    <row r="558" spans="1:10">
      <c r="A558" s="896" t="s">
        <v>4114</v>
      </c>
      <c r="B558" s="897" t="s">
        <v>906</v>
      </c>
      <c r="C558" s="897" t="s">
        <v>4115</v>
      </c>
      <c r="D558" s="897" t="s">
        <v>1129</v>
      </c>
      <c r="E558" s="897"/>
      <c r="F558" s="897"/>
      <c r="G558" s="897"/>
      <c r="H558" s="898" t="s">
        <v>1953</v>
      </c>
      <c r="I558" s="899"/>
      <c r="J558" s="899"/>
    </row>
    <row r="559" spans="1:10">
      <c r="A559" s="896" t="s">
        <v>4116</v>
      </c>
      <c r="B559" s="897" t="s">
        <v>407</v>
      </c>
      <c r="C559" s="897"/>
      <c r="D559" s="897" t="s">
        <v>1130</v>
      </c>
      <c r="E559" s="897"/>
      <c r="F559" s="897"/>
      <c r="G559" s="897"/>
      <c r="H559" s="898" t="s">
        <v>1914</v>
      </c>
      <c r="I559" s="899"/>
      <c r="J559" s="899"/>
    </row>
    <row r="560" spans="1:10">
      <c r="A560" s="896" t="s">
        <v>4117</v>
      </c>
      <c r="B560" s="897" t="s">
        <v>4118</v>
      </c>
      <c r="C560" s="897" t="s">
        <v>4119</v>
      </c>
      <c r="D560" s="897" t="s">
        <v>1912</v>
      </c>
      <c r="E560" s="897"/>
      <c r="F560" s="897"/>
      <c r="G560" s="897"/>
      <c r="H560" s="898" t="e">
        <v>#N/A</v>
      </c>
      <c r="I560" s="899"/>
      <c r="J560" s="899"/>
    </row>
    <row r="561" spans="1:10">
      <c r="A561" s="896" t="s">
        <v>4120</v>
      </c>
      <c r="B561" s="897" t="s">
        <v>4121</v>
      </c>
      <c r="C561" s="897" t="s">
        <v>2103</v>
      </c>
      <c r="D561" s="897" t="s">
        <v>4122</v>
      </c>
      <c r="E561" s="897"/>
      <c r="F561" s="897"/>
      <c r="G561" s="897"/>
      <c r="H561" s="898" t="s">
        <v>3391</v>
      </c>
      <c r="I561" s="899"/>
      <c r="J561" s="899"/>
    </row>
    <row r="562" spans="1:10">
      <c r="A562" s="896" t="s">
        <v>4123</v>
      </c>
      <c r="B562" s="897" t="s">
        <v>4124</v>
      </c>
      <c r="C562" s="897" t="s">
        <v>4125</v>
      </c>
      <c r="D562" s="897" t="s">
        <v>1912</v>
      </c>
      <c r="E562" s="897"/>
      <c r="F562" s="897"/>
      <c r="G562" s="897"/>
      <c r="H562" s="898" t="e">
        <v>#N/A</v>
      </c>
      <c r="I562" s="899"/>
      <c r="J562" s="899"/>
    </row>
    <row r="563" spans="1:10">
      <c r="A563" s="896" t="s">
        <v>4126</v>
      </c>
      <c r="B563" s="897" t="s">
        <v>4127</v>
      </c>
      <c r="C563" s="897" t="s">
        <v>4128</v>
      </c>
      <c r="D563" s="897" t="s">
        <v>1912</v>
      </c>
      <c r="E563" s="897"/>
      <c r="F563" s="897"/>
      <c r="G563" s="897"/>
      <c r="H563" s="898" t="e">
        <v>#N/A</v>
      </c>
      <c r="I563" s="899"/>
      <c r="J563" s="899"/>
    </row>
    <row r="564" spans="1:10">
      <c r="A564" s="896" t="s">
        <v>4129</v>
      </c>
      <c r="B564" s="897" t="s">
        <v>1356</v>
      </c>
      <c r="C564" s="897" t="s">
        <v>4130</v>
      </c>
      <c r="D564" s="897" t="s">
        <v>1912</v>
      </c>
      <c r="E564" s="897"/>
      <c r="F564" s="897"/>
      <c r="G564" s="897"/>
      <c r="H564" s="898" t="e">
        <v>#N/A</v>
      </c>
      <c r="I564" s="899"/>
      <c r="J564" s="899"/>
    </row>
    <row r="565" spans="1:10">
      <c r="A565" s="896" t="s">
        <v>4131</v>
      </c>
      <c r="B565" s="897" t="s">
        <v>4132</v>
      </c>
      <c r="C565" s="897" t="s">
        <v>4133</v>
      </c>
      <c r="D565" s="897" t="s">
        <v>1912</v>
      </c>
      <c r="E565" s="897"/>
      <c r="F565" s="897"/>
      <c r="G565" s="897"/>
      <c r="H565" s="898" t="e">
        <v>#N/A</v>
      </c>
      <c r="I565" s="899"/>
      <c r="J565" s="899"/>
    </row>
    <row r="566" spans="1:10">
      <c r="A566" s="896" t="s">
        <v>4134</v>
      </c>
      <c r="B566" s="897" t="s">
        <v>4135</v>
      </c>
      <c r="C566" s="897" t="s">
        <v>4136</v>
      </c>
      <c r="D566" s="897" t="s">
        <v>1912</v>
      </c>
      <c r="E566" s="897"/>
      <c r="F566" s="897"/>
      <c r="G566" s="897"/>
      <c r="H566" s="898" t="s">
        <v>1953</v>
      </c>
      <c r="I566" s="899"/>
      <c r="J566" s="899"/>
    </row>
    <row r="567" spans="1:10">
      <c r="A567" s="896" t="s">
        <v>4137</v>
      </c>
      <c r="B567" s="897" t="s">
        <v>4138</v>
      </c>
      <c r="C567" s="897" t="s">
        <v>4139</v>
      </c>
      <c r="D567" s="897" t="s">
        <v>1912</v>
      </c>
      <c r="E567" s="897"/>
      <c r="F567" s="897"/>
      <c r="G567" s="897"/>
      <c r="H567" s="898" t="e">
        <v>#N/A</v>
      </c>
      <c r="I567" s="899"/>
      <c r="J567" s="899"/>
    </row>
    <row r="568" spans="1:10">
      <c r="A568" s="896" t="s">
        <v>4140</v>
      </c>
      <c r="B568" s="897" t="s">
        <v>4141</v>
      </c>
      <c r="C568" s="897" t="s">
        <v>4142</v>
      </c>
      <c r="D568" s="897" t="s">
        <v>1912</v>
      </c>
      <c r="E568" s="897"/>
      <c r="F568" s="897"/>
      <c r="G568" s="897"/>
      <c r="H568" s="898" t="e">
        <v>#N/A</v>
      </c>
      <c r="I568" s="899"/>
      <c r="J568" s="899"/>
    </row>
    <row r="569" spans="1:10">
      <c r="A569" s="896" t="s">
        <v>4143</v>
      </c>
      <c r="B569" s="897" t="s">
        <v>4144</v>
      </c>
      <c r="C569" s="897" t="s">
        <v>4145</v>
      </c>
      <c r="D569" s="897" t="s">
        <v>1912</v>
      </c>
      <c r="E569" s="897"/>
      <c r="F569" s="897" t="s">
        <v>4146</v>
      </c>
      <c r="G569" s="897" t="s">
        <v>4147</v>
      </c>
      <c r="H569" s="898" t="e">
        <v>#N/A</v>
      </c>
      <c r="I569" s="899"/>
      <c r="J569" s="899"/>
    </row>
    <row r="570" spans="1:10">
      <c r="A570" s="896" t="s">
        <v>4148</v>
      </c>
      <c r="B570" s="897" t="s">
        <v>4149</v>
      </c>
      <c r="C570" s="897" t="s">
        <v>4150</v>
      </c>
      <c r="D570" s="897" t="s">
        <v>1912</v>
      </c>
      <c r="E570" s="897"/>
      <c r="F570" s="897"/>
      <c r="G570" s="897"/>
      <c r="H570" s="898" t="e">
        <v>#N/A</v>
      </c>
      <c r="I570" s="899"/>
      <c r="J570" s="899"/>
    </row>
    <row r="571" spans="1:10">
      <c r="A571" s="896" t="s">
        <v>4151</v>
      </c>
      <c r="B571" s="897" t="s">
        <v>4152</v>
      </c>
      <c r="C571" s="897" t="s">
        <v>4153</v>
      </c>
      <c r="D571" s="897" t="s">
        <v>1912</v>
      </c>
      <c r="E571" s="897"/>
      <c r="F571" s="897"/>
      <c r="G571" s="897"/>
      <c r="H571" s="898" t="e">
        <v>#N/A</v>
      </c>
      <c r="I571" s="899"/>
      <c r="J571" s="899"/>
    </row>
    <row r="572" spans="1:10">
      <c r="A572" s="896" t="s">
        <v>4154</v>
      </c>
      <c r="B572" s="897" t="s">
        <v>4155</v>
      </c>
      <c r="C572" s="897" t="s">
        <v>4156</v>
      </c>
      <c r="D572" s="897" t="s">
        <v>1912</v>
      </c>
      <c r="E572" s="897"/>
      <c r="F572" s="897"/>
      <c r="G572" s="897" t="s">
        <v>4157</v>
      </c>
      <c r="H572" s="898" t="e">
        <v>#N/A</v>
      </c>
      <c r="I572" s="899"/>
      <c r="J572" s="899"/>
    </row>
    <row r="573" spans="1:10">
      <c r="A573" s="896" t="s">
        <v>4158</v>
      </c>
      <c r="B573" s="897" t="s">
        <v>4159</v>
      </c>
      <c r="C573" s="897" t="s">
        <v>4101</v>
      </c>
      <c r="D573" s="897" t="s">
        <v>1912</v>
      </c>
      <c r="E573" s="897"/>
      <c r="F573" s="897"/>
      <c r="G573" s="897"/>
      <c r="H573" s="898" t="e">
        <v>#N/A</v>
      </c>
      <c r="I573" s="899"/>
      <c r="J573" s="899"/>
    </row>
    <row r="574" spans="1:10">
      <c r="A574" s="896" t="s">
        <v>4160</v>
      </c>
      <c r="B574" s="897" t="s">
        <v>4161</v>
      </c>
      <c r="C574" s="897" t="s">
        <v>4162</v>
      </c>
      <c r="D574" s="897" t="s">
        <v>1912</v>
      </c>
      <c r="E574" s="897"/>
      <c r="F574" s="897"/>
      <c r="G574" s="897"/>
      <c r="H574" s="898" t="e">
        <v>#N/A</v>
      </c>
      <c r="I574" s="899"/>
      <c r="J574" s="899"/>
    </row>
    <row r="575" spans="1:10">
      <c r="A575" s="896" t="s">
        <v>4163</v>
      </c>
      <c r="B575" s="897" t="s">
        <v>210</v>
      </c>
      <c r="C575" s="897" t="s">
        <v>4164</v>
      </c>
      <c r="D575" s="897" t="s">
        <v>1131</v>
      </c>
      <c r="E575" s="897"/>
      <c r="F575" s="897"/>
      <c r="G575" s="897"/>
      <c r="H575" s="898" t="s">
        <v>1914</v>
      </c>
      <c r="I575" s="899"/>
      <c r="J575" s="899"/>
    </row>
    <row r="576" spans="1:10">
      <c r="A576" s="896" t="s">
        <v>4165</v>
      </c>
      <c r="B576" s="897" t="s">
        <v>1357</v>
      </c>
      <c r="C576" s="897" t="s">
        <v>3657</v>
      </c>
      <c r="D576" s="897" t="s">
        <v>1912</v>
      </c>
      <c r="E576" s="897"/>
      <c r="F576" s="897"/>
      <c r="G576" s="897"/>
      <c r="H576" s="898" t="e">
        <v>#N/A</v>
      </c>
      <c r="I576" s="899"/>
      <c r="J576" s="899"/>
    </row>
    <row r="577" spans="1:10">
      <c r="A577" s="896" t="s">
        <v>4166</v>
      </c>
      <c r="B577" s="897" t="s">
        <v>4167</v>
      </c>
      <c r="C577" s="897" t="s">
        <v>4168</v>
      </c>
      <c r="D577" s="897" t="s">
        <v>1912</v>
      </c>
      <c r="E577" s="897"/>
      <c r="F577" s="897"/>
      <c r="G577" s="897"/>
      <c r="H577" s="898" t="s">
        <v>1953</v>
      </c>
      <c r="I577" s="899"/>
      <c r="J577" s="899"/>
    </row>
    <row r="578" spans="1:10">
      <c r="A578" s="896" t="s">
        <v>4169</v>
      </c>
      <c r="B578" s="897" t="s">
        <v>4170</v>
      </c>
      <c r="C578" s="897" t="s">
        <v>4171</v>
      </c>
      <c r="D578" s="897" t="s">
        <v>1912</v>
      </c>
      <c r="E578" s="897"/>
      <c r="F578" s="897"/>
      <c r="G578" s="897"/>
      <c r="H578" s="898" t="e">
        <v>#N/A</v>
      </c>
      <c r="I578" s="899"/>
      <c r="J578" s="899"/>
    </row>
    <row r="579" spans="1:10">
      <c r="A579" s="896" t="s">
        <v>4172</v>
      </c>
      <c r="B579" s="897" t="s">
        <v>1358</v>
      </c>
      <c r="C579" s="897" t="s">
        <v>4173</v>
      </c>
      <c r="D579" s="897" t="s">
        <v>1912</v>
      </c>
      <c r="E579" s="897"/>
      <c r="F579" s="897"/>
      <c r="G579" s="897"/>
      <c r="H579" s="898" t="e">
        <v>#N/A</v>
      </c>
      <c r="I579" s="899"/>
      <c r="J579" s="899"/>
    </row>
    <row r="580" spans="1:10">
      <c r="A580" s="896" t="s">
        <v>4174</v>
      </c>
      <c r="B580" s="897" t="s">
        <v>132</v>
      </c>
      <c r="C580" s="897" t="s">
        <v>4175</v>
      </c>
      <c r="D580" s="897" t="s">
        <v>4176</v>
      </c>
      <c r="E580" s="897"/>
      <c r="F580" s="897"/>
      <c r="G580" s="897"/>
      <c r="H580" s="898" t="s">
        <v>1936</v>
      </c>
      <c r="I580" s="899"/>
      <c r="J580" s="899"/>
    </row>
    <row r="581" spans="1:10">
      <c r="A581" s="896" t="s">
        <v>4177</v>
      </c>
      <c r="B581" s="897" t="s">
        <v>4178</v>
      </c>
      <c r="C581" s="897" t="s">
        <v>4179</v>
      </c>
      <c r="D581" s="897" t="s">
        <v>1912</v>
      </c>
      <c r="E581" s="897"/>
      <c r="F581" s="897"/>
      <c r="G581" s="897"/>
      <c r="H581" s="898" t="s">
        <v>1953</v>
      </c>
      <c r="I581" s="899"/>
      <c r="J581" s="899"/>
    </row>
    <row r="582" spans="1:10">
      <c r="A582" s="896" t="s">
        <v>4180</v>
      </c>
      <c r="B582" s="897" t="s">
        <v>1678</v>
      </c>
      <c r="C582" s="897" t="s">
        <v>4181</v>
      </c>
      <c r="D582" s="897" t="s">
        <v>1912</v>
      </c>
      <c r="E582" s="897"/>
      <c r="F582" s="897"/>
      <c r="G582" s="897"/>
      <c r="H582" s="898" t="e">
        <v>#N/A</v>
      </c>
      <c r="I582" s="899"/>
      <c r="J582" s="899"/>
    </row>
    <row r="583" spans="1:10">
      <c r="A583" s="896" t="s">
        <v>4182</v>
      </c>
      <c r="B583" s="897" t="s">
        <v>4183</v>
      </c>
      <c r="C583" s="897" t="s">
        <v>4184</v>
      </c>
      <c r="D583" s="897" t="s">
        <v>1912</v>
      </c>
      <c r="E583" s="897"/>
      <c r="F583" s="897"/>
      <c r="G583" s="897"/>
      <c r="H583" s="898" t="e">
        <v>#N/A</v>
      </c>
      <c r="I583" s="899"/>
      <c r="J583" s="899"/>
    </row>
    <row r="584" spans="1:10">
      <c r="A584" s="896" t="s">
        <v>4185</v>
      </c>
      <c r="B584" s="897" t="s">
        <v>4186</v>
      </c>
      <c r="C584" s="897" t="s">
        <v>4187</v>
      </c>
      <c r="D584" s="897" t="s">
        <v>1912</v>
      </c>
      <c r="E584" s="897"/>
      <c r="F584" s="897" t="s">
        <v>1681</v>
      </c>
      <c r="G584" s="897" t="s">
        <v>4188</v>
      </c>
      <c r="H584" s="898" t="e">
        <v>#N/A</v>
      </c>
      <c r="I584" s="899"/>
      <c r="J584" s="899"/>
    </row>
    <row r="585" spans="1:10">
      <c r="A585" s="896" t="s">
        <v>4189</v>
      </c>
      <c r="B585" s="897" t="s">
        <v>4190</v>
      </c>
      <c r="C585" s="897" t="s">
        <v>4187</v>
      </c>
      <c r="D585" s="897" t="s">
        <v>1912</v>
      </c>
      <c r="E585" s="897"/>
      <c r="F585" s="897"/>
      <c r="G585" s="897"/>
      <c r="H585" s="898" t="e">
        <v>#N/A</v>
      </c>
      <c r="I585" s="899"/>
      <c r="J585" s="899"/>
    </row>
    <row r="586" spans="1:10">
      <c r="A586" s="896" t="s">
        <v>4191</v>
      </c>
      <c r="B586" s="897" t="s">
        <v>4192</v>
      </c>
      <c r="C586" s="897" t="s">
        <v>3726</v>
      </c>
      <c r="D586" s="897" t="s">
        <v>1912</v>
      </c>
      <c r="E586" s="897"/>
      <c r="F586" s="897" t="s">
        <v>47</v>
      </c>
      <c r="G586" s="897" t="s">
        <v>4193</v>
      </c>
      <c r="H586" s="898" t="e">
        <v>#N/A</v>
      </c>
      <c r="I586" s="899"/>
      <c r="J586" s="899"/>
    </row>
    <row r="587" spans="1:10">
      <c r="A587" s="896" t="s">
        <v>4194</v>
      </c>
      <c r="B587" s="897" t="s">
        <v>4195</v>
      </c>
      <c r="C587" s="897" t="s">
        <v>4196</v>
      </c>
      <c r="D587" s="897" t="s">
        <v>1912</v>
      </c>
      <c r="E587" s="897"/>
      <c r="F587" s="897"/>
      <c r="G587" s="897"/>
      <c r="H587" s="898" t="e">
        <v>#N/A</v>
      </c>
      <c r="I587" s="899"/>
      <c r="J587" s="899"/>
    </row>
    <row r="588" spans="1:10">
      <c r="A588" s="896" t="s">
        <v>4197</v>
      </c>
      <c r="B588" s="897" t="s">
        <v>4198</v>
      </c>
      <c r="C588" s="897" t="s">
        <v>4199</v>
      </c>
      <c r="D588" s="897" t="s">
        <v>1912</v>
      </c>
      <c r="E588" s="897"/>
      <c r="F588" s="897" t="s">
        <v>4200</v>
      </c>
      <c r="G588" s="897" t="s">
        <v>4201</v>
      </c>
      <c r="H588" s="898" t="s">
        <v>1953</v>
      </c>
      <c r="I588" s="899"/>
      <c r="J588" s="899"/>
    </row>
    <row r="589" spans="1:10">
      <c r="A589" s="896" t="s">
        <v>4202</v>
      </c>
      <c r="B589" s="897" t="s">
        <v>4203</v>
      </c>
      <c r="C589" s="897" t="s">
        <v>4204</v>
      </c>
      <c r="D589" s="897" t="s">
        <v>1912</v>
      </c>
      <c r="E589" s="897"/>
      <c r="F589" s="897"/>
      <c r="G589" s="897"/>
      <c r="H589" s="898" t="e">
        <v>#N/A</v>
      </c>
      <c r="I589" s="899"/>
      <c r="J589" s="899"/>
    </row>
    <row r="590" spans="1:10">
      <c r="A590" s="896" t="s">
        <v>4205</v>
      </c>
      <c r="B590" s="897" t="s">
        <v>4206</v>
      </c>
      <c r="C590" s="897" t="s">
        <v>4207</v>
      </c>
      <c r="D590" s="897" t="s">
        <v>1912</v>
      </c>
      <c r="E590" s="897"/>
      <c r="F590" s="897"/>
      <c r="G590" s="897"/>
      <c r="H590" s="898" t="e">
        <v>#N/A</v>
      </c>
      <c r="I590" s="899"/>
      <c r="J590" s="899"/>
    </row>
    <row r="591" spans="1:10">
      <c r="A591" s="896" t="s">
        <v>4208</v>
      </c>
      <c r="B591" s="897" t="s">
        <v>4209</v>
      </c>
      <c r="C591" s="897" t="s">
        <v>4210</v>
      </c>
      <c r="D591" s="897" t="s">
        <v>1912</v>
      </c>
      <c r="E591" s="897"/>
      <c r="F591" s="897"/>
      <c r="G591" s="897"/>
      <c r="H591" s="898" t="e">
        <v>#N/A</v>
      </c>
      <c r="I591" s="899"/>
      <c r="J591" s="899"/>
    </row>
    <row r="592" spans="1:10">
      <c r="A592" s="896" t="s">
        <v>4211</v>
      </c>
      <c r="B592" s="897" t="s">
        <v>18</v>
      </c>
      <c r="C592" s="897" t="s">
        <v>1912</v>
      </c>
      <c r="D592" s="897" t="s">
        <v>1132</v>
      </c>
      <c r="E592" s="897"/>
      <c r="F592" s="897"/>
      <c r="G592" s="897"/>
      <c r="H592" s="898" t="s">
        <v>1914</v>
      </c>
      <c r="I592" s="899"/>
      <c r="J592" s="899"/>
    </row>
    <row r="593" spans="1:10">
      <c r="A593" s="896" t="s">
        <v>4212</v>
      </c>
      <c r="B593" s="897" t="s">
        <v>4213</v>
      </c>
      <c r="C593" s="897" t="s">
        <v>4214</v>
      </c>
      <c r="D593" s="897" t="s">
        <v>1912</v>
      </c>
      <c r="E593" s="897"/>
      <c r="F593" s="897"/>
      <c r="G593" s="897"/>
      <c r="H593" s="898" t="s">
        <v>1953</v>
      </c>
      <c r="I593" s="899"/>
      <c r="J593" s="899"/>
    </row>
    <row r="594" spans="1:10">
      <c r="A594" s="896" t="s">
        <v>4215</v>
      </c>
      <c r="B594" s="897" t="s">
        <v>4216</v>
      </c>
      <c r="C594" s="897" t="s">
        <v>4217</v>
      </c>
      <c r="D594" s="897" t="s">
        <v>1912</v>
      </c>
      <c r="E594" s="897"/>
      <c r="F594" s="897"/>
      <c r="G594" s="897"/>
      <c r="H594" s="898" t="s">
        <v>1953</v>
      </c>
      <c r="I594" s="899"/>
      <c r="J594" s="899"/>
    </row>
    <row r="595" spans="1:10">
      <c r="A595" s="896" t="s">
        <v>4218</v>
      </c>
      <c r="B595" s="897" t="s">
        <v>4219</v>
      </c>
      <c r="C595" s="897" t="s">
        <v>4220</v>
      </c>
      <c r="D595" s="897" t="s">
        <v>1912</v>
      </c>
      <c r="E595" s="897"/>
      <c r="F595" s="897"/>
      <c r="G595" s="897"/>
      <c r="H595" s="898" t="e">
        <v>#N/A</v>
      </c>
      <c r="I595" s="899"/>
      <c r="J595" s="899"/>
    </row>
    <row r="596" spans="1:10">
      <c r="A596" s="896" t="s">
        <v>4221</v>
      </c>
      <c r="B596" s="897" t="s">
        <v>4222</v>
      </c>
      <c r="C596" s="897" t="s">
        <v>4223</v>
      </c>
      <c r="D596" s="897" t="s">
        <v>1912</v>
      </c>
      <c r="E596" s="897"/>
      <c r="F596" s="897"/>
      <c r="G596" s="897"/>
      <c r="H596" s="898" t="e">
        <v>#N/A</v>
      </c>
      <c r="I596" s="899"/>
      <c r="J596" s="899"/>
    </row>
    <row r="597" spans="1:10">
      <c r="A597" s="896" t="s">
        <v>4224</v>
      </c>
      <c r="B597" s="897" t="s">
        <v>4225</v>
      </c>
      <c r="C597" s="897" t="s">
        <v>4226</v>
      </c>
      <c r="D597" s="897" t="s">
        <v>1912</v>
      </c>
      <c r="E597" s="897"/>
      <c r="F597" s="897"/>
      <c r="G597" s="897"/>
      <c r="H597" s="898" t="e">
        <v>#N/A</v>
      </c>
      <c r="I597" s="899"/>
      <c r="J597" s="899"/>
    </row>
    <row r="598" spans="1:10">
      <c r="A598" s="896" t="s">
        <v>4227</v>
      </c>
      <c r="B598" s="897" t="s">
        <v>4228</v>
      </c>
      <c r="C598" s="897" t="s">
        <v>4229</v>
      </c>
      <c r="D598" s="897" t="s">
        <v>1912</v>
      </c>
      <c r="E598" s="897"/>
      <c r="F598" s="897" t="s">
        <v>4230</v>
      </c>
      <c r="G598" s="897" t="s">
        <v>4231</v>
      </c>
      <c r="H598" s="898" t="e">
        <v>#N/A</v>
      </c>
      <c r="I598" s="899"/>
      <c r="J598" s="899"/>
    </row>
    <row r="599" spans="1:10">
      <c r="A599" s="896" t="s">
        <v>4232</v>
      </c>
      <c r="B599" s="897" t="s">
        <v>4233</v>
      </c>
      <c r="C599" s="897" t="s">
        <v>4234</v>
      </c>
      <c r="D599" s="897" t="s">
        <v>1912</v>
      </c>
      <c r="E599" s="897"/>
      <c r="F599" s="897"/>
      <c r="G599" s="897"/>
      <c r="H599" s="898" t="s">
        <v>1953</v>
      </c>
      <c r="I599" s="899"/>
      <c r="J599" s="899"/>
    </row>
    <row r="600" spans="1:10">
      <c r="A600" s="896" t="s">
        <v>4235</v>
      </c>
      <c r="B600" s="897" t="s">
        <v>4236</v>
      </c>
      <c r="C600" s="897"/>
      <c r="D600" s="897"/>
      <c r="E600" s="897"/>
      <c r="F600" s="897" t="s">
        <v>4237</v>
      </c>
      <c r="G600" s="897" t="s">
        <v>4238</v>
      </c>
      <c r="H600" s="898" t="s">
        <v>1953</v>
      </c>
      <c r="I600" s="899"/>
      <c r="J600" s="899"/>
    </row>
    <row r="601" spans="1:10">
      <c r="A601" s="896" t="s">
        <v>4239</v>
      </c>
      <c r="B601" s="897" t="s">
        <v>4240</v>
      </c>
      <c r="C601" s="897" t="s">
        <v>4241</v>
      </c>
      <c r="D601" s="897" t="s">
        <v>1912</v>
      </c>
      <c r="E601" s="897"/>
      <c r="F601" s="897" t="s">
        <v>1721</v>
      </c>
      <c r="G601" s="897" t="s">
        <v>4242</v>
      </c>
      <c r="H601" s="898" t="e">
        <v>#N/A</v>
      </c>
      <c r="I601" s="899"/>
      <c r="J601" s="899"/>
    </row>
    <row r="602" spans="1:10">
      <c r="A602" s="896" t="s">
        <v>4243</v>
      </c>
      <c r="B602" s="897" t="s">
        <v>4244</v>
      </c>
      <c r="C602" s="897" t="s">
        <v>4245</v>
      </c>
      <c r="D602" s="897" t="s">
        <v>1912</v>
      </c>
      <c r="E602" s="897"/>
      <c r="F602" s="897"/>
      <c r="G602" s="897"/>
      <c r="H602" s="898" t="e">
        <v>#N/A</v>
      </c>
      <c r="I602" s="899"/>
      <c r="J602" s="899"/>
    </row>
    <row r="603" spans="1:10">
      <c r="A603" s="896" t="s">
        <v>4246</v>
      </c>
      <c r="B603" s="897" t="s">
        <v>1359</v>
      </c>
      <c r="C603" s="897" t="s">
        <v>4247</v>
      </c>
      <c r="D603" s="897" t="s">
        <v>1912</v>
      </c>
      <c r="E603" s="897"/>
      <c r="F603" s="897"/>
      <c r="G603" s="897"/>
      <c r="H603" s="898" t="s">
        <v>1914</v>
      </c>
      <c r="I603" s="899"/>
      <c r="J603" s="899"/>
    </row>
    <row r="604" spans="1:10">
      <c r="A604" s="896" t="s">
        <v>4248</v>
      </c>
      <c r="B604" s="897" t="s">
        <v>1360</v>
      </c>
      <c r="C604" s="897" t="s">
        <v>4249</v>
      </c>
      <c r="D604" s="897" t="s">
        <v>1912</v>
      </c>
      <c r="E604" s="897"/>
      <c r="F604" s="897"/>
      <c r="G604" s="897"/>
      <c r="H604" s="898" t="e">
        <v>#N/A</v>
      </c>
      <c r="I604" s="899"/>
      <c r="J604" s="899"/>
    </row>
    <row r="605" spans="1:10">
      <c r="A605" s="896" t="s">
        <v>4250</v>
      </c>
      <c r="B605" s="897" t="s">
        <v>4251</v>
      </c>
      <c r="C605" s="897" t="s">
        <v>4252</v>
      </c>
      <c r="D605" s="897" t="s">
        <v>1912</v>
      </c>
      <c r="E605" s="897"/>
      <c r="F605" s="897"/>
      <c r="G605" s="897"/>
      <c r="H605" s="898" t="e">
        <v>#N/A</v>
      </c>
      <c r="I605" s="899"/>
      <c r="J605" s="899"/>
    </row>
    <row r="606" spans="1:10">
      <c r="A606" s="896" t="s">
        <v>4253</v>
      </c>
      <c r="B606" s="897" t="s">
        <v>4254</v>
      </c>
      <c r="C606" s="897" t="s">
        <v>4255</v>
      </c>
      <c r="D606" s="897" t="s">
        <v>1912</v>
      </c>
      <c r="E606" s="897"/>
      <c r="F606" s="897"/>
      <c r="G606" s="897"/>
      <c r="H606" s="898" t="e">
        <v>#N/A</v>
      </c>
      <c r="I606" s="899"/>
      <c r="J606" s="899"/>
    </row>
    <row r="607" spans="1:10">
      <c r="A607" s="896" t="s">
        <v>4256</v>
      </c>
      <c r="B607" s="897" t="s">
        <v>4257</v>
      </c>
      <c r="C607" s="897" t="s">
        <v>4258</v>
      </c>
      <c r="D607" s="897" t="s">
        <v>1912</v>
      </c>
      <c r="E607" s="897"/>
      <c r="F607" s="897"/>
      <c r="G607" s="897"/>
      <c r="H607" s="898" t="e">
        <v>#N/A</v>
      </c>
      <c r="I607" s="899"/>
      <c r="J607" s="899"/>
    </row>
    <row r="608" spans="1:10">
      <c r="A608" s="896" t="s">
        <v>4259</v>
      </c>
      <c r="B608" s="897" t="s">
        <v>4260</v>
      </c>
      <c r="C608" s="897" t="s">
        <v>4261</v>
      </c>
      <c r="D608" s="897" t="s">
        <v>1912</v>
      </c>
      <c r="E608" s="897"/>
      <c r="F608" s="897" t="s">
        <v>4262</v>
      </c>
      <c r="G608" s="897" t="s">
        <v>4263</v>
      </c>
      <c r="H608" s="898" t="e">
        <v>#N/A</v>
      </c>
      <c r="I608" s="899"/>
      <c r="J608" s="899"/>
    </row>
    <row r="609" spans="1:10">
      <c r="A609" s="896" t="s">
        <v>4264</v>
      </c>
      <c r="B609" s="897" t="s">
        <v>4265</v>
      </c>
      <c r="C609" s="897" t="s">
        <v>4266</v>
      </c>
      <c r="D609" s="897" t="s">
        <v>1912</v>
      </c>
      <c r="E609" s="897"/>
      <c r="F609" s="897"/>
      <c r="G609" s="897"/>
      <c r="H609" s="898" t="e">
        <v>#N/A</v>
      </c>
      <c r="I609" s="899"/>
      <c r="J609" s="899"/>
    </row>
    <row r="610" spans="1:10">
      <c r="A610" s="896" t="s">
        <v>4267</v>
      </c>
      <c r="B610" s="897" t="s">
        <v>4268</v>
      </c>
      <c r="C610" s="897" t="s">
        <v>4269</v>
      </c>
      <c r="D610" s="897" t="s">
        <v>1912</v>
      </c>
      <c r="E610" s="897"/>
      <c r="F610" s="897"/>
      <c r="G610" s="897"/>
      <c r="H610" s="898" t="e">
        <v>#N/A</v>
      </c>
      <c r="I610" s="899"/>
      <c r="J610" s="899"/>
    </row>
    <row r="611" spans="1:10">
      <c r="A611" s="896" t="s">
        <v>4270</v>
      </c>
      <c r="B611" s="897" t="s">
        <v>4271</v>
      </c>
      <c r="C611" s="897" t="s">
        <v>4272</v>
      </c>
      <c r="D611" s="897" t="s">
        <v>1912</v>
      </c>
      <c r="E611" s="897"/>
      <c r="F611" s="897"/>
      <c r="G611" s="897"/>
      <c r="H611" s="898" t="e">
        <v>#N/A</v>
      </c>
      <c r="I611" s="899"/>
      <c r="J611" s="899"/>
    </row>
    <row r="612" spans="1:10">
      <c r="A612" s="896" t="s">
        <v>4273</v>
      </c>
      <c r="B612" s="897" t="s">
        <v>4274</v>
      </c>
      <c r="C612" s="897" t="s">
        <v>4275</v>
      </c>
      <c r="D612" s="897" t="s">
        <v>1912</v>
      </c>
      <c r="E612" s="897"/>
      <c r="F612" s="897"/>
      <c r="G612" s="897"/>
      <c r="H612" s="898" t="e">
        <v>#N/A</v>
      </c>
      <c r="I612" s="899"/>
      <c r="J612" s="899"/>
    </row>
    <row r="613" spans="1:10">
      <c r="A613" s="896" t="s">
        <v>4276</v>
      </c>
      <c r="B613" s="897" t="s">
        <v>4277</v>
      </c>
      <c r="C613" s="897" t="s">
        <v>4278</v>
      </c>
      <c r="D613" s="897" t="s">
        <v>1912</v>
      </c>
      <c r="E613" s="897"/>
      <c r="F613" s="897"/>
      <c r="G613" s="897"/>
      <c r="H613" s="898" t="s">
        <v>1953</v>
      </c>
      <c r="I613" s="899"/>
      <c r="J613" s="899"/>
    </row>
    <row r="614" spans="1:10">
      <c r="A614" s="896" t="s">
        <v>4279</v>
      </c>
      <c r="B614" s="897" t="s">
        <v>4280</v>
      </c>
      <c r="C614" s="897" t="s">
        <v>4281</v>
      </c>
      <c r="D614" s="897" t="s">
        <v>1912</v>
      </c>
      <c r="E614" s="897"/>
      <c r="F614" s="897"/>
      <c r="G614" s="897"/>
      <c r="H614" s="898" t="e">
        <v>#N/A</v>
      </c>
      <c r="I614" s="899"/>
      <c r="J614" s="899"/>
    </row>
    <row r="615" spans="1:10">
      <c r="A615" s="896" t="s">
        <v>4282</v>
      </c>
      <c r="B615" s="897" t="s">
        <v>4283</v>
      </c>
      <c r="C615" s="897" t="s">
        <v>4284</v>
      </c>
      <c r="D615" s="897" t="s">
        <v>1912</v>
      </c>
      <c r="E615" s="897"/>
      <c r="F615" s="897" t="s">
        <v>4285</v>
      </c>
      <c r="G615" s="897" t="s">
        <v>4286</v>
      </c>
      <c r="H615" s="898" t="e">
        <v>#N/A</v>
      </c>
      <c r="I615" s="899"/>
      <c r="J615" s="899"/>
    </row>
    <row r="616" spans="1:10">
      <c r="A616" s="896" t="s">
        <v>4287</v>
      </c>
      <c r="B616" s="897" t="s">
        <v>4288</v>
      </c>
      <c r="C616" s="897" t="s">
        <v>4289</v>
      </c>
      <c r="D616" s="897" t="s">
        <v>1912</v>
      </c>
      <c r="E616" s="897"/>
      <c r="F616" s="897"/>
      <c r="G616" s="897"/>
      <c r="H616" s="898" t="s">
        <v>1953</v>
      </c>
      <c r="I616" s="899"/>
      <c r="J616" s="899"/>
    </row>
    <row r="617" spans="1:10">
      <c r="A617" s="896" t="s">
        <v>4290</v>
      </c>
      <c r="B617" s="897" t="s">
        <v>4291</v>
      </c>
      <c r="C617" s="897" t="s">
        <v>4292</v>
      </c>
      <c r="D617" s="897" t="s">
        <v>1912</v>
      </c>
      <c r="E617" s="897"/>
      <c r="F617" s="897"/>
      <c r="G617" s="897"/>
      <c r="H617" s="898" t="e">
        <v>#N/A</v>
      </c>
      <c r="I617" s="899"/>
      <c r="J617" s="899"/>
    </row>
    <row r="618" spans="1:10">
      <c r="A618" s="896" t="s">
        <v>4293</v>
      </c>
      <c r="B618" s="897" t="s">
        <v>4294</v>
      </c>
      <c r="C618" s="897" t="s">
        <v>4295</v>
      </c>
      <c r="D618" s="897" t="s">
        <v>1912</v>
      </c>
      <c r="E618" s="897"/>
      <c r="F618" s="897"/>
      <c r="G618" s="897"/>
      <c r="H618" s="898" t="e">
        <v>#N/A</v>
      </c>
      <c r="I618" s="899"/>
      <c r="J618" s="899"/>
    </row>
    <row r="619" spans="1:10">
      <c r="A619" s="896" t="s">
        <v>4296</v>
      </c>
      <c r="B619" s="897" t="s">
        <v>4297</v>
      </c>
      <c r="C619" s="897" t="s">
        <v>4298</v>
      </c>
      <c r="D619" s="897" t="s">
        <v>1912</v>
      </c>
      <c r="E619" s="897"/>
      <c r="F619" s="897"/>
      <c r="G619" s="897"/>
      <c r="H619" s="898" t="e">
        <v>#N/A</v>
      </c>
      <c r="I619" s="899"/>
      <c r="J619" s="899"/>
    </row>
    <row r="620" spans="1:10">
      <c r="A620" s="896" t="s">
        <v>4299</v>
      </c>
      <c r="B620" s="897" t="s">
        <v>4300</v>
      </c>
      <c r="C620" s="897" t="s">
        <v>4301</v>
      </c>
      <c r="D620" s="897" t="s">
        <v>1912</v>
      </c>
      <c r="E620" s="897"/>
      <c r="F620" s="897" t="s">
        <v>4302</v>
      </c>
      <c r="G620" s="897" t="s">
        <v>4303</v>
      </c>
      <c r="H620" s="898" t="e">
        <v>#N/A</v>
      </c>
      <c r="I620" s="899"/>
      <c r="J620" s="899"/>
    </row>
    <row r="621" spans="1:10">
      <c r="A621" s="896" t="s">
        <v>4304</v>
      </c>
      <c r="B621" s="897" t="s">
        <v>4305</v>
      </c>
      <c r="C621" s="897" t="s">
        <v>4306</v>
      </c>
      <c r="D621" s="897" t="s">
        <v>1912</v>
      </c>
      <c r="E621" s="897"/>
      <c r="F621" s="897"/>
      <c r="G621" s="897"/>
      <c r="H621" s="898" t="e">
        <v>#N/A</v>
      </c>
      <c r="I621" s="899"/>
      <c r="J621" s="899"/>
    </row>
    <row r="622" spans="1:10">
      <c r="A622" s="896" t="s">
        <v>4307</v>
      </c>
      <c r="B622" s="897" t="s">
        <v>4308</v>
      </c>
      <c r="C622" s="897" t="s">
        <v>4309</v>
      </c>
      <c r="D622" s="897" t="s">
        <v>1912</v>
      </c>
      <c r="E622" s="897"/>
      <c r="F622" s="897" t="s">
        <v>4310</v>
      </c>
      <c r="G622" s="897" t="s">
        <v>4311</v>
      </c>
      <c r="H622" s="898" t="e">
        <v>#N/A</v>
      </c>
      <c r="I622" s="899"/>
      <c r="J622" s="899"/>
    </row>
    <row r="623" spans="1:10">
      <c r="A623" s="896" t="s">
        <v>4312</v>
      </c>
      <c r="B623" s="897" t="s">
        <v>135</v>
      </c>
      <c r="C623" s="897" t="s">
        <v>3133</v>
      </c>
      <c r="D623" s="897" t="s">
        <v>1278</v>
      </c>
      <c r="E623" s="897"/>
      <c r="F623" s="897"/>
      <c r="G623" s="897"/>
      <c r="H623" s="898" t="s">
        <v>1953</v>
      </c>
      <c r="I623" s="899"/>
      <c r="J623" s="899"/>
    </row>
    <row r="624" spans="1:10">
      <c r="A624" s="896" t="s">
        <v>4313</v>
      </c>
      <c r="B624" s="897" t="s">
        <v>4314</v>
      </c>
      <c r="C624" s="897" t="s">
        <v>4315</v>
      </c>
      <c r="D624" s="897" t="s">
        <v>1912</v>
      </c>
      <c r="E624" s="897"/>
      <c r="F624" s="897"/>
      <c r="G624" s="897"/>
      <c r="H624" s="898" t="e">
        <v>#N/A</v>
      </c>
      <c r="I624" s="899"/>
      <c r="J624" s="899"/>
    </row>
    <row r="625" spans="1:10">
      <c r="A625" s="896" t="s">
        <v>4316</v>
      </c>
      <c r="B625" s="897" t="s">
        <v>4317</v>
      </c>
      <c r="C625" s="897" t="s">
        <v>4318</v>
      </c>
      <c r="D625" s="897" t="s">
        <v>1912</v>
      </c>
      <c r="E625" s="897"/>
      <c r="F625" s="897"/>
      <c r="G625" s="897"/>
      <c r="H625" s="898" t="e">
        <v>#N/A</v>
      </c>
      <c r="I625" s="899"/>
      <c r="J625" s="899"/>
    </row>
    <row r="626" spans="1:10">
      <c r="A626" s="896" t="s">
        <v>4319</v>
      </c>
      <c r="B626" s="897" t="s">
        <v>4320</v>
      </c>
      <c r="C626" s="897"/>
      <c r="D626" s="897" t="s">
        <v>1912</v>
      </c>
      <c r="E626" s="897"/>
      <c r="F626" s="897"/>
      <c r="G626" s="897"/>
      <c r="H626" s="898" t="s">
        <v>1914</v>
      </c>
      <c r="I626" s="899"/>
      <c r="J626" s="899"/>
    </row>
    <row r="627" spans="1:10">
      <c r="A627" s="896" t="s">
        <v>4321</v>
      </c>
      <c r="B627" s="897" t="s">
        <v>4322</v>
      </c>
      <c r="C627" s="897" t="s">
        <v>4323</v>
      </c>
      <c r="D627" s="897" t="s">
        <v>1912</v>
      </c>
      <c r="E627" s="897"/>
      <c r="F627" s="897"/>
      <c r="G627" s="897"/>
      <c r="H627" s="898" t="e">
        <v>#N/A</v>
      </c>
      <c r="I627" s="899"/>
      <c r="J627" s="899"/>
    </row>
    <row r="628" spans="1:10">
      <c r="A628" s="896" t="s">
        <v>4324</v>
      </c>
      <c r="B628" s="897" t="s">
        <v>4325</v>
      </c>
      <c r="C628" s="897" t="s">
        <v>4326</v>
      </c>
      <c r="D628" s="897" t="s">
        <v>1912</v>
      </c>
      <c r="E628" s="897"/>
      <c r="F628" s="897"/>
      <c r="G628" s="897"/>
      <c r="H628" s="898" t="s">
        <v>1953</v>
      </c>
      <c r="I628" s="899"/>
      <c r="J628" s="899"/>
    </row>
    <row r="629" spans="1:10">
      <c r="A629" s="896" t="s">
        <v>4327</v>
      </c>
      <c r="B629" s="897" t="s">
        <v>4328</v>
      </c>
      <c r="C629" s="897" t="s">
        <v>4329</v>
      </c>
      <c r="D629" s="897" t="s">
        <v>1912</v>
      </c>
      <c r="E629" s="897"/>
      <c r="F629" s="897"/>
      <c r="G629" s="897"/>
      <c r="H629" s="898" t="e">
        <v>#N/A</v>
      </c>
      <c r="I629" s="899"/>
      <c r="J629" s="899"/>
    </row>
    <row r="630" spans="1:10">
      <c r="A630" s="896" t="s">
        <v>4330</v>
      </c>
      <c r="B630" s="897" t="s">
        <v>4331</v>
      </c>
      <c r="C630" s="897" t="s">
        <v>4332</v>
      </c>
      <c r="D630" s="897" t="s">
        <v>1912</v>
      </c>
      <c r="E630" s="897"/>
      <c r="F630" s="897"/>
      <c r="G630" s="897"/>
      <c r="H630" s="898" t="s">
        <v>1953</v>
      </c>
      <c r="I630" s="899"/>
      <c r="J630" s="899"/>
    </row>
    <row r="631" spans="1:10">
      <c r="A631" s="896" t="s">
        <v>4333</v>
      </c>
      <c r="B631" s="897" t="s">
        <v>4334</v>
      </c>
      <c r="C631" s="897" t="s">
        <v>4335</v>
      </c>
      <c r="D631" s="897" t="s">
        <v>1912</v>
      </c>
      <c r="E631" s="897"/>
      <c r="F631" s="897"/>
      <c r="G631" s="897"/>
      <c r="H631" s="898" t="e">
        <v>#N/A</v>
      </c>
      <c r="I631" s="899"/>
      <c r="J631" s="899"/>
    </row>
    <row r="632" spans="1:10">
      <c r="A632" s="896" t="s">
        <v>4336</v>
      </c>
      <c r="B632" s="897" t="s">
        <v>4337</v>
      </c>
      <c r="C632" s="897" t="s">
        <v>4338</v>
      </c>
      <c r="D632" s="897" t="s">
        <v>1912</v>
      </c>
      <c r="E632" s="897"/>
      <c r="F632" s="897"/>
      <c r="G632" s="897"/>
      <c r="H632" s="898" t="e">
        <v>#N/A</v>
      </c>
      <c r="I632" s="899"/>
      <c r="J632" s="899"/>
    </row>
    <row r="633" spans="1:10">
      <c r="A633" s="896" t="s">
        <v>4339</v>
      </c>
      <c r="B633" s="897" t="s">
        <v>1086</v>
      </c>
      <c r="C633" s="897"/>
      <c r="D633" s="897" t="s">
        <v>1912</v>
      </c>
      <c r="E633" s="897"/>
      <c r="F633" s="897"/>
      <c r="G633" s="897"/>
      <c r="H633" s="898">
        <v>0</v>
      </c>
      <c r="I633" s="899"/>
      <c r="J633" s="899"/>
    </row>
    <row r="634" spans="1:10">
      <c r="A634" s="896" t="s">
        <v>4340</v>
      </c>
      <c r="B634" s="897" t="s">
        <v>138</v>
      </c>
      <c r="C634" s="897" t="s">
        <v>4341</v>
      </c>
      <c r="D634" s="897" t="s">
        <v>1134</v>
      </c>
      <c r="E634" s="897"/>
      <c r="F634" s="897"/>
      <c r="G634" s="897"/>
      <c r="H634" s="898" t="s">
        <v>1953</v>
      </c>
      <c r="I634" s="899"/>
      <c r="J634" s="899"/>
    </row>
    <row r="635" spans="1:10">
      <c r="A635" s="896" t="s">
        <v>4342</v>
      </c>
      <c r="B635" s="897" t="s">
        <v>4343</v>
      </c>
      <c r="C635" s="897" t="s">
        <v>4344</v>
      </c>
      <c r="D635" s="897" t="s">
        <v>1912</v>
      </c>
      <c r="E635" s="897"/>
      <c r="F635" s="897"/>
      <c r="G635" s="897"/>
      <c r="H635" s="898" t="e">
        <v>#N/A</v>
      </c>
      <c r="I635" s="899"/>
      <c r="J635" s="899"/>
    </row>
    <row r="636" spans="1:10">
      <c r="A636" s="896" t="s">
        <v>4345</v>
      </c>
      <c r="B636" s="897" t="s">
        <v>4346</v>
      </c>
      <c r="C636" s="897" t="s">
        <v>3627</v>
      </c>
      <c r="D636" s="897" t="s">
        <v>1912</v>
      </c>
      <c r="E636" s="897"/>
      <c r="F636" s="897"/>
      <c r="G636" s="897"/>
      <c r="H636" s="898" t="e">
        <v>#N/A</v>
      </c>
      <c r="I636" s="899"/>
      <c r="J636" s="899"/>
    </row>
    <row r="637" spans="1:10">
      <c r="A637" s="896" t="s">
        <v>4347</v>
      </c>
      <c r="B637" s="897" t="s">
        <v>4348</v>
      </c>
      <c r="C637" s="897" t="s">
        <v>4349</v>
      </c>
      <c r="D637" s="897" t="s">
        <v>1912</v>
      </c>
      <c r="E637" s="897"/>
      <c r="F637" s="897"/>
      <c r="G637" s="897"/>
      <c r="H637" s="898" t="e">
        <v>#N/A</v>
      </c>
      <c r="I637" s="899"/>
      <c r="J637" s="899"/>
    </row>
    <row r="638" spans="1:10">
      <c r="A638" s="896" t="s">
        <v>4350</v>
      </c>
      <c r="B638" s="897" t="s">
        <v>1683</v>
      </c>
      <c r="C638" s="897" t="s">
        <v>1912</v>
      </c>
      <c r="D638" s="897" t="s">
        <v>1912</v>
      </c>
      <c r="E638" s="897"/>
      <c r="F638" s="897"/>
      <c r="G638" s="897"/>
      <c r="H638" s="898" t="e">
        <v>#N/A</v>
      </c>
      <c r="I638" s="899"/>
      <c r="J638" s="899"/>
    </row>
    <row r="639" spans="1:10">
      <c r="A639" s="896" t="s">
        <v>4351</v>
      </c>
      <c r="B639" s="897" t="s">
        <v>4352</v>
      </c>
      <c r="C639" s="897" t="s">
        <v>4353</v>
      </c>
      <c r="D639" s="897" t="s">
        <v>1912</v>
      </c>
      <c r="E639" s="897"/>
      <c r="F639" s="897"/>
      <c r="G639" s="897"/>
      <c r="H639" s="898" t="e">
        <v>#N/A</v>
      </c>
      <c r="I639" s="899"/>
      <c r="J639" s="899"/>
    </row>
    <row r="640" spans="1:10">
      <c r="A640" s="896" t="s">
        <v>4354</v>
      </c>
      <c r="B640" s="897" t="s">
        <v>4355</v>
      </c>
      <c r="C640" s="897" t="s">
        <v>4344</v>
      </c>
      <c r="D640" s="897" t="s">
        <v>1912</v>
      </c>
      <c r="E640" s="897"/>
      <c r="F640" s="897"/>
      <c r="G640" s="897"/>
      <c r="H640" s="898" t="e">
        <v>#N/A</v>
      </c>
      <c r="I640" s="899"/>
      <c r="J640" s="899"/>
    </row>
    <row r="641" spans="1:10">
      <c r="A641" s="896" t="s">
        <v>4356</v>
      </c>
      <c r="B641" s="897" t="s">
        <v>4357</v>
      </c>
      <c r="C641" s="897" t="s">
        <v>4358</v>
      </c>
      <c r="D641" s="897" t="s">
        <v>1912</v>
      </c>
      <c r="E641" s="897"/>
      <c r="F641" s="897"/>
      <c r="G641" s="897"/>
      <c r="H641" s="898" t="e">
        <v>#N/A</v>
      </c>
      <c r="I641" s="899"/>
      <c r="J641" s="899"/>
    </row>
    <row r="642" spans="1:10">
      <c r="A642" s="896" t="s">
        <v>4359</v>
      </c>
      <c r="B642" s="897" t="s">
        <v>4360</v>
      </c>
      <c r="C642" s="897" t="s">
        <v>4361</v>
      </c>
      <c r="D642" s="897" t="s">
        <v>1912</v>
      </c>
      <c r="E642" s="897"/>
      <c r="F642" s="897"/>
      <c r="G642" s="897"/>
      <c r="H642" s="898" t="s">
        <v>1914</v>
      </c>
      <c r="I642" s="899"/>
      <c r="J642" s="899"/>
    </row>
    <row r="643" spans="1:10">
      <c r="A643" s="896" t="s">
        <v>4362</v>
      </c>
      <c r="B643" s="897" t="s">
        <v>4363</v>
      </c>
      <c r="C643" s="897" t="s">
        <v>4364</v>
      </c>
      <c r="D643" s="897" t="s">
        <v>1912</v>
      </c>
      <c r="E643" s="897"/>
      <c r="F643" s="897"/>
      <c r="G643" s="897"/>
      <c r="H643" s="898" t="s">
        <v>1914</v>
      </c>
      <c r="I643" s="899"/>
      <c r="J643" s="899"/>
    </row>
    <row r="644" spans="1:10">
      <c r="A644" s="896" t="s">
        <v>4365</v>
      </c>
      <c r="B644" s="897" t="s">
        <v>4366</v>
      </c>
      <c r="C644" s="897" t="s">
        <v>4367</v>
      </c>
      <c r="D644" s="897" t="s">
        <v>1912</v>
      </c>
      <c r="E644" s="897"/>
      <c r="F644" s="897"/>
      <c r="G644" s="897"/>
      <c r="H644" s="898" t="e">
        <v>#N/A</v>
      </c>
      <c r="I644" s="899"/>
      <c r="J644" s="899"/>
    </row>
    <row r="645" spans="1:10">
      <c r="A645" s="896" t="s">
        <v>4368</v>
      </c>
      <c r="B645" s="897" t="s">
        <v>4369</v>
      </c>
      <c r="C645" s="897" t="s">
        <v>4370</v>
      </c>
      <c r="D645" s="897" t="s">
        <v>1912</v>
      </c>
      <c r="E645" s="897"/>
      <c r="F645" s="897"/>
      <c r="G645" s="897"/>
      <c r="H645" s="898" t="e">
        <v>#N/A</v>
      </c>
      <c r="I645" s="899"/>
      <c r="J645" s="899"/>
    </row>
    <row r="646" spans="1:10">
      <c r="A646" s="896" t="s">
        <v>4371</v>
      </c>
      <c r="B646" s="897" t="s">
        <v>4372</v>
      </c>
      <c r="C646" s="897" t="s">
        <v>4373</v>
      </c>
      <c r="D646" s="897" t="s">
        <v>1912</v>
      </c>
      <c r="E646" s="897"/>
      <c r="F646" s="897"/>
      <c r="G646" s="897"/>
      <c r="H646" s="898" t="e">
        <v>#N/A</v>
      </c>
      <c r="I646" s="899"/>
      <c r="J646" s="899"/>
    </row>
    <row r="647" spans="1:10">
      <c r="A647" s="896" t="s">
        <v>4374</v>
      </c>
      <c r="B647" s="897" t="s">
        <v>1365</v>
      </c>
      <c r="C647" s="897" t="s">
        <v>4375</v>
      </c>
      <c r="D647" s="897" t="s">
        <v>1912</v>
      </c>
      <c r="E647" s="897"/>
      <c r="F647" s="897"/>
      <c r="G647" s="897"/>
      <c r="H647" s="898" t="s">
        <v>1953</v>
      </c>
      <c r="I647" s="899"/>
      <c r="J647" s="899"/>
    </row>
    <row r="648" spans="1:10">
      <c r="A648" s="896" t="s">
        <v>4376</v>
      </c>
      <c r="B648" s="897" t="s">
        <v>4377</v>
      </c>
      <c r="C648" s="897" t="s">
        <v>4378</v>
      </c>
      <c r="D648" s="897" t="s">
        <v>1912</v>
      </c>
      <c r="E648" s="897"/>
      <c r="F648" s="897" t="s">
        <v>4379</v>
      </c>
      <c r="G648" s="897" t="s">
        <v>4380</v>
      </c>
      <c r="H648" s="898" t="e">
        <v>#N/A</v>
      </c>
      <c r="I648" s="899"/>
      <c r="J648" s="899"/>
    </row>
    <row r="649" spans="1:10">
      <c r="A649" s="896" t="s">
        <v>4381</v>
      </c>
      <c r="B649" s="897" t="s">
        <v>4382</v>
      </c>
      <c r="C649" s="897" t="s">
        <v>4383</v>
      </c>
      <c r="D649" s="897" t="s">
        <v>4384</v>
      </c>
      <c r="E649" s="897"/>
      <c r="F649" s="897"/>
      <c r="G649" s="897"/>
      <c r="H649" s="898" t="e">
        <v>#N/A</v>
      </c>
      <c r="I649" s="899"/>
      <c r="J649" s="899"/>
    </row>
    <row r="650" spans="1:10">
      <c r="A650" s="896" t="s">
        <v>4385</v>
      </c>
      <c r="B650" s="897" t="s">
        <v>4386</v>
      </c>
      <c r="C650" s="897" t="s">
        <v>4387</v>
      </c>
      <c r="D650" s="897" t="s">
        <v>1912</v>
      </c>
      <c r="E650" s="897"/>
      <c r="F650" s="897" t="s">
        <v>4388</v>
      </c>
      <c r="G650" s="897" t="s">
        <v>4389</v>
      </c>
      <c r="H650" s="898" t="e">
        <v>#N/A</v>
      </c>
      <c r="I650" s="899"/>
      <c r="J650" s="899"/>
    </row>
    <row r="651" spans="1:10">
      <c r="A651" s="896" t="s">
        <v>4390</v>
      </c>
      <c r="B651" s="897" t="s">
        <v>4391</v>
      </c>
      <c r="C651" s="897" t="s">
        <v>4392</v>
      </c>
      <c r="D651" s="897" t="s">
        <v>1912</v>
      </c>
      <c r="E651" s="897"/>
      <c r="F651" s="897"/>
      <c r="G651" s="897"/>
      <c r="H651" s="898" t="e">
        <v>#N/A</v>
      </c>
      <c r="I651" s="899"/>
      <c r="J651" s="899"/>
    </row>
    <row r="652" spans="1:10">
      <c r="A652" s="896" t="s">
        <v>4393</v>
      </c>
      <c r="B652" s="897" t="s">
        <v>4394</v>
      </c>
      <c r="C652" s="897" t="s">
        <v>4395</v>
      </c>
      <c r="D652" s="897" t="s">
        <v>1912</v>
      </c>
      <c r="E652" s="897"/>
      <c r="F652" s="897"/>
      <c r="G652" s="897"/>
      <c r="H652" s="898" t="e">
        <v>#N/A</v>
      </c>
      <c r="I652" s="899"/>
      <c r="J652" s="899"/>
    </row>
    <row r="653" spans="1:10">
      <c r="A653" s="896" t="s">
        <v>4396</v>
      </c>
      <c r="B653" s="897" t="s">
        <v>4397</v>
      </c>
      <c r="C653" s="897" t="s">
        <v>4398</v>
      </c>
      <c r="D653" s="897" t="s">
        <v>1912</v>
      </c>
      <c r="E653" s="897"/>
      <c r="F653" s="897"/>
      <c r="G653" s="897"/>
      <c r="H653" s="898" t="e">
        <v>#N/A</v>
      </c>
      <c r="I653" s="899"/>
      <c r="J653" s="899"/>
    </row>
    <row r="654" spans="1:10">
      <c r="A654" s="896" t="s">
        <v>4399</v>
      </c>
      <c r="B654" s="897" t="s">
        <v>1366</v>
      </c>
      <c r="C654" s="897" t="s">
        <v>4400</v>
      </c>
      <c r="D654" s="897" t="s">
        <v>1912</v>
      </c>
      <c r="E654" s="897"/>
      <c r="F654" s="897"/>
      <c r="G654" s="897"/>
      <c r="H654" s="898" t="e">
        <v>#N/A</v>
      </c>
      <c r="I654" s="899"/>
      <c r="J654" s="899"/>
    </row>
    <row r="655" spans="1:10">
      <c r="A655" s="896" t="s">
        <v>4401</v>
      </c>
      <c r="B655" s="897" t="s">
        <v>4402</v>
      </c>
      <c r="C655" s="897" t="s">
        <v>4403</v>
      </c>
      <c r="D655" s="897" t="s">
        <v>1912</v>
      </c>
      <c r="E655" s="897"/>
      <c r="F655" s="897"/>
      <c r="G655" s="897"/>
      <c r="H655" s="898" t="s">
        <v>1914</v>
      </c>
      <c r="I655" s="899"/>
      <c r="J655" s="899"/>
    </row>
    <row r="656" spans="1:10">
      <c r="A656" s="896" t="s">
        <v>4404</v>
      </c>
      <c r="B656" s="897" t="s">
        <v>4405</v>
      </c>
      <c r="C656" s="897" t="s">
        <v>1912</v>
      </c>
      <c r="D656" s="897" t="s">
        <v>1912</v>
      </c>
      <c r="E656" s="897"/>
      <c r="F656" s="897"/>
      <c r="G656" s="897"/>
      <c r="H656" s="898" t="e">
        <v>#N/A</v>
      </c>
      <c r="I656" s="899"/>
      <c r="J656" s="899"/>
    </row>
    <row r="657" spans="1:10">
      <c r="A657" s="896" t="s">
        <v>4406</v>
      </c>
      <c r="B657" s="897" t="s">
        <v>4407</v>
      </c>
      <c r="C657" s="897" t="s">
        <v>4408</v>
      </c>
      <c r="D657" s="897" t="s">
        <v>1912</v>
      </c>
      <c r="E657" s="897"/>
      <c r="F657" s="897"/>
      <c r="G657" s="897"/>
      <c r="H657" s="898" t="e">
        <v>#N/A</v>
      </c>
      <c r="I657" s="899"/>
      <c r="J657" s="899"/>
    </row>
    <row r="658" spans="1:10">
      <c r="A658" s="896" t="s">
        <v>4409</v>
      </c>
      <c r="B658" s="897" t="s">
        <v>4410</v>
      </c>
      <c r="C658" s="897" t="s">
        <v>4411</v>
      </c>
      <c r="D658" s="897" t="s">
        <v>1912</v>
      </c>
      <c r="E658" s="897"/>
      <c r="F658" s="897"/>
      <c r="G658" s="897"/>
      <c r="H658" s="898" t="e">
        <v>#N/A</v>
      </c>
      <c r="I658" s="899"/>
      <c r="J658" s="899"/>
    </row>
    <row r="659" spans="1:10">
      <c r="A659" s="896" t="s">
        <v>4412</v>
      </c>
      <c r="B659" s="897" t="s">
        <v>502</v>
      </c>
      <c r="C659" s="897" t="s">
        <v>4413</v>
      </c>
      <c r="D659" s="897" t="s">
        <v>1912</v>
      </c>
      <c r="E659" s="897"/>
      <c r="F659" s="897"/>
      <c r="G659" s="897"/>
      <c r="H659" s="898" t="s">
        <v>1914</v>
      </c>
      <c r="I659" s="899"/>
      <c r="J659" s="899"/>
    </row>
    <row r="660" spans="1:10">
      <c r="A660" s="896" t="s">
        <v>4414</v>
      </c>
      <c r="B660" s="897" t="s">
        <v>4415</v>
      </c>
      <c r="C660" s="897" t="s">
        <v>4416</v>
      </c>
      <c r="D660" s="897" t="s">
        <v>1912</v>
      </c>
      <c r="E660" s="897"/>
      <c r="F660" s="897" t="s">
        <v>4417</v>
      </c>
      <c r="G660" s="897" t="s">
        <v>4418</v>
      </c>
      <c r="H660" s="898" t="s">
        <v>1914</v>
      </c>
      <c r="I660" s="899"/>
      <c r="J660" s="899"/>
    </row>
    <row r="661" spans="1:10">
      <c r="A661" s="896" t="s">
        <v>4419</v>
      </c>
      <c r="B661" s="897" t="s">
        <v>4420</v>
      </c>
      <c r="C661" s="897" t="s">
        <v>3980</v>
      </c>
      <c r="D661" s="897" t="s">
        <v>1912</v>
      </c>
      <c r="E661" s="897"/>
      <c r="F661" s="897"/>
      <c r="G661" s="897"/>
      <c r="H661" s="898" t="e">
        <v>#N/A</v>
      </c>
      <c r="I661" s="899"/>
      <c r="J661" s="899"/>
    </row>
    <row r="662" spans="1:10">
      <c r="A662" s="896" t="s">
        <v>4421</v>
      </c>
      <c r="B662" s="897" t="s">
        <v>4422</v>
      </c>
      <c r="C662" s="897" t="s">
        <v>4054</v>
      </c>
      <c r="D662" s="897" t="s">
        <v>1912</v>
      </c>
      <c r="E662" s="897"/>
      <c r="F662" s="897"/>
      <c r="G662" s="897"/>
      <c r="H662" s="898" t="e">
        <v>#N/A</v>
      </c>
      <c r="I662" s="899"/>
      <c r="J662" s="899"/>
    </row>
    <row r="663" spans="1:10">
      <c r="A663" s="896" t="s">
        <v>4423</v>
      </c>
      <c r="B663" s="897" t="s">
        <v>4424</v>
      </c>
      <c r="C663" s="897" t="s">
        <v>4425</v>
      </c>
      <c r="D663" s="897" t="s">
        <v>1912</v>
      </c>
      <c r="E663" s="897"/>
      <c r="F663" s="897"/>
      <c r="G663" s="897"/>
      <c r="H663" s="898" t="s">
        <v>1953</v>
      </c>
      <c r="I663" s="899"/>
      <c r="J663" s="899"/>
    </row>
    <row r="664" spans="1:10">
      <c r="A664" s="896" t="s">
        <v>4426</v>
      </c>
      <c r="B664" s="897" t="s">
        <v>339</v>
      </c>
      <c r="C664" s="897" t="s">
        <v>3663</v>
      </c>
      <c r="D664" s="897" t="s">
        <v>4427</v>
      </c>
      <c r="E664" s="897"/>
      <c r="F664" s="897" t="s">
        <v>4428</v>
      </c>
      <c r="G664" s="897" t="s">
        <v>4429</v>
      </c>
      <c r="H664" s="898" t="s">
        <v>1953</v>
      </c>
      <c r="I664" s="899"/>
      <c r="J664" s="899"/>
    </row>
    <row r="665" spans="1:10">
      <c r="A665" s="896" t="s">
        <v>4430</v>
      </c>
      <c r="B665" s="897" t="s">
        <v>323</v>
      </c>
      <c r="C665" s="897"/>
      <c r="D665" s="897" t="s">
        <v>4427</v>
      </c>
      <c r="E665" s="897"/>
      <c r="F665" s="897"/>
      <c r="G665" s="897"/>
      <c r="H665" s="898" t="e">
        <v>#N/A</v>
      </c>
      <c r="I665" s="899"/>
      <c r="J665" s="899"/>
    </row>
    <row r="666" spans="1:10">
      <c r="A666" s="896" t="s">
        <v>4431</v>
      </c>
      <c r="B666" s="897" t="s">
        <v>581</v>
      </c>
      <c r="C666" s="897" t="s">
        <v>1912</v>
      </c>
      <c r="D666" s="897" t="s">
        <v>1140</v>
      </c>
      <c r="E666" s="897"/>
      <c r="F666" s="897"/>
      <c r="G666" s="897"/>
      <c r="H666" s="898" t="s">
        <v>1914</v>
      </c>
      <c r="I666" s="899"/>
      <c r="J666" s="899"/>
    </row>
    <row r="667" spans="1:10">
      <c r="A667" s="896" t="s">
        <v>4432</v>
      </c>
      <c r="B667" s="897" t="s">
        <v>4433</v>
      </c>
      <c r="C667" s="897" t="s">
        <v>1912</v>
      </c>
      <c r="D667" s="897" t="s">
        <v>1912</v>
      </c>
      <c r="E667" s="897"/>
      <c r="F667" s="897"/>
      <c r="G667" s="897"/>
      <c r="H667" s="898" t="e">
        <v>#N/A</v>
      </c>
      <c r="I667" s="899"/>
      <c r="J667" s="899"/>
    </row>
    <row r="668" spans="1:10">
      <c r="A668" s="896" t="s">
        <v>4434</v>
      </c>
      <c r="B668" s="897" t="s">
        <v>4435</v>
      </c>
      <c r="C668" s="897" t="s">
        <v>4101</v>
      </c>
      <c r="D668" s="897" t="s">
        <v>1912</v>
      </c>
      <c r="E668" s="897"/>
      <c r="F668" s="897"/>
      <c r="G668" s="897"/>
      <c r="H668" s="898" t="e">
        <v>#N/A</v>
      </c>
      <c r="I668" s="899"/>
      <c r="J668" s="899"/>
    </row>
    <row r="669" spans="1:10">
      <c r="A669" s="896" t="s">
        <v>4436</v>
      </c>
      <c r="B669" s="897" t="s">
        <v>4437</v>
      </c>
      <c r="C669" s="897" t="s">
        <v>4438</v>
      </c>
      <c r="D669" s="897" t="s">
        <v>1912</v>
      </c>
      <c r="E669" s="897"/>
      <c r="F669" s="897" t="s">
        <v>4439</v>
      </c>
      <c r="G669" s="897" t="s">
        <v>4440</v>
      </c>
      <c r="H669" s="898" t="e">
        <v>#N/A</v>
      </c>
      <c r="I669" s="899"/>
      <c r="J669" s="899"/>
    </row>
    <row r="670" spans="1:10">
      <c r="A670" s="896" t="s">
        <v>4441</v>
      </c>
      <c r="B670" s="897" t="s">
        <v>4442</v>
      </c>
      <c r="C670" s="897" t="s">
        <v>1912</v>
      </c>
      <c r="D670" s="897" t="s">
        <v>1912</v>
      </c>
      <c r="E670" s="897"/>
      <c r="F670" s="897"/>
      <c r="G670" s="897"/>
      <c r="H670" s="898" t="e">
        <v>#N/A</v>
      </c>
      <c r="I670" s="899"/>
      <c r="J670" s="899"/>
    </row>
    <row r="671" spans="1:10">
      <c r="A671" s="896" t="s">
        <v>4443</v>
      </c>
      <c r="B671" s="897" t="s">
        <v>4444</v>
      </c>
      <c r="C671" s="897" t="s">
        <v>4445</v>
      </c>
      <c r="D671" s="897" t="s">
        <v>1912</v>
      </c>
      <c r="E671" s="897"/>
      <c r="F671" s="897" t="s">
        <v>4446</v>
      </c>
      <c r="G671" s="897" t="s">
        <v>4447</v>
      </c>
      <c r="H671" s="898" t="e">
        <v>#N/A</v>
      </c>
      <c r="I671" s="899"/>
      <c r="J671" s="899"/>
    </row>
    <row r="672" spans="1:10">
      <c r="A672" s="896" t="s">
        <v>4448</v>
      </c>
      <c r="B672" s="897" t="s">
        <v>4449</v>
      </c>
      <c r="C672" s="897" t="s">
        <v>4450</v>
      </c>
      <c r="D672" s="897" t="s">
        <v>1912</v>
      </c>
      <c r="E672" s="897"/>
      <c r="F672" s="897"/>
      <c r="G672" s="897"/>
      <c r="H672" s="898" t="e">
        <v>#N/A</v>
      </c>
      <c r="I672" s="899"/>
      <c r="J672" s="899"/>
    </row>
    <row r="673" spans="1:10">
      <c r="A673" s="896" t="s">
        <v>4451</v>
      </c>
      <c r="B673" s="897" t="s">
        <v>1687</v>
      </c>
      <c r="C673" s="897" t="s">
        <v>2679</v>
      </c>
      <c r="D673" s="897" t="s">
        <v>1912</v>
      </c>
      <c r="E673" s="897"/>
      <c r="F673" s="897"/>
      <c r="G673" s="897"/>
      <c r="H673" s="898" t="s">
        <v>1953</v>
      </c>
      <c r="I673" s="899"/>
      <c r="J673" s="899"/>
    </row>
    <row r="674" spans="1:10">
      <c r="A674" s="896" t="s">
        <v>4452</v>
      </c>
      <c r="B674" s="897" t="s">
        <v>4453</v>
      </c>
      <c r="C674" s="897" t="s">
        <v>1912</v>
      </c>
      <c r="D674" s="897" t="s">
        <v>1912</v>
      </c>
      <c r="E674" s="897"/>
      <c r="F674" s="897"/>
      <c r="G674" s="897"/>
      <c r="H674" s="898" t="e">
        <v>#N/A</v>
      </c>
      <c r="I674" s="899"/>
      <c r="J674" s="899"/>
    </row>
    <row r="675" spans="1:10">
      <c r="A675" s="896" t="s">
        <v>4454</v>
      </c>
      <c r="B675" s="897" t="s">
        <v>4455</v>
      </c>
      <c r="C675" s="897" t="s">
        <v>4456</v>
      </c>
      <c r="D675" s="897" t="s">
        <v>1912</v>
      </c>
      <c r="E675" s="897"/>
      <c r="F675" s="897"/>
      <c r="G675" s="897"/>
      <c r="H675" s="898" t="e">
        <v>#N/A</v>
      </c>
      <c r="I675" s="899"/>
      <c r="J675" s="899"/>
    </row>
    <row r="676" spans="1:10">
      <c r="A676" s="896" t="s">
        <v>4457</v>
      </c>
      <c r="B676" s="897" t="s">
        <v>4458</v>
      </c>
      <c r="C676" s="897" t="s">
        <v>1912</v>
      </c>
      <c r="D676" s="897" t="s">
        <v>1912</v>
      </c>
      <c r="E676" s="897"/>
      <c r="F676" s="897"/>
      <c r="G676" s="897"/>
      <c r="H676" s="898" t="e">
        <v>#N/A</v>
      </c>
      <c r="I676" s="899"/>
      <c r="J676" s="899"/>
    </row>
    <row r="677" spans="1:10">
      <c r="A677" s="896" t="s">
        <v>4459</v>
      </c>
      <c r="B677" s="897" t="s">
        <v>4460</v>
      </c>
      <c r="C677" s="897" t="s">
        <v>4461</v>
      </c>
      <c r="D677" s="897" t="s">
        <v>1912</v>
      </c>
      <c r="E677" s="897"/>
      <c r="F677" s="897"/>
      <c r="G677" s="897"/>
      <c r="H677" s="898" t="e">
        <v>#N/A</v>
      </c>
      <c r="I677" s="899"/>
      <c r="J677" s="899"/>
    </row>
    <row r="678" spans="1:10">
      <c r="A678" s="896" t="s">
        <v>4462</v>
      </c>
      <c r="B678" s="897" t="s">
        <v>4463</v>
      </c>
      <c r="C678" s="897" t="s">
        <v>4464</v>
      </c>
      <c r="D678" s="897" t="s">
        <v>1912</v>
      </c>
      <c r="E678" s="897"/>
      <c r="F678" s="897"/>
      <c r="G678" s="897"/>
      <c r="H678" s="898" t="e">
        <v>#N/A</v>
      </c>
      <c r="I678" s="899"/>
      <c r="J678" s="899"/>
    </row>
    <row r="679" spans="1:10">
      <c r="A679" s="896" t="s">
        <v>4465</v>
      </c>
      <c r="B679" s="897" t="s">
        <v>4466</v>
      </c>
      <c r="C679" s="897" t="s">
        <v>4467</v>
      </c>
      <c r="D679" s="897" t="s">
        <v>1912</v>
      </c>
      <c r="E679" s="897"/>
      <c r="F679" s="897"/>
      <c r="G679" s="897"/>
      <c r="H679" s="898" t="e">
        <v>#N/A</v>
      </c>
      <c r="I679" s="899"/>
      <c r="J679" s="899"/>
    </row>
    <row r="680" spans="1:10">
      <c r="A680" s="896" t="s">
        <v>4468</v>
      </c>
      <c r="B680" s="897" t="s">
        <v>1689</v>
      </c>
      <c r="C680" s="897" t="s">
        <v>1912</v>
      </c>
      <c r="D680" s="897" t="s">
        <v>1912</v>
      </c>
      <c r="E680" s="897"/>
      <c r="F680" s="897"/>
      <c r="G680" s="897"/>
      <c r="H680" s="898" t="e">
        <v>#N/A</v>
      </c>
      <c r="I680" s="899"/>
      <c r="J680" s="899"/>
    </row>
    <row r="681" spans="1:10">
      <c r="A681" s="896" t="s">
        <v>4469</v>
      </c>
      <c r="B681" s="897" t="s">
        <v>266</v>
      </c>
      <c r="C681" s="897" t="s">
        <v>4470</v>
      </c>
      <c r="D681" s="897" t="s">
        <v>4471</v>
      </c>
      <c r="E681" s="897"/>
      <c r="F681" s="897"/>
      <c r="G681" s="897"/>
      <c r="H681" s="898" t="e">
        <v>#N/A</v>
      </c>
      <c r="I681" s="899"/>
      <c r="J681" s="899"/>
    </row>
    <row r="682" spans="1:10">
      <c r="A682" s="896" t="s">
        <v>4472</v>
      </c>
      <c r="B682" s="897" t="s">
        <v>4473</v>
      </c>
      <c r="C682" s="897" t="s">
        <v>4474</v>
      </c>
      <c r="D682" s="897" t="s">
        <v>1912</v>
      </c>
      <c r="E682" s="897"/>
      <c r="F682" s="897"/>
      <c r="G682" s="897"/>
      <c r="H682" s="898" t="e">
        <v>#N/A</v>
      </c>
      <c r="I682" s="899"/>
      <c r="J682" s="899"/>
    </row>
    <row r="683" spans="1:10">
      <c r="A683" s="896" t="s">
        <v>4475</v>
      </c>
      <c r="B683" s="897" t="s">
        <v>4476</v>
      </c>
      <c r="C683" s="897" t="s">
        <v>4477</v>
      </c>
      <c r="D683" s="897" t="s">
        <v>1912</v>
      </c>
      <c r="E683" s="897"/>
      <c r="F683" s="897"/>
      <c r="G683" s="897"/>
      <c r="H683" s="898" t="e">
        <v>#N/A</v>
      </c>
      <c r="I683" s="899"/>
      <c r="J683" s="899"/>
    </row>
    <row r="684" spans="1:10">
      <c r="A684" s="896" t="s">
        <v>4478</v>
      </c>
      <c r="B684" s="897" t="s">
        <v>4479</v>
      </c>
      <c r="C684" s="897" t="s">
        <v>4480</v>
      </c>
      <c r="D684" s="897" t="s">
        <v>1912</v>
      </c>
      <c r="E684" s="897"/>
      <c r="F684" s="897"/>
      <c r="G684" s="897"/>
      <c r="H684" s="898" t="e">
        <v>#N/A</v>
      </c>
      <c r="I684" s="899"/>
      <c r="J684" s="899"/>
    </row>
    <row r="685" spans="1:10">
      <c r="A685" s="896" t="s">
        <v>4481</v>
      </c>
      <c r="B685" s="897" t="s">
        <v>4482</v>
      </c>
      <c r="C685" s="897" t="s">
        <v>4483</v>
      </c>
      <c r="D685" s="897" t="s">
        <v>1912</v>
      </c>
      <c r="E685" s="897"/>
      <c r="F685" s="897"/>
      <c r="G685" s="897"/>
      <c r="H685" s="898" t="e">
        <v>#N/A</v>
      </c>
      <c r="I685" s="899"/>
      <c r="J685" s="899"/>
    </row>
    <row r="686" spans="1:10">
      <c r="A686" s="896" t="s">
        <v>4484</v>
      </c>
      <c r="B686" s="897" t="s">
        <v>274</v>
      </c>
      <c r="C686" s="897" t="s">
        <v>4485</v>
      </c>
      <c r="D686" s="897" t="s">
        <v>4486</v>
      </c>
      <c r="E686" s="897"/>
      <c r="F686" s="897" t="s">
        <v>4237</v>
      </c>
      <c r="G686" s="897" t="s">
        <v>4487</v>
      </c>
      <c r="H686" s="898" t="s">
        <v>1936</v>
      </c>
      <c r="I686" s="899"/>
      <c r="J686" s="899"/>
    </row>
    <row r="687" spans="1:10">
      <c r="A687" s="896" t="s">
        <v>4488</v>
      </c>
      <c r="B687" s="897" t="s">
        <v>4489</v>
      </c>
      <c r="C687" s="897" t="s">
        <v>4490</v>
      </c>
      <c r="D687" s="897" t="s">
        <v>1912</v>
      </c>
      <c r="E687" s="897"/>
      <c r="F687" s="897"/>
      <c r="G687" s="897"/>
      <c r="H687" s="898" t="e">
        <v>#N/A</v>
      </c>
      <c r="I687" s="899"/>
      <c r="J687" s="899"/>
    </row>
    <row r="688" spans="1:10">
      <c r="A688" s="896" t="s">
        <v>4491</v>
      </c>
      <c r="B688" s="897" t="s">
        <v>4492</v>
      </c>
      <c r="C688" s="897" t="s">
        <v>4493</v>
      </c>
      <c r="D688" s="897" t="s">
        <v>1912</v>
      </c>
      <c r="E688" s="897"/>
      <c r="F688" s="897"/>
      <c r="G688" s="897"/>
      <c r="H688" s="898" t="s">
        <v>1914</v>
      </c>
      <c r="I688" s="899"/>
      <c r="J688" s="899"/>
    </row>
    <row r="689" spans="1:10">
      <c r="A689" s="896" t="s">
        <v>4494</v>
      </c>
      <c r="B689" s="897" t="s">
        <v>4495</v>
      </c>
      <c r="C689" s="897" t="s">
        <v>4496</v>
      </c>
      <c r="D689" s="897" t="s">
        <v>1912</v>
      </c>
      <c r="E689" s="897"/>
      <c r="F689" s="897" t="s">
        <v>4497</v>
      </c>
      <c r="G689" s="897" t="s">
        <v>4498</v>
      </c>
      <c r="H689" s="898" t="s">
        <v>1914</v>
      </c>
      <c r="I689" s="899"/>
      <c r="J689" s="899"/>
    </row>
    <row r="690" spans="1:10">
      <c r="A690" s="896" t="s">
        <v>4499</v>
      </c>
      <c r="B690" s="897" t="s">
        <v>4500</v>
      </c>
      <c r="C690" s="897" t="s">
        <v>4501</v>
      </c>
      <c r="D690" s="897" t="s">
        <v>1912</v>
      </c>
      <c r="E690" s="897"/>
      <c r="F690" s="897"/>
      <c r="G690" s="897"/>
      <c r="H690" s="898" t="s">
        <v>1953</v>
      </c>
      <c r="I690" s="899"/>
      <c r="J690" s="899"/>
    </row>
    <row r="691" spans="1:10">
      <c r="A691" s="896" t="s">
        <v>4502</v>
      </c>
      <c r="B691" s="897" t="s">
        <v>4503</v>
      </c>
      <c r="C691" s="897" t="s">
        <v>4504</v>
      </c>
      <c r="D691" s="897" t="s">
        <v>1912</v>
      </c>
      <c r="E691" s="897"/>
      <c r="F691" s="897"/>
      <c r="G691" s="897"/>
      <c r="H691" s="898" t="e">
        <v>#N/A</v>
      </c>
      <c r="I691" s="899"/>
      <c r="J691" s="899"/>
    </row>
    <row r="692" spans="1:10">
      <c r="A692" s="896" t="s">
        <v>4505</v>
      </c>
      <c r="B692" s="897" t="s">
        <v>1142</v>
      </c>
      <c r="C692" s="897"/>
      <c r="D692" s="897" t="s">
        <v>4506</v>
      </c>
      <c r="E692" s="897"/>
      <c r="F692" s="897" t="s">
        <v>1043</v>
      </c>
      <c r="G692" s="897" t="s">
        <v>4507</v>
      </c>
      <c r="H692" s="898" t="s">
        <v>136</v>
      </c>
      <c r="I692" s="899"/>
      <c r="J692" s="899"/>
    </row>
    <row r="693" spans="1:10">
      <c r="A693" s="896" t="s">
        <v>4508</v>
      </c>
      <c r="B693" s="897" t="s">
        <v>4509</v>
      </c>
      <c r="C693" s="897" t="s">
        <v>1912</v>
      </c>
      <c r="D693" s="897" t="s">
        <v>1912</v>
      </c>
      <c r="E693" s="897"/>
      <c r="F693" s="897"/>
      <c r="G693" s="897"/>
      <c r="H693" s="898" t="e">
        <v>#N/A</v>
      </c>
      <c r="I693" s="899"/>
      <c r="J693" s="899"/>
    </row>
    <row r="694" spans="1:10">
      <c r="A694" s="896" t="s">
        <v>4510</v>
      </c>
      <c r="B694" s="897" t="s">
        <v>4511</v>
      </c>
      <c r="C694" s="897" t="s">
        <v>1912</v>
      </c>
      <c r="D694" s="897" t="s">
        <v>1912</v>
      </c>
      <c r="E694" s="897"/>
      <c r="F694" s="897"/>
      <c r="G694" s="897"/>
      <c r="H694" s="898" t="s">
        <v>1914</v>
      </c>
      <c r="I694" s="899"/>
      <c r="J694" s="899"/>
    </row>
    <row r="695" spans="1:10">
      <c r="A695" s="896" t="s">
        <v>4512</v>
      </c>
      <c r="B695" s="897" t="s">
        <v>4513</v>
      </c>
      <c r="C695" s="897" t="s">
        <v>2195</v>
      </c>
      <c r="D695" s="897" t="s">
        <v>4514</v>
      </c>
      <c r="E695" s="897"/>
      <c r="F695" s="897"/>
      <c r="G695" s="897"/>
      <c r="H695" s="898" t="s">
        <v>1936</v>
      </c>
      <c r="I695" s="899"/>
      <c r="J695" s="899"/>
    </row>
    <row r="696" spans="1:10">
      <c r="A696" s="896" t="s">
        <v>4515</v>
      </c>
      <c r="B696" s="897" t="s">
        <v>1786</v>
      </c>
      <c r="C696" s="897" t="s">
        <v>4516</v>
      </c>
      <c r="D696" s="897" t="s">
        <v>1912</v>
      </c>
      <c r="E696" s="897"/>
      <c r="F696" s="897"/>
      <c r="G696" s="897"/>
      <c r="H696" s="898" t="e">
        <v>#N/A</v>
      </c>
      <c r="I696" s="899"/>
      <c r="J696" s="899"/>
    </row>
    <row r="697" spans="1:10">
      <c r="A697" s="896" t="s">
        <v>4517</v>
      </c>
      <c r="B697" s="897" t="s">
        <v>4518</v>
      </c>
      <c r="C697" s="897"/>
      <c r="D697" s="897" t="s">
        <v>1912</v>
      </c>
      <c r="E697" s="897"/>
      <c r="F697" s="897"/>
      <c r="G697" s="897"/>
      <c r="H697" s="898" t="s">
        <v>1914</v>
      </c>
      <c r="I697" s="899"/>
      <c r="J697" s="899"/>
    </row>
    <row r="698" spans="1:10">
      <c r="A698" s="896" t="s">
        <v>4519</v>
      </c>
      <c r="B698" s="897" t="s">
        <v>360</v>
      </c>
      <c r="C698" s="897" t="s">
        <v>4520</v>
      </c>
      <c r="D698" s="897" t="s">
        <v>1145</v>
      </c>
      <c r="E698" s="897"/>
      <c r="F698" s="897"/>
      <c r="G698" s="897"/>
      <c r="H698" s="898" t="s">
        <v>1953</v>
      </c>
      <c r="I698" s="899"/>
      <c r="J698" s="899"/>
    </row>
    <row r="699" spans="1:10">
      <c r="A699" s="896" t="s">
        <v>4521</v>
      </c>
      <c r="B699" s="897" t="s">
        <v>4522</v>
      </c>
      <c r="C699" s="897" t="s">
        <v>4523</v>
      </c>
      <c r="D699" s="897" t="s">
        <v>1912</v>
      </c>
      <c r="E699" s="897"/>
      <c r="F699" s="897"/>
      <c r="G699" s="897"/>
      <c r="H699" s="898" t="e">
        <v>#N/A</v>
      </c>
      <c r="I699" s="899"/>
      <c r="J699" s="899"/>
    </row>
    <row r="700" spans="1:10">
      <c r="A700" s="896" t="s">
        <v>4524</v>
      </c>
      <c r="B700" s="897" t="s">
        <v>99</v>
      </c>
      <c r="C700" s="897" t="s">
        <v>4525</v>
      </c>
      <c r="D700" s="897" t="s">
        <v>1912</v>
      </c>
      <c r="E700" s="897"/>
      <c r="F700" s="897"/>
      <c r="G700" s="897"/>
      <c r="H700" s="898" t="s">
        <v>1936</v>
      </c>
      <c r="I700" s="899"/>
      <c r="J700" s="899"/>
    </row>
    <row r="701" spans="1:10">
      <c r="A701" s="896" t="s">
        <v>4526</v>
      </c>
      <c r="B701" s="897" t="s">
        <v>4527</v>
      </c>
      <c r="C701" s="897" t="s">
        <v>3075</v>
      </c>
      <c r="D701" s="897" t="s">
        <v>1912</v>
      </c>
      <c r="E701" s="897"/>
      <c r="F701" s="897"/>
      <c r="G701" s="897"/>
      <c r="H701" s="898" t="s">
        <v>1936</v>
      </c>
      <c r="I701" s="899"/>
      <c r="J701" s="899"/>
    </row>
    <row r="702" spans="1:10">
      <c r="A702" s="896" t="s">
        <v>4528</v>
      </c>
      <c r="B702" s="897" t="s">
        <v>4529</v>
      </c>
      <c r="C702" s="897" t="s">
        <v>4530</v>
      </c>
      <c r="D702" s="897" t="s">
        <v>1912</v>
      </c>
      <c r="E702" s="897"/>
      <c r="F702" s="897"/>
      <c r="G702" s="897"/>
      <c r="H702" s="898" t="s">
        <v>1953</v>
      </c>
      <c r="I702" s="899"/>
      <c r="J702" s="899"/>
    </row>
    <row r="703" spans="1:10">
      <c r="A703" s="896" t="s">
        <v>4531</v>
      </c>
      <c r="B703" s="897" t="s">
        <v>4532</v>
      </c>
      <c r="C703" s="897" t="s">
        <v>4533</v>
      </c>
      <c r="D703" s="897" t="s">
        <v>1912</v>
      </c>
      <c r="E703" s="897"/>
      <c r="F703" s="897"/>
      <c r="G703" s="897"/>
      <c r="H703" s="898" t="e">
        <v>#N/A</v>
      </c>
      <c r="I703" s="899"/>
      <c r="J703" s="899"/>
    </row>
    <row r="704" spans="1:10">
      <c r="A704" s="896" t="s">
        <v>4534</v>
      </c>
      <c r="B704" s="897" t="s">
        <v>1047</v>
      </c>
      <c r="C704" s="897"/>
      <c r="D704" s="897" t="s">
        <v>3503</v>
      </c>
      <c r="E704" s="897"/>
      <c r="F704" s="897"/>
      <c r="G704" s="897"/>
      <c r="H704" s="898" t="e">
        <v>#N/A</v>
      </c>
      <c r="I704" s="899"/>
      <c r="J704" s="899"/>
    </row>
    <row r="705" spans="1:10">
      <c r="A705" s="896" t="s">
        <v>4535</v>
      </c>
      <c r="B705" s="897" t="s">
        <v>1367</v>
      </c>
      <c r="C705" s="897" t="s">
        <v>1912</v>
      </c>
      <c r="D705" s="897" t="s">
        <v>1912</v>
      </c>
      <c r="E705" s="897"/>
      <c r="F705" s="897"/>
      <c r="G705" s="897"/>
      <c r="H705" s="898" t="s">
        <v>1914</v>
      </c>
      <c r="I705" s="899"/>
      <c r="J705" s="899"/>
    </row>
    <row r="706" spans="1:10">
      <c r="A706" s="896" t="s">
        <v>4536</v>
      </c>
      <c r="B706" s="897" t="s">
        <v>4537</v>
      </c>
      <c r="C706" s="897" t="s">
        <v>3829</v>
      </c>
      <c r="D706" s="897" t="s">
        <v>1912</v>
      </c>
      <c r="E706" s="897"/>
      <c r="F706" s="897"/>
      <c r="G706" s="897"/>
      <c r="H706" s="898" t="e">
        <v>#N/A</v>
      </c>
      <c r="I706" s="899"/>
      <c r="J706" s="899"/>
    </row>
    <row r="707" spans="1:10">
      <c r="A707" s="896" t="s">
        <v>4538</v>
      </c>
      <c r="B707" s="897" t="s">
        <v>4539</v>
      </c>
      <c r="C707" s="897" t="s">
        <v>4540</v>
      </c>
      <c r="D707" s="897" t="s">
        <v>1912</v>
      </c>
      <c r="E707" s="897"/>
      <c r="F707" s="897"/>
      <c r="G707" s="897"/>
      <c r="H707" s="898" t="s">
        <v>1953</v>
      </c>
      <c r="I707" s="899"/>
      <c r="J707" s="899"/>
    </row>
    <row r="708" spans="1:10">
      <c r="A708" s="896" t="s">
        <v>4541</v>
      </c>
      <c r="B708" s="897" t="s">
        <v>4542</v>
      </c>
      <c r="C708" s="897" t="s">
        <v>4543</v>
      </c>
      <c r="D708" s="897" t="s">
        <v>1912</v>
      </c>
      <c r="E708" s="897"/>
      <c r="F708" s="897"/>
      <c r="G708" s="897"/>
      <c r="H708" s="898" t="e">
        <v>#N/A</v>
      </c>
      <c r="I708" s="899"/>
      <c r="J708" s="899"/>
    </row>
    <row r="709" spans="1:10">
      <c r="A709" s="896" t="s">
        <v>4544</v>
      </c>
      <c r="B709" s="897" t="s">
        <v>4545</v>
      </c>
      <c r="C709" s="897" t="s">
        <v>4546</v>
      </c>
      <c r="D709" s="897" t="s">
        <v>1912</v>
      </c>
      <c r="E709" s="897"/>
      <c r="F709" s="897"/>
      <c r="G709" s="897"/>
      <c r="H709" s="898" t="e">
        <v>#N/A</v>
      </c>
      <c r="I709" s="899"/>
      <c r="J709" s="899"/>
    </row>
    <row r="710" spans="1:10">
      <c r="A710" s="896" t="s">
        <v>4547</v>
      </c>
      <c r="B710" s="897" t="s">
        <v>245</v>
      </c>
      <c r="C710" s="897" t="s">
        <v>4548</v>
      </c>
      <c r="D710" s="897" t="s">
        <v>4549</v>
      </c>
      <c r="E710" s="897"/>
      <c r="F710" s="897"/>
      <c r="G710" s="897"/>
      <c r="H710" s="898" t="s">
        <v>1953</v>
      </c>
      <c r="I710" s="899"/>
      <c r="J710" s="899"/>
    </row>
    <row r="711" spans="1:10">
      <c r="A711" s="896" t="s">
        <v>4550</v>
      </c>
      <c r="B711" s="897" t="s">
        <v>4551</v>
      </c>
      <c r="C711" s="897" t="s">
        <v>4552</v>
      </c>
      <c r="D711" s="897" t="s">
        <v>1912</v>
      </c>
      <c r="E711" s="897"/>
      <c r="F711" s="897"/>
      <c r="G711" s="897"/>
      <c r="H711" s="898" t="s">
        <v>1953</v>
      </c>
      <c r="I711" s="899"/>
      <c r="J711" s="899"/>
    </row>
    <row r="712" spans="1:10">
      <c r="A712" s="896" t="s">
        <v>4553</v>
      </c>
      <c r="B712" s="897" t="s">
        <v>4554</v>
      </c>
      <c r="C712" s="897" t="s">
        <v>4555</v>
      </c>
      <c r="D712" s="897" t="s">
        <v>1912</v>
      </c>
      <c r="E712" s="897"/>
      <c r="F712" s="897" t="s">
        <v>4556</v>
      </c>
      <c r="G712" s="897" t="s">
        <v>4557</v>
      </c>
      <c r="H712" s="898" t="e">
        <v>#N/A</v>
      </c>
      <c r="I712" s="899"/>
      <c r="J712" s="899"/>
    </row>
    <row r="713" spans="1:10">
      <c r="A713" s="896" t="s">
        <v>4558</v>
      </c>
      <c r="B713" s="897" t="s">
        <v>4559</v>
      </c>
      <c r="C713" s="897" t="s">
        <v>4560</v>
      </c>
      <c r="D713" s="897" t="s">
        <v>1912</v>
      </c>
      <c r="E713" s="897"/>
      <c r="F713" s="897"/>
      <c r="G713" s="897"/>
      <c r="H713" s="898" t="e">
        <v>#N/A</v>
      </c>
      <c r="I713" s="899"/>
      <c r="J713" s="899"/>
    </row>
    <row r="714" spans="1:10">
      <c r="A714" s="896" t="s">
        <v>4561</v>
      </c>
      <c r="B714" s="897" t="s">
        <v>731</v>
      </c>
      <c r="C714" s="897" t="s">
        <v>4562</v>
      </c>
      <c r="D714" s="897" t="s">
        <v>7135</v>
      </c>
      <c r="E714" s="897"/>
      <c r="F714" s="897" t="s">
        <v>4563</v>
      </c>
      <c r="G714" s="897"/>
      <c r="H714" s="898" t="s">
        <v>1914</v>
      </c>
      <c r="I714" s="899"/>
      <c r="J714" s="899"/>
    </row>
    <row r="715" spans="1:10">
      <c r="A715" s="896" t="s">
        <v>4564</v>
      </c>
      <c r="B715" s="897" t="s">
        <v>4565</v>
      </c>
      <c r="C715" s="897" t="s">
        <v>4566</v>
      </c>
      <c r="D715" s="897" t="s">
        <v>1912</v>
      </c>
      <c r="E715" s="897"/>
      <c r="F715" s="897"/>
      <c r="G715" s="897"/>
      <c r="H715" s="898" t="s">
        <v>1914</v>
      </c>
      <c r="I715" s="899"/>
      <c r="J715" s="899"/>
    </row>
    <row r="716" spans="1:10">
      <c r="A716" s="896" t="s">
        <v>4567</v>
      </c>
      <c r="B716" s="897" t="s">
        <v>1373</v>
      </c>
      <c r="C716" s="897" t="s">
        <v>4568</v>
      </c>
      <c r="D716" s="897" t="s">
        <v>1912</v>
      </c>
      <c r="E716" s="897"/>
      <c r="F716" s="897"/>
      <c r="G716" s="897"/>
      <c r="H716" s="898" t="s">
        <v>1953</v>
      </c>
      <c r="I716" s="899"/>
      <c r="J716" s="899"/>
    </row>
    <row r="717" spans="1:10">
      <c r="A717" s="896" t="s">
        <v>4569</v>
      </c>
      <c r="B717" s="897" t="s">
        <v>588</v>
      </c>
      <c r="C717" s="897" t="s">
        <v>4570</v>
      </c>
      <c r="D717" s="897" t="s">
        <v>1151</v>
      </c>
      <c r="E717" s="897"/>
      <c r="F717" s="897"/>
      <c r="G717" s="897"/>
      <c r="H717" s="898" t="s">
        <v>1953</v>
      </c>
      <c r="I717" s="899"/>
      <c r="J717" s="899"/>
    </row>
    <row r="718" spans="1:10">
      <c r="A718" s="896" t="s">
        <v>4571</v>
      </c>
      <c r="B718" s="897" t="s">
        <v>4572</v>
      </c>
      <c r="C718" s="897" t="s">
        <v>4573</v>
      </c>
      <c r="D718" s="897" t="s">
        <v>1912</v>
      </c>
      <c r="E718" s="897"/>
      <c r="F718" s="897"/>
      <c r="G718" s="897"/>
      <c r="H718" s="898" t="e">
        <v>#N/A</v>
      </c>
      <c r="I718" s="899"/>
      <c r="J718" s="899"/>
    </row>
    <row r="719" spans="1:10">
      <c r="A719" s="896" t="s">
        <v>4574</v>
      </c>
      <c r="B719" s="897" t="s">
        <v>4575</v>
      </c>
      <c r="C719" s="897" t="s">
        <v>4576</v>
      </c>
      <c r="D719" s="897" t="s">
        <v>1912</v>
      </c>
      <c r="E719" s="897"/>
      <c r="F719" s="897"/>
      <c r="G719" s="897"/>
      <c r="H719" s="898" t="e">
        <v>#N/A</v>
      </c>
      <c r="I719" s="899"/>
      <c r="J719" s="899"/>
    </row>
    <row r="720" spans="1:10">
      <c r="A720" s="896" t="s">
        <v>4577</v>
      </c>
      <c r="B720" s="897" t="s">
        <v>4578</v>
      </c>
      <c r="C720" s="897" t="s">
        <v>4579</v>
      </c>
      <c r="D720" s="897" t="s">
        <v>1912</v>
      </c>
      <c r="E720" s="897"/>
      <c r="F720" s="897"/>
      <c r="G720" s="897"/>
      <c r="H720" s="898" t="s">
        <v>1953</v>
      </c>
      <c r="I720" s="899"/>
      <c r="J720" s="899"/>
    </row>
    <row r="721" spans="1:10">
      <c r="A721" s="896" t="s">
        <v>4580</v>
      </c>
      <c r="B721" s="897" t="s">
        <v>4581</v>
      </c>
      <c r="C721" s="897" t="s">
        <v>4582</v>
      </c>
      <c r="D721" s="897" t="s">
        <v>1912</v>
      </c>
      <c r="E721" s="897"/>
      <c r="F721" s="897"/>
      <c r="G721" s="897"/>
      <c r="H721" s="898" t="s">
        <v>1953</v>
      </c>
      <c r="I721" s="899"/>
      <c r="J721" s="899"/>
    </row>
    <row r="722" spans="1:10">
      <c r="A722" s="896" t="s">
        <v>4583</v>
      </c>
      <c r="B722" s="897" t="s">
        <v>271</v>
      </c>
      <c r="C722" s="897" t="s">
        <v>4104</v>
      </c>
      <c r="D722" s="897" t="s">
        <v>1912</v>
      </c>
      <c r="E722" s="897"/>
      <c r="F722" s="897"/>
      <c r="G722" s="897"/>
      <c r="H722" s="898" t="s">
        <v>1953</v>
      </c>
      <c r="I722" s="899"/>
      <c r="J722" s="899"/>
    </row>
    <row r="723" spans="1:10">
      <c r="A723" s="896" t="s">
        <v>4584</v>
      </c>
      <c r="B723" s="897" t="s">
        <v>4585</v>
      </c>
      <c r="C723" s="897" t="s">
        <v>4586</v>
      </c>
      <c r="D723" s="897" t="s">
        <v>1912</v>
      </c>
      <c r="E723" s="897"/>
      <c r="F723" s="897"/>
      <c r="G723" s="897"/>
      <c r="H723" s="898" t="s">
        <v>1953</v>
      </c>
      <c r="I723" s="899"/>
      <c r="J723" s="899"/>
    </row>
    <row r="724" spans="1:10">
      <c r="A724" s="896" t="s">
        <v>4587</v>
      </c>
      <c r="B724" s="897" t="s">
        <v>4588</v>
      </c>
      <c r="C724" s="897" t="s">
        <v>4589</v>
      </c>
      <c r="D724" s="897" t="s">
        <v>1912</v>
      </c>
      <c r="E724" s="897"/>
      <c r="F724" s="897"/>
      <c r="G724" s="897"/>
      <c r="H724" s="898" t="s">
        <v>1953</v>
      </c>
      <c r="I724" s="899"/>
      <c r="J724" s="899"/>
    </row>
    <row r="725" spans="1:10">
      <c r="A725" s="896" t="s">
        <v>4590</v>
      </c>
      <c r="B725" s="897" t="s">
        <v>272</v>
      </c>
      <c r="C725" s="897" t="s">
        <v>4591</v>
      </c>
      <c r="D725" s="897" t="s">
        <v>4592</v>
      </c>
      <c r="E725" s="897"/>
      <c r="F725" s="897"/>
      <c r="G725" s="897"/>
      <c r="H725" s="898" t="s">
        <v>1953</v>
      </c>
      <c r="I725" s="899"/>
      <c r="J725" s="899"/>
    </row>
    <row r="726" spans="1:10">
      <c r="A726" s="896" t="s">
        <v>4593</v>
      </c>
      <c r="B726" s="897" t="s">
        <v>4594</v>
      </c>
      <c r="C726" s="897" t="s">
        <v>4595</v>
      </c>
      <c r="D726" s="897" t="s">
        <v>1912</v>
      </c>
      <c r="E726" s="897"/>
      <c r="F726" s="897"/>
      <c r="G726" s="897"/>
      <c r="H726" s="898" t="e">
        <v>#N/A</v>
      </c>
      <c r="I726" s="899"/>
      <c r="J726" s="899"/>
    </row>
    <row r="727" spans="1:10">
      <c r="A727" s="896" t="s">
        <v>4596</v>
      </c>
      <c r="B727" s="897" t="s">
        <v>4597</v>
      </c>
      <c r="C727" s="897" t="s">
        <v>4598</v>
      </c>
      <c r="D727" s="897" t="s">
        <v>1912</v>
      </c>
      <c r="E727" s="897"/>
      <c r="F727" s="897"/>
      <c r="G727" s="897"/>
      <c r="H727" s="898" t="e">
        <v>#N/A</v>
      </c>
      <c r="I727" s="899"/>
      <c r="J727" s="899"/>
    </row>
    <row r="728" spans="1:10">
      <c r="A728" s="896" t="s">
        <v>4599</v>
      </c>
      <c r="B728" s="897" t="s">
        <v>4600</v>
      </c>
      <c r="C728" s="897" t="s">
        <v>4601</v>
      </c>
      <c r="D728" s="897" t="s">
        <v>1912</v>
      </c>
      <c r="E728" s="897"/>
      <c r="F728" s="897"/>
      <c r="G728" s="897"/>
      <c r="H728" s="898" t="e">
        <v>#N/A</v>
      </c>
      <c r="I728" s="899"/>
      <c r="J728" s="899"/>
    </row>
    <row r="729" spans="1:10">
      <c r="A729" s="896" t="s">
        <v>4602</v>
      </c>
      <c r="B729" s="897" t="s">
        <v>4603</v>
      </c>
      <c r="C729" s="897" t="s">
        <v>1912</v>
      </c>
      <c r="D729" s="897" t="s">
        <v>1912</v>
      </c>
      <c r="E729" s="897"/>
      <c r="F729" s="897"/>
      <c r="G729" s="897"/>
      <c r="H729" s="898" t="e">
        <v>#N/A</v>
      </c>
      <c r="I729" s="899"/>
      <c r="J729" s="899"/>
    </row>
    <row r="730" spans="1:10">
      <c r="A730" s="896" t="s">
        <v>4604</v>
      </c>
      <c r="B730" s="897" t="s">
        <v>4605</v>
      </c>
      <c r="C730" s="897" t="s">
        <v>1912</v>
      </c>
      <c r="D730" s="897" t="s">
        <v>1912</v>
      </c>
      <c r="E730" s="897"/>
      <c r="F730" s="897" t="s">
        <v>4606</v>
      </c>
      <c r="G730" s="897" t="s">
        <v>4607</v>
      </c>
      <c r="H730" s="898" t="e">
        <v>#N/A</v>
      </c>
      <c r="I730" s="899"/>
      <c r="J730" s="899"/>
    </row>
    <row r="731" spans="1:10">
      <c r="A731" s="896" t="s">
        <v>4608</v>
      </c>
      <c r="B731" s="897" t="s">
        <v>4609</v>
      </c>
      <c r="C731" s="897" t="s">
        <v>4610</v>
      </c>
      <c r="D731" s="897" t="s">
        <v>1912</v>
      </c>
      <c r="E731" s="897"/>
      <c r="F731" s="897"/>
      <c r="G731" s="897"/>
      <c r="H731" s="898" t="e">
        <v>#N/A</v>
      </c>
      <c r="I731" s="899"/>
      <c r="J731" s="899"/>
    </row>
    <row r="732" spans="1:10">
      <c r="A732" s="896" t="s">
        <v>4611</v>
      </c>
      <c r="B732" s="897" t="s">
        <v>4612</v>
      </c>
      <c r="C732" s="897" t="s">
        <v>4613</v>
      </c>
      <c r="D732" s="897" t="s">
        <v>1912</v>
      </c>
      <c r="E732" s="897"/>
      <c r="F732" s="897"/>
      <c r="G732" s="897"/>
      <c r="H732" s="898" t="e">
        <v>#N/A</v>
      </c>
      <c r="I732" s="899"/>
      <c r="J732" s="899"/>
    </row>
    <row r="733" spans="1:10">
      <c r="A733" s="896" t="s">
        <v>4614</v>
      </c>
      <c r="B733" s="897" t="s">
        <v>4615</v>
      </c>
      <c r="C733" s="897" t="s">
        <v>4616</v>
      </c>
      <c r="D733" s="897" t="s">
        <v>1912</v>
      </c>
      <c r="E733" s="897"/>
      <c r="F733" s="897"/>
      <c r="G733" s="897"/>
      <c r="H733" s="898" t="e">
        <v>#N/A</v>
      </c>
      <c r="I733" s="899"/>
      <c r="J733" s="899"/>
    </row>
    <row r="734" spans="1:10">
      <c r="A734" s="896" t="s">
        <v>4617</v>
      </c>
      <c r="B734" s="897" t="s">
        <v>149</v>
      </c>
      <c r="C734" s="897" t="s">
        <v>4618</v>
      </c>
      <c r="D734" s="897" t="s">
        <v>4619</v>
      </c>
      <c r="E734" s="897"/>
      <c r="F734" s="897"/>
      <c r="G734" s="897"/>
      <c r="H734" s="898">
        <v>0</v>
      </c>
      <c r="I734" s="899"/>
      <c r="J734" s="899"/>
    </row>
    <row r="735" spans="1:10">
      <c r="A735" s="896" t="s">
        <v>4620</v>
      </c>
      <c r="B735" s="897" t="s">
        <v>4621</v>
      </c>
      <c r="C735" s="897" t="s">
        <v>4622</v>
      </c>
      <c r="D735" s="897" t="s">
        <v>1912</v>
      </c>
      <c r="E735" s="897"/>
      <c r="F735" s="897"/>
      <c r="G735" s="897"/>
      <c r="H735" s="898" t="e">
        <v>#N/A</v>
      </c>
      <c r="I735" s="899"/>
      <c r="J735" s="899"/>
    </row>
    <row r="736" spans="1:10">
      <c r="A736" s="896" t="s">
        <v>4623</v>
      </c>
      <c r="B736" s="897" t="s">
        <v>4624</v>
      </c>
      <c r="C736" s="897" t="s">
        <v>4625</v>
      </c>
      <c r="D736" s="897" t="s">
        <v>1912</v>
      </c>
      <c r="E736" s="897"/>
      <c r="F736" s="897"/>
      <c r="G736" s="897"/>
      <c r="H736" s="898" t="e">
        <v>#N/A</v>
      </c>
      <c r="I736" s="899"/>
      <c r="J736" s="899"/>
    </row>
    <row r="737" spans="1:10">
      <c r="A737" s="896" t="s">
        <v>4626</v>
      </c>
      <c r="B737" s="897" t="s">
        <v>4627</v>
      </c>
      <c r="C737" s="897" t="s">
        <v>4628</v>
      </c>
      <c r="D737" s="897" t="s">
        <v>1912</v>
      </c>
      <c r="E737" s="897"/>
      <c r="F737" s="897"/>
      <c r="G737" s="897"/>
      <c r="H737" s="898" t="e">
        <v>#N/A</v>
      </c>
      <c r="I737" s="899"/>
      <c r="J737" s="899"/>
    </row>
    <row r="738" spans="1:10">
      <c r="A738" s="896" t="s">
        <v>4629</v>
      </c>
      <c r="B738" s="897" t="s">
        <v>4630</v>
      </c>
      <c r="C738" s="897" t="s">
        <v>4631</v>
      </c>
      <c r="D738" s="897" t="s">
        <v>1912</v>
      </c>
      <c r="E738" s="897"/>
      <c r="F738" s="897"/>
      <c r="G738" s="897"/>
      <c r="H738" s="898" t="e">
        <v>#N/A</v>
      </c>
      <c r="I738" s="899"/>
      <c r="J738" s="899"/>
    </row>
    <row r="739" spans="1:10">
      <c r="A739" s="896" t="s">
        <v>4632</v>
      </c>
      <c r="B739" s="897" t="s">
        <v>4633</v>
      </c>
      <c r="C739" s="897" t="s">
        <v>4634</v>
      </c>
      <c r="D739" s="897" t="s">
        <v>1912</v>
      </c>
      <c r="E739" s="897"/>
      <c r="F739" s="897"/>
      <c r="G739" s="897"/>
      <c r="H739" s="898" t="s">
        <v>1914</v>
      </c>
      <c r="I739" s="899"/>
      <c r="J739" s="899"/>
    </row>
    <row r="740" spans="1:10">
      <c r="A740" s="896" t="s">
        <v>4635</v>
      </c>
      <c r="B740" s="897" t="s">
        <v>4636</v>
      </c>
      <c r="C740" s="897" t="s">
        <v>4637</v>
      </c>
      <c r="D740" s="897" t="s">
        <v>1912</v>
      </c>
      <c r="E740" s="897"/>
      <c r="F740" s="897"/>
      <c r="G740" s="897"/>
      <c r="H740" s="898" t="e">
        <v>#N/A</v>
      </c>
      <c r="I740" s="899"/>
      <c r="J740" s="899"/>
    </row>
    <row r="741" spans="1:10">
      <c r="A741" s="896" t="s">
        <v>4638</v>
      </c>
      <c r="B741" s="897" t="s">
        <v>4639</v>
      </c>
      <c r="C741" s="897" t="s">
        <v>4485</v>
      </c>
      <c r="D741" s="897" t="s">
        <v>4640</v>
      </c>
      <c r="E741" s="897"/>
      <c r="F741" s="897"/>
      <c r="G741" s="897"/>
      <c r="H741" s="898">
        <v>0</v>
      </c>
      <c r="I741" s="899"/>
      <c r="J741" s="899"/>
    </row>
    <row r="742" spans="1:10">
      <c r="A742" s="896" t="s">
        <v>4641</v>
      </c>
      <c r="B742" s="897" t="s">
        <v>1153</v>
      </c>
      <c r="C742" s="897"/>
      <c r="D742" s="897" t="s">
        <v>1154</v>
      </c>
      <c r="E742" s="897"/>
      <c r="F742" s="897"/>
      <c r="G742" s="897"/>
      <c r="H742" s="898" t="s">
        <v>1914</v>
      </c>
      <c r="I742" s="899"/>
      <c r="J742" s="899"/>
    </row>
    <row r="743" spans="1:10">
      <c r="A743" s="896" t="s">
        <v>4642</v>
      </c>
      <c r="B743" s="897" t="s">
        <v>4643</v>
      </c>
      <c r="C743" s="897" t="s">
        <v>4644</v>
      </c>
      <c r="D743" s="897" t="s">
        <v>1912</v>
      </c>
      <c r="E743" s="897"/>
      <c r="F743" s="897"/>
      <c r="G743" s="897"/>
      <c r="H743" s="898" t="e">
        <v>#N/A</v>
      </c>
      <c r="I743" s="899"/>
      <c r="J743" s="899"/>
    </row>
    <row r="744" spans="1:10">
      <c r="A744" s="896" t="s">
        <v>4645</v>
      </c>
      <c r="B744" s="897" t="s">
        <v>1155</v>
      </c>
      <c r="C744" s="897"/>
      <c r="D744" s="897"/>
      <c r="E744" s="897"/>
      <c r="F744" s="897" t="s">
        <v>4646</v>
      </c>
      <c r="G744" s="897" t="s">
        <v>4647</v>
      </c>
      <c r="H744" s="898" t="s">
        <v>1914</v>
      </c>
      <c r="I744" s="899"/>
      <c r="J744" s="899"/>
    </row>
    <row r="745" spans="1:10">
      <c r="A745" s="896" t="s">
        <v>4648</v>
      </c>
      <c r="B745" s="897" t="s">
        <v>4649</v>
      </c>
      <c r="C745" s="897" t="s">
        <v>4650</v>
      </c>
      <c r="D745" s="897" t="s">
        <v>1912</v>
      </c>
      <c r="E745" s="897"/>
      <c r="F745" s="897"/>
      <c r="G745" s="897"/>
      <c r="H745" s="898" t="e">
        <v>#N/A</v>
      </c>
      <c r="I745" s="899"/>
      <c r="J745" s="899"/>
    </row>
    <row r="746" spans="1:10">
      <c r="A746" s="896" t="s">
        <v>4651</v>
      </c>
      <c r="B746" s="897" t="s">
        <v>4652</v>
      </c>
      <c r="C746" s="897" t="s">
        <v>1932</v>
      </c>
      <c r="D746" s="897" t="s">
        <v>1912</v>
      </c>
      <c r="E746" s="897"/>
      <c r="F746" s="897"/>
      <c r="G746" s="897"/>
      <c r="H746" s="898" t="s">
        <v>1953</v>
      </c>
      <c r="I746" s="899"/>
      <c r="J746" s="899"/>
    </row>
    <row r="747" spans="1:10">
      <c r="A747" s="896" t="s">
        <v>4653</v>
      </c>
      <c r="B747" s="897" t="s">
        <v>4654</v>
      </c>
      <c r="C747" s="897" t="s">
        <v>4655</v>
      </c>
      <c r="D747" s="897" t="s">
        <v>1912</v>
      </c>
      <c r="E747" s="897"/>
      <c r="F747" s="897"/>
      <c r="G747" s="897"/>
      <c r="H747" s="898" t="e">
        <v>#N/A</v>
      </c>
      <c r="I747" s="899"/>
      <c r="J747" s="899"/>
    </row>
    <row r="748" spans="1:10">
      <c r="A748" s="896" t="s">
        <v>4656</v>
      </c>
      <c r="B748" s="897" t="s">
        <v>507</v>
      </c>
      <c r="C748" s="897" t="s">
        <v>4657</v>
      </c>
      <c r="D748" s="897" t="s">
        <v>1912</v>
      </c>
      <c r="E748" s="897"/>
      <c r="F748" s="897"/>
      <c r="G748" s="897"/>
      <c r="H748" s="898" t="e">
        <v>#N/A</v>
      </c>
      <c r="I748" s="899"/>
      <c r="J748" s="899"/>
    </row>
    <row r="749" spans="1:10">
      <c r="A749" s="896" t="s">
        <v>4658</v>
      </c>
      <c r="B749" s="897" t="s">
        <v>61</v>
      </c>
      <c r="C749" s="897" t="s">
        <v>4659</v>
      </c>
      <c r="D749" s="897" t="s">
        <v>1158</v>
      </c>
      <c r="E749" s="897"/>
      <c r="F749" s="897"/>
      <c r="G749" s="897"/>
      <c r="H749" s="898" t="s">
        <v>1914</v>
      </c>
      <c r="I749" s="899"/>
      <c r="J749" s="899"/>
    </row>
    <row r="750" spans="1:10">
      <c r="A750" s="896" t="s">
        <v>4660</v>
      </c>
      <c r="B750" s="897" t="s">
        <v>151</v>
      </c>
      <c r="C750" s="897" t="s">
        <v>4661</v>
      </c>
      <c r="D750" s="897" t="s">
        <v>1912</v>
      </c>
      <c r="E750" s="897"/>
      <c r="F750" s="897"/>
      <c r="G750" s="897"/>
      <c r="H750" s="898">
        <v>0</v>
      </c>
      <c r="I750" s="899"/>
      <c r="J750" s="899"/>
    </row>
    <row r="751" spans="1:10">
      <c r="A751" s="896" t="s">
        <v>4662</v>
      </c>
      <c r="B751" s="897" t="s">
        <v>4663</v>
      </c>
      <c r="C751" s="897" t="s">
        <v>4664</v>
      </c>
      <c r="D751" s="897" t="s">
        <v>1912</v>
      </c>
      <c r="E751" s="897"/>
      <c r="F751" s="897"/>
      <c r="G751" s="897"/>
      <c r="H751" s="898" t="e">
        <v>#N/A</v>
      </c>
      <c r="I751" s="899"/>
      <c r="J751" s="899"/>
    </row>
    <row r="752" spans="1:10">
      <c r="A752" s="896" t="s">
        <v>4665</v>
      </c>
      <c r="B752" s="897" t="s">
        <v>1377</v>
      </c>
      <c r="C752" s="897" t="s">
        <v>4666</v>
      </c>
      <c r="D752" s="897" t="s">
        <v>1912</v>
      </c>
      <c r="E752" s="897"/>
      <c r="F752" s="897"/>
      <c r="G752" s="897"/>
      <c r="H752" s="898" t="e">
        <v>#N/A</v>
      </c>
      <c r="I752" s="899"/>
      <c r="J752" s="899"/>
    </row>
    <row r="753" spans="1:10">
      <c r="A753" s="896" t="s">
        <v>4667</v>
      </c>
      <c r="B753" s="897" t="s">
        <v>4668</v>
      </c>
      <c r="C753" s="897" t="s">
        <v>4669</v>
      </c>
      <c r="D753" s="897" t="s">
        <v>1912</v>
      </c>
      <c r="E753" s="897"/>
      <c r="F753" s="897"/>
      <c r="G753" s="897"/>
      <c r="H753" s="898" t="e">
        <v>#N/A</v>
      </c>
      <c r="I753" s="899"/>
      <c r="J753" s="899"/>
    </row>
    <row r="754" spans="1:10">
      <c r="A754" s="896" t="s">
        <v>4670</v>
      </c>
      <c r="B754" s="897" t="s">
        <v>4671</v>
      </c>
      <c r="C754" s="897" t="s">
        <v>4591</v>
      </c>
      <c r="D754" s="897" t="s">
        <v>1912</v>
      </c>
      <c r="E754" s="897"/>
      <c r="F754" s="897"/>
      <c r="G754" s="897"/>
      <c r="H754" s="898" t="s">
        <v>1953</v>
      </c>
      <c r="I754" s="899"/>
      <c r="J754" s="899"/>
    </row>
    <row r="755" spans="1:10">
      <c r="A755" s="896" t="s">
        <v>4672</v>
      </c>
      <c r="B755" s="897" t="s">
        <v>4673</v>
      </c>
      <c r="C755" s="897" t="s">
        <v>1912</v>
      </c>
      <c r="D755" s="897" t="s">
        <v>1912</v>
      </c>
      <c r="E755" s="897"/>
      <c r="F755" s="897"/>
      <c r="G755" s="897"/>
      <c r="H755" s="898" t="e">
        <v>#N/A</v>
      </c>
      <c r="I755" s="899"/>
      <c r="J755" s="899"/>
    </row>
    <row r="756" spans="1:10">
      <c r="A756" s="896" t="s">
        <v>4674</v>
      </c>
      <c r="B756" s="897" t="s">
        <v>1379</v>
      </c>
      <c r="C756" s="897" t="s">
        <v>4675</v>
      </c>
      <c r="D756" s="897" t="s">
        <v>1912</v>
      </c>
      <c r="E756" s="897"/>
      <c r="F756" s="897"/>
      <c r="G756" s="897"/>
      <c r="H756" s="898" t="e">
        <v>#N/A</v>
      </c>
      <c r="I756" s="899"/>
      <c r="J756" s="899"/>
    </row>
    <row r="757" spans="1:10">
      <c r="A757" s="896" t="s">
        <v>4676</v>
      </c>
      <c r="B757" s="897" t="s">
        <v>1696</v>
      </c>
      <c r="C757" s="897" t="s">
        <v>1912</v>
      </c>
      <c r="D757" s="897" t="s">
        <v>1912</v>
      </c>
      <c r="E757" s="897"/>
      <c r="F757" s="897"/>
      <c r="G757" s="897"/>
      <c r="H757" s="898" t="e">
        <v>#N/A</v>
      </c>
      <c r="I757" s="899"/>
      <c r="J757" s="899"/>
    </row>
    <row r="758" spans="1:10">
      <c r="A758" s="896" t="s">
        <v>4677</v>
      </c>
      <c r="B758" s="897" t="s">
        <v>4678</v>
      </c>
      <c r="C758" s="897" t="s">
        <v>3986</v>
      </c>
      <c r="D758" s="897" t="s">
        <v>1912</v>
      </c>
      <c r="E758" s="897"/>
      <c r="F758" s="897"/>
      <c r="G758" s="897"/>
      <c r="H758" s="898" t="e">
        <v>#N/A</v>
      </c>
      <c r="I758" s="899"/>
      <c r="J758" s="899"/>
    </row>
    <row r="759" spans="1:10">
      <c r="A759" s="896" t="s">
        <v>4679</v>
      </c>
      <c r="B759" s="897" t="s">
        <v>4680</v>
      </c>
      <c r="C759" s="897" t="s">
        <v>4681</v>
      </c>
      <c r="D759" s="897" t="s">
        <v>1912</v>
      </c>
      <c r="E759" s="897"/>
      <c r="F759" s="897" t="s">
        <v>4682</v>
      </c>
      <c r="G759" s="897" t="s">
        <v>4683</v>
      </c>
      <c r="H759" s="898" t="e">
        <v>#N/A</v>
      </c>
      <c r="I759" s="899"/>
      <c r="J759" s="899"/>
    </row>
    <row r="760" spans="1:10">
      <c r="A760" s="896" t="s">
        <v>4684</v>
      </c>
      <c r="B760" s="897" t="s">
        <v>1382</v>
      </c>
      <c r="C760" s="897" t="s">
        <v>4685</v>
      </c>
      <c r="D760" s="897" t="s">
        <v>1912</v>
      </c>
      <c r="E760" s="897"/>
      <c r="F760" s="897"/>
      <c r="G760" s="897"/>
      <c r="H760" s="898" t="e">
        <v>#N/A</v>
      </c>
      <c r="I760" s="899"/>
      <c r="J760" s="899"/>
    </row>
    <row r="761" spans="1:10">
      <c r="A761" s="896" t="s">
        <v>4686</v>
      </c>
      <c r="B761" s="897" t="s">
        <v>221</v>
      </c>
      <c r="C761" s="897" t="s">
        <v>4687</v>
      </c>
      <c r="D761" s="897" t="s">
        <v>1159</v>
      </c>
      <c r="E761" s="897"/>
      <c r="F761" s="897"/>
      <c r="G761" s="897"/>
      <c r="H761" s="898" t="s">
        <v>1953</v>
      </c>
      <c r="I761" s="899"/>
      <c r="J761" s="899"/>
    </row>
    <row r="762" spans="1:10">
      <c r="A762" s="896" t="s">
        <v>4688</v>
      </c>
      <c r="B762" s="897" t="s">
        <v>4689</v>
      </c>
      <c r="C762" s="897" t="s">
        <v>3784</v>
      </c>
      <c r="D762" s="897" t="s">
        <v>1912</v>
      </c>
      <c r="E762" s="897"/>
      <c r="F762" s="897"/>
      <c r="G762" s="897"/>
      <c r="H762" s="898" t="s">
        <v>1953</v>
      </c>
      <c r="I762" s="899"/>
      <c r="J762" s="899"/>
    </row>
    <row r="763" spans="1:10">
      <c r="A763" s="896" t="s">
        <v>4690</v>
      </c>
      <c r="B763" s="897" t="s">
        <v>4691</v>
      </c>
      <c r="C763" s="897" t="s">
        <v>4425</v>
      </c>
      <c r="D763" s="897" t="s">
        <v>1912</v>
      </c>
      <c r="E763" s="897"/>
      <c r="F763" s="897"/>
      <c r="G763" s="897"/>
      <c r="H763" s="898" t="s">
        <v>1953</v>
      </c>
      <c r="I763" s="899"/>
      <c r="J763" s="899"/>
    </row>
    <row r="764" spans="1:10">
      <c r="A764" s="896" t="s">
        <v>4692</v>
      </c>
      <c r="B764" s="897" t="s">
        <v>1383</v>
      </c>
      <c r="C764" s="897" t="s">
        <v>4693</v>
      </c>
      <c r="D764" s="897" t="s">
        <v>1912</v>
      </c>
      <c r="E764" s="897"/>
      <c r="F764" s="897"/>
      <c r="G764" s="897"/>
      <c r="H764" s="898" t="e">
        <v>#N/A</v>
      </c>
      <c r="I764" s="899"/>
      <c r="J764" s="899"/>
    </row>
    <row r="765" spans="1:10">
      <c r="A765" s="896" t="s">
        <v>4694</v>
      </c>
      <c r="B765" s="897" t="s">
        <v>4695</v>
      </c>
      <c r="C765" s="897" t="s">
        <v>4696</v>
      </c>
      <c r="D765" s="897" t="s">
        <v>1912</v>
      </c>
      <c r="E765" s="897"/>
      <c r="F765" s="897" t="s">
        <v>4697</v>
      </c>
      <c r="G765" s="897" t="s">
        <v>4698</v>
      </c>
      <c r="H765" s="898" t="e">
        <v>#N/A</v>
      </c>
      <c r="I765" s="899"/>
      <c r="J765" s="899"/>
    </row>
    <row r="766" spans="1:10">
      <c r="A766" s="896" t="s">
        <v>4699</v>
      </c>
      <c r="B766" s="897" t="s">
        <v>4700</v>
      </c>
      <c r="C766" s="897" t="s">
        <v>4701</v>
      </c>
      <c r="D766" s="897" t="s">
        <v>1912</v>
      </c>
      <c r="E766" s="897"/>
      <c r="F766" s="897"/>
      <c r="G766" s="897"/>
      <c r="H766" s="898" t="e">
        <v>#N/A</v>
      </c>
      <c r="I766" s="899"/>
      <c r="J766" s="899"/>
    </row>
    <row r="767" spans="1:10">
      <c r="A767" s="896" t="s">
        <v>4702</v>
      </c>
      <c r="B767" s="897" t="s">
        <v>810</v>
      </c>
      <c r="C767" s="897"/>
      <c r="D767" s="897" t="s">
        <v>4703</v>
      </c>
      <c r="E767" s="897"/>
      <c r="F767" s="897"/>
      <c r="G767" s="897"/>
      <c r="H767" s="898" t="e">
        <v>#N/A</v>
      </c>
      <c r="I767" s="899"/>
      <c r="J767" s="899"/>
    </row>
    <row r="768" spans="1:10">
      <c r="A768" s="896" t="s">
        <v>4704</v>
      </c>
      <c r="B768" s="897" t="s">
        <v>4705</v>
      </c>
      <c r="C768" s="897" t="s">
        <v>4706</v>
      </c>
      <c r="D768" s="897" t="s">
        <v>1912</v>
      </c>
      <c r="E768" s="897"/>
      <c r="F768" s="897"/>
      <c r="G768" s="897"/>
      <c r="H768" s="898" t="e">
        <v>#N/A</v>
      </c>
      <c r="I768" s="899"/>
      <c r="J768" s="899"/>
    </row>
    <row r="769" spans="1:10">
      <c r="A769" s="896" t="s">
        <v>4707</v>
      </c>
      <c r="B769" s="897" t="s">
        <v>4708</v>
      </c>
      <c r="C769" s="897" t="s">
        <v>4709</v>
      </c>
      <c r="D769" s="897" t="s">
        <v>1912</v>
      </c>
      <c r="E769" s="897"/>
      <c r="F769" s="897"/>
      <c r="G769" s="897"/>
      <c r="H769" s="898" t="e">
        <v>#N/A</v>
      </c>
      <c r="I769" s="899"/>
      <c r="J769" s="899"/>
    </row>
    <row r="770" spans="1:10">
      <c r="A770" s="896" t="s">
        <v>4710</v>
      </c>
      <c r="B770" s="897" t="s">
        <v>1385</v>
      </c>
      <c r="C770" s="897" t="s">
        <v>3101</v>
      </c>
      <c r="D770" s="897" t="s">
        <v>1912</v>
      </c>
      <c r="E770" s="897"/>
      <c r="F770" s="897"/>
      <c r="G770" s="897"/>
      <c r="H770" s="898" t="s">
        <v>1953</v>
      </c>
      <c r="I770" s="899"/>
      <c r="J770" s="899"/>
    </row>
    <row r="771" spans="1:10">
      <c r="A771" s="896" t="s">
        <v>4711</v>
      </c>
      <c r="B771" s="897" t="s">
        <v>4712</v>
      </c>
      <c r="C771" s="897" t="s">
        <v>4713</v>
      </c>
      <c r="D771" s="897" t="s">
        <v>1912</v>
      </c>
      <c r="E771" s="897"/>
      <c r="F771" s="897"/>
      <c r="G771" s="897"/>
      <c r="H771" s="898" t="s">
        <v>1953</v>
      </c>
      <c r="I771" s="899"/>
      <c r="J771" s="899"/>
    </row>
    <row r="772" spans="1:10">
      <c r="A772" s="896" t="s">
        <v>4714</v>
      </c>
      <c r="B772" s="897" t="s">
        <v>4715</v>
      </c>
      <c r="C772" s="897" t="s">
        <v>4716</v>
      </c>
      <c r="D772" s="897" t="s">
        <v>1912</v>
      </c>
      <c r="E772" s="897"/>
      <c r="F772" s="897"/>
      <c r="G772" s="897"/>
      <c r="H772" s="898" t="e">
        <v>#N/A</v>
      </c>
      <c r="I772" s="899"/>
      <c r="J772" s="899"/>
    </row>
    <row r="773" spans="1:10">
      <c r="A773" s="896" t="s">
        <v>4717</v>
      </c>
      <c r="B773" s="897" t="s">
        <v>4718</v>
      </c>
      <c r="C773" s="897" t="s">
        <v>1912</v>
      </c>
      <c r="D773" s="897" t="s">
        <v>1912</v>
      </c>
      <c r="E773" s="897"/>
      <c r="F773" s="897" t="s">
        <v>1767</v>
      </c>
      <c r="G773" s="897" t="s">
        <v>4719</v>
      </c>
      <c r="H773" s="898" t="e">
        <v>#N/A</v>
      </c>
      <c r="I773" s="899"/>
      <c r="J773" s="899"/>
    </row>
    <row r="774" spans="1:10">
      <c r="A774" s="896" t="s">
        <v>4720</v>
      </c>
      <c r="B774" s="897" t="s">
        <v>4721</v>
      </c>
      <c r="C774" s="897" t="s">
        <v>4722</v>
      </c>
      <c r="D774" s="897" t="s">
        <v>1912</v>
      </c>
      <c r="E774" s="897"/>
      <c r="F774" s="897"/>
      <c r="G774" s="897"/>
      <c r="H774" s="898" t="e">
        <v>#N/A</v>
      </c>
      <c r="I774" s="899"/>
      <c r="J774" s="899"/>
    </row>
    <row r="775" spans="1:10">
      <c r="A775" s="896" t="s">
        <v>4723</v>
      </c>
      <c r="B775" s="897" t="s">
        <v>4724</v>
      </c>
      <c r="C775" s="897" t="s">
        <v>4725</v>
      </c>
      <c r="D775" s="897" t="s">
        <v>1912</v>
      </c>
      <c r="E775" s="897"/>
      <c r="F775" s="897"/>
      <c r="G775" s="897"/>
      <c r="H775" s="898" t="e">
        <v>#N/A</v>
      </c>
      <c r="I775" s="899"/>
      <c r="J775" s="899"/>
    </row>
    <row r="776" spans="1:10">
      <c r="A776" s="896" t="s">
        <v>4726</v>
      </c>
      <c r="B776" s="897" t="s">
        <v>1160</v>
      </c>
      <c r="C776" s="897" t="s">
        <v>4727</v>
      </c>
      <c r="D776" s="897" t="s">
        <v>4728</v>
      </c>
      <c r="E776" s="897"/>
      <c r="F776" s="897"/>
      <c r="G776" s="897"/>
      <c r="H776" s="898" t="s">
        <v>1914</v>
      </c>
      <c r="I776" s="899"/>
      <c r="J776" s="899"/>
    </row>
    <row r="777" spans="1:10">
      <c r="A777" s="896" t="s">
        <v>4729</v>
      </c>
      <c r="B777" s="897" t="s">
        <v>1387</v>
      </c>
      <c r="C777" s="897" t="s">
        <v>4730</v>
      </c>
      <c r="D777" s="897" t="s">
        <v>1912</v>
      </c>
      <c r="E777" s="897"/>
      <c r="F777" s="897"/>
      <c r="G777" s="897"/>
      <c r="H777" s="898" t="s">
        <v>1953</v>
      </c>
      <c r="I777" s="899"/>
      <c r="J777" s="899"/>
    </row>
    <row r="778" spans="1:10">
      <c r="A778" s="896" t="s">
        <v>4731</v>
      </c>
      <c r="B778" s="897" t="s">
        <v>4732</v>
      </c>
      <c r="C778" s="897" t="s">
        <v>4733</v>
      </c>
      <c r="D778" s="897" t="s">
        <v>1912</v>
      </c>
      <c r="E778" s="897"/>
      <c r="F778" s="897"/>
      <c r="G778" s="897"/>
      <c r="H778" s="898" t="s">
        <v>1936</v>
      </c>
      <c r="I778" s="899"/>
      <c r="J778" s="899"/>
    </row>
    <row r="779" spans="1:10">
      <c r="A779" s="896" t="s">
        <v>4734</v>
      </c>
      <c r="B779" s="897" t="s">
        <v>4735</v>
      </c>
      <c r="C779" s="897" t="s">
        <v>4736</v>
      </c>
      <c r="D779" s="897" t="s">
        <v>1912</v>
      </c>
      <c r="E779" s="897"/>
      <c r="F779" s="897"/>
      <c r="G779" s="897"/>
      <c r="H779" s="898" t="s">
        <v>1914</v>
      </c>
      <c r="I779" s="899"/>
      <c r="J779" s="899"/>
    </row>
    <row r="780" spans="1:10">
      <c r="A780" s="896" t="s">
        <v>4737</v>
      </c>
      <c r="B780" s="897" t="s">
        <v>4738</v>
      </c>
      <c r="C780" s="897" t="s">
        <v>4739</v>
      </c>
      <c r="D780" s="897" t="s">
        <v>1912</v>
      </c>
      <c r="E780" s="897"/>
      <c r="F780" s="897"/>
      <c r="G780" s="897"/>
      <c r="H780" s="898" t="s">
        <v>1914</v>
      </c>
      <c r="I780" s="899"/>
      <c r="J780" s="899"/>
    </row>
    <row r="781" spans="1:10">
      <c r="A781" s="896" t="s">
        <v>4740</v>
      </c>
      <c r="B781" s="897" t="s">
        <v>4741</v>
      </c>
      <c r="C781" s="897" t="s">
        <v>4742</v>
      </c>
      <c r="D781" s="897" t="s">
        <v>1912</v>
      </c>
      <c r="E781" s="897"/>
      <c r="F781" s="897"/>
      <c r="G781" s="897"/>
      <c r="H781" s="898" t="s">
        <v>1953</v>
      </c>
      <c r="I781" s="899"/>
      <c r="J781" s="899"/>
    </row>
    <row r="782" spans="1:10">
      <c r="A782" s="896" t="s">
        <v>4743</v>
      </c>
      <c r="B782" s="897" t="s">
        <v>4744</v>
      </c>
      <c r="C782" s="897" t="s">
        <v>4745</v>
      </c>
      <c r="D782" s="897" t="s">
        <v>1912</v>
      </c>
      <c r="E782" s="897"/>
      <c r="F782" s="897"/>
      <c r="G782" s="897"/>
      <c r="H782" s="898" t="s">
        <v>1953</v>
      </c>
      <c r="I782" s="899"/>
      <c r="J782" s="899"/>
    </row>
    <row r="783" spans="1:10">
      <c r="A783" s="896" t="s">
        <v>4746</v>
      </c>
      <c r="B783" s="897" t="s">
        <v>4747</v>
      </c>
      <c r="C783" s="897" t="s">
        <v>4748</v>
      </c>
      <c r="D783" s="897" t="s">
        <v>1912</v>
      </c>
      <c r="E783" s="897"/>
      <c r="F783" s="897"/>
      <c r="G783" s="897"/>
      <c r="H783" s="898" t="e">
        <v>#N/A</v>
      </c>
      <c r="I783" s="899"/>
      <c r="J783" s="899"/>
    </row>
    <row r="784" spans="1:10">
      <c r="A784" s="896" t="s">
        <v>4749</v>
      </c>
      <c r="B784" s="897" t="s">
        <v>4750</v>
      </c>
      <c r="C784" s="897" t="s">
        <v>4751</v>
      </c>
      <c r="D784" s="897" t="s">
        <v>1912</v>
      </c>
      <c r="E784" s="897"/>
      <c r="F784" s="897"/>
      <c r="G784" s="897"/>
      <c r="H784" s="898" t="e">
        <v>#N/A</v>
      </c>
      <c r="I784" s="899"/>
      <c r="J784" s="899"/>
    </row>
    <row r="785" spans="1:10">
      <c r="A785" s="896" t="s">
        <v>4752</v>
      </c>
      <c r="B785" s="897" t="s">
        <v>4753</v>
      </c>
      <c r="C785" s="897" t="s">
        <v>4754</v>
      </c>
      <c r="D785" s="897" t="s">
        <v>1912</v>
      </c>
      <c r="E785" s="897"/>
      <c r="F785" s="897"/>
      <c r="G785" s="897"/>
      <c r="H785" s="898" t="e">
        <v>#N/A</v>
      </c>
      <c r="I785" s="899"/>
      <c r="J785" s="899"/>
    </row>
    <row r="786" spans="1:10">
      <c r="A786" s="896" t="s">
        <v>4755</v>
      </c>
      <c r="B786" s="897" t="s">
        <v>4756</v>
      </c>
      <c r="C786" s="897" t="s">
        <v>4757</v>
      </c>
      <c r="D786" s="897" t="s">
        <v>1912</v>
      </c>
      <c r="E786" s="897"/>
      <c r="F786" s="897"/>
      <c r="G786" s="897"/>
      <c r="H786" s="898" t="e">
        <v>#N/A</v>
      </c>
      <c r="I786" s="899"/>
      <c r="J786" s="899"/>
    </row>
    <row r="787" spans="1:10">
      <c r="A787" s="896" t="s">
        <v>4758</v>
      </c>
      <c r="B787" s="897" t="s">
        <v>4759</v>
      </c>
      <c r="C787" s="897" t="s">
        <v>4760</v>
      </c>
      <c r="D787" s="897" t="s">
        <v>1912</v>
      </c>
      <c r="E787" s="897"/>
      <c r="F787" s="897" t="s">
        <v>4761</v>
      </c>
      <c r="G787" s="897" t="s">
        <v>4762</v>
      </c>
      <c r="H787" s="898" t="e">
        <v>#N/A</v>
      </c>
      <c r="I787" s="899"/>
      <c r="J787" s="899"/>
    </row>
    <row r="788" spans="1:10">
      <c r="A788" s="896" t="s">
        <v>4763</v>
      </c>
      <c r="B788" s="897" t="s">
        <v>4764</v>
      </c>
      <c r="C788" s="897" t="s">
        <v>4765</v>
      </c>
      <c r="D788" s="897" t="s">
        <v>1912</v>
      </c>
      <c r="E788" s="897"/>
      <c r="F788" s="897"/>
      <c r="G788" s="897"/>
      <c r="H788" s="898" t="e">
        <v>#N/A</v>
      </c>
      <c r="I788" s="899"/>
      <c r="J788" s="899"/>
    </row>
    <row r="789" spans="1:10">
      <c r="A789" s="896" t="s">
        <v>4766</v>
      </c>
      <c r="B789" s="897" t="s">
        <v>4767</v>
      </c>
      <c r="C789" s="897" t="s">
        <v>1912</v>
      </c>
      <c r="D789" s="897" t="s">
        <v>1912</v>
      </c>
      <c r="E789" s="897"/>
      <c r="F789" s="897"/>
      <c r="G789" s="897"/>
      <c r="H789" s="898" t="e">
        <v>#N/A</v>
      </c>
      <c r="I789" s="899"/>
      <c r="J789" s="899"/>
    </row>
    <row r="790" spans="1:10">
      <c r="A790" s="896" t="s">
        <v>4768</v>
      </c>
      <c r="B790" s="897" t="s">
        <v>4769</v>
      </c>
      <c r="C790" s="897" t="s">
        <v>4770</v>
      </c>
      <c r="D790" s="897" t="s">
        <v>1912</v>
      </c>
      <c r="E790" s="897"/>
      <c r="F790" s="897"/>
      <c r="G790" s="897"/>
      <c r="H790" s="898" t="e">
        <v>#N/A</v>
      </c>
      <c r="I790" s="899"/>
      <c r="J790" s="899"/>
    </row>
    <row r="791" spans="1:10">
      <c r="A791" s="896" t="s">
        <v>4771</v>
      </c>
      <c r="B791" s="897" t="s">
        <v>4772</v>
      </c>
      <c r="C791" s="897" t="s">
        <v>4773</v>
      </c>
      <c r="D791" s="897" t="s">
        <v>1912</v>
      </c>
      <c r="E791" s="897"/>
      <c r="F791" s="897"/>
      <c r="G791" s="897"/>
      <c r="H791" s="898" t="s">
        <v>1953</v>
      </c>
      <c r="I791" s="899"/>
      <c r="J791" s="899"/>
    </row>
    <row r="792" spans="1:10">
      <c r="A792" s="896" t="s">
        <v>4774</v>
      </c>
      <c r="B792" s="897" t="s">
        <v>4775</v>
      </c>
      <c r="C792" s="897" t="s">
        <v>4776</v>
      </c>
      <c r="D792" s="897" t="s">
        <v>1912</v>
      </c>
      <c r="E792" s="897"/>
      <c r="F792" s="897"/>
      <c r="G792" s="897"/>
      <c r="H792" s="898" t="s">
        <v>1914</v>
      </c>
      <c r="I792" s="899"/>
      <c r="J792" s="899"/>
    </row>
    <row r="793" spans="1:10">
      <c r="A793" s="896" t="s">
        <v>4777</v>
      </c>
      <c r="B793" s="897" t="s">
        <v>4778</v>
      </c>
      <c r="C793" s="897" t="s">
        <v>4779</v>
      </c>
      <c r="D793" s="897" t="s">
        <v>1912</v>
      </c>
      <c r="E793" s="897"/>
      <c r="F793" s="897"/>
      <c r="G793" s="897"/>
      <c r="H793" s="898" t="e">
        <v>#N/A</v>
      </c>
      <c r="I793" s="899"/>
      <c r="J793" s="899"/>
    </row>
    <row r="794" spans="1:10">
      <c r="A794" s="896" t="s">
        <v>4780</v>
      </c>
      <c r="B794" s="897" t="s">
        <v>4781</v>
      </c>
      <c r="C794" s="897" t="s">
        <v>4782</v>
      </c>
      <c r="D794" s="897" t="s">
        <v>1912</v>
      </c>
      <c r="E794" s="897"/>
      <c r="F794" s="897"/>
      <c r="G794" s="897"/>
      <c r="H794" s="898" t="s">
        <v>1953</v>
      </c>
      <c r="I794" s="899"/>
      <c r="J794" s="899"/>
    </row>
    <row r="795" spans="1:10">
      <c r="A795" s="896" t="s">
        <v>4783</v>
      </c>
      <c r="B795" s="897" t="s">
        <v>4784</v>
      </c>
      <c r="C795" s="897" t="s">
        <v>4785</v>
      </c>
      <c r="D795" s="897" t="s">
        <v>1912</v>
      </c>
      <c r="E795" s="897"/>
      <c r="F795" s="897"/>
      <c r="G795" s="897"/>
      <c r="H795" s="898" t="e">
        <v>#N/A</v>
      </c>
      <c r="I795" s="899"/>
      <c r="J795" s="899"/>
    </row>
    <row r="796" spans="1:10">
      <c r="A796" s="896" t="s">
        <v>4786</v>
      </c>
      <c r="B796" s="897" t="s">
        <v>4787</v>
      </c>
      <c r="C796" s="897" t="s">
        <v>4054</v>
      </c>
      <c r="D796" s="897" t="s">
        <v>1912</v>
      </c>
      <c r="E796" s="897"/>
      <c r="F796" s="897"/>
      <c r="G796" s="897"/>
      <c r="H796" s="898" t="e">
        <v>#N/A</v>
      </c>
      <c r="I796" s="899"/>
      <c r="J796" s="899"/>
    </row>
    <row r="797" spans="1:10">
      <c r="A797" s="896" t="s">
        <v>4788</v>
      </c>
      <c r="B797" s="897" t="s">
        <v>4789</v>
      </c>
      <c r="C797" s="897" t="s">
        <v>4790</v>
      </c>
      <c r="D797" s="897" t="s">
        <v>1912</v>
      </c>
      <c r="E797" s="897"/>
      <c r="F797" s="897"/>
      <c r="G797" s="897"/>
      <c r="H797" s="898" t="s">
        <v>1953</v>
      </c>
      <c r="I797" s="899"/>
      <c r="J797" s="899"/>
    </row>
    <row r="798" spans="1:10">
      <c r="A798" s="896" t="s">
        <v>4791</v>
      </c>
      <c r="B798" s="897" t="s">
        <v>1390</v>
      </c>
      <c r="C798" s="897" t="s">
        <v>4792</v>
      </c>
      <c r="D798" s="897" t="s">
        <v>1912</v>
      </c>
      <c r="E798" s="897"/>
      <c r="F798" s="897"/>
      <c r="G798" s="897"/>
      <c r="H798" s="898" t="s">
        <v>1953</v>
      </c>
      <c r="I798" s="899"/>
      <c r="J798" s="899"/>
    </row>
    <row r="799" spans="1:10">
      <c r="A799" s="896" t="s">
        <v>4793</v>
      </c>
      <c r="B799" s="897" t="s">
        <v>4794</v>
      </c>
      <c r="C799" s="897" t="s">
        <v>4795</v>
      </c>
      <c r="D799" s="897" t="s">
        <v>1912</v>
      </c>
      <c r="E799" s="897"/>
      <c r="F799" s="897"/>
      <c r="G799" s="897"/>
      <c r="H799" s="898" t="e">
        <v>#N/A</v>
      </c>
      <c r="I799" s="899"/>
      <c r="J799" s="899"/>
    </row>
    <row r="800" spans="1:10">
      <c r="A800" s="896" t="s">
        <v>4796</v>
      </c>
      <c r="B800" s="897" t="s">
        <v>4797</v>
      </c>
      <c r="C800" s="897" t="s">
        <v>4798</v>
      </c>
      <c r="D800" s="897" t="s">
        <v>1912</v>
      </c>
      <c r="E800" s="897"/>
      <c r="F800" s="897" t="s">
        <v>4799</v>
      </c>
      <c r="G800" s="897" t="s">
        <v>4800</v>
      </c>
      <c r="H800" s="898" t="e">
        <v>#N/A</v>
      </c>
      <c r="I800" s="899"/>
      <c r="J800" s="899"/>
    </row>
    <row r="801" spans="1:10">
      <c r="A801" s="896" t="s">
        <v>4801</v>
      </c>
      <c r="B801" s="897" t="s">
        <v>4802</v>
      </c>
      <c r="C801" s="897" t="s">
        <v>4803</v>
      </c>
      <c r="D801" s="897" t="s">
        <v>1912</v>
      </c>
      <c r="E801" s="897"/>
      <c r="F801" s="897"/>
      <c r="G801" s="897"/>
      <c r="H801" s="898" t="e">
        <v>#N/A</v>
      </c>
      <c r="I801" s="899"/>
      <c r="J801" s="899"/>
    </row>
    <row r="802" spans="1:10">
      <c r="A802" s="896" t="s">
        <v>4804</v>
      </c>
      <c r="B802" s="897" t="s">
        <v>222</v>
      </c>
      <c r="C802" s="897" t="s">
        <v>4805</v>
      </c>
      <c r="D802" s="897" t="s">
        <v>4806</v>
      </c>
      <c r="E802" s="897"/>
      <c r="F802" s="897"/>
      <c r="G802" s="897"/>
      <c r="H802" s="898" t="s">
        <v>1953</v>
      </c>
      <c r="I802" s="899"/>
      <c r="J802" s="899"/>
    </row>
    <row r="803" spans="1:10">
      <c r="A803" s="896" t="s">
        <v>4807</v>
      </c>
      <c r="B803" s="897" t="s">
        <v>4808</v>
      </c>
      <c r="C803" s="897" t="s">
        <v>4809</v>
      </c>
      <c r="D803" s="897" t="s">
        <v>1912</v>
      </c>
      <c r="E803" s="897"/>
      <c r="F803" s="897"/>
      <c r="G803" s="897"/>
      <c r="H803" s="898" t="s">
        <v>1953</v>
      </c>
      <c r="I803" s="899"/>
      <c r="J803" s="899"/>
    </row>
    <row r="804" spans="1:10">
      <c r="A804" s="896" t="s">
        <v>4810</v>
      </c>
      <c r="B804" s="897" t="s">
        <v>4811</v>
      </c>
      <c r="C804" s="897" t="s">
        <v>4051</v>
      </c>
      <c r="D804" s="897" t="s">
        <v>4812</v>
      </c>
      <c r="E804" s="897"/>
      <c r="F804" s="897"/>
      <c r="G804" s="897"/>
      <c r="H804" s="898" t="s">
        <v>1953</v>
      </c>
      <c r="I804" s="899"/>
      <c r="J804" s="899"/>
    </row>
    <row r="805" spans="1:10">
      <c r="A805" s="896" t="s">
        <v>4813</v>
      </c>
      <c r="B805" s="897" t="s">
        <v>4814</v>
      </c>
      <c r="C805" s="897" t="s">
        <v>4815</v>
      </c>
      <c r="D805" s="897" t="s">
        <v>1912</v>
      </c>
      <c r="E805" s="897"/>
      <c r="F805" s="897"/>
      <c r="G805" s="897"/>
      <c r="H805" s="898" t="s">
        <v>1953</v>
      </c>
      <c r="I805" s="899"/>
      <c r="J805" s="899"/>
    </row>
    <row r="806" spans="1:10">
      <c r="A806" s="896" t="s">
        <v>4816</v>
      </c>
      <c r="B806" s="897" t="s">
        <v>4817</v>
      </c>
      <c r="C806" s="897" t="s">
        <v>4818</v>
      </c>
      <c r="D806" s="897" t="s">
        <v>1912</v>
      </c>
      <c r="E806" s="897"/>
      <c r="F806" s="897"/>
      <c r="G806" s="897"/>
      <c r="H806" s="898" t="e">
        <v>#N/A</v>
      </c>
      <c r="I806" s="899"/>
      <c r="J806" s="899"/>
    </row>
    <row r="807" spans="1:10">
      <c r="A807" s="896" t="s">
        <v>4819</v>
      </c>
      <c r="B807" s="897" t="s">
        <v>4820</v>
      </c>
      <c r="C807" s="897" t="s">
        <v>4821</v>
      </c>
      <c r="D807" s="897" t="s">
        <v>1912</v>
      </c>
      <c r="E807" s="897"/>
      <c r="F807" s="897"/>
      <c r="G807" s="897"/>
      <c r="H807" s="898" t="s">
        <v>1953</v>
      </c>
      <c r="I807" s="899"/>
      <c r="J807" s="899"/>
    </row>
    <row r="808" spans="1:10">
      <c r="A808" s="896" t="s">
        <v>4822</v>
      </c>
      <c r="B808" s="897" t="s">
        <v>4823</v>
      </c>
      <c r="C808" s="897" t="s">
        <v>3618</v>
      </c>
      <c r="D808" s="897" t="s">
        <v>1912</v>
      </c>
      <c r="E808" s="897"/>
      <c r="F808" s="897"/>
      <c r="G808" s="897"/>
      <c r="H808" s="898" t="e">
        <v>#N/A</v>
      </c>
      <c r="I808" s="899"/>
      <c r="J808" s="899"/>
    </row>
    <row r="809" spans="1:10">
      <c r="A809" s="896" t="s">
        <v>4824</v>
      </c>
      <c r="B809" s="897" t="s">
        <v>4825</v>
      </c>
      <c r="C809" s="897" t="s">
        <v>4826</v>
      </c>
      <c r="D809" s="897" t="s">
        <v>1912</v>
      </c>
      <c r="E809" s="897"/>
      <c r="F809" s="897"/>
      <c r="G809" s="897"/>
      <c r="H809" s="898" t="e">
        <v>#N/A</v>
      </c>
      <c r="I809" s="899"/>
      <c r="J809" s="899"/>
    </row>
    <row r="810" spans="1:10">
      <c r="A810" s="896" t="s">
        <v>4827</v>
      </c>
      <c r="B810" s="897" t="s">
        <v>4828</v>
      </c>
      <c r="C810" s="897" t="s">
        <v>4829</v>
      </c>
      <c r="D810" s="897" t="s">
        <v>1912</v>
      </c>
      <c r="E810" s="897"/>
      <c r="F810" s="897"/>
      <c r="G810" s="897"/>
      <c r="H810" s="898" t="e">
        <v>#N/A</v>
      </c>
      <c r="I810" s="899"/>
      <c r="J810" s="899"/>
    </row>
    <row r="811" spans="1:10">
      <c r="A811" s="896" t="s">
        <v>4830</v>
      </c>
      <c r="B811" s="897" t="s">
        <v>4831</v>
      </c>
      <c r="C811" s="897" t="s">
        <v>4832</v>
      </c>
      <c r="D811" s="897" t="s">
        <v>1912</v>
      </c>
      <c r="E811" s="897"/>
      <c r="F811" s="897"/>
      <c r="G811" s="897"/>
      <c r="H811" s="898" t="e">
        <v>#N/A</v>
      </c>
      <c r="I811" s="899"/>
      <c r="J811" s="899"/>
    </row>
    <row r="812" spans="1:10">
      <c r="A812" s="896" t="s">
        <v>4833</v>
      </c>
      <c r="B812" s="897" t="s">
        <v>4834</v>
      </c>
      <c r="C812" s="897" t="s">
        <v>4835</v>
      </c>
      <c r="D812" s="897" t="s">
        <v>1912</v>
      </c>
      <c r="E812" s="897"/>
      <c r="F812" s="897"/>
      <c r="G812" s="897"/>
      <c r="H812" s="898" t="e">
        <v>#N/A</v>
      </c>
      <c r="I812" s="899"/>
      <c r="J812" s="899"/>
    </row>
    <row r="813" spans="1:10">
      <c r="A813" s="896" t="s">
        <v>4836</v>
      </c>
      <c r="B813" s="897" t="s">
        <v>4837</v>
      </c>
      <c r="C813" s="897" t="s">
        <v>4838</v>
      </c>
      <c r="D813" s="897" t="s">
        <v>1912</v>
      </c>
      <c r="E813" s="897"/>
      <c r="F813" s="897"/>
      <c r="G813" s="897"/>
      <c r="H813" s="898" t="e">
        <v>#N/A</v>
      </c>
      <c r="I813" s="899"/>
      <c r="J813" s="899"/>
    </row>
    <row r="814" spans="1:10">
      <c r="A814" s="896" t="s">
        <v>4839</v>
      </c>
      <c r="B814" s="897" t="s">
        <v>4840</v>
      </c>
      <c r="C814" s="897" t="s">
        <v>4841</v>
      </c>
      <c r="D814" s="897" t="s">
        <v>1912</v>
      </c>
      <c r="E814" s="897"/>
      <c r="F814" s="897" t="s">
        <v>4842</v>
      </c>
      <c r="G814" s="897" t="s">
        <v>4843</v>
      </c>
      <c r="H814" s="898" t="e">
        <v>#N/A</v>
      </c>
      <c r="I814" s="899"/>
      <c r="J814" s="899"/>
    </row>
    <row r="815" spans="1:10">
      <c r="A815" s="896" t="s">
        <v>4844</v>
      </c>
      <c r="B815" s="897" t="s">
        <v>4845</v>
      </c>
      <c r="C815" s="897"/>
      <c r="D815" s="897" t="s">
        <v>1912</v>
      </c>
      <c r="E815" s="897"/>
      <c r="F815" s="897"/>
      <c r="G815" s="897"/>
      <c r="H815" s="898">
        <v>0</v>
      </c>
      <c r="I815" s="899"/>
      <c r="J815" s="899"/>
    </row>
    <row r="816" spans="1:10">
      <c r="A816" s="896" t="s">
        <v>4846</v>
      </c>
      <c r="B816" s="897" t="s">
        <v>1069</v>
      </c>
      <c r="C816" s="897"/>
      <c r="D816" s="897" t="s">
        <v>2029</v>
      </c>
      <c r="E816" s="897"/>
      <c r="F816" s="897"/>
      <c r="G816" s="897"/>
      <c r="H816" s="898" t="e">
        <v>#N/A</v>
      </c>
      <c r="I816" s="899"/>
      <c r="J816" s="899"/>
    </row>
    <row r="817" spans="1:10">
      <c r="A817" s="896" t="s">
        <v>4847</v>
      </c>
      <c r="B817" s="897" t="s">
        <v>1070</v>
      </c>
      <c r="C817" s="897"/>
      <c r="D817" s="897" t="s">
        <v>2029</v>
      </c>
      <c r="E817" s="897"/>
      <c r="F817" s="897"/>
      <c r="G817" s="897"/>
      <c r="H817" s="898" t="e">
        <v>#N/A</v>
      </c>
      <c r="I817" s="899"/>
      <c r="J817" s="899"/>
    </row>
    <row r="818" spans="1:10">
      <c r="A818" s="896" t="s">
        <v>4848</v>
      </c>
      <c r="B818" s="897" t="s">
        <v>4849</v>
      </c>
      <c r="C818" s="897" t="s">
        <v>4850</v>
      </c>
      <c r="D818" s="897" t="s">
        <v>1912</v>
      </c>
      <c r="E818" s="897"/>
      <c r="F818" s="897"/>
      <c r="G818" s="897"/>
      <c r="H818" s="898" t="s">
        <v>1953</v>
      </c>
      <c r="I818" s="899"/>
      <c r="J818" s="899"/>
    </row>
    <row r="819" spans="1:10">
      <c r="A819" s="896" t="s">
        <v>4851</v>
      </c>
      <c r="B819" s="897" t="s">
        <v>4852</v>
      </c>
      <c r="C819" s="897" t="s">
        <v>4853</v>
      </c>
      <c r="D819" s="897" t="s">
        <v>1912</v>
      </c>
      <c r="E819" s="897"/>
      <c r="F819" s="897"/>
      <c r="G819" s="897"/>
      <c r="H819" s="898" t="s">
        <v>1953</v>
      </c>
      <c r="I819" s="899"/>
      <c r="J819" s="899"/>
    </row>
    <row r="820" spans="1:10">
      <c r="A820" s="896" t="s">
        <v>4854</v>
      </c>
      <c r="B820" s="897" t="s">
        <v>4855</v>
      </c>
      <c r="C820" s="897" t="s">
        <v>4856</v>
      </c>
      <c r="D820" s="897" t="s">
        <v>1912</v>
      </c>
      <c r="E820" s="897"/>
      <c r="F820" s="897"/>
      <c r="G820" s="897"/>
      <c r="H820" s="898" t="s">
        <v>1953</v>
      </c>
      <c r="I820" s="899"/>
      <c r="J820" s="899"/>
    </row>
    <row r="821" spans="1:10">
      <c r="A821" s="896" t="s">
        <v>4857</v>
      </c>
      <c r="B821" s="897" t="s">
        <v>4858</v>
      </c>
      <c r="C821" s="897" t="s">
        <v>1912</v>
      </c>
      <c r="D821" s="897" t="s">
        <v>1912</v>
      </c>
      <c r="E821" s="897"/>
      <c r="F821" s="897"/>
      <c r="G821" s="897"/>
      <c r="H821" s="898" t="e">
        <v>#N/A</v>
      </c>
      <c r="I821" s="899"/>
      <c r="J821" s="899"/>
    </row>
    <row r="822" spans="1:10">
      <c r="A822" s="896" t="s">
        <v>4859</v>
      </c>
      <c r="B822" s="897" t="s">
        <v>4860</v>
      </c>
      <c r="C822" s="897" t="s">
        <v>4861</v>
      </c>
      <c r="D822" s="897" t="s">
        <v>1912</v>
      </c>
      <c r="E822" s="897"/>
      <c r="F822" s="897"/>
      <c r="G822" s="897"/>
      <c r="H822" s="898" t="e">
        <v>#N/A</v>
      </c>
      <c r="I822" s="899"/>
      <c r="J822" s="899"/>
    </row>
    <row r="823" spans="1:10">
      <c r="A823" s="896" t="s">
        <v>4862</v>
      </c>
      <c r="B823" s="897" t="s">
        <v>4863</v>
      </c>
      <c r="C823" s="897" t="s">
        <v>4864</v>
      </c>
      <c r="D823" s="897" t="s">
        <v>1912</v>
      </c>
      <c r="E823" s="897"/>
      <c r="F823" s="897" t="s">
        <v>4865</v>
      </c>
      <c r="G823" s="897" t="s">
        <v>4866</v>
      </c>
      <c r="H823" s="898" t="e">
        <v>#N/A</v>
      </c>
      <c r="I823" s="899"/>
      <c r="J823" s="899"/>
    </row>
    <row r="824" spans="1:10">
      <c r="A824" s="896" t="s">
        <v>4867</v>
      </c>
      <c r="B824" s="897" t="s">
        <v>4868</v>
      </c>
      <c r="C824" s="897" t="s">
        <v>4869</v>
      </c>
      <c r="D824" s="897" t="s">
        <v>1912</v>
      </c>
      <c r="E824" s="897"/>
      <c r="F824" s="897"/>
      <c r="G824" s="897"/>
      <c r="H824" s="898" t="e">
        <v>#N/A</v>
      </c>
      <c r="I824" s="899"/>
      <c r="J824" s="899"/>
    </row>
    <row r="825" spans="1:10">
      <c r="A825" s="896" t="s">
        <v>4870</v>
      </c>
      <c r="B825" s="897" t="s">
        <v>1164</v>
      </c>
      <c r="C825" s="897" t="s">
        <v>4871</v>
      </c>
      <c r="D825" s="897" t="s">
        <v>1912</v>
      </c>
      <c r="E825" s="897"/>
      <c r="F825" s="897"/>
      <c r="G825" s="897"/>
      <c r="H825" s="898" t="e">
        <v>#N/A</v>
      </c>
      <c r="I825" s="899"/>
      <c r="J825" s="899"/>
    </row>
    <row r="826" spans="1:10">
      <c r="A826" s="896" t="s">
        <v>4872</v>
      </c>
      <c r="B826" s="897" t="s">
        <v>4873</v>
      </c>
      <c r="C826" s="897" t="s">
        <v>4874</v>
      </c>
      <c r="D826" s="897" t="s">
        <v>1912</v>
      </c>
      <c r="E826" s="897"/>
      <c r="F826" s="897"/>
      <c r="G826" s="897"/>
      <c r="H826" s="898" t="e">
        <v>#N/A</v>
      </c>
      <c r="I826" s="899"/>
      <c r="J826" s="899"/>
    </row>
    <row r="827" spans="1:10">
      <c r="A827" s="896" t="s">
        <v>4875</v>
      </c>
      <c r="B827" s="897" t="s">
        <v>4876</v>
      </c>
      <c r="C827" s="897" t="s">
        <v>4877</v>
      </c>
      <c r="D827" s="897" t="s">
        <v>1912</v>
      </c>
      <c r="E827" s="897"/>
      <c r="F827" s="897"/>
      <c r="G827" s="897"/>
      <c r="H827" s="898" t="s">
        <v>1953</v>
      </c>
      <c r="I827" s="899"/>
      <c r="J827" s="899"/>
    </row>
    <row r="828" spans="1:10">
      <c r="A828" s="896" t="s">
        <v>4878</v>
      </c>
      <c r="B828" s="897" t="s">
        <v>4879</v>
      </c>
      <c r="C828" s="897" t="s">
        <v>4880</v>
      </c>
      <c r="D828" s="897" t="s">
        <v>1912</v>
      </c>
      <c r="E828" s="897"/>
      <c r="F828" s="897"/>
      <c r="G828" s="897"/>
      <c r="H828" s="898" t="s">
        <v>1953</v>
      </c>
      <c r="I828" s="899"/>
      <c r="J828" s="899"/>
    </row>
    <row r="829" spans="1:10">
      <c r="A829" s="896" t="s">
        <v>4881</v>
      </c>
      <c r="B829" s="897" t="s">
        <v>4882</v>
      </c>
      <c r="C829" s="897" t="s">
        <v>3645</v>
      </c>
      <c r="D829" s="897" t="s">
        <v>1912</v>
      </c>
      <c r="E829" s="897"/>
      <c r="F829" s="897"/>
      <c r="G829" s="897"/>
      <c r="H829" s="898" t="e">
        <v>#N/A</v>
      </c>
      <c r="I829" s="899"/>
      <c r="J829" s="899"/>
    </row>
    <row r="830" spans="1:10">
      <c r="A830" s="896" t="s">
        <v>4883</v>
      </c>
      <c r="B830" s="897" t="s">
        <v>4884</v>
      </c>
      <c r="C830" s="897" t="s">
        <v>4885</v>
      </c>
      <c r="D830" s="897" t="s">
        <v>1912</v>
      </c>
      <c r="E830" s="897"/>
      <c r="F830" s="897"/>
      <c r="G830" s="897"/>
      <c r="H830" s="898" t="e">
        <v>#N/A</v>
      </c>
      <c r="I830" s="899"/>
      <c r="J830" s="899"/>
    </row>
    <row r="831" spans="1:10">
      <c r="A831" s="896" t="s">
        <v>4886</v>
      </c>
      <c r="B831" s="897" t="s">
        <v>4887</v>
      </c>
      <c r="C831" s="897" t="s">
        <v>4888</v>
      </c>
      <c r="D831" s="897" t="s">
        <v>1912</v>
      </c>
      <c r="E831" s="897"/>
      <c r="F831" s="897"/>
      <c r="G831" s="897"/>
      <c r="H831" s="898" t="e">
        <v>#N/A</v>
      </c>
      <c r="I831" s="899"/>
      <c r="J831" s="899"/>
    </row>
    <row r="832" spans="1:10">
      <c r="A832" s="896" t="s">
        <v>4889</v>
      </c>
      <c r="B832" s="897" t="s">
        <v>4890</v>
      </c>
      <c r="C832" s="897" t="s">
        <v>4891</v>
      </c>
      <c r="D832" s="897" t="s">
        <v>1912</v>
      </c>
      <c r="E832" s="897"/>
      <c r="F832" s="897"/>
      <c r="G832" s="897"/>
      <c r="H832" s="898" t="s">
        <v>1953</v>
      </c>
      <c r="I832" s="899"/>
      <c r="J832" s="899"/>
    </row>
    <row r="833" spans="1:10">
      <c r="A833" s="896" t="s">
        <v>4892</v>
      </c>
      <c r="B833" s="897" t="s">
        <v>4893</v>
      </c>
      <c r="C833" s="897" t="s">
        <v>4894</v>
      </c>
      <c r="D833" s="897" t="s">
        <v>1912</v>
      </c>
      <c r="E833" s="897"/>
      <c r="F833" s="897"/>
      <c r="G833" s="897"/>
      <c r="H833" s="898" t="e">
        <v>#N/A</v>
      </c>
      <c r="I833" s="899"/>
      <c r="J833" s="899"/>
    </row>
    <row r="834" spans="1:10">
      <c r="A834" s="896" t="s">
        <v>4895</v>
      </c>
      <c r="B834" s="897" t="s">
        <v>4896</v>
      </c>
      <c r="C834" s="897" t="s">
        <v>4897</v>
      </c>
      <c r="D834" s="897" t="s">
        <v>1912</v>
      </c>
      <c r="E834" s="897"/>
      <c r="F834" s="897"/>
      <c r="G834" s="897"/>
      <c r="H834" s="898" t="s">
        <v>1953</v>
      </c>
      <c r="I834" s="899"/>
      <c r="J834" s="899"/>
    </row>
    <row r="835" spans="1:10">
      <c r="A835" s="896" t="s">
        <v>4898</v>
      </c>
      <c r="B835" s="897" t="s">
        <v>4899</v>
      </c>
      <c r="C835" s="897" t="s">
        <v>3917</v>
      </c>
      <c r="D835" s="897" t="s">
        <v>1912</v>
      </c>
      <c r="E835" s="897"/>
      <c r="F835" s="897"/>
      <c r="G835" s="897"/>
      <c r="H835" s="898" t="s">
        <v>1953</v>
      </c>
      <c r="I835" s="899"/>
      <c r="J835" s="899"/>
    </row>
    <row r="836" spans="1:10">
      <c r="A836" s="896" t="s">
        <v>4900</v>
      </c>
      <c r="B836" s="897" t="s">
        <v>4901</v>
      </c>
      <c r="C836" s="897" t="s">
        <v>4902</v>
      </c>
      <c r="D836" s="897" t="s">
        <v>1912</v>
      </c>
      <c r="E836" s="897"/>
      <c r="F836" s="897"/>
      <c r="G836" s="897"/>
      <c r="H836" s="898" t="e">
        <v>#N/A</v>
      </c>
      <c r="I836" s="899"/>
      <c r="J836" s="899"/>
    </row>
    <row r="837" spans="1:10">
      <c r="A837" s="896" t="s">
        <v>4903</v>
      </c>
      <c r="B837" s="897" t="s">
        <v>4904</v>
      </c>
      <c r="C837" s="897" t="s">
        <v>3708</v>
      </c>
      <c r="D837" s="897" t="s">
        <v>1912</v>
      </c>
      <c r="E837" s="897"/>
      <c r="F837" s="897"/>
      <c r="G837" s="897"/>
      <c r="H837" s="898" t="e">
        <v>#N/A</v>
      </c>
      <c r="I837" s="899"/>
      <c r="J837" s="899"/>
    </row>
    <row r="838" spans="1:10">
      <c r="A838" s="896" t="s">
        <v>4905</v>
      </c>
      <c r="B838" s="897" t="s">
        <v>169</v>
      </c>
      <c r="C838" s="897" t="s">
        <v>2948</v>
      </c>
      <c r="D838" s="897" t="s">
        <v>1912</v>
      </c>
      <c r="E838" s="897"/>
      <c r="F838" s="897"/>
      <c r="G838" s="897"/>
      <c r="H838" s="898" t="s">
        <v>1953</v>
      </c>
      <c r="I838" s="899"/>
      <c r="J838" s="899"/>
    </row>
    <row r="839" spans="1:10">
      <c r="A839" s="896" t="s">
        <v>4906</v>
      </c>
      <c r="B839" s="897" t="s">
        <v>4907</v>
      </c>
      <c r="C839" s="897" t="s">
        <v>4908</v>
      </c>
      <c r="D839" s="897" t="s">
        <v>1912</v>
      </c>
      <c r="E839" s="897"/>
      <c r="F839" s="897"/>
      <c r="G839" s="897"/>
      <c r="H839" s="898" t="e">
        <v>#N/A</v>
      </c>
      <c r="I839" s="899"/>
      <c r="J839" s="899"/>
    </row>
    <row r="840" spans="1:10">
      <c r="A840" s="896" t="s">
        <v>4909</v>
      </c>
      <c r="B840" s="897" t="s">
        <v>4910</v>
      </c>
      <c r="C840" s="897" t="s">
        <v>4400</v>
      </c>
      <c r="D840" s="897" t="s">
        <v>1912</v>
      </c>
      <c r="E840" s="897"/>
      <c r="F840" s="897" t="s">
        <v>4911</v>
      </c>
      <c r="G840" s="897" t="s">
        <v>4912</v>
      </c>
      <c r="H840" s="898" t="e">
        <v>#N/A</v>
      </c>
      <c r="I840" s="899"/>
      <c r="J840" s="899"/>
    </row>
    <row r="841" spans="1:10">
      <c r="A841" s="896" t="s">
        <v>4913</v>
      </c>
      <c r="B841" s="897" t="s">
        <v>4914</v>
      </c>
      <c r="C841" s="897" t="s">
        <v>4915</v>
      </c>
      <c r="D841" s="897" t="s">
        <v>1912</v>
      </c>
      <c r="E841" s="897"/>
      <c r="F841" s="897"/>
      <c r="G841" s="897"/>
      <c r="H841" s="898" t="s">
        <v>1953</v>
      </c>
      <c r="I841" s="899"/>
      <c r="J841" s="899"/>
    </row>
    <row r="842" spans="1:10">
      <c r="A842" s="896" t="s">
        <v>4916</v>
      </c>
      <c r="B842" s="897" t="s">
        <v>4917</v>
      </c>
      <c r="C842" s="897" t="s">
        <v>4918</v>
      </c>
      <c r="D842" s="897" t="s">
        <v>1912</v>
      </c>
      <c r="E842" s="897"/>
      <c r="F842" s="897" t="s">
        <v>4919</v>
      </c>
      <c r="G842" s="897" t="s">
        <v>4920</v>
      </c>
      <c r="H842" s="898" t="e">
        <v>#N/A</v>
      </c>
      <c r="I842" s="899"/>
      <c r="J842" s="899"/>
    </row>
    <row r="843" spans="1:10">
      <c r="A843" s="896" t="s">
        <v>4921</v>
      </c>
      <c r="B843" s="897" t="s">
        <v>4922</v>
      </c>
      <c r="C843" s="897" t="s">
        <v>4923</v>
      </c>
      <c r="D843" s="897" t="s">
        <v>1912</v>
      </c>
      <c r="E843" s="897"/>
      <c r="F843" s="897"/>
      <c r="G843" s="897"/>
      <c r="H843" s="898" t="s">
        <v>1953</v>
      </c>
      <c r="I843" s="899"/>
      <c r="J843" s="899"/>
    </row>
    <row r="844" spans="1:10">
      <c r="A844" s="896" t="s">
        <v>4924</v>
      </c>
      <c r="B844" s="897" t="s">
        <v>4925</v>
      </c>
      <c r="C844" s="897" t="s">
        <v>4926</v>
      </c>
      <c r="D844" s="897" t="s">
        <v>1912</v>
      </c>
      <c r="E844" s="897"/>
      <c r="F844" s="897"/>
      <c r="G844" s="897"/>
      <c r="H844" s="898" t="e">
        <v>#N/A</v>
      </c>
      <c r="I844" s="899"/>
      <c r="J844" s="899"/>
    </row>
    <row r="845" spans="1:10">
      <c r="A845" s="896" t="s">
        <v>4927</v>
      </c>
      <c r="B845" s="897" t="s">
        <v>4928</v>
      </c>
      <c r="C845" s="897" t="s">
        <v>4929</v>
      </c>
      <c r="D845" s="897" t="s">
        <v>1912</v>
      </c>
      <c r="E845" s="897"/>
      <c r="F845" s="897"/>
      <c r="G845" s="897"/>
      <c r="H845" s="898" t="e">
        <v>#N/A</v>
      </c>
      <c r="I845" s="899"/>
      <c r="J845" s="899"/>
    </row>
    <row r="846" spans="1:10">
      <c r="A846" s="896" t="s">
        <v>4930</v>
      </c>
      <c r="B846" s="897" t="s">
        <v>4931</v>
      </c>
      <c r="C846" s="897" t="s">
        <v>4932</v>
      </c>
      <c r="D846" s="897" t="s">
        <v>1912</v>
      </c>
      <c r="E846" s="897"/>
      <c r="F846" s="897"/>
      <c r="G846" s="897"/>
      <c r="H846" s="898" t="s">
        <v>1953</v>
      </c>
      <c r="I846" s="899"/>
      <c r="J846" s="899"/>
    </row>
    <row r="847" spans="1:10">
      <c r="A847" s="896" t="s">
        <v>4933</v>
      </c>
      <c r="B847" s="897" t="s">
        <v>4934</v>
      </c>
      <c r="C847" s="897" t="s">
        <v>1912</v>
      </c>
      <c r="D847" s="897" t="s">
        <v>1912</v>
      </c>
      <c r="E847" s="897"/>
      <c r="F847" s="897"/>
      <c r="G847" s="897"/>
      <c r="H847" s="898" t="e">
        <v>#N/A</v>
      </c>
      <c r="I847" s="899"/>
      <c r="J847" s="899"/>
    </row>
    <row r="848" spans="1:10">
      <c r="A848" s="896" t="s">
        <v>4935</v>
      </c>
      <c r="B848" s="897" t="s">
        <v>4936</v>
      </c>
      <c r="C848" s="897" t="s">
        <v>4937</v>
      </c>
      <c r="D848" s="897" t="s">
        <v>1912</v>
      </c>
      <c r="E848" s="897"/>
      <c r="F848" s="897"/>
      <c r="G848" s="897"/>
      <c r="H848" s="898" t="e">
        <v>#N/A</v>
      </c>
      <c r="I848" s="899"/>
      <c r="J848" s="899"/>
    </row>
    <row r="849" spans="1:10">
      <c r="A849" s="896" t="s">
        <v>4938</v>
      </c>
      <c r="B849" s="897" t="s">
        <v>4939</v>
      </c>
      <c r="C849" s="897" t="s">
        <v>4940</v>
      </c>
      <c r="D849" s="897" t="s">
        <v>1912</v>
      </c>
      <c r="E849" s="897"/>
      <c r="F849" s="897"/>
      <c r="G849" s="897"/>
      <c r="H849" s="898" t="e">
        <v>#N/A</v>
      </c>
      <c r="I849" s="899"/>
      <c r="J849" s="899"/>
    </row>
    <row r="850" spans="1:10">
      <c r="A850" s="896" t="s">
        <v>4941</v>
      </c>
      <c r="B850" s="897" t="s">
        <v>4942</v>
      </c>
      <c r="C850" s="897" t="s">
        <v>4943</v>
      </c>
      <c r="D850" s="897" t="s">
        <v>4944</v>
      </c>
      <c r="E850" s="897"/>
      <c r="F850" s="897"/>
      <c r="G850" s="897"/>
      <c r="H850" s="898">
        <v>0</v>
      </c>
      <c r="I850" s="899"/>
      <c r="J850" s="899"/>
    </row>
    <row r="851" spans="1:10">
      <c r="A851" s="896" t="s">
        <v>4945</v>
      </c>
      <c r="B851" s="897" t="s">
        <v>4946</v>
      </c>
      <c r="C851" s="897" t="s">
        <v>4947</v>
      </c>
      <c r="D851" s="897" t="s">
        <v>1912</v>
      </c>
      <c r="E851" s="897"/>
      <c r="F851" s="897"/>
      <c r="G851" s="897"/>
      <c r="H851" s="898" t="s">
        <v>1953</v>
      </c>
      <c r="I851" s="899"/>
      <c r="J851" s="899"/>
    </row>
    <row r="852" spans="1:10">
      <c r="A852" s="896" t="s">
        <v>4948</v>
      </c>
      <c r="B852" s="897" t="s">
        <v>4949</v>
      </c>
      <c r="C852" s="897" t="s">
        <v>4950</v>
      </c>
      <c r="D852" s="897" t="s">
        <v>1912</v>
      </c>
      <c r="E852" s="897"/>
      <c r="F852" s="897"/>
      <c r="G852" s="897"/>
      <c r="H852" s="898" t="e">
        <v>#N/A</v>
      </c>
      <c r="I852" s="899"/>
      <c r="J852" s="899"/>
    </row>
    <row r="853" spans="1:10">
      <c r="A853" s="896" t="s">
        <v>4951</v>
      </c>
      <c r="B853" s="897" t="s">
        <v>4952</v>
      </c>
      <c r="C853" s="897" t="s">
        <v>3910</v>
      </c>
      <c r="D853" s="897" t="s">
        <v>1912</v>
      </c>
      <c r="E853" s="897"/>
      <c r="F853" s="897"/>
      <c r="G853" s="897"/>
      <c r="H853" s="898" t="e">
        <v>#N/A</v>
      </c>
      <c r="I853" s="899"/>
      <c r="J853" s="899"/>
    </row>
    <row r="854" spans="1:10">
      <c r="A854" s="896" t="s">
        <v>4953</v>
      </c>
      <c r="B854" s="897" t="s">
        <v>4954</v>
      </c>
      <c r="C854" s="897" t="s">
        <v>4955</v>
      </c>
      <c r="D854" s="897" t="s">
        <v>1912</v>
      </c>
      <c r="E854" s="897"/>
      <c r="F854" s="897"/>
      <c r="G854" s="897"/>
      <c r="H854" s="898" t="e">
        <v>#N/A</v>
      </c>
      <c r="I854" s="899"/>
      <c r="J854" s="899"/>
    </row>
    <row r="855" spans="1:10">
      <c r="A855" s="896" t="s">
        <v>4956</v>
      </c>
      <c r="B855" s="897" t="s">
        <v>4957</v>
      </c>
      <c r="C855" s="897" t="s">
        <v>4958</v>
      </c>
      <c r="D855" s="897" t="s">
        <v>1912</v>
      </c>
      <c r="E855" s="897"/>
      <c r="F855" s="897"/>
      <c r="G855" s="897"/>
      <c r="H855" s="898" t="e">
        <v>#N/A</v>
      </c>
      <c r="I855" s="899"/>
      <c r="J855" s="899"/>
    </row>
    <row r="856" spans="1:10">
      <c r="A856" s="896" t="s">
        <v>4959</v>
      </c>
      <c r="B856" s="897" t="s">
        <v>4960</v>
      </c>
      <c r="C856" s="897" t="s">
        <v>4961</v>
      </c>
      <c r="D856" s="897" t="s">
        <v>1912</v>
      </c>
      <c r="E856" s="897"/>
      <c r="F856" s="897"/>
      <c r="G856" s="897"/>
      <c r="H856" s="898" t="e">
        <v>#N/A</v>
      </c>
      <c r="I856" s="899"/>
      <c r="J856" s="899"/>
    </row>
    <row r="857" spans="1:10">
      <c r="A857" s="896" t="s">
        <v>4962</v>
      </c>
      <c r="B857" s="897" t="s">
        <v>4963</v>
      </c>
      <c r="C857" s="897" t="s">
        <v>4964</v>
      </c>
      <c r="D857" s="897" t="s">
        <v>1912</v>
      </c>
      <c r="E857" s="897"/>
      <c r="F857" s="897"/>
      <c r="G857" s="897"/>
      <c r="H857" s="898" t="e">
        <v>#N/A</v>
      </c>
      <c r="I857" s="899"/>
      <c r="J857" s="899"/>
    </row>
    <row r="858" spans="1:10">
      <c r="A858" s="896" t="s">
        <v>4965</v>
      </c>
      <c r="B858" s="897" t="s">
        <v>4966</v>
      </c>
      <c r="C858" s="897" t="s">
        <v>4967</v>
      </c>
      <c r="D858" s="897" t="s">
        <v>1912</v>
      </c>
      <c r="E858" s="897"/>
      <c r="F858" s="897"/>
      <c r="G858" s="897"/>
      <c r="H858" s="898" t="e">
        <v>#N/A</v>
      </c>
      <c r="I858" s="899"/>
      <c r="J858" s="899"/>
    </row>
    <row r="859" spans="1:10">
      <c r="A859" s="896" t="s">
        <v>4968</v>
      </c>
      <c r="B859" s="897" t="s">
        <v>4969</v>
      </c>
      <c r="C859" s="897" t="s">
        <v>4970</v>
      </c>
      <c r="D859" s="897" t="s">
        <v>1912</v>
      </c>
      <c r="E859" s="897"/>
      <c r="F859" s="897"/>
      <c r="G859" s="897"/>
      <c r="H859" s="898" t="s">
        <v>1953</v>
      </c>
      <c r="I859" s="899"/>
      <c r="J859" s="899"/>
    </row>
    <row r="860" spans="1:10">
      <c r="A860" s="896" t="s">
        <v>4971</v>
      </c>
      <c r="B860" s="897" t="s">
        <v>326</v>
      </c>
      <c r="C860" s="897" t="s">
        <v>3307</v>
      </c>
      <c r="D860" s="897" t="s">
        <v>1172</v>
      </c>
      <c r="E860" s="897"/>
      <c r="F860" s="897"/>
      <c r="G860" s="897"/>
      <c r="H860" s="898" t="s">
        <v>1914</v>
      </c>
      <c r="I860" s="899"/>
      <c r="J860" s="899"/>
    </row>
    <row r="861" spans="1:10">
      <c r="A861" s="896" t="s">
        <v>4972</v>
      </c>
      <c r="B861" s="897" t="s">
        <v>4973</v>
      </c>
      <c r="C861" s="897" t="s">
        <v>4974</v>
      </c>
      <c r="D861" s="897" t="s">
        <v>1912</v>
      </c>
      <c r="E861" s="897"/>
      <c r="F861" s="897" t="s">
        <v>4975</v>
      </c>
      <c r="G861" s="897" t="s">
        <v>4976</v>
      </c>
      <c r="H861" s="898" t="e">
        <v>#N/A</v>
      </c>
      <c r="I861" s="899"/>
      <c r="J861" s="899"/>
    </row>
    <row r="862" spans="1:10">
      <c r="A862" s="896" t="s">
        <v>4977</v>
      </c>
      <c r="B862" s="897" t="s">
        <v>4978</v>
      </c>
      <c r="C862" s="897" t="s">
        <v>4073</v>
      </c>
      <c r="D862" s="897" t="s">
        <v>1912</v>
      </c>
      <c r="E862" s="897"/>
      <c r="F862" s="897"/>
      <c r="G862" s="897"/>
      <c r="H862" s="898" t="e">
        <v>#N/A</v>
      </c>
      <c r="I862" s="899"/>
      <c r="J862" s="899"/>
    </row>
    <row r="863" spans="1:10">
      <c r="A863" s="896" t="s">
        <v>4979</v>
      </c>
      <c r="B863" s="897" t="s">
        <v>4980</v>
      </c>
      <c r="C863" s="897" t="s">
        <v>4981</v>
      </c>
      <c r="D863" s="897" t="s">
        <v>1912</v>
      </c>
      <c r="E863" s="897"/>
      <c r="F863" s="897"/>
      <c r="G863" s="897"/>
      <c r="H863" s="898" t="s">
        <v>1953</v>
      </c>
      <c r="I863" s="899"/>
      <c r="J863" s="899"/>
    </row>
    <row r="864" spans="1:10">
      <c r="A864" s="896" t="s">
        <v>4982</v>
      </c>
      <c r="B864" s="897" t="s">
        <v>4983</v>
      </c>
      <c r="C864" s="897" t="s">
        <v>4984</v>
      </c>
      <c r="D864" s="897" t="s">
        <v>1912</v>
      </c>
      <c r="E864" s="897"/>
      <c r="F864" s="897" t="s">
        <v>4985</v>
      </c>
      <c r="G864" s="897" t="s">
        <v>4986</v>
      </c>
      <c r="H864" s="898" t="e">
        <v>#N/A</v>
      </c>
      <c r="I864" s="899"/>
      <c r="J864" s="899"/>
    </row>
    <row r="865" spans="1:10">
      <c r="A865" s="896" t="s">
        <v>4987</v>
      </c>
      <c r="B865" s="897" t="s">
        <v>4988</v>
      </c>
      <c r="C865" s="897" t="s">
        <v>4989</v>
      </c>
      <c r="D865" s="897" t="s">
        <v>4990</v>
      </c>
      <c r="E865" s="897"/>
      <c r="F865" s="897"/>
      <c r="G865" s="897"/>
      <c r="H865" s="898" t="s">
        <v>1936</v>
      </c>
      <c r="I865" s="899"/>
      <c r="J865" s="899"/>
    </row>
    <row r="866" spans="1:10">
      <c r="A866" s="896" t="s">
        <v>4991</v>
      </c>
      <c r="B866" s="897" t="s">
        <v>327</v>
      </c>
      <c r="C866" s="897" t="s">
        <v>4992</v>
      </c>
      <c r="D866" s="897" t="s">
        <v>1174</v>
      </c>
      <c r="E866" s="897"/>
      <c r="F866" s="897"/>
      <c r="G866" s="897"/>
      <c r="H866" s="898" t="s">
        <v>1914</v>
      </c>
      <c r="I866" s="899"/>
      <c r="J866" s="899"/>
    </row>
    <row r="867" spans="1:10">
      <c r="A867" s="896" t="s">
        <v>4993</v>
      </c>
      <c r="B867" s="897" t="s">
        <v>4994</v>
      </c>
      <c r="C867" s="897"/>
      <c r="D867" s="897" t="s">
        <v>1912</v>
      </c>
      <c r="E867" s="897"/>
      <c r="F867" s="897"/>
      <c r="G867" s="897"/>
      <c r="H867" s="898" t="s">
        <v>136</v>
      </c>
      <c r="I867" s="899"/>
      <c r="J867" s="899"/>
    </row>
    <row r="868" spans="1:10">
      <c r="A868" s="896" t="s">
        <v>4995</v>
      </c>
      <c r="B868" s="897" t="s">
        <v>4996</v>
      </c>
      <c r="C868" s="897" t="s">
        <v>4997</v>
      </c>
      <c r="D868" s="897" t="s">
        <v>1912</v>
      </c>
      <c r="E868" s="897"/>
      <c r="F868" s="897"/>
      <c r="G868" s="897"/>
      <c r="H868" s="898" t="s">
        <v>1953</v>
      </c>
      <c r="I868" s="899"/>
      <c r="J868" s="899"/>
    </row>
    <row r="869" spans="1:10">
      <c r="A869" s="896" t="s">
        <v>4998</v>
      </c>
      <c r="B869" s="897" t="s">
        <v>4999</v>
      </c>
      <c r="C869" s="897" t="s">
        <v>5000</v>
      </c>
      <c r="D869" s="897" t="s">
        <v>1912</v>
      </c>
      <c r="E869" s="897"/>
      <c r="F869" s="897"/>
      <c r="G869" s="897"/>
      <c r="H869" s="898" t="e">
        <v>#N/A</v>
      </c>
      <c r="I869" s="899"/>
      <c r="J869" s="899"/>
    </row>
    <row r="870" spans="1:10">
      <c r="A870" s="896" t="s">
        <v>5001</v>
      </c>
      <c r="B870" s="897" t="s">
        <v>5002</v>
      </c>
      <c r="C870" s="897" t="s">
        <v>5003</v>
      </c>
      <c r="D870" s="897" t="s">
        <v>1912</v>
      </c>
      <c r="E870" s="897"/>
      <c r="F870" s="897"/>
      <c r="G870" s="897"/>
      <c r="H870" s="898" t="s">
        <v>1953</v>
      </c>
      <c r="I870" s="899"/>
      <c r="J870" s="899"/>
    </row>
    <row r="871" spans="1:10">
      <c r="A871" s="896" t="s">
        <v>5004</v>
      </c>
      <c r="B871" s="897" t="s">
        <v>5005</v>
      </c>
      <c r="C871" s="897" t="s">
        <v>4725</v>
      </c>
      <c r="D871" s="897" t="s">
        <v>1912</v>
      </c>
      <c r="E871" s="897"/>
      <c r="F871" s="897"/>
      <c r="G871" s="897"/>
      <c r="H871" s="898" t="e">
        <v>#N/A</v>
      </c>
      <c r="I871" s="899"/>
      <c r="J871" s="899"/>
    </row>
    <row r="872" spans="1:10">
      <c r="A872" s="896" t="s">
        <v>5006</v>
      </c>
      <c r="B872" s="897" t="s">
        <v>5007</v>
      </c>
      <c r="C872" s="897" t="s">
        <v>5008</v>
      </c>
      <c r="D872" s="897" t="s">
        <v>1912</v>
      </c>
      <c r="E872" s="897"/>
      <c r="F872" s="897" t="s">
        <v>5009</v>
      </c>
      <c r="G872" s="897" t="s">
        <v>5010</v>
      </c>
      <c r="H872" s="898" t="e">
        <v>#N/A</v>
      </c>
      <c r="I872" s="899"/>
      <c r="J872" s="899"/>
    </row>
    <row r="873" spans="1:10">
      <c r="A873" s="896" t="s">
        <v>5011</v>
      </c>
      <c r="B873" s="897" t="s">
        <v>224</v>
      </c>
      <c r="C873" s="897" t="s">
        <v>5012</v>
      </c>
      <c r="D873" s="897" t="s">
        <v>5013</v>
      </c>
      <c r="E873" s="897"/>
      <c r="F873" s="897"/>
      <c r="G873" s="897"/>
      <c r="H873" s="898" t="s">
        <v>1953</v>
      </c>
      <c r="I873" s="899"/>
      <c r="J873" s="899"/>
    </row>
    <row r="874" spans="1:10">
      <c r="A874" s="896" t="s">
        <v>5014</v>
      </c>
      <c r="B874" s="897" t="s">
        <v>720</v>
      </c>
      <c r="C874" s="897" t="s">
        <v>5015</v>
      </c>
      <c r="D874" s="897" t="s">
        <v>1299</v>
      </c>
      <c r="E874" s="897"/>
      <c r="F874" s="897"/>
      <c r="G874" s="897"/>
      <c r="H874" s="898" t="s">
        <v>1914</v>
      </c>
      <c r="I874" s="899"/>
      <c r="J874" s="899"/>
    </row>
    <row r="875" spans="1:10">
      <c r="A875" s="896" t="s">
        <v>5016</v>
      </c>
      <c r="B875" s="897" t="s">
        <v>5017</v>
      </c>
      <c r="C875" s="897" t="s">
        <v>4054</v>
      </c>
      <c r="D875" s="897" t="s">
        <v>1912</v>
      </c>
      <c r="E875" s="897"/>
      <c r="F875" s="897"/>
      <c r="G875" s="897"/>
      <c r="H875" s="898" t="e">
        <v>#N/A</v>
      </c>
      <c r="I875" s="899"/>
      <c r="J875" s="899"/>
    </row>
    <row r="876" spans="1:10">
      <c r="A876" s="896" t="s">
        <v>5018</v>
      </c>
      <c r="B876" s="897" t="s">
        <v>1895</v>
      </c>
      <c r="C876" s="897" t="s">
        <v>5019</v>
      </c>
      <c r="D876" s="897" t="s">
        <v>1912</v>
      </c>
      <c r="E876" s="897"/>
      <c r="F876" s="897" t="s">
        <v>1704</v>
      </c>
      <c r="G876" s="897" t="s">
        <v>5020</v>
      </c>
      <c r="H876" s="898" t="e">
        <v>#N/A</v>
      </c>
      <c r="I876" s="899"/>
      <c r="J876" s="899"/>
    </row>
    <row r="877" spans="1:10">
      <c r="A877" s="896" t="s">
        <v>5021</v>
      </c>
      <c r="B877" s="897" t="s">
        <v>721</v>
      </c>
      <c r="C877" s="897" t="s">
        <v>5022</v>
      </c>
      <c r="D877" s="897" t="s">
        <v>5023</v>
      </c>
      <c r="E877" s="897"/>
      <c r="F877" s="897"/>
      <c r="G877" s="897"/>
      <c r="H877" s="898" t="s">
        <v>1914</v>
      </c>
      <c r="I877" s="899"/>
      <c r="J877" s="899"/>
    </row>
    <row r="878" spans="1:10">
      <c r="A878" s="896" t="s">
        <v>5024</v>
      </c>
      <c r="B878" s="897" t="s">
        <v>5025</v>
      </c>
      <c r="C878" s="897" t="s">
        <v>4054</v>
      </c>
      <c r="D878" s="897" t="s">
        <v>1912</v>
      </c>
      <c r="E878" s="897"/>
      <c r="F878" s="897"/>
      <c r="G878" s="897"/>
      <c r="H878" s="898" t="e">
        <v>#N/A</v>
      </c>
      <c r="I878" s="899"/>
      <c r="J878" s="899"/>
    </row>
    <row r="879" spans="1:10">
      <c r="A879" s="896" t="s">
        <v>5026</v>
      </c>
      <c r="B879" s="897" t="s">
        <v>5027</v>
      </c>
      <c r="C879" s="897" t="s">
        <v>4054</v>
      </c>
      <c r="D879" s="897" t="s">
        <v>1912</v>
      </c>
      <c r="E879" s="897"/>
      <c r="F879" s="897"/>
      <c r="G879" s="897"/>
      <c r="H879" s="898" t="e">
        <v>#N/A</v>
      </c>
      <c r="I879" s="899"/>
      <c r="J879" s="899"/>
    </row>
    <row r="880" spans="1:10">
      <c r="A880" s="896" t="s">
        <v>5028</v>
      </c>
      <c r="B880" s="897" t="s">
        <v>1268</v>
      </c>
      <c r="C880" s="897" t="s">
        <v>5029</v>
      </c>
      <c r="D880" s="897" t="s">
        <v>1269</v>
      </c>
      <c r="E880" s="897"/>
      <c r="F880" s="897"/>
      <c r="G880" s="897"/>
      <c r="H880" s="898" t="s">
        <v>1953</v>
      </c>
      <c r="I880" s="899"/>
      <c r="J880" s="899"/>
    </row>
    <row r="881" spans="1:10">
      <c r="A881" s="896" t="s">
        <v>5030</v>
      </c>
      <c r="B881" s="897" t="s">
        <v>5031</v>
      </c>
      <c r="C881" s="897" t="s">
        <v>5032</v>
      </c>
      <c r="D881" s="897" t="s">
        <v>1912</v>
      </c>
      <c r="E881" s="897"/>
      <c r="F881" s="897"/>
      <c r="G881" s="897"/>
      <c r="H881" s="898" t="e">
        <v>#N/A</v>
      </c>
      <c r="I881" s="899"/>
      <c r="J881" s="899"/>
    </row>
    <row r="882" spans="1:10">
      <c r="A882" s="896" t="s">
        <v>5033</v>
      </c>
      <c r="B882" s="897" t="s">
        <v>1705</v>
      </c>
      <c r="C882" s="897" t="s">
        <v>5034</v>
      </c>
      <c r="D882" s="897" t="s">
        <v>1912</v>
      </c>
      <c r="E882" s="897"/>
      <c r="F882" s="897"/>
      <c r="G882" s="897"/>
      <c r="H882" s="898" t="e">
        <v>#N/A</v>
      </c>
      <c r="I882" s="899"/>
      <c r="J882" s="899"/>
    </row>
    <row r="883" spans="1:10">
      <c r="A883" s="896" t="s">
        <v>5035</v>
      </c>
      <c r="B883" s="897" t="s">
        <v>5036</v>
      </c>
      <c r="C883" s="897" t="s">
        <v>5037</v>
      </c>
      <c r="D883" s="897" t="s">
        <v>1912</v>
      </c>
      <c r="E883" s="897"/>
      <c r="F883" s="897"/>
      <c r="G883" s="897"/>
      <c r="H883" s="898" t="e">
        <v>#N/A</v>
      </c>
      <c r="I883" s="899"/>
      <c r="J883" s="899"/>
    </row>
    <row r="884" spans="1:10">
      <c r="A884" s="896" t="s">
        <v>5038</v>
      </c>
      <c r="B884" s="897" t="s">
        <v>5039</v>
      </c>
      <c r="C884" s="897" t="s">
        <v>5040</v>
      </c>
      <c r="D884" s="897" t="s">
        <v>1912</v>
      </c>
      <c r="E884" s="897"/>
      <c r="F884" s="897"/>
      <c r="G884" s="897"/>
      <c r="H884" s="898" t="e">
        <v>#N/A</v>
      </c>
      <c r="I884" s="899"/>
      <c r="J884" s="899"/>
    </row>
    <row r="885" spans="1:10">
      <c r="A885" s="896" t="s">
        <v>5041</v>
      </c>
      <c r="B885" s="897" t="s">
        <v>5042</v>
      </c>
      <c r="C885" s="897" t="s">
        <v>5043</v>
      </c>
      <c r="D885" s="897" t="s">
        <v>1912</v>
      </c>
      <c r="E885" s="897"/>
      <c r="F885" s="897"/>
      <c r="G885" s="897"/>
      <c r="H885" s="898" t="e">
        <v>#N/A</v>
      </c>
      <c r="I885" s="899"/>
      <c r="J885" s="899"/>
    </row>
    <row r="886" spans="1:10">
      <c r="A886" s="896" t="s">
        <v>5044</v>
      </c>
      <c r="B886" s="897" t="s">
        <v>5045</v>
      </c>
      <c r="C886" s="897" t="s">
        <v>5046</v>
      </c>
      <c r="D886" s="897" t="s">
        <v>1912</v>
      </c>
      <c r="E886" s="897"/>
      <c r="F886" s="897"/>
      <c r="G886" s="897"/>
      <c r="H886" s="898" t="e">
        <v>#N/A</v>
      </c>
      <c r="I886" s="899"/>
      <c r="J886" s="899"/>
    </row>
    <row r="887" spans="1:10">
      <c r="A887" s="896" t="s">
        <v>5047</v>
      </c>
      <c r="B887" s="897" t="s">
        <v>5048</v>
      </c>
      <c r="C887" s="897" t="s">
        <v>5049</v>
      </c>
      <c r="D887" s="897" t="s">
        <v>1912</v>
      </c>
      <c r="E887" s="897"/>
      <c r="F887" s="897"/>
      <c r="G887" s="897"/>
      <c r="H887" s="898" t="e">
        <v>#N/A</v>
      </c>
      <c r="I887" s="899"/>
      <c r="J887" s="899"/>
    </row>
    <row r="888" spans="1:10">
      <c r="A888" s="896" t="s">
        <v>5050</v>
      </c>
      <c r="B888" s="897" t="s">
        <v>5051</v>
      </c>
      <c r="C888" s="897" t="s">
        <v>4456</v>
      </c>
      <c r="D888" s="897" t="s">
        <v>1912</v>
      </c>
      <c r="E888" s="897"/>
      <c r="F888" s="897"/>
      <c r="G888" s="897"/>
      <c r="H888" s="898" t="s">
        <v>1914</v>
      </c>
      <c r="I888" s="899"/>
      <c r="J888" s="899"/>
    </row>
    <row r="889" spans="1:10">
      <c r="A889" s="896" t="s">
        <v>5052</v>
      </c>
      <c r="B889" s="897" t="s">
        <v>5053</v>
      </c>
      <c r="C889" s="897" t="s">
        <v>1912</v>
      </c>
      <c r="D889" s="897" t="s">
        <v>1912</v>
      </c>
      <c r="E889" s="897"/>
      <c r="F889" s="897"/>
      <c r="G889" s="897"/>
      <c r="H889" s="898" t="e">
        <v>#N/A</v>
      </c>
      <c r="I889" s="899"/>
      <c r="J889" s="899"/>
    </row>
    <row r="890" spans="1:10">
      <c r="A890" s="896" t="s">
        <v>5054</v>
      </c>
      <c r="B890" s="897" t="s">
        <v>225</v>
      </c>
      <c r="C890" s="897" t="s">
        <v>5055</v>
      </c>
      <c r="D890" s="897" t="s">
        <v>1912</v>
      </c>
      <c r="E890" s="897"/>
      <c r="F890" s="897"/>
      <c r="G890" s="897"/>
      <c r="H890" s="898" t="s">
        <v>1914</v>
      </c>
      <c r="I890" s="899"/>
      <c r="J890" s="899"/>
    </row>
    <row r="891" spans="1:10">
      <c r="A891" s="896" t="s">
        <v>5056</v>
      </c>
      <c r="B891" s="897" t="s">
        <v>5057</v>
      </c>
      <c r="C891" s="897" t="s">
        <v>5058</v>
      </c>
      <c r="D891" s="897" t="s">
        <v>1912</v>
      </c>
      <c r="E891" s="897"/>
      <c r="F891" s="897"/>
      <c r="G891" s="897"/>
      <c r="H891" s="898" t="e">
        <v>#N/A</v>
      </c>
      <c r="I891" s="899"/>
      <c r="J891" s="899"/>
    </row>
    <row r="892" spans="1:10">
      <c r="A892" s="896" t="s">
        <v>5059</v>
      </c>
      <c r="B892" s="897" t="s">
        <v>5060</v>
      </c>
      <c r="C892" s="897" t="s">
        <v>1912</v>
      </c>
      <c r="D892" s="897" t="s">
        <v>1912</v>
      </c>
      <c r="E892" s="897"/>
      <c r="F892" s="897"/>
      <c r="G892" s="897"/>
      <c r="H892" s="898" t="e">
        <v>#N/A</v>
      </c>
      <c r="I892" s="899"/>
      <c r="J892" s="899"/>
    </row>
    <row r="893" spans="1:10">
      <c r="A893" s="896" t="s">
        <v>5061</v>
      </c>
      <c r="B893" s="897" t="s">
        <v>1707</v>
      </c>
      <c r="C893" s="897" t="s">
        <v>5062</v>
      </c>
      <c r="D893" s="897" t="s">
        <v>1912</v>
      </c>
      <c r="E893" s="897"/>
      <c r="F893" s="897"/>
      <c r="G893" s="897"/>
      <c r="H893" s="898" t="e">
        <v>#N/A</v>
      </c>
      <c r="I893" s="899"/>
      <c r="J893" s="899"/>
    </row>
    <row r="894" spans="1:10">
      <c r="A894" s="896" t="s">
        <v>5063</v>
      </c>
      <c r="B894" s="897" t="s">
        <v>5064</v>
      </c>
      <c r="C894" s="897" t="s">
        <v>4782</v>
      </c>
      <c r="D894" s="897" t="s">
        <v>1912</v>
      </c>
      <c r="E894" s="897"/>
      <c r="F894" s="897"/>
      <c r="G894" s="897"/>
      <c r="H894" s="898" t="s">
        <v>1953</v>
      </c>
      <c r="I894" s="899"/>
      <c r="J894" s="899"/>
    </row>
    <row r="895" spans="1:10">
      <c r="A895" s="896" t="s">
        <v>5065</v>
      </c>
      <c r="B895" s="897" t="s">
        <v>1392</v>
      </c>
      <c r="C895" s="897" t="s">
        <v>5066</v>
      </c>
      <c r="D895" s="897" t="s">
        <v>1912</v>
      </c>
      <c r="E895" s="897"/>
      <c r="F895" s="897"/>
      <c r="G895" s="897"/>
      <c r="H895" s="898" t="e">
        <v>#N/A</v>
      </c>
      <c r="I895" s="899"/>
      <c r="J895" s="899"/>
    </row>
    <row r="896" spans="1:10">
      <c r="A896" s="896" t="s">
        <v>5067</v>
      </c>
      <c r="B896" s="897" t="s">
        <v>5068</v>
      </c>
      <c r="C896" s="897" t="s">
        <v>5069</v>
      </c>
      <c r="D896" s="897" t="s">
        <v>1912</v>
      </c>
      <c r="E896" s="897"/>
      <c r="F896" s="897"/>
      <c r="G896" s="897"/>
      <c r="H896" s="898" t="e">
        <v>#N/A</v>
      </c>
      <c r="I896" s="899"/>
      <c r="J896" s="899"/>
    </row>
    <row r="897" spans="1:10">
      <c r="A897" s="896" t="s">
        <v>5070</v>
      </c>
      <c r="B897" s="897" t="s">
        <v>5071</v>
      </c>
      <c r="C897" s="897" t="s">
        <v>5072</v>
      </c>
      <c r="D897" s="897" t="s">
        <v>1912</v>
      </c>
      <c r="E897" s="897"/>
      <c r="F897" s="897"/>
      <c r="G897" s="897"/>
      <c r="H897" s="898" t="e">
        <v>#N/A</v>
      </c>
      <c r="I897" s="899"/>
      <c r="J897" s="899"/>
    </row>
    <row r="898" spans="1:10">
      <c r="A898" s="896" t="s">
        <v>5073</v>
      </c>
      <c r="B898" s="897" t="s">
        <v>5074</v>
      </c>
      <c r="C898" s="897" t="s">
        <v>1912</v>
      </c>
      <c r="D898" s="897" t="s">
        <v>1912</v>
      </c>
      <c r="E898" s="897"/>
      <c r="F898" s="897"/>
      <c r="G898" s="897"/>
      <c r="H898" s="898" t="e">
        <v>#N/A</v>
      </c>
      <c r="I898" s="899"/>
      <c r="J898" s="899"/>
    </row>
    <row r="899" spans="1:10">
      <c r="A899" s="896" t="s">
        <v>5075</v>
      </c>
      <c r="B899" s="897" t="s">
        <v>5076</v>
      </c>
      <c r="C899" s="897" t="s">
        <v>1912</v>
      </c>
      <c r="D899" s="897" t="s">
        <v>1912</v>
      </c>
      <c r="E899" s="897"/>
      <c r="F899" s="897"/>
      <c r="G899" s="897"/>
      <c r="H899" s="898" t="e">
        <v>#N/A</v>
      </c>
      <c r="I899" s="899"/>
      <c r="J899" s="899"/>
    </row>
    <row r="900" spans="1:10">
      <c r="A900" s="896" t="s">
        <v>5077</v>
      </c>
      <c r="B900" s="897" t="s">
        <v>5078</v>
      </c>
      <c r="C900" s="897" t="s">
        <v>1912</v>
      </c>
      <c r="D900" s="897" t="s">
        <v>1912</v>
      </c>
      <c r="E900" s="897"/>
      <c r="F900" s="897"/>
      <c r="G900" s="897"/>
      <c r="H900" s="898" t="e">
        <v>#N/A</v>
      </c>
      <c r="I900" s="899"/>
      <c r="J900" s="899"/>
    </row>
    <row r="901" spans="1:10">
      <c r="A901" s="896" t="s">
        <v>5079</v>
      </c>
      <c r="B901" s="897" t="s">
        <v>1393</v>
      </c>
      <c r="C901" s="897" t="s">
        <v>1912</v>
      </c>
      <c r="D901" s="897" t="s">
        <v>1912</v>
      </c>
      <c r="E901" s="897"/>
      <c r="F901" s="897"/>
      <c r="G901" s="897"/>
      <c r="H901" s="898" t="e">
        <v>#N/A</v>
      </c>
      <c r="I901" s="899"/>
      <c r="J901" s="899"/>
    </row>
    <row r="902" spans="1:10">
      <c r="A902" s="896" t="s">
        <v>5080</v>
      </c>
      <c r="B902" s="897" t="s">
        <v>1709</v>
      </c>
      <c r="C902" s="897" t="s">
        <v>1912</v>
      </c>
      <c r="D902" s="897" t="s">
        <v>1912</v>
      </c>
      <c r="E902" s="897"/>
      <c r="F902" s="897"/>
      <c r="G902" s="897"/>
      <c r="H902" s="898" t="e">
        <v>#N/A</v>
      </c>
      <c r="I902" s="899"/>
      <c r="J902" s="899"/>
    </row>
    <row r="903" spans="1:10">
      <c r="A903" s="896" t="s">
        <v>5081</v>
      </c>
      <c r="B903" s="897" t="s">
        <v>5082</v>
      </c>
      <c r="C903" s="897" t="s">
        <v>4101</v>
      </c>
      <c r="D903" s="897" t="s">
        <v>1912</v>
      </c>
      <c r="E903" s="897"/>
      <c r="F903" s="897"/>
      <c r="G903" s="897"/>
      <c r="H903" s="898" t="e">
        <v>#N/A</v>
      </c>
      <c r="I903" s="899"/>
      <c r="J903" s="899"/>
    </row>
    <row r="904" spans="1:10">
      <c r="A904" s="896" t="s">
        <v>5083</v>
      </c>
      <c r="B904" s="897" t="s">
        <v>1396</v>
      </c>
      <c r="C904" s="897" t="s">
        <v>5084</v>
      </c>
      <c r="D904" s="897" t="s">
        <v>1912</v>
      </c>
      <c r="E904" s="897"/>
      <c r="F904" s="897"/>
      <c r="G904" s="897"/>
      <c r="H904" s="898" t="e">
        <v>#N/A</v>
      </c>
      <c r="I904" s="899"/>
      <c r="J904" s="899"/>
    </row>
    <row r="905" spans="1:10">
      <c r="A905" s="896" t="s">
        <v>5085</v>
      </c>
      <c r="B905" s="897" t="s">
        <v>5086</v>
      </c>
      <c r="C905" s="897" t="s">
        <v>5087</v>
      </c>
      <c r="D905" s="897" t="s">
        <v>1912</v>
      </c>
      <c r="E905" s="897"/>
      <c r="F905" s="897" t="s">
        <v>5088</v>
      </c>
      <c r="G905" s="897" t="s">
        <v>5089</v>
      </c>
      <c r="H905" s="898" t="s">
        <v>1953</v>
      </c>
      <c r="I905" s="899"/>
      <c r="J905" s="899"/>
    </row>
    <row r="906" spans="1:10">
      <c r="A906" s="896" t="s">
        <v>5090</v>
      </c>
      <c r="B906" s="897" t="s">
        <v>1397</v>
      </c>
      <c r="C906" s="897" t="s">
        <v>5091</v>
      </c>
      <c r="D906" s="897" t="s">
        <v>1912</v>
      </c>
      <c r="E906" s="897"/>
      <c r="F906" s="897"/>
      <c r="G906" s="897"/>
      <c r="H906" s="898" t="e">
        <v>#N/A</v>
      </c>
      <c r="I906" s="899"/>
      <c r="J906" s="899"/>
    </row>
    <row r="907" spans="1:10">
      <c r="A907" s="896" t="s">
        <v>5092</v>
      </c>
      <c r="B907" s="897" t="s">
        <v>1712</v>
      </c>
      <c r="C907" s="897" t="s">
        <v>5093</v>
      </c>
      <c r="D907" s="897" t="s">
        <v>1912</v>
      </c>
      <c r="E907" s="897"/>
      <c r="F907" s="897"/>
      <c r="G907" s="897"/>
      <c r="H907" s="898" t="e">
        <v>#N/A</v>
      </c>
      <c r="I907" s="899"/>
      <c r="J907" s="899"/>
    </row>
    <row r="908" spans="1:10">
      <c r="A908" s="896" t="s">
        <v>5094</v>
      </c>
      <c r="B908" s="897" t="s">
        <v>5095</v>
      </c>
      <c r="C908" s="897" t="s">
        <v>5096</v>
      </c>
      <c r="D908" s="897" t="s">
        <v>1912</v>
      </c>
      <c r="E908" s="897"/>
      <c r="F908" s="897"/>
      <c r="G908" s="897"/>
      <c r="H908" s="898" t="e">
        <v>#N/A</v>
      </c>
      <c r="I908" s="899"/>
      <c r="J908" s="899"/>
    </row>
    <row r="909" spans="1:10">
      <c r="A909" s="896" t="s">
        <v>5097</v>
      </c>
      <c r="B909" s="897" t="s">
        <v>102</v>
      </c>
      <c r="C909" s="897" t="s">
        <v>2357</v>
      </c>
      <c r="D909" s="897" t="s">
        <v>1912</v>
      </c>
      <c r="E909" s="897"/>
      <c r="F909" s="897"/>
      <c r="G909" s="897"/>
      <c r="H909" s="898">
        <v>0</v>
      </c>
      <c r="I909" s="899"/>
      <c r="J909" s="899"/>
    </row>
    <row r="910" spans="1:10">
      <c r="A910" s="896" t="s">
        <v>5098</v>
      </c>
      <c r="B910" s="897" t="s">
        <v>5099</v>
      </c>
      <c r="C910" s="897" t="s">
        <v>5100</v>
      </c>
      <c r="D910" s="897" t="s">
        <v>1912</v>
      </c>
      <c r="E910" s="897"/>
      <c r="F910" s="897"/>
      <c r="G910" s="897"/>
      <c r="H910" s="898" t="e">
        <v>#N/A</v>
      </c>
      <c r="I910" s="899"/>
      <c r="J910" s="899"/>
    </row>
    <row r="911" spans="1:10">
      <c r="A911" s="896" t="s">
        <v>5101</v>
      </c>
      <c r="B911" s="897" t="s">
        <v>5102</v>
      </c>
      <c r="C911" s="897" t="s">
        <v>5103</v>
      </c>
      <c r="D911" s="897" t="s">
        <v>1912</v>
      </c>
      <c r="E911" s="897"/>
      <c r="F911" s="897"/>
      <c r="G911" s="897"/>
      <c r="H911" s="898" t="e">
        <v>#N/A</v>
      </c>
      <c r="I911" s="899"/>
      <c r="J911" s="899"/>
    </row>
    <row r="912" spans="1:10">
      <c r="A912" s="896" t="s">
        <v>5104</v>
      </c>
      <c r="B912" s="897" t="s">
        <v>5105</v>
      </c>
      <c r="C912" s="897" t="s">
        <v>5106</v>
      </c>
      <c r="D912" s="897" t="s">
        <v>1912</v>
      </c>
      <c r="E912" s="897"/>
      <c r="F912" s="897" t="s">
        <v>5107</v>
      </c>
      <c r="G912" s="897" t="s">
        <v>5108</v>
      </c>
      <c r="H912" s="898" t="e">
        <v>#N/A</v>
      </c>
      <c r="I912" s="899"/>
      <c r="J912" s="899"/>
    </row>
    <row r="913" spans="1:10">
      <c r="A913" s="896" t="s">
        <v>5109</v>
      </c>
      <c r="B913" s="897" t="s">
        <v>5110</v>
      </c>
      <c r="C913" s="897" t="s">
        <v>5111</v>
      </c>
      <c r="D913" s="897" t="s">
        <v>1912</v>
      </c>
      <c r="E913" s="897"/>
      <c r="F913" s="897" t="s">
        <v>5112</v>
      </c>
      <c r="G913" s="897" t="s">
        <v>5113</v>
      </c>
      <c r="H913" s="898" t="e">
        <v>#N/A</v>
      </c>
      <c r="I913" s="899"/>
      <c r="J913" s="899"/>
    </row>
    <row r="914" spans="1:10">
      <c r="A914" s="896" t="s">
        <v>5114</v>
      </c>
      <c r="B914" s="897" t="s">
        <v>5115</v>
      </c>
      <c r="C914" s="897" t="s">
        <v>5116</v>
      </c>
      <c r="D914" s="897" t="s">
        <v>1912</v>
      </c>
      <c r="E914" s="897"/>
      <c r="F914" s="897"/>
      <c r="G914" s="897"/>
      <c r="H914" s="898" t="e">
        <v>#N/A</v>
      </c>
      <c r="I914" s="899"/>
      <c r="J914" s="899"/>
    </row>
    <row r="915" spans="1:10">
      <c r="A915" s="896" t="s">
        <v>5117</v>
      </c>
      <c r="B915" s="897" t="s">
        <v>5118</v>
      </c>
      <c r="C915" s="897" t="s">
        <v>5119</v>
      </c>
      <c r="D915" s="897" t="s">
        <v>1912</v>
      </c>
      <c r="E915" s="897"/>
      <c r="F915" s="897"/>
      <c r="G915" s="897"/>
      <c r="H915" s="898" t="e">
        <v>#N/A</v>
      </c>
      <c r="I915" s="899"/>
      <c r="J915" s="899"/>
    </row>
    <row r="916" spans="1:10">
      <c r="A916" s="896" t="s">
        <v>5120</v>
      </c>
      <c r="B916" s="897" t="s">
        <v>1715</v>
      </c>
      <c r="C916" s="897" t="s">
        <v>5121</v>
      </c>
      <c r="D916" s="897" t="s">
        <v>1912</v>
      </c>
      <c r="E916" s="897"/>
      <c r="F916" s="897"/>
      <c r="G916" s="897"/>
      <c r="H916" s="898" t="e">
        <v>#N/A</v>
      </c>
      <c r="I916" s="899"/>
      <c r="J916" s="899"/>
    </row>
    <row r="917" spans="1:10">
      <c r="A917" s="896" t="s">
        <v>5122</v>
      </c>
      <c r="B917" s="897" t="s">
        <v>1398</v>
      </c>
      <c r="C917" s="897" t="s">
        <v>5123</v>
      </c>
      <c r="D917" s="897" t="s">
        <v>1912</v>
      </c>
      <c r="E917" s="897"/>
      <c r="F917" s="897"/>
      <c r="G917" s="897"/>
      <c r="H917" s="898" t="e">
        <v>#N/A</v>
      </c>
      <c r="I917" s="899"/>
      <c r="J917" s="899"/>
    </row>
    <row r="918" spans="1:10">
      <c r="A918" s="896" t="s">
        <v>5124</v>
      </c>
      <c r="B918" s="897" t="s">
        <v>5125</v>
      </c>
      <c r="C918" s="897" t="s">
        <v>1912</v>
      </c>
      <c r="D918" s="897" t="s">
        <v>1912</v>
      </c>
      <c r="E918" s="897"/>
      <c r="F918" s="897" t="s">
        <v>5126</v>
      </c>
      <c r="G918" s="897" t="s">
        <v>5127</v>
      </c>
      <c r="H918" s="898" t="s">
        <v>1914</v>
      </c>
      <c r="I918" s="899"/>
      <c r="J918" s="899"/>
    </row>
    <row r="919" spans="1:10">
      <c r="A919" s="896" t="s">
        <v>5128</v>
      </c>
      <c r="B919" s="897" t="s">
        <v>5129</v>
      </c>
      <c r="C919" s="897" t="s">
        <v>5130</v>
      </c>
      <c r="D919" s="897" t="s">
        <v>1912</v>
      </c>
      <c r="E919" s="897"/>
      <c r="F919" s="897"/>
      <c r="G919" s="897" t="s">
        <v>5131</v>
      </c>
      <c r="H919" s="898" t="e">
        <v>#N/A</v>
      </c>
      <c r="I919" s="899"/>
      <c r="J919" s="899"/>
    </row>
    <row r="920" spans="1:10">
      <c r="A920" s="896" t="s">
        <v>5132</v>
      </c>
      <c r="B920" s="897" t="s">
        <v>5133</v>
      </c>
      <c r="C920" s="897" t="s">
        <v>5134</v>
      </c>
      <c r="D920" s="897" t="s">
        <v>1912</v>
      </c>
      <c r="E920" s="897"/>
      <c r="F920" s="897"/>
      <c r="G920" s="897"/>
      <c r="H920" s="898" t="s">
        <v>1914</v>
      </c>
      <c r="I920" s="899"/>
      <c r="J920" s="899"/>
    </row>
    <row r="921" spans="1:10">
      <c r="A921" s="896" t="s">
        <v>5135</v>
      </c>
      <c r="B921" s="897" t="s">
        <v>5136</v>
      </c>
      <c r="C921" s="897" t="s">
        <v>1912</v>
      </c>
      <c r="D921" s="897" t="s">
        <v>1912</v>
      </c>
      <c r="E921" s="897"/>
      <c r="F921" s="897"/>
      <c r="G921" s="897"/>
      <c r="H921" s="898" t="e">
        <v>#N/A</v>
      </c>
      <c r="I921" s="899"/>
      <c r="J921" s="899"/>
    </row>
    <row r="922" spans="1:10">
      <c r="A922" s="896" t="s">
        <v>5137</v>
      </c>
      <c r="B922" s="897" t="s">
        <v>5138</v>
      </c>
      <c r="C922" s="897" t="s">
        <v>5139</v>
      </c>
      <c r="D922" s="897" t="s">
        <v>1912</v>
      </c>
      <c r="E922" s="897"/>
      <c r="F922" s="897"/>
      <c r="G922" s="897"/>
      <c r="H922" s="898" t="e">
        <v>#N/A</v>
      </c>
      <c r="I922" s="899"/>
      <c r="J922" s="899"/>
    </row>
    <row r="923" spans="1:10">
      <c r="A923" s="896" t="s">
        <v>5140</v>
      </c>
      <c r="B923" s="897" t="s">
        <v>5141</v>
      </c>
      <c r="C923" s="897" t="s">
        <v>5142</v>
      </c>
      <c r="D923" s="897" t="s">
        <v>1912</v>
      </c>
      <c r="E923" s="897"/>
      <c r="F923" s="897"/>
      <c r="G923" s="897"/>
      <c r="H923" s="898" t="s">
        <v>1914</v>
      </c>
      <c r="I923" s="899"/>
      <c r="J923" s="899"/>
    </row>
    <row r="924" spans="1:10">
      <c r="A924" s="896" t="s">
        <v>5143</v>
      </c>
      <c r="B924" s="897" t="s">
        <v>5144</v>
      </c>
      <c r="C924" s="897" t="s">
        <v>5145</v>
      </c>
      <c r="D924" s="897" t="s">
        <v>1912</v>
      </c>
      <c r="E924" s="897"/>
      <c r="F924" s="897"/>
      <c r="G924" s="897" t="s">
        <v>4079</v>
      </c>
      <c r="H924" s="898" t="e">
        <v>#N/A</v>
      </c>
      <c r="I924" s="899"/>
      <c r="J924" s="899"/>
    </row>
    <row r="925" spans="1:10">
      <c r="A925" s="896" t="s">
        <v>5146</v>
      </c>
      <c r="B925" s="897" t="s">
        <v>5147</v>
      </c>
      <c r="C925" s="897" t="s">
        <v>5148</v>
      </c>
      <c r="D925" s="897" t="s">
        <v>1912</v>
      </c>
      <c r="E925" s="897"/>
      <c r="F925" s="897"/>
      <c r="G925" s="897"/>
      <c r="H925" s="898" t="e">
        <v>#N/A</v>
      </c>
      <c r="I925" s="899"/>
      <c r="J925" s="899"/>
    </row>
    <row r="926" spans="1:10">
      <c r="A926" s="896" t="s">
        <v>5149</v>
      </c>
      <c r="B926" s="897" t="s">
        <v>5150</v>
      </c>
      <c r="C926" s="897"/>
      <c r="D926" s="897"/>
      <c r="E926" s="897"/>
      <c r="F926" s="897" t="s">
        <v>5151</v>
      </c>
      <c r="G926" s="897" t="s">
        <v>5152</v>
      </c>
      <c r="H926" s="898" t="s">
        <v>1914</v>
      </c>
      <c r="I926" s="899"/>
      <c r="J926" s="899"/>
    </row>
    <row r="927" spans="1:10">
      <c r="A927" s="896" t="s">
        <v>5153</v>
      </c>
      <c r="B927" s="897" t="s">
        <v>5154</v>
      </c>
      <c r="C927" s="897" t="s">
        <v>5155</v>
      </c>
      <c r="D927" s="897" t="s">
        <v>1912</v>
      </c>
      <c r="E927" s="897"/>
      <c r="F927" s="897"/>
      <c r="G927" s="897"/>
      <c r="H927" s="898" t="s">
        <v>1953</v>
      </c>
      <c r="I927" s="899"/>
      <c r="J927" s="899"/>
    </row>
    <row r="928" spans="1:10">
      <c r="A928" s="896" t="s">
        <v>5156</v>
      </c>
      <c r="B928" s="897" t="s">
        <v>5157</v>
      </c>
      <c r="C928" s="897" t="s">
        <v>5158</v>
      </c>
      <c r="D928" s="897" t="s">
        <v>1912</v>
      </c>
      <c r="E928" s="897"/>
      <c r="F928" s="897"/>
      <c r="G928" s="897"/>
      <c r="H928" s="898" t="e">
        <v>#N/A</v>
      </c>
      <c r="I928" s="899"/>
      <c r="J928" s="899"/>
    </row>
    <row r="929" spans="1:10">
      <c r="A929" s="896" t="s">
        <v>5159</v>
      </c>
      <c r="B929" s="897" t="s">
        <v>5160</v>
      </c>
      <c r="C929" s="897" t="s">
        <v>5161</v>
      </c>
      <c r="D929" s="897" t="s">
        <v>1912</v>
      </c>
      <c r="E929" s="897"/>
      <c r="F929" s="897"/>
      <c r="G929" s="897"/>
      <c r="H929" s="898" t="e">
        <v>#N/A</v>
      </c>
      <c r="I929" s="899"/>
      <c r="J929" s="899"/>
    </row>
    <row r="930" spans="1:10">
      <c r="A930" s="896" t="s">
        <v>5162</v>
      </c>
      <c r="B930" s="897" t="s">
        <v>5163</v>
      </c>
      <c r="C930" s="897" t="s">
        <v>5164</v>
      </c>
      <c r="D930" s="897" t="s">
        <v>1912</v>
      </c>
      <c r="E930" s="897"/>
      <c r="F930" s="897"/>
      <c r="G930" s="897"/>
      <c r="H930" s="898" t="s">
        <v>1953</v>
      </c>
      <c r="I930" s="899"/>
      <c r="J930" s="899"/>
    </row>
    <row r="931" spans="1:10">
      <c r="A931" s="896" t="s">
        <v>5165</v>
      </c>
      <c r="B931" s="897" t="s">
        <v>362</v>
      </c>
      <c r="C931" s="897"/>
      <c r="D931" s="897" t="s">
        <v>1275</v>
      </c>
      <c r="E931" s="897"/>
      <c r="F931" s="897"/>
      <c r="G931" s="897"/>
      <c r="H931" s="898" t="s">
        <v>1914</v>
      </c>
      <c r="I931" s="899"/>
      <c r="J931" s="899"/>
    </row>
    <row r="932" spans="1:10">
      <c r="A932" s="896" t="s">
        <v>5166</v>
      </c>
      <c r="B932" s="897" t="s">
        <v>5167</v>
      </c>
      <c r="C932" s="897" t="s">
        <v>5168</v>
      </c>
      <c r="D932" s="897" t="s">
        <v>1912</v>
      </c>
      <c r="E932" s="897"/>
      <c r="F932" s="897"/>
      <c r="G932" s="897" t="s">
        <v>5169</v>
      </c>
      <c r="H932" s="898" t="e">
        <v>#N/A</v>
      </c>
      <c r="I932" s="899"/>
      <c r="J932" s="899"/>
    </row>
    <row r="933" spans="1:10">
      <c r="A933" s="896" t="s">
        <v>5170</v>
      </c>
      <c r="B933" s="897" t="s">
        <v>5171</v>
      </c>
      <c r="C933" s="897" t="s">
        <v>5172</v>
      </c>
      <c r="D933" s="897" t="s">
        <v>1912</v>
      </c>
      <c r="E933" s="897"/>
      <c r="F933" s="897"/>
      <c r="G933" s="897"/>
      <c r="H933" s="898" t="e">
        <v>#N/A</v>
      </c>
      <c r="I933" s="899"/>
      <c r="J933" s="899"/>
    </row>
    <row r="934" spans="1:10">
      <c r="A934" s="896" t="s">
        <v>5173</v>
      </c>
      <c r="B934" s="897" t="s">
        <v>5174</v>
      </c>
      <c r="C934" s="897" t="s">
        <v>5175</v>
      </c>
      <c r="D934" s="897" t="s">
        <v>1912</v>
      </c>
      <c r="E934" s="897"/>
      <c r="F934" s="897"/>
      <c r="G934" s="897"/>
      <c r="H934" s="898" t="e">
        <v>#N/A</v>
      </c>
      <c r="I934" s="899"/>
      <c r="J934" s="899"/>
    </row>
    <row r="935" spans="1:10">
      <c r="A935" s="896" t="s">
        <v>5176</v>
      </c>
      <c r="B935" s="897" t="s">
        <v>5177</v>
      </c>
      <c r="C935" s="897" t="s">
        <v>5178</v>
      </c>
      <c r="D935" s="897" t="s">
        <v>1912</v>
      </c>
      <c r="E935" s="897"/>
      <c r="F935" s="897"/>
      <c r="G935" s="897"/>
      <c r="H935" s="898" t="s">
        <v>1914</v>
      </c>
      <c r="I935" s="899"/>
      <c r="J935" s="899"/>
    </row>
    <row r="936" spans="1:10">
      <c r="A936" s="896" t="s">
        <v>5179</v>
      </c>
      <c r="B936" s="897" t="s">
        <v>5180</v>
      </c>
      <c r="C936" s="897" t="s">
        <v>1912</v>
      </c>
      <c r="D936" s="897" t="s">
        <v>1912</v>
      </c>
      <c r="E936" s="897"/>
      <c r="F936" s="897"/>
      <c r="G936" s="897"/>
      <c r="H936" s="898" t="e">
        <v>#N/A</v>
      </c>
      <c r="I936" s="899"/>
      <c r="J936" s="899"/>
    </row>
    <row r="937" spans="1:10">
      <c r="A937" s="896" t="s">
        <v>5181</v>
      </c>
      <c r="B937" s="897" t="s">
        <v>5182</v>
      </c>
      <c r="C937" s="897" t="s">
        <v>5183</v>
      </c>
      <c r="D937" s="897" t="s">
        <v>1912</v>
      </c>
      <c r="E937" s="897"/>
      <c r="F937" s="897"/>
      <c r="G937" s="897"/>
      <c r="H937" s="898" t="s">
        <v>1953</v>
      </c>
      <c r="I937" s="899"/>
      <c r="J937" s="899"/>
    </row>
    <row r="938" spans="1:10">
      <c r="A938" s="896" t="s">
        <v>5184</v>
      </c>
      <c r="B938" s="897" t="s">
        <v>1401</v>
      </c>
      <c r="C938" s="897" t="s">
        <v>1912</v>
      </c>
      <c r="D938" s="897" t="s">
        <v>1912</v>
      </c>
      <c r="E938" s="897"/>
      <c r="F938" s="897"/>
      <c r="G938" s="897"/>
      <c r="H938" s="898" t="e">
        <v>#N/A</v>
      </c>
      <c r="I938" s="899"/>
      <c r="J938" s="899"/>
    </row>
    <row r="939" spans="1:10">
      <c r="A939" s="896" t="s">
        <v>5185</v>
      </c>
      <c r="B939" s="897" t="s">
        <v>5186</v>
      </c>
      <c r="C939" s="897" t="s">
        <v>5187</v>
      </c>
      <c r="D939" s="897" t="s">
        <v>1912</v>
      </c>
      <c r="E939" s="897"/>
      <c r="F939" s="897"/>
      <c r="G939" s="897"/>
      <c r="H939" s="898" t="s">
        <v>1953</v>
      </c>
      <c r="I939" s="899"/>
      <c r="J939" s="899"/>
    </row>
    <row r="940" spans="1:10">
      <c r="A940" s="896" t="s">
        <v>5188</v>
      </c>
      <c r="B940" s="897" t="s">
        <v>5189</v>
      </c>
      <c r="C940" s="897" t="s">
        <v>5190</v>
      </c>
      <c r="D940" s="897" t="s">
        <v>1912</v>
      </c>
      <c r="E940" s="897"/>
      <c r="F940" s="897"/>
      <c r="G940" s="897"/>
      <c r="H940" s="898" t="e">
        <v>#N/A</v>
      </c>
      <c r="I940" s="899"/>
      <c r="J940" s="899"/>
    </row>
    <row r="941" spans="1:10">
      <c r="A941" s="896" t="s">
        <v>5191</v>
      </c>
      <c r="B941" s="897" t="s">
        <v>5192</v>
      </c>
      <c r="C941" s="897" t="s">
        <v>5193</v>
      </c>
      <c r="D941" s="897" t="s">
        <v>1912</v>
      </c>
      <c r="E941" s="897"/>
      <c r="F941" s="897"/>
      <c r="G941" s="897"/>
      <c r="H941" s="898" t="e">
        <v>#N/A</v>
      </c>
      <c r="I941" s="899"/>
      <c r="J941" s="899"/>
    </row>
    <row r="942" spans="1:10">
      <c r="A942" s="896" t="s">
        <v>5194</v>
      </c>
      <c r="B942" s="897" t="s">
        <v>5195</v>
      </c>
      <c r="C942" s="897" t="s">
        <v>5196</v>
      </c>
      <c r="D942" s="897" t="s">
        <v>1912</v>
      </c>
      <c r="E942" s="897"/>
      <c r="F942" s="897"/>
      <c r="G942" s="897"/>
      <c r="H942" s="898" t="e">
        <v>#N/A</v>
      </c>
      <c r="I942" s="899"/>
      <c r="J942" s="899"/>
    </row>
    <row r="943" spans="1:10">
      <c r="A943" s="896" t="s">
        <v>5197</v>
      </c>
      <c r="B943" s="897" t="s">
        <v>5198</v>
      </c>
      <c r="C943" s="897" t="s">
        <v>3960</v>
      </c>
      <c r="D943" s="897" t="s">
        <v>1912</v>
      </c>
      <c r="E943" s="897"/>
      <c r="F943" s="897"/>
      <c r="G943" s="897"/>
      <c r="H943" s="898" t="e">
        <v>#N/A</v>
      </c>
      <c r="I943" s="899"/>
      <c r="J943" s="899"/>
    </row>
    <row r="944" spans="1:10">
      <c r="A944" s="896" t="s">
        <v>5199</v>
      </c>
      <c r="B944" s="897" t="s">
        <v>5200</v>
      </c>
      <c r="C944" s="897" t="s">
        <v>5201</v>
      </c>
      <c r="D944" s="897" t="s">
        <v>1912</v>
      </c>
      <c r="E944" s="897"/>
      <c r="F944" s="897"/>
      <c r="G944" s="897"/>
      <c r="H944" s="898" t="s">
        <v>1914</v>
      </c>
      <c r="I944" s="899"/>
      <c r="J944" s="899"/>
    </row>
    <row r="945" spans="1:10">
      <c r="A945" s="896" t="s">
        <v>5202</v>
      </c>
      <c r="B945" s="897" t="s">
        <v>5203</v>
      </c>
      <c r="C945" s="897"/>
      <c r="D945" s="897" t="s">
        <v>1912</v>
      </c>
      <c r="E945" s="897"/>
      <c r="F945" s="897"/>
      <c r="G945" s="897"/>
      <c r="H945" s="898" t="e">
        <v>#N/A</v>
      </c>
      <c r="I945" s="899"/>
      <c r="J945" s="899"/>
    </row>
    <row r="946" spans="1:10">
      <c r="A946" s="896" t="s">
        <v>5204</v>
      </c>
      <c r="B946" s="897" t="s">
        <v>1403</v>
      </c>
      <c r="C946" s="897" t="s">
        <v>5205</v>
      </c>
      <c r="D946" s="897" t="s">
        <v>1912</v>
      </c>
      <c r="E946" s="897"/>
      <c r="F946" s="897"/>
      <c r="G946" s="897"/>
      <c r="H946" s="898" t="e">
        <v>#N/A</v>
      </c>
      <c r="I946" s="899"/>
      <c r="J946" s="899"/>
    </row>
    <row r="947" spans="1:10">
      <c r="A947" s="896" t="s">
        <v>5206</v>
      </c>
      <c r="B947" s="897" t="s">
        <v>5207</v>
      </c>
      <c r="C947" s="897" t="s">
        <v>5208</v>
      </c>
      <c r="D947" s="897" t="s">
        <v>1912</v>
      </c>
      <c r="E947" s="897"/>
      <c r="F947" s="897"/>
      <c r="G947" s="897"/>
      <c r="H947" s="898" t="s">
        <v>1953</v>
      </c>
      <c r="I947" s="899"/>
      <c r="J947" s="899"/>
    </row>
    <row r="948" spans="1:10">
      <c r="A948" s="896" t="s">
        <v>5209</v>
      </c>
      <c r="B948" s="897" t="s">
        <v>5210</v>
      </c>
      <c r="C948" s="897" t="s">
        <v>5211</v>
      </c>
      <c r="D948" s="897" t="s">
        <v>1912</v>
      </c>
      <c r="E948" s="897"/>
      <c r="F948" s="897"/>
      <c r="G948" s="897"/>
      <c r="H948" s="898" t="e">
        <v>#N/A</v>
      </c>
      <c r="I948" s="899"/>
      <c r="J948" s="899"/>
    </row>
    <row r="949" spans="1:10">
      <c r="A949" s="896" t="s">
        <v>5212</v>
      </c>
      <c r="B949" s="897" t="s">
        <v>5213</v>
      </c>
      <c r="C949" s="897" t="s">
        <v>5214</v>
      </c>
      <c r="D949" s="897" t="s">
        <v>1912</v>
      </c>
      <c r="E949" s="897"/>
      <c r="F949" s="897"/>
      <c r="G949" s="897"/>
      <c r="H949" s="898" t="e">
        <v>#N/A</v>
      </c>
      <c r="I949" s="899"/>
      <c r="J949" s="899"/>
    </row>
    <row r="950" spans="1:10">
      <c r="A950" s="896" t="s">
        <v>5215</v>
      </c>
      <c r="B950" s="897" t="s">
        <v>5216</v>
      </c>
      <c r="C950" s="897" t="s">
        <v>5217</v>
      </c>
      <c r="D950" s="897" t="s">
        <v>1912</v>
      </c>
      <c r="E950" s="897"/>
      <c r="F950" s="897"/>
      <c r="G950" s="897"/>
      <c r="H950" s="898" t="e">
        <v>#N/A</v>
      </c>
      <c r="I950" s="899"/>
      <c r="J950" s="899"/>
    </row>
    <row r="951" spans="1:10">
      <c r="A951" s="896" t="s">
        <v>5218</v>
      </c>
      <c r="B951" s="897" t="s">
        <v>5219</v>
      </c>
      <c r="C951" s="897" t="s">
        <v>5220</v>
      </c>
      <c r="D951" s="897" t="s">
        <v>1912</v>
      </c>
      <c r="E951" s="897"/>
      <c r="F951" s="897"/>
      <c r="G951" s="897"/>
      <c r="H951" s="898" t="e">
        <v>#N/A</v>
      </c>
      <c r="I951" s="899"/>
      <c r="J951" s="899"/>
    </row>
    <row r="952" spans="1:10">
      <c r="A952" s="896" t="s">
        <v>5221</v>
      </c>
      <c r="B952" s="897" t="s">
        <v>5222</v>
      </c>
      <c r="C952" s="897" t="s">
        <v>5223</v>
      </c>
      <c r="D952" s="897" t="s">
        <v>1912</v>
      </c>
      <c r="E952" s="897"/>
      <c r="F952" s="897"/>
      <c r="G952" s="897"/>
      <c r="H952" s="898" t="e">
        <v>#N/A</v>
      </c>
      <c r="I952" s="899"/>
      <c r="J952" s="899"/>
    </row>
    <row r="953" spans="1:10">
      <c r="A953" s="896" t="s">
        <v>5224</v>
      </c>
      <c r="B953" s="897" t="s">
        <v>5225</v>
      </c>
      <c r="C953" s="897" t="s">
        <v>5226</v>
      </c>
      <c r="D953" s="897" t="s">
        <v>1912</v>
      </c>
      <c r="E953" s="897"/>
      <c r="F953" s="897"/>
      <c r="G953" s="897"/>
      <c r="H953" s="898" t="e">
        <v>#N/A</v>
      </c>
      <c r="I953" s="899"/>
      <c r="J953" s="899"/>
    </row>
    <row r="954" spans="1:10">
      <c r="A954" s="896" t="s">
        <v>5227</v>
      </c>
      <c r="B954" s="897" t="s">
        <v>1404</v>
      </c>
      <c r="C954" s="897" t="s">
        <v>5228</v>
      </c>
      <c r="D954" s="897" t="s">
        <v>1912</v>
      </c>
      <c r="E954" s="897"/>
      <c r="F954" s="897"/>
      <c r="G954" s="897"/>
      <c r="H954" s="898" t="e">
        <v>#N/A</v>
      </c>
      <c r="I954" s="899"/>
      <c r="J954" s="899"/>
    </row>
    <row r="955" spans="1:10">
      <c r="A955" s="896" t="s">
        <v>5229</v>
      </c>
      <c r="B955" s="897" t="s">
        <v>5230</v>
      </c>
      <c r="C955" s="897" t="s">
        <v>5231</v>
      </c>
      <c r="D955" s="897" t="s">
        <v>1912</v>
      </c>
      <c r="E955" s="897"/>
      <c r="F955" s="897"/>
      <c r="G955" s="897"/>
      <c r="H955" s="898" t="e">
        <v>#N/A</v>
      </c>
      <c r="I955" s="899"/>
      <c r="J955" s="899"/>
    </row>
    <row r="956" spans="1:10">
      <c r="A956" s="896" t="s">
        <v>5232</v>
      </c>
      <c r="B956" s="897" t="s">
        <v>5233</v>
      </c>
      <c r="C956" s="897" t="s">
        <v>3688</v>
      </c>
      <c r="D956" s="897" t="s">
        <v>1912</v>
      </c>
      <c r="E956" s="897"/>
      <c r="F956" s="897"/>
      <c r="G956" s="897"/>
      <c r="H956" s="898" t="s">
        <v>1953</v>
      </c>
      <c r="I956" s="899"/>
      <c r="J956" s="899"/>
    </row>
    <row r="957" spans="1:10">
      <c r="A957" s="896" t="s">
        <v>5234</v>
      </c>
      <c r="B957" s="897" t="s">
        <v>5235</v>
      </c>
      <c r="C957" s="897" t="s">
        <v>5236</v>
      </c>
      <c r="D957" s="897" t="s">
        <v>1912</v>
      </c>
      <c r="E957" s="897"/>
      <c r="F957" s="897" t="s">
        <v>5237</v>
      </c>
      <c r="G957" s="897" t="s">
        <v>5238</v>
      </c>
      <c r="H957" s="898" t="e">
        <v>#N/A</v>
      </c>
      <c r="I957" s="899"/>
      <c r="J957" s="899"/>
    </row>
    <row r="958" spans="1:10">
      <c r="A958" s="896" t="s">
        <v>5239</v>
      </c>
      <c r="B958" s="897" t="s">
        <v>5240</v>
      </c>
      <c r="C958" s="897" t="s">
        <v>1912</v>
      </c>
      <c r="D958" s="897" t="s">
        <v>1912</v>
      </c>
      <c r="E958" s="897"/>
      <c r="F958" s="897"/>
      <c r="G958" s="897"/>
      <c r="H958" s="898" t="e">
        <v>#N/A</v>
      </c>
      <c r="I958" s="899"/>
      <c r="J958" s="899"/>
    </row>
    <row r="959" spans="1:10">
      <c r="A959" s="896" t="s">
        <v>5241</v>
      </c>
      <c r="B959" s="897" t="s">
        <v>5242</v>
      </c>
      <c r="C959" s="897" t="s">
        <v>3769</v>
      </c>
      <c r="D959" s="897" t="s">
        <v>1912</v>
      </c>
      <c r="E959" s="897"/>
      <c r="F959" s="897"/>
      <c r="G959" s="897"/>
      <c r="H959" s="898" t="e">
        <v>#N/A</v>
      </c>
      <c r="I959" s="899"/>
      <c r="J959" s="899"/>
    </row>
    <row r="960" spans="1:10">
      <c r="A960" s="896" t="s">
        <v>5243</v>
      </c>
      <c r="B960" s="897" t="s">
        <v>5244</v>
      </c>
      <c r="C960" s="897" t="s">
        <v>4361</v>
      </c>
      <c r="D960" s="897" t="s">
        <v>1912</v>
      </c>
      <c r="E960" s="897"/>
      <c r="F960" s="897"/>
      <c r="G960" s="897"/>
      <c r="H960" s="898" t="s">
        <v>1914</v>
      </c>
      <c r="I960" s="899"/>
      <c r="J960" s="899"/>
    </row>
    <row r="961" spans="1:10">
      <c r="A961" s="896" t="s">
        <v>5245</v>
      </c>
      <c r="B961" s="897" t="s">
        <v>5246</v>
      </c>
      <c r="C961" s="897" t="s">
        <v>5247</v>
      </c>
      <c r="D961" s="897" t="s">
        <v>1912</v>
      </c>
      <c r="E961" s="897"/>
      <c r="F961" s="897"/>
      <c r="G961" s="897"/>
      <c r="H961" s="898" t="s">
        <v>1953</v>
      </c>
      <c r="I961" s="899"/>
      <c r="J961" s="899"/>
    </row>
    <row r="962" spans="1:10">
      <c r="A962" s="896" t="s">
        <v>5248</v>
      </c>
      <c r="B962" s="897" t="s">
        <v>5249</v>
      </c>
      <c r="C962" s="897" t="s">
        <v>5250</v>
      </c>
      <c r="D962" s="897" t="s">
        <v>1912</v>
      </c>
      <c r="E962" s="897"/>
      <c r="F962" s="897"/>
      <c r="G962" s="897" t="s">
        <v>5251</v>
      </c>
      <c r="H962" s="898" t="s">
        <v>1953</v>
      </c>
      <c r="I962" s="899"/>
      <c r="J962" s="899"/>
    </row>
    <row r="963" spans="1:10">
      <c r="A963" s="896" t="s">
        <v>5252</v>
      </c>
      <c r="B963" s="897" t="s">
        <v>364</v>
      </c>
      <c r="C963" s="897" t="s">
        <v>5253</v>
      </c>
      <c r="D963" s="897" t="s">
        <v>1912</v>
      </c>
      <c r="E963" s="897"/>
      <c r="F963" s="897"/>
      <c r="G963" s="897"/>
      <c r="H963" s="898" t="s">
        <v>1953</v>
      </c>
      <c r="I963" s="899"/>
      <c r="J963" s="899"/>
    </row>
    <row r="964" spans="1:10">
      <c r="A964" s="896" t="s">
        <v>5254</v>
      </c>
      <c r="B964" s="897" t="s">
        <v>5255</v>
      </c>
      <c r="C964" s="897" t="s">
        <v>5256</v>
      </c>
      <c r="D964" s="897" t="s">
        <v>1912</v>
      </c>
      <c r="E964" s="897"/>
      <c r="F964" s="897"/>
      <c r="G964" s="897"/>
      <c r="H964" s="898" t="e">
        <v>#N/A</v>
      </c>
      <c r="I964" s="899"/>
      <c r="J964" s="899"/>
    </row>
    <row r="965" spans="1:10">
      <c r="A965" s="896" t="s">
        <v>5257</v>
      </c>
      <c r="B965" s="897" t="s">
        <v>583</v>
      </c>
      <c r="C965" s="897" t="s">
        <v>5258</v>
      </c>
      <c r="D965" s="897" t="s">
        <v>5259</v>
      </c>
      <c r="E965" s="897"/>
      <c r="F965" s="897"/>
      <c r="G965" s="897"/>
      <c r="H965" s="898" t="s">
        <v>1914</v>
      </c>
      <c r="I965" s="899"/>
      <c r="J965" s="899"/>
    </row>
    <row r="966" spans="1:10">
      <c r="A966" s="896" t="s">
        <v>5260</v>
      </c>
      <c r="B966" s="897" t="s">
        <v>5261</v>
      </c>
      <c r="C966" s="897" t="s">
        <v>5262</v>
      </c>
      <c r="D966" s="897" t="s">
        <v>1912</v>
      </c>
      <c r="E966" s="897"/>
      <c r="F966" s="897"/>
      <c r="G966" s="897"/>
      <c r="H966" s="898" t="e">
        <v>#N/A</v>
      </c>
      <c r="I966" s="899"/>
      <c r="J966" s="899"/>
    </row>
    <row r="967" spans="1:10">
      <c r="A967" s="896" t="s">
        <v>5263</v>
      </c>
      <c r="B967" s="897" t="s">
        <v>5264</v>
      </c>
      <c r="C967" s="897" t="s">
        <v>5265</v>
      </c>
      <c r="D967" s="897" t="s">
        <v>1912</v>
      </c>
      <c r="E967" s="897"/>
      <c r="F967" s="897"/>
      <c r="G967" s="897"/>
      <c r="H967" s="898" t="s">
        <v>1953</v>
      </c>
      <c r="I967" s="899"/>
      <c r="J967" s="899"/>
    </row>
    <row r="968" spans="1:10">
      <c r="A968" s="896" t="s">
        <v>5266</v>
      </c>
      <c r="B968" s="897" t="s">
        <v>5267</v>
      </c>
      <c r="C968" s="897" t="s">
        <v>5268</v>
      </c>
      <c r="D968" s="897" t="s">
        <v>1912</v>
      </c>
      <c r="E968" s="897"/>
      <c r="F968" s="897"/>
      <c r="G968" s="897"/>
      <c r="H968" s="898" t="e">
        <v>#N/A</v>
      </c>
      <c r="I968" s="899"/>
      <c r="J968" s="899"/>
    </row>
    <row r="969" spans="1:10">
      <c r="A969" s="896" t="s">
        <v>5269</v>
      </c>
      <c r="B969" s="897" t="s">
        <v>5270</v>
      </c>
      <c r="C969" s="897" t="s">
        <v>5271</v>
      </c>
      <c r="D969" s="897" t="s">
        <v>1912</v>
      </c>
      <c r="E969" s="897"/>
      <c r="F969" s="897"/>
      <c r="G969" s="897"/>
      <c r="H969" s="898" t="e">
        <v>#N/A</v>
      </c>
      <c r="I969" s="899"/>
      <c r="J969" s="899"/>
    </row>
    <row r="970" spans="1:10">
      <c r="A970" s="896" t="s">
        <v>5272</v>
      </c>
      <c r="B970" s="897" t="s">
        <v>5273</v>
      </c>
      <c r="C970" s="897" t="s">
        <v>5274</v>
      </c>
      <c r="D970" s="897" t="s">
        <v>1912</v>
      </c>
      <c r="E970" s="897"/>
      <c r="F970" s="897"/>
      <c r="G970" s="897" t="s">
        <v>5275</v>
      </c>
      <c r="H970" s="898" t="e">
        <v>#N/A</v>
      </c>
      <c r="I970" s="899"/>
      <c r="J970" s="899"/>
    </row>
    <row r="971" spans="1:10">
      <c r="A971" s="896" t="s">
        <v>5276</v>
      </c>
      <c r="B971" s="897" t="s">
        <v>5277</v>
      </c>
      <c r="C971" s="897" t="s">
        <v>3809</v>
      </c>
      <c r="D971" s="897" t="s">
        <v>1912</v>
      </c>
      <c r="E971" s="897"/>
      <c r="F971" s="897"/>
      <c r="G971" s="897"/>
      <c r="H971" s="898" t="s">
        <v>1953</v>
      </c>
      <c r="I971" s="899"/>
      <c r="J971" s="899"/>
    </row>
    <row r="972" spans="1:10">
      <c r="A972" s="896" t="s">
        <v>5278</v>
      </c>
      <c r="B972" s="897" t="s">
        <v>584</v>
      </c>
      <c r="C972" s="897" t="s">
        <v>5279</v>
      </c>
      <c r="D972" s="897" t="s">
        <v>5280</v>
      </c>
      <c r="E972" s="897"/>
      <c r="F972" s="897" t="s">
        <v>5281</v>
      </c>
      <c r="G972" s="897" t="s">
        <v>5281</v>
      </c>
      <c r="H972" s="898" t="s">
        <v>1914</v>
      </c>
      <c r="I972" s="899"/>
      <c r="J972" s="899"/>
    </row>
    <row r="973" spans="1:10">
      <c r="A973" s="896" t="s">
        <v>5282</v>
      </c>
      <c r="B973" s="897" t="s">
        <v>5283</v>
      </c>
      <c r="C973" s="897" t="s">
        <v>5284</v>
      </c>
      <c r="D973" s="897" t="s">
        <v>1912</v>
      </c>
      <c r="E973" s="897"/>
      <c r="F973" s="897" t="s">
        <v>5285</v>
      </c>
      <c r="G973" s="897" t="s">
        <v>5286</v>
      </c>
      <c r="H973" s="898" t="e">
        <v>#N/A</v>
      </c>
      <c r="I973" s="899"/>
      <c r="J973" s="899"/>
    </row>
    <row r="974" spans="1:10">
      <c r="A974" s="896" t="s">
        <v>5287</v>
      </c>
      <c r="B974" s="897" t="s">
        <v>5288</v>
      </c>
      <c r="C974" s="897" t="s">
        <v>5289</v>
      </c>
      <c r="D974" s="897" t="s">
        <v>1912</v>
      </c>
      <c r="E974" s="897"/>
      <c r="F974" s="897"/>
      <c r="G974" s="897"/>
      <c r="H974" s="898" t="e">
        <v>#N/A</v>
      </c>
      <c r="I974" s="899"/>
      <c r="J974" s="899"/>
    </row>
    <row r="975" spans="1:10">
      <c r="A975" s="896" t="s">
        <v>5290</v>
      </c>
      <c r="B975" s="897" t="s">
        <v>385</v>
      </c>
      <c r="C975" s="897"/>
      <c r="D975" s="897" t="s">
        <v>1182</v>
      </c>
      <c r="E975" s="897"/>
      <c r="F975" s="897"/>
      <c r="G975" s="897"/>
      <c r="H975" s="898" t="e">
        <v>#N/A</v>
      </c>
      <c r="I975" s="899"/>
      <c r="J975" s="899"/>
    </row>
    <row r="976" spans="1:10">
      <c r="A976" s="896" t="s">
        <v>5291</v>
      </c>
      <c r="B976" s="897" t="s">
        <v>5292</v>
      </c>
      <c r="C976" s="897" t="s">
        <v>5293</v>
      </c>
      <c r="D976" s="897" t="s">
        <v>1912</v>
      </c>
      <c r="E976" s="897"/>
      <c r="F976" s="897"/>
      <c r="G976" s="897"/>
      <c r="H976" s="898" t="e">
        <v>#N/A</v>
      </c>
      <c r="I976" s="899"/>
      <c r="J976" s="899"/>
    </row>
    <row r="977" spans="1:10">
      <c r="A977" s="896" t="s">
        <v>5294</v>
      </c>
      <c r="B977" s="897" t="s">
        <v>5295</v>
      </c>
      <c r="C977" s="897" t="s">
        <v>5296</v>
      </c>
      <c r="D977" s="897" t="s">
        <v>1912</v>
      </c>
      <c r="E977" s="897"/>
      <c r="F977" s="897" t="s">
        <v>5297</v>
      </c>
      <c r="G977" s="897" t="s">
        <v>5298</v>
      </c>
      <c r="H977" s="898" t="e">
        <v>#N/A</v>
      </c>
      <c r="I977" s="899"/>
      <c r="J977" s="899"/>
    </row>
    <row r="978" spans="1:10">
      <c r="A978" s="896" t="s">
        <v>5299</v>
      </c>
      <c r="B978" s="897" t="s">
        <v>5300</v>
      </c>
      <c r="C978" s="897" t="s">
        <v>4332</v>
      </c>
      <c r="D978" s="897" t="s">
        <v>1912</v>
      </c>
      <c r="E978" s="897"/>
      <c r="F978" s="897" t="s">
        <v>5301</v>
      </c>
      <c r="G978" s="897" t="s">
        <v>5302</v>
      </c>
      <c r="H978" s="898" t="e">
        <v>#N/A</v>
      </c>
      <c r="I978" s="899"/>
      <c r="J978" s="899"/>
    </row>
    <row r="979" spans="1:10">
      <c r="A979" s="896" t="s">
        <v>5303</v>
      </c>
      <c r="B979" s="897" t="s">
        <v>5304</v>
      </c>
      <c r="C979" s="897" t="s">
        <v>5305</v>
      </c>
      <c r="D979" s="897" t="s">
        <v>1912</v>
      </c>
      <c r="E979" s="897"/>
      <c r="F979" s="897"/>
      <c r="G979" s="897"/>
      <c r="H979" s="898" t="e">
        <v>#N/A</v>
      </c>
      <c r="I979" s="899"/>
      <c r="J979" s="899"/>
    </row>
    <row r="980" spans="1:10">
      <c r="A980" s="896" t="s">
        <v>5306</v>
      </c>
      <c r="B980" s="897" t="s">
        <v>5307</v>
      </c>
      <c r="C980" s="897" t="s">
        <v>5308</v>
      </c>
      <c r="D980" s="897" t="s">
        <v>1184</v>
      </c>
      <c r="E980" s="897"/>
      <c r="F980" s="897"/>
      <c r="G980" s="897"/>
      <c r="H980" s="898" t="s">
        <v>1953</v>
      </c>
      <c r="I980" s="899"/>
      <c r="J980" s="899"/>
    </row>
    <row r="981" spans="1:10">
      <c r="A981" s="896" t="s">
        <v>5309</v>
      </c>
      <c r="B981" s="897" t="s">
        <v>5310</v>
      </c>
      <c r="C981" s="897" t="s">
        <v>4341</v>
      </c>
      <c r="D981" s="897" t="s">
        <v>1912</v>
      </c>
      <c r="E981" s="897"/>
      <c r="F981" s="897"/>
      <c r="G981" s="897"/>
      <c r="H981" s="898" t="s">
        <v>1953</v>
      </c>
      <c r="I981" s="899"/>
      <c r="J981" s="899"/>
    </row>
    <row r="982" spans="1:10">
      <c r="A982" s="896" t="s">
        <v>5311</v>
      </c>
      <c r="B982" s="897" t="s">
        <v>1406</v>
      </c>
      <c r="C982" s="897" t="s">
        <v>5091</v>
      </c>
      <c r="D982" s="897" t="s">
        <v>1912</v>
      </c>
      <c r="E982" s="897"/>
      <c r="F982" s="897"/>
      <c r="G982" s="897"/>
      <c r="H982" s="898" t="e">
        <v>#N/A</v>
      </c>
      <c r="I982" s="899"/>
      <c r="J982" s="899"/>
    </row>
    <row r="983" spans="1:10">
      <c r="A983" s="896" t="s">
        <v>5312</v>
      </c>
      <c r="B983" s="897" t="s">
        <v>5313</v>
      </c>
      <c r="C983" s="897" t="s">
        <v>5314</v>
      </c>
      <c r="D983" s="897" t="s">
        <v>1912</v>
      </c>
      <c r="E983" s="897"/>
      <c r="F983" s="897"/>
      <c r="G983" s="897"/>
      <c r="H983" s="898" t="e">
        <v>#N/A</v>
      </c>
      <c r="I983" s="899"/>
      <c r="J983" s="899"/>
    </row>
    <row r="984" spans="1:10">
      <c r="A984" s="896" t="s">
        <v>5315</v>
      </c>
      <c r="B984" s="897" t="s">
        <v>5316</v>
      </c>
      <c r="C984" s="897" t="s">
        <v>5317</v>
      </c>
      <c r="D984" s="897" t="s">
        <v>1912</v>
      </c>
      <c r="E984" s="897"/>
      <c r="F984" s="897"/>
      <c r="G984" s="897"/>
      <c r="H984" s="898" t="e">
        <v>#N/A</v>
      </c>
      <c r="I984" s="899"/>
      <c r="J984" s="899"/>
    </row>
    <row r="985" spans="1:10">
      <c r="A985" s="896" t="s">
        <v>5318</v>
      </c>
      <c r="B985" s="897" t="s">
        <v>5319</v>
      </c>
      <c r="C985" s="897" t="s">
        <v>1912</v>
      </c>
      <c r="D985" s="897" t="s">
        <v>1912</v>
      </c>
      <c r="E985" s="897"/>
      <c r="F985" s="897"/>
      <c r="G985" s="897"/>
      <c r="H985" s="898" t="e">
        <v>#N/A</v>
      </c>
      <c r="I985" s="899"/>
      <c r="J985" s="899"/>
    </row>
    <row r="986" spans="1:10">
      <c r="A986" s="896" t="s">
        <v>5320</v>
      </c>
      <c r="B986" s="897" t="s">
        <v>5321</v>
      </c>
      <c r="C986" s="897" t="s">
        <v>5322</v>
      </c>
      <c r="D986" s="897" t="s">
        <v>1912</v>
      </c>
      <c r="E986" s="897"/>
      <c r="F986" s="897" t="s">
        <v>1693</v>
      </c>
      <c r="G986" s="897" t="s">
        <v>5323</v>
      </c>
      <c r="H986" s="898" t="e">
        <v>#N/A</v>
      </c>
      <c r="I986" s="899"/>
      <c r="J986" s="899"/>
    </row>
    <row r="987" spans="1:10">
      <c r="A987" s="896" t="s">
        <v>5324</v>
      </c>
      <c r="B987" s="897" t="s">
        <v>5325</v>
      </c>
      <c r="C987" s="897" t="s">
        <v>5326</v>
      </c>
      <c r="D987" s="897" t="s">
        <v>1912</v>
      </c>
      <c r="E987" s="897"/>
      <c r="F987" s="897"/>
      <c r="G987" s="897"/>
      <c r="H987" s="898" t="e">
        <v>#N/A</v>
      </c>
      <c r="I987" s="899"/>
      <c r="J987" s="899"/>
    </row>
    <row r="988" spans="1:10">
      <c r="A988" s="896" t="s">
        <v>5327</v>
      </c>
      <c r="B988" s="897" t="s">
        <v>5328</v>
      </c>
      <c r="C988" s="897" t="s">
        <v>5329</v>
      </c>
      <c r="D988" s="897" t="s">
        <v>1912</v>
      </c>
      <c r="E988" s="897"/>
      <c r="F988" s="897"/>
      <c r="G988" s="897"/>
      <c r="H988" s="898" t="e">
        <v>#N/A</v>
      </c>
      <c r="I988" s="899"/>
      <c r="J988" s="899"/>
    </row>
    <row r="989" spans="1:10">
      <c r="A989" s="896" t="s">
        <v>5330</v>
      </c>
      <c r="B989" s="897" t="s">
        <v>1407</v>
      </c>
      <c r="C989" s="897" t="s">
        <v>5331</v>
      </c>
      <c r="D989" s="897" t="s">
        <v>1912</v>
      </c>
      <c r="E989" s="897"/>
      <c r="F989" s="897"/>
      <c r="G989" s="897"/>
      <c r="H989" s="898" t="e">
        <v>#N/A</v>
      </c>
      <c r="I989" s="899"/>
      <c r="J989" s="899"/>
    </row>
    <row r="990" spans="1:10">
      <c r="A990" s="896" t="s">
        <v>5332</v>
      </c>
      <c r="B990" s="897" t="s">
        <v>5333</v>
      </c>
      <c r="C990" s="897" t="s">
        <v>5334</v>
      </c>
      <c r="D990" s="897" t="s">
        <v>1912</v>
      </c>
      <c r="E990" s="897"/>
      <c r="F990" s="897"/>
      <c r="G990" s="897"/>
      <c r="H990" s="898" t="s">
        <v>1914</v>
      </c>
      <c r="I990" s="899"/>
      <c r="J990" s="899"/>
    </row>
    <row r="991" spans="1:10">
      <c r="A991" s="896" t="s">
        <v>5335</v>
      </c>
      <c r="B991" s="897" t="s">
        <v>5336</v>
      </c>
      <c r="C991" s="897" t="s">
        <v>1912</v>
      </c>
      <c r="D991" s="897" t="s">
        <v>1912</v>
      </c>
      <c r="E991" s="897"/>
      <c r="F991" s="897"/>
      <c r="G991" s="897"/>
      <c r="H991" s="898" t="e">
        <v>#N/A</v>
      </c>
      <c r="I991" s="899"/>
      <c r="J991" s="899"/>
    </row>
    <row r="992" spans="1:10">
      <c r="A992" s="896" t="s">
        <v>5337</v>
      </c>
      <c r="B992" s="897" t="s">
        <v>5338</v>
      </c>
      <c r="C992" s="897" t="s">
        <v>4826</v>
      </c>
      <c r="D992" s="897" t="s">
        <v>1912</v>
      </c>
      <c r="E992" s="897"/>
      <c r="F992" s="897"/>
      <c r="G992" s="897"/>
      <c r="H992" s="898" t="e">
        <v>#N/A</v>
      </c>
      <c r="I992" s="899"/>
      <c r="J992" s="899"/>
    </row>
    <row r="993" spans="1:10">
      <c r="A993" s="896" t="s">
        <v>5339</v>
      </c>
      <c r="B993" s="897" t="s">
        <v>5340</v>
      </c>
      <c r="C993" s="897" t="s">
        <v>5341</v>
      </c>
      <c r="D993" s="897" t="s">
        <v>1912</v>
      </c>
      <c r="E993" s="897"/>
      <c r="F993" s="897"/>
      <c r="G993" s="897"/>
      <c r="H993" s="898" t="e">
        <v>#N/A</v>
      </c>
      <c r="I993" s="899"/>
      <c r="J993" s="899"/>
    </row>
    <row r="994" spans="1:10">
      <c r="A994" s="896" t="s">
        <v>5342</v>
      </c>
      <c r="B994" s="897" t="s">
        <v>5343</v>
      </c>
      <c r="C994" s="897" t="s">
        <v>5344</v>
      </c>
      <c r="D994" s="897" t="s">
        <v>1912</v>
      </c>
      <c r="E994" s="897"/>
      <c r="F994" s="897"/>
      <c r="G994" s="897"/>
      <c r="H994" s="898" t="s">
        <v>1953</v>
      </c>
      <c r="I994" s="899"/>
      <c r="J994" s="899"/>
    </row>
    <row r="995" spans="1:10">
      <c r="A995" s="896" t="s">
        <v>5345</v>
      </c>
      <c r="B995" s="897" t="s">
        <v>1328</v>
      </c>
      <c r="C995" s="897" t="s">
        <v>5346</v>
      </c>
      <c r="D995" s="897" t="s">
        <v>1912</v>
      </c>
      <c r="E995" s="897"/>
      <c r="F995" s="897"/>
      <c r="G995" s="897"/>
      <c r="H995" s="898" t="s">
        <v>1953</v>
      </c>
      <c r="I995" s="899"/>
      <c r="J995" s="899"/>
    </row>
    <row r="996" spans="1:10">
      <c r="A996" s="896" t="s">
        <v>5347</v>
      </c>
      <c r="B996" s="897" t="s">
        <v>5348</v>
      </c>
      <c r="C996" s="897" t="s">
        <v>3980</v>
      </c>
      <c r="D996" s="897" t="s">
        <v>1912</v>
      </c>
      <c r="E996" s="897"/>
      <c r="F996" s="897"/>
      <c r="G996" s="897"/>
      <c r="H996" s="898" t="e">
        <v>#N/A</v>
      </c>
      <c r="I996" s="899"/>
      <c r="J996" s="899"/>
    </row>
    <row r="997" spans="1:10">
      <c r="A997" s="896" t="s">
        <v>5349</v>
      </c>
      <c r="B997" s="897" t="s">
        <v>5350</v>
      </c>
      <c r="C997" s="897" t="s">
        <v>5351</v>
      </c>
      <c r="D997" s="897" t="s">
        <v>1912</v>
      </c>
      <c r="E997" s="897"/>
      <c r="F997" s="897" t="s">
        <v>4262</v>
      </c>
      <c r="G997" s="897" t="s">
        <v>4263</v>
      </c>
      <c r="H997" s="898" t="e">
        <v>#N/A</v>
      </c>
      <c r="I997" s="899"/>
      <c r="J997" s="899"/>
    </row>
    <row r="998" spans="1:10">
      <c r="A998" s="896" t="s">
        <v>5352</v>
      </c>
      <c r="B998" s="897" t="s">
        <v>1726</v>
      </c>
      <c r="C998" s="897" t="s">
        <v>1912</v>
      </c>
      <c r="D998" s="897" t="s">
        <v>1912</v>
      </c>
      <c r="E998" s="897"/>
      <c r="F998" s="897"/>
      <c r="G998" s="897"/>
      <c r="H998" s="898" t="e">
        <v>#N/A</v>
      </c>
      <c r="I998" s="899"/>
      <c r="J998" s="899"/>
    </row>
    <row r="999" spans="1:10">
      <c r="A999" s="896" t="s">
        <v>5353</v>
      </c>
      <c r="B999" s="897" t="s">
        <v>5354</v>
      </c>
      <c r="C999" s="897" t="s">
        <v>1912</v>
      </c>
      <c r="D999" s="897" t="s">
        <v>1912</v>
      </c>
      <c r="E999" s="897"/>
      <c r="F999" s="897"/>
      <c r="G999" s="897"/>
      <c r="H999" s="898" t="e">
        <v>#N/A</v>
      </c>
      <c r="I999" s="899"/>
      <c r="J999" s="899"/>
    </row>
    <row r="1000" spans="1:10">
      <c r="A1000" s="896" t="s">
        <v>5355</v>
      </c>
      <c r="B1000" s="897" t="s">
        <v>5356</v>
      </c>
      <c r="C1000" s="897" t="s">
        <v>3917</v>
      </c>
      <c r="D1000" s="897" t="s">
        <v>1912</v>
      </c>
      <c r="E1000" s="897"/>
      <c r="F1000" s="897"/>
      <c r="G1000" s="897"/>
      <c r="H1000" s="898" t="e">
        <v>#N/A</v>
      </c>
      <c r="I1000" s="899"/>
      <c r="J1000" s="899"/>
    </row>
    <row r="1001" spans="1:10">
      <c r="A1001" s="896" t="s">
        <v>5357</v>
      </c>
      <c r="B1001" s="897" t="s">
        <v>5358</v>
      </c>
      <c r="C1001" s="897" t="s">
        <v>5359</v>
      </c>
      <c r="D1001" s="897" t="s">
        <v>1912</v>
      </c>
      <c r="E1001" s="897"/>
      <c r="F1001" s="897"/>
      <c r="G1001" s="897"/>
      <c r="H1001" s="898" t="e">
        <v>#N/A</v>
      </c>
      <c r="I1001" s="899"/>
      <c r="J1001" s="899"/>
    </row>
    <row r="1002" spans="1:10">
      <c r="A1002" s="896" t="s">
        <v>5360</v>
      </c>
      <c r="B1002" s="897" t="s">
        <v>1727</v>
      </c>
      <c r="C1002" s="897" t="s">
        <v>1912</v>
      </c>
      <c r="D1002" s="897" t="s">
        <v>1912</v>
      </c>
      <c r="E1002" s="897"/>
      <c r="F1002" s="897"/>
      <c r="G1002" s="897"/>
      <c r="H1002" s="898" t="e">
        <v>#N/A</v>
      </c>
      <c r="I1002" s="899"/>
      <c r="J1002" s="899"/>
    </row>
    <row r="1003" spans="1:10">
      <c r="A1003" s="896" t="s">
        <v>5361</v>
      </c>
      <c r="B1003" s="897" t="s">
        <v>5362</v>
      </c>
      <c r="C1003" s="897" t="s">
        <v>4119</v>
      </c>
      <c r="D1003" s="897" t="s">
        <v>1912</v>
      </c>
      <c r="E1003" s="897"/>
      <c r="F1003" s="897"/>
      <c r="G1003" s="897"/>
      <c r="H1003" s="898" t="e">
        <v>#N/A</v>
      </c>
      <c r="I1003" s="899"/>
      <c r="J1003" s="899"/>
    </row>
    <row r="1004" spans="1:10">
      <c r="A1004" s="896" t="s">
        <v>5363</v>
      </c>
      <c r="B1004" s="897" t="s">
        <v>5364</v>
      </c>
      <c r="C1004" s="897" t="s">
        <v>5365</v>
      </c>
      <c r="D1004" s="897" t="s">
        <v>1912</v>
      </c>
      <c r="E1004" s="897"/>
      <c r="F1004" s="897"/>
      <c r="G1004" s="897"/>
      <c r="H1004" s="898" t="e">
        <v>#N/A</v>
      </c>
      <c r="I1004" s="899"/>
      <c r="J1004" s="899"/>
    </row>
    <row r="1005" spans="1:10">
      <c r="A1005" s="896" t="s">
        <v>5366</v>
      </c>
      <c r="B1005" s="897" t="s">
        <v>5367</v>
      </c>
      <c r="C1005" s="897" t="s">
        <v>5368</v>
      </c>
      <c r="D1005" s="897" t="s">
        <v>1912</v>
      </c>
      <c r="E1005" s="897"/>
      <c r="F1005" s="897"/>
      <c r="G1005" s="897"/>
      <c r="H1005" s="898" t="s">
        <v>1953</v>
      </c>
      <c r="I1005" s="899"/>
      <c r="J1005" s="899"/>
    </row>
    <row r="1006" spans="1:10">
      <c r="A1006" s="896" t="s">
        <v>5369</v>
      </c>
      <c r="B1006" s="897" t="s">
        <v>5370</v>
      </c>
      <c r="C1006" s="897" t="s">
        <v>4795</v>
      </c>
      <c r="D1006" s="897" t="s">
        <v>1912</v>
      </c>
      <c r="E1006" s="897"/>
      <c r="F1006" s="897" t="s">
        <v>5371</v>
      </c>
      <c r="G1006" s="897" t="s">
        <v>5372</v>
      </c>
      <c r="H1006" s="898" t="e">
        <v>#N/A</v>
      </c>
      <c r="I1006" s="899"/>
      <c r="J1006" s="899"/>
    </row>
    <row r="1007" spans="1:10">
      <c r="A1007" s="896" t="s">
        <v>5373</v>
      </c>
      <c r="B1007" s="897" t="s">
        <v>5374</v>
      </c>
      <c r="C1007" s="897" t="s">
        <v>4932</v>
      </c>
      <c r="D1007" s="897" t="s">
        <v>1912</v>
      </c>
      <c r="E1007" s="897"/>
      <c r="F1007" s="897"/>
      <c r="G1007" s="897"/>
      <c r="H1007" s="898" t="s">
        <v>1953</v>
      </c>
      <c r="I1007" s="899"/>
      <c r="J1007" s="899"/>
    </row>
    <row r="1008" spans="1:10">
      <c r="A1008" s="896" t="s">
        <v>5375</v>
      </c>
      <c r="B1008" s="897" t="s">
        <v>5376</v>
      </c>
      <c r="C1008" s="897" t="s">
        <v>5377</v>
      </c>
      <c r="D1008" s="897" t="s">
        <v>1912</v>
      </c>
      <c r="E1008" s="897"/>
      <c r="F1008" s="897"/>
      <c r="G1008" s="897"/>
      <c r="H1008" s="898" t="e">
        <v>#N/A</v>
      </c>
      <c r="I1008" s="899"/>
      <c r="J1008" s="899"/>
    </row>
    <row r="1009" spans="1:10">
      <c r="A1009" s="896" t="s">
        <v>5378</v>
      </c>
      <c r="B1009" s="897" t="s">
        <v>5379</v>
      </c>
      <c r="C1009" s="897" t="s">
        <v>5380</v>
      </c>
      <c r="D1009" s="897" t="s">
        <v>1912</v>
      </c>
      <c r="E1009" s="897"/>
      <c r="F1009" s="897"/>
      <c r="G1009" s="897"/>
      <c r="H1009" s="898" t="e">
        <v>#N/A</v>
      </c>
      <c r="I1009" s="899"/>
      <c r="J1009" s="899"/>
    </row>
    <row r="1010" spans="1:10">
      <c r="A1010" s="896" t="s">
        <v>5381</v>
      </c>
      <c r="B1010" s="897" t="s">
        <v>5382</v>
      </c>
      <c r="C1010" s="897" t="s">
        <v>5383</v>
      </c>
      <c r="D1010" s="897" t="s">
        <v>1912</v>
      </c>
      <c r="E1010" s="897"/>
      <c r="F1010" s="897"/>
      <c r="G1010" s="897"/>
      <c r="H1010" s="898" t="e">
        <v>#N/A</v>
      </c>
      <c r="I1010" s="899"/>
      <c r="J1010" s="899"/>
    </row>
    <row r="1011" spans="1:10">
      <c r="A1011" s="896" t="s">
        <v>5384</v>
      </c>
      <c r="B1011" s="897" t="s">
        <v>1409</v>
      </c>
      <c r="C1011" s="897" t="s">
        <v>5385</v>
      </c>
      <c r="D1011" s="897" t="s">
        <v>1912</v>
      </c>
      <c r="E1011" s="897"/>
      <c r="F1011" s="897"/>
      <c r="G1011" s="897"/>
      <c r="H1011" s="898" t="e">
        <v>#N/A</v>
      </c>
      <c r="I1011" s="899"/>
      <c r="J1011" s="899"/>
    </row>
    <row r="1012" spans="1:10">
      <c r="A1012" s="896" t="s">
        <v>5386</v>
      </c>
      <c r="B1012" s="897" t="s">
        <v>1410</v>
      </c>
      <c r="C1012" s="897" t="s">
        <v>5387</v>
      </c>
      <c r="D1012" s="897" t="s">
        <v>1912</v>
      </c>
      <c r="E1012" s="897"/>
      <c r="F1012" s="897"/>
      <c r="G1012" s="897"/>
      <c r="H1012" s="898" t="e">
        <v>#N/A</v>
      </c>
      <c r="I1012" s="899"/>
      <c r="J1012" s="899"/>
    </row>
    <row r="1013" spans="1:10">
      <c r="A1013" s="896" t="s">
        <v>5388</v>
      </c>
      <c r="B1013" s="897" t="s">
        <v>5389</v>
      </c>
      <c r="C1013" s="897" t="s">
        <v>5390</v>
      </c>
      <c r="D1013" s="897" t="s">
        <v>1912</v>
      </c>
      <c r="E1013" s="897"/>
      <c r="F1013" s="897"/>
      <c r="G1013" s="897"/>
      <c r="H1013" s="898" t="e">
        <v>#N/A</v>
      </c>
      <c r="I1013" s="899"/>
      <c r="J1013" s="899"/>
    </row>
    <row r="1014" spans="1:10">
      <c r="A1014" s="896" t="s">
        <v>5391</v>
      </c>
      <c r="B1014" s="897" t="s">
        <v>5392</v>
      </c>
      <c r="C1014" s="897" t="s">
        <v>5393</v>
      </c>
      <c r="D1014" s="897" t="s">
        <v>1912</v>
      </c>
      <c r="E1014" s="897"/>
      <c r="F1014" s="897"/>
      <c r="G1014" s="897"/>
      <c r="H1014" s="898" t="e">
        <v>#N/A</v>
      </c>
      <c r="I1014" s="899"/>
      <c r="J1014" s="899"/>
    </row>
    <row r="1015" spans="1:10">
      <c r="A1015" s="896" t="s">
        <v>5394</v>
      </c>
      <c r="B1015" s="897" t="s">
        <v>5395</v>
      </c>
      <c r="C1015" s="897" t="s">
        <v>3787</v>
      </c>
      <c r="D1015" s="897" t="s">
        <v>1912</v>
      </c>
      <c r="E1015" s="897"/>
      <c r="F1015" s="897"/>
      <c r="G1015" s="897"/>
      <c r="H1015" s="898" t="e">
        <v>#N/A</v>
      </c>
      <c r="I1015" s="899"/>
      <c r="J1015" s="899"/>
    </row>
    <row r="1016" spans="1:10">
      <c r="A1016" s="896" t="s">
        <v>5396</v>
      </c>
      <c r="B1016" s="897" t="s">
        <v>5397</v>
      </c>
      <c r="C1016" s="897" t="s">
        <v>5398</v>
      </c>
      <c r="D1016" s="897" t="s">
        <v>1912</v>
      </c>
      <c r="E1016" s="897"/>
      <c r="F1016" s="897"/>
      <c r="G1016" s="897"/>
      <c r="H1016" s="898" t="e">
        <v>#N/A</v>
      </c>
      <c r="I1016" s="899"/>
      <c r="J1016" s="899"/>
    </row>
    <row r="1017" spans="1:10">
      <c r="A1017" s="896" t="s">
        <v>5399</v>
      </c>
      <c r="B1017" s="897" t="s">
        <v>5400</v>
      </c>
      <c r="C1017" s="897" t="s">
        <v>5401</v>
      </c>
      <c r="D1017" s="897" t="s">
        <v>1912</v>
      </c>
      <c r="E1017" s="897"/>
      <c r="F1017" s="897"/>
      <c r="G1017" s="897"/>
      <c r="H1017" s="898" t="e">
        <v>#N/A</v>
      </c>
      <c r="I1017" s="899"/>
      <c r="J1017" s="899"/>
    </row>
    <row r="1018" spans="1:10">
      <c r="A1018" s="896" t="s">
        <v>5402</v>
      </c>
      <c r="B1018" s="897" t="s">
        <v>5403</v>
      </c>
      <c r="C1018" s="897" t="s">
        <v>5404</v>
      </c>
      <c r="D1018" s="897" t="s">
        <v>1187</v>
      </c>
      <c r="E1018" s="897"/>
      <c r="F1018" s="897"/>
      <c r="G1018" s="897"/>
      <c r="H1018" s="898" t="e">
        <v>#N/A</v>
      </c>
      <c r="I1018" s="899"/>
      <c r="J1018" s="899"/>
    </row>
    <row r="1019" spans="1:10">
      <c r="A1019" s="896" t="s">
        <v>5405</v>
      </c>
      <c r="B1019" s="897" t="s">
        <v>5406</v>
      </c>
      <c r="C1019" s="897" t="s">
        <v>5407</v>
      </c>
      <c r="D1019" s="897" t="s">
        <v>1912</v>
      </c>
      <c r="E1019" s="897"/>
      <c r="F1019" s="897"/>
      <c r="G1019" s="897"/>
      <c r="H1019" s="898" t="e">
        <v>#N/A</v>
      </c>
      <c r="I1019" s="899"/>
      <c r="J1019" s="899"/>
    </row>
    <row r="1020" spans="1:10">
      <c r="A1020" s="896" t="s">
        <v>5408</v>
      </c>
      <c r="B1020" s="897" t="s">
        <v>5409</v>
      </c>
      <c r="C1020" s="897" t="s">
        <v>5410</v>
      </c>
      <c r="D1020" s="897" t="s">
        <v>1912</v>
      </c>
      <c r="E1020" s="897"/>
      <c r="F1020" s="897"/>
      <c r="G1020" s="897"/>
      <c r="H1020" s="898" t="e">
        <v>#N/A</v>
      </c>
      <c r="I1020" s="899"/>
      <c r="J1020" s="899"/>
    </row>
    <row r="1021" spans="1:10">
      <c r="A1021" s="896" t="s">
        <v>5411</v>
      </c>
      <c r="B1021" s="897" t="s">
        <v>5412</v>
      </c>
      <c r="C1021" s="897" t="s">
        <v>5413</v>
      </c>
      <c r="D1021" s="897" t="s">
        <v>1912</v>
      </c>
      <c r="E1021" s="897"/>
      <c r="F1021" s="897"/>
      <c r="G1021" s="897"/>
      <c r="H1021" s="898" t="e">
        <v>#N/A</v>
      </c>
      <c r="I1021" s="899"/>
      <c r="J1021" s="899"/>
    </row>
    <row r="1022" spans="1:10">
      <c r="A1022" s="896" t="s">
        <v>5414</v>
      </c>
      <c r="B1022" s="897" t="s">
        <v>5415</v>
      </c>
      <c r="C1022" s="897" t="s">
        <v>5416</v>
      </c>
      <c r="D1022" s="897" t="s">
        <v>1912</v>
      </c>
      <c r="E1022" s="897"/>
      <c r="F1022" s="897"/>
      <c r="G1022" s="897"/>
      <c r="H1022" s="898" t="e">
        <v>#N/A</v>
      </c>
      <c r="I1022" s="899"/>
      <c r="J1022" s="899"/>
    </row>
    <row r="1023" spans="1:10">
      <c r="A1023" s="896" t="s">
        <v>5417</v>
      </c>
      <c r="B1023" s="897" t="s">
        <v>5418</v>
      </c>
      <c r="C1023" s="897" t="s">
        <v>5419</v>
      </c>
      <c r="D1023" s="897" t="s">
        <v>1912</v>
      </c>
      <c r="E1023" s="897"/>
      <c r="F1023" s="897"/>
      <c r="G1023" s="897"/>
      <c r="H1023" s="898" t="e">
        <v>#N/A</v>
      </c>
      <c r="I1023" s="899"/>
      <c r="J1023" s="899"/>
    </row>
    <row r="1024" spans="1:10">
      <c r="A1024" s="896" t="s">
        <v>5420</v>
      </c>
      <c r="B1024" s="897" t="s">
        <v>5421</v>
      </c>
      <c r="C1024" s="897" t="s">
        <v>1912</v>
      </c>
      <c r="D1024" s="897" t="s">
        <v>1912</v>
      </c>
      <c r="E1024" s="897"/>
      <c r="F1024" s="897"/>
      <c r="G1024" s="897"/>
      <c r="H1024" s="898" t="e">
        <v>#N/A</v>
      </c>
      <c r="I1024" s="899"/>
      <c r="J1024" s="899"/>
    </row>
    <row r="1025" spans="1:10">
      <c r="A1025" s="896" t="s">
        <v>5422</v>
      </c>
      <c r="B1025" s="897" t="s">
        <v>5423</v>
      </c>
      <c r="C1025" s="897" t="s">
        <v>5424</v>
      </c>
      <c r="D1025" s="897" t="s">
        <v>1912</v>
      </c>
      <c r="E1025" s="897"/>
      <c r="F1025" s="897"/>
      <c r="G1025" s="897"/>
      <c r="H1025" s="898" t="e">
        <v>#N/A</v>
      </c>
      <c r="I1025" s="899"/>
      <c r="J1025" s="899"/>
    </row>
    <row r="1026" spans="1:10">
      <c r="A1026" s="896" t="s">
        <v>5425</v>
      </c>
      <c r="B1026" s="897" t="s">
        <v>5426</v>
      </c>
      <c r="C1026" s="897" t="s">
        <v>5427</v>
      </c>
      <c r="D1026" s="897" t="s">
        <v>1912</v>
      </c>
      <c r="E1026" s="897"/>
      <c r="F1026" s="897"/>
      <c r="G1026" s="897"/>
      <c r="H1026" s="898" t="e">
        <v>#N/A</v>
      </c>
      <c r="I1026" s="899"/>
      <c r="J1026" s="899"/>
    </row>
    <row r="1027" spans="1:10">
      <c r="A1027" s="896" t="s">
        <v>5428</v>
      </c>
      <c r="B1027" s="897" t="s">
        <v>5429</v>
      </c>
      <c r="C1027" s="897" t="s">
        <v>5430</v>
      </c>
      <c r="D1027" s="897" t="s">
        <v>1912</v>
      </c>
      <c r="E1027" s="897"/>
      <c r="F1027" s="897" t="s">
        <v>5431</v>
      </c>
      <c r="G1027" s="897" t="s">
        <v>5432</v>
      </c>
      <c r="H1027" s="898" t="e">
        <v>#N/A</v>
      </c>
      <c r="I1027" s="899"/>
      <c r="J1027" s="899"/>
    </row>
    <row r="1028" spans="1:10">
      <c r="A1028" s="896" t="s">
        <v>5433</v>
      </c>
      <c r="B1028" s="897" t="s">
        <v>5434</v>
      </c>
      <c r="C1028" s="897" t="s">
        <v>5435</v>
      </c>
      <c r="D1028" s="897" t="s">
        <v>1912</v>
      </c>
      <c r="E1028" s="897"/>
      <c r="F1028" s="897"/>
      <c r="G1028" s="897"/>
      <c r="H1028" s="898" t="e">
        <v>#N/A</v>
      </c>
      <c r="I1028" s="899"/>
      <c r="J1028" s="899"/>
    </row>
    <row r="1029" spans="1:10">
      <c r="A1029" s="896" t="s">
        <v>5436</v>
      </c>
      <c r="B1029" s="897" t="s">
        <v>5437</v>
      </c>
      <c r="C1029" s="897" t="s">
        <v>4770</v>
      </c>
      <c r="D1029" s="897" t="s">
        <v>1912</v>
      </c>
      <c r="E1029" s="897"/>
      <c r="F1029" s="897"/>
      <c r="G1029" s="897"/>
      <c r="H1029" s="898" t="e">
        <v>#N/A</v>
      </c>
      <c r="I1029" s="899"/>
      <c r="J1029" s="899"/>
    </row>
    <row r="1030" spans="1:10">
      <c r="A1030" s="896" t="s">
        <v>5438</v>
      </c>
      <c r="B1030" s="897" t="s">
        <v>5439</v>
      </c>
      <c r="C1030" s="897" t="s">
        <v>5440</v>
      </c>
      <c r="D1030" s="897" t="s">
        <v>1912</v>
      </c>
      <c r="E1030" s="897"/>
      <c r="F1030" s="897"/>
      <c r="G1030" s="897" t="s">
        <v>5441</v>
      </c>
      <c r="H1030" s="898" t="s">
        <v>1953</v>
      </c>
      <c r="I1030" s="899"/>
      <c r="J1030" s="899"/>
    </row>
    <row r="1031" spans="1:10">
      <c r="A1031" s="896" t="s">
        <v>5442</v>
      </c>
      <c r="B1031" s="897" t="s">
        <v>5443</v>
      </c>
      <c r="C1031" s="897" t="s">
        <v>5444</v>
      </c>
      <c r="D1031" s="897" t="s">
        <v>5445</v>
      </c>
      <c r="E1031" s="897"/>
      <c r="F1031" s="897"/>
      <c r="G1031" s="897"/>
      <c r="H1031" s="898" t="s">
        <v>1953</v>
      </c>
      <c r="I1031" s="899"/>
      <c r="J1031" s="899"/>
    </row>
    <row r="1032" spans="1:10">
      <c r="A1032" s="896" t="s">
        <v>5446</v>
      </c>
      <c r="B1032" s="897" t="s">
        <v>5447</v>
      </c>
      <c r="C1032" s="897" t="s">
        <v>5448</v>
      </c>
      <c r="D1032" s="897" t="s">
        <v>1912</v>
      </c>
      <c r="E1032" s="897"/>
      <c r="F1032" s="897"/>
      <c r="G1032" s="897"/>
      <c r="H1032" s="898" t="e">
        <v>#N/A</v>
      </c>
      <c r="I1032" s="899"/>
      <c r="J1032" s="899"/>
    </row>
    <row r="1033" spans="1:10">
      <c r="A1033" s="896" t="s">
        <v>5449</v>
      </c>
      <c r="B1033" s="897" t="s">
        <v>5450</v>
      </c>
      <c r="C1033" s="897" t="s">
        <v>5451</v>
      </c>
      <c r="D1033" s="897" t="s">
        <v>1912</v>
      </c>
      <c r="E1033" s="897"/>
      <c r="F1033" s="897"/>
      <c r="G1033" s="897"/>
      <c r="H1033" s="898" t="s">
        <v>1914</v>
      </c>
      <c r="I1033" s="899"/>
      <c r="J1033" s="899"/>
    </row>
    <row r="1034" spans="1:10">
      <c r="A1034" s="896" t="s">
        <v>5452</v>
      </c>
      <c r="B1034" s="897" t="s">
        <v>5453</v>
      </c>
      <c r="C1034" s="897" t="s">
        <v>5454</v>
      </c>
      <c r="D1034" s="897" t="s">
        <v>1912</v>
      </c>
      <c r="E1034" s="897"/>
      <c r="F1034" s="897"/>
      <c r="G1034" s="897"/>
      <c r="H1034" s="898" t="e">
        <v>#N/A</v>
      </c>
      <c r="I1034" s="899"/>
      <c r="J1034" s="899"/>
    </row>
    <row r="1035" spans="1:10">
      <c r="A1035" s="896" t="s">
        <v>5455</v>
      </c>
      <c r="B1035" s="897" t="s">
        <v>5456</v>
      </c>
      <c r="C1035" s="897" t="s">
        <v>5457</v>
      </c>
      <c r="D1035" s="897" t="s">
        <v>1912</v>
      </c>
      <c r="E1035" s="897"/>
      <c r="F1035" s="897"/>
      <c r="G1035" s="897"/>
      <c r="H1035" s="898" t="e">
        <v>#N/A</v>
      </c>
      <c r="I1035" s="899"/>
      <c r="J1035" s="899"/>
    </row>
    <row r="1036" spans="1:10">
      <c r="A1036" s="896" t="s">
        <v>5458</v>
      </c>
      <c r="B1036" s="897" t="s">
        <v>1330</v>
      </c>
      <c r="C1036" s="897" t="s">
        <v>1912</v>
      </c>
      <c r="D1036" s="897" t="s">
        <v>1912</v>
      </c>
      <c r="E1036" s="897"/>
      <c r="F1036" s="897" t="s">
        <v>5459</v>
      </c>
      <c r="G1036" s="897" t="s">
        <v>5460</v>
      </c>
      <c r="H1036" s="898" t="e">
        <v>#N/A</v>
      </c>
      <c r="I1036" s="899"/>
      <c r="J1036" s="899"/>
    </row>
    <row r="1037" spans="1:10">
      <c r="A1037" s="896" t="s">
        <v>5461</v>
      </c>
      <c r="B1037" s="897" t="s">
        <v>5462</v>
      </c>
      <c r="C1037" s="897" t="s">
        <v>5463</v>
      </c>
      <c r="D1037" s="897" t="s">
        <v>1912</v>
      </c>
      <c r="E1037" s="897"/>
      <c r="F1037" s="897"/>
      <c r="G1037" s="897"/>
      <c r="H1037" s="898" t="e">
        <v>#N/A</v>
      </c>
      <c r="I1037" s="899"/>
      <c r="J1037" s="899"/>
    </row>
    <row r="1038" spans="1:10">
      <c r="A1038" s="896" t="s">
        <v>5464</v>
      </c>
      <c r="B1038" s="897" t="s">
        <v>5465</v>
      </c>
      <c r="C1038" s="897" t="s">
        <v>5466</v>
      </c>
      <c r="D1038" s="897" t="s">
        <v>1912</v>
      </c>
      <c r="E1038" s="897"/>
      <c r="F1038" s="897"/>
      <c r="G1038" s="897"/>
      <c r="H1038" s="898" t="e">
        <v>#N/A</v>
      </c>
      <c r="I1038" s="899"/>
      <c r="J1038" s="899"/>
    </row>
    <row r="1039" spans="1:10">
      <c r="A1039" s="896" t="s">
        <v>5467</v>
      </c>
      <c r="B1039" s="897" t="s">
        <v>5468</v>
      </c>
      <c r="C1039" s="897" t="s">
        <v>5469</v>
      </c>
      <c r="D1039" s="897" t="s">
        <v>1912</v>
      </c>
      <c r="E1039" s="897"/>
      <c r="F1039" s="897"/>
      <c r="G1039" s="897"/>
      <c r="H1039" s="898" t="s">
        <v>1953</v>
      </c>
      <c r="I1039" s="899"/>
      <c r="J1039" s="899"/>
    </row>
    <row r="1040" spans="1:10">
      <c r="A1040" s="896" t="s">
        <v>5470</v>
      </c>
      <c r="B1040" s="897" t="s">
        <v>1414</v>
      </c>
      <c r="C1040" s="897" t="s">
        <v>5471</v>
      </c>
      <c r="D1040" s="897" t="s">
        <v>1912</v>
      </c>
      <c r="E1040" s="897"/>
      <c r="F1040" s="897"/>
      <c r="G1040" s="897"/>
      <c r="H1040" s="898" t="e">
        <v>#N/A</v>
      </c>
      <c r="I1040" s="899"/>
      <c r="J1040" s="899"/>
    </row>
    <row r="1041" spans="1:10">
      <c r="A1041" s="896" t="s">
        <v>5472</v>
      </c>
      <c r="B1041" s="897" t="s">
        <v>5473</v>
      </c>
      <c r="C1041" s="897" t="s">
        <v>5474</v>
      </c>
      <c r="D1041" s="897" t="s">
        <v>1912</v>
      </c>
      <c r="E1041" s="897"/>
      <c r="F1041" s="897"/>
      <c r="G1041" s="897"/>
      <c r="H1041" s="898" t="s">
        <v>1953</v>
      </c>
      <c r="I1041" s="899"/>
      <c r="J1041" s="899"/>
    </row>
    <row r="1042" spans="1:10">
      <c r="A1042" s="896" t="s">
        <v>5475</v>
      </c>
      <c r="B1042" s="897" t="s">
        <v>5476</v>
      </c>
      <c r="C1042" s="897" t="s">
        <v>3927</v>
      </c>
      <c r="D1042" s="897" t="s">
        <v>1912</v>
      </c>
      <c r="E1042" s="897"/>
      <c r="F1042" s="897"/>
      <c r="G1042" s="897"/>
      <c r="H1042" s="898" t="s">
        <v>1914</v>
      </c>
      <c r="I1042" s="899"/>
      <c r="J1042" s="899"/>
    </row>
    <row r="1043" spans="1:10">
      <c r="A1043" s="896" t="s">
        <v>5477</v>
      </c>
      <c r="B1043" s="897" t="s">
        <v>5478</v>
      </c>
      <c r="C1043" s="897" t="s">
        <v>5479</v>
      </c>
      <c r="D1043" s="897" t="s">
        <v>1912</v>
      </c>
      <c r="E1043" s="897"/>
      <c r="F1043" s="897"/>
      <c r="G1043" s="897"/>
      <c r="H1043" s="898" t="e">
        <v>#N/A</v>
      </c>
      <c r="I1043" s="899"/>
      <c r="J1043" s="899"/>
    </row>
    <row r="1044" spans="1:10">
      <c r="A1044" s="896" t="s">
        <v>5480</v>
      </c>
      <c r="B1044" s="897" t="s">
        <v>5481</v>
      </c>
      <c r="C1044" s="897" t="s">
        <v>5482</v>
      </c>
      <c r="D1044" s="897" t="s">
        <v>1912</v>
      </c>
      <c r="E1044" s="897"/>
      <c r="F1044" s="897"/>
      <c r="G1044" s="897"/>
      <c r="H1044" s="898" t="e">
        <v>#N/A</v>
      </c>
      <c r="I1044" s="899"/>
      <c r="J1044" s="899"/>
    </row>
    <row r="1045" spans="1:10">
      <c r="A1045" s="896" t="s">
        <v>5483</v>
      </c>
      <c r="B1045" s="897" t="s">
        <v>5484</v>
      </c>
      <c r="C1045" s="897" t="s">
        <v>5485</v>
      </c>
      <c r="D1045" s="897" t="s">
        <v>1912</v>
      </c>
      <c r="E1045" s="897"/>
      <c r="F1045" s="897"/>
      <c r="G1045" s="897"/>
      <c r="H1045" s="898" t="e">
        <v>#N/A</v>
      </c>
      <c r="I1045" s="899"/>
      <c r="J1045" s="899"/>
    </row>
    <row r="1046" spans="1:10">
      <c r="A1046" s="896" t="s">
        <v>5486</v>
      </c>
      <c r="B1046" s="897" t="s">
        <v>5487</v>
      </c>
      <c r="C1046" s="897" t="s">
        <v>5488</v>
      </c>
      <c r="D1046" s="897" t="s">
        <v>1912</v>
      </c>
      <c r="E1046" s="897"/>
      <c r="F1046" s="897" t="s">
        <v>5489</v>
      </c>
      <c r="G1046" s="897" t="s">
        <v>5490</v>
      </c>
      <c r="H1046" s="898" t="e">
        <v>#N/A</v>
      </c>
      <c r="I1046" s="899"/>
      <c r="J1046" s="899"/>
    </row>
    <row r="1047" spans="1:10">
      <c r="A1047" s="896" t="s">
        <v>5491</v>
      </c>
      <c r="B1047" s="897" t="s">
        <v>5492</v>
      </c>
      <c r="C1047" s="897" t="s">
        <v>5493</v>
      </c>
      <c r="D1047" s="897" t="s">
        <v>1912</v>
      </c>
      <c r="E1047" s="897"/>
      <c r="F1047" s="897"/>
      <c r="G1047" s="897"/>
      <c r="H1047" s="898" t="e">
        <v>#N/A</v>
      </c>
      <c r="I1047" s="899"/>
      <c r="J1047" s="899"/>
    </row>
    <row r="1048" spans="1:10">
      <c r="A1048" s="896" t="s">
        <v>5494</v>
      </c>
      <c r="B1048" s="897" t="s">
        <v>5495</v>
      </c>
      <c r="C1048" s="897" t="s">
        <v>5496</v>
      </c>
      <c r="D1048" s="897" t="s">
        <v>1912</v>
      </c>
      <c r="E1048" s="897"/>
      <c r="F1048" s="897"/>
      <c r="G1048" s="897"/>
      <c r="H1048" s="898" t="s">
        <v>1914</v>
      </c>
      <c r="I1048" s="899"/>
      <c r="J1048" s="899"/>
    </row>
    <row r="1049" spans="1:10">
      <c r="A1049" s="896" t="s">
        <v>5497</v>
      </c>
      <c r="B1049" s="897" t="s">
        <v>5498</v>
      </c>
      <c r="C1049" s="897" t="s">
        <v>5055</v>
      </c>
      <c r="D1049" s="897" t="s">
        <v>1912</v>
      </c>
      <c r="E1049" s="897"/>
      <c r="F1049" s="897" t="s">
        <v>225</v>
      </c>
      <c r="G1049" s="897" t="s">
        <v>5499</v>
      </c>
      <c r="H1049" s="898" t="e">
        <v>#N/A</v>
      </c>
      <c r="I1049" s="899"/>
      <c r="J1049" s="899"/>
    </row>
    <row r="1050" spans="1:10">
      <c r="A1050" s="896" t="s">
        <v>5500</v>
      </c>
      <c r="B1050" s="897" t="s">
        <v>5501</v>
      </c>
      <c r="C1050" s="897" t="s">
        <v>5502</v>
      </c>
      <c r="D1050" s="897" t="s">
        <v>1912</v>
      </c>
      <c r="E1050" s="897"/>
      <c r="F1050" s="897" t="s">
        <v>5503</v>
      </c>
      <c r="G1050" s="897" t="s">
        <v>5504</v>
      </c>
      <c r="H1050" s="898" t="e">
        <v>#N/A</v>
      </c>
      <c r="I1050" s="899"/>
      <c r="J1050" s="899"/>
    </row>
    <row r="1051" spans="1:10">
      <c r="A1051" s="896" t="s">
        <v>5505</v>
      </c>
      <c r="B1051" s="897" t="s">
        <v>5506</v>
      </c>
      <c r="C1051" s="897" t="s">
        <v>5507</v>
      </c>
      <c r="D1051" s="897" t="s">
        <v>1912</v>
      </c>
      <c r="E1051" s="897"/>
      <c r="F1051" s="897"/>
      <c r="G1051" s="897"/>
      <c r="H1051" s="898" t="e">
        <v>#N/A</v>
      </c>
      <c r="I1051" s="899"/>
      <c r="J1051" s="899"/>
    </row>
    <row r="1052" spans="1:10">
      <c r="A1052" s="896" t="s">
        <v>5508</v>
      </c>
      <c r="B1052" s="897" t="s">
        <v>635</v>
      </c>
      <c r="C1052" s="897" t="s">
        <v>5509</v>
      </c>
      <c r="D1052" s="897" t="s">
        <v>1189</v>
      </c>
      <c r="E1052" s="897"/>
      <c r="F1052" s="897"/>
      <c r="G1052" s="897"/>
      <c r="H1052" s="898" t="s">
        <v>1953</v>
      </c>
      <c r="I1052" s="899"/>
      <c r="J1052" s="899"/>
    </row>
    <row r="1053" spans="1:10">
      <c r="A1053" s="896" t="s">
        <v>5510</v>
      </c>
      <c r="B1053" s="897" t="s">
        <v>5511</v>
      </c>
      <c r="C1053" s="897" t="s">
        <v>5512</v>
      </c>
      <c r="D1053" s="897" t="s">
        <v>1912</v>
      </c>
      <c r="E1053" s="897"/>
      <c r="F1053" s="897"/>
      <c r="G1053" s="897"/>
      <c r="H1053" s="898" t="e">
        <v>#N/A</v>
      </c>
      <c r="I1053" s="899"/>
      <c r="J1053" s="899"/>
    </row>
    <row r="1054" spans="1:10">
      <c r="A1054" s="896" t="s">
        <v>5513</v>
      </c>
      <c r="B1054" s="897" t="s">
        <v>5514</v>
      </c>
      <c r="C1054" s="897" t="s">
        <v>5515</v>
      </c>
      <c r="D1054" s="897" t="s">
        <v>1912</v>
      </c>
      <c r="E1054" s="897"/>
      <c r="F1054" s="897"/>
      <c r="G1054" s="897"/>
      <c r="H1054" s="898" t="e">
        <v>#N/A</v>
      </c>
      <c r="I1054" s="899"/>
      <c r="J1054" s="899"/>
    </row>
    <row r="1055" spans="1:10">
      <c r="A1055" s="896" t="s">
        <v>5516</v>
      </c>
      <c r="B1055" s="897" t="s">
        <v>232</v>
      </c>
      <c r="C1055" s="897" t="s">
        <v>5517</v>
      </c>
      <c r="D1055" s="897" t="s">
        <v>1912</v>
      </c>
      <c r="E1055" s="897"/>
      <c r="F1055" s="897"/>
      <c r="G1055" s="897"/>
      <c r="H1055" s="898" t="e">
        <v>#N/A</v>
      </c>
      <c r="I1055" s="899"/>
      <c r="J1055" s="899"/>
    </row>
    <row r="1056" spans="1:10">
      <c r="A1056" s="896" t="s">
        <v>5518</v>
      </c>
      <c r="B1056" s="897" t="s">
        <v>5519</v>
      </c>
      <c r="C1056" s="897" t="s">
        <v>5520</v>
      </c>
      <c r="D1056" s="897" t="s">
        <v>1912</v>
      </c>
      <c r="E1056" s="897"/>
      <c r="F1056" s="897"/>
      <c r="G1056" s="897"/>
      <c r="H1056" s="898" t="e">
        <v>#N/A</v>
      </c>
      <c r="I1056" s="899"/>
      <c r="J1056" s="899"/>
    </row>
    <row r="1057" spans="1:10">
      <c r="A1057" s="896" t="s">
        <v>5521</v>
      </c>
      <c r="B1057" s="897" t="s">
        <v>5522</v>
      </c>
      <c r="C1057" s="897" t="s">
        <v>5523</v>
      </c>
      <c r="D1057" s="897" t="s">
        <v>1912</v>
      </c>
      <c r="E1057" s="897"/>
      <c r="F1057" s="897"/>
      <c r="G1057" s="897"/>
      <c r="H1057" s="898" t="s">
        <v>1953</v>
      </c>
      <c r="I1057" s="899"/>
      <c r="J1057" s="899"/>
    </row>
    <row r="1058" spans="1:10">
      <c r="A1058" s="896" t="s">
        <v>5524</v>
      </c>
      <c r="B1058" s="897" t="s">
        <v>365</v>
      </c>
      <c r="C1058" s="897" t="s">
        <v>5525</v>
      </c>
      <c r="D1058" s="897" t="s">
        <v>1912</v>
      </c>
      <c r="E1058" s="897"/>
      <c r="F1058" s="897"/>
      <c r="G1058" s="897"/>
      <c r="H1058" s="898" t="s">
        <v>1914</v>
      </c>
      <c r="I1058" s="899"/>
      <c r="J1058" s="899"/>
    </row>
    <row r="1059" spans="1:10">
      <c r="A1059" s="896" t="s">
        <v>5526</v>
      </c>
      <c r="B1059" s="897" t="s">
        <v>5527</v>
      </c>
      <c r="C1059" s="897" t="s">
        <v>5528</v>
      </c>
      <c r="D1059" s="897" t="s">
        <v>1912</v>
      </c>
      <c r="E1059" s="897"/>
      <c r="F1059" s="897"/>
      <c r="G1059" s="897"/>
      <c r="H1059" s="898" t="s">
        <v>1953</v>
      </c>
      <c r="I1059" s="899"/>
      <c r="J1059" s="899"/>
    </row>
    <row r="1060" spans="1:10">
      <c r="A1060" s="896" t="s">
        <v>5529</v>
      </c>
      <c r="B1060" s="897" t="s">
        <v>5530</v>
      </c>
      <c r="C1060" s="897" t="s">
        <v>5531</v>
      </c>
      <c r="D1060" s="897" t="s">
        <v>1912</v>
      </c>
      <c r="E1060" s="897"/>
      <c r="F1060" s="897"/>
      <c r="G1060" s="897"/>
      <c r="H1060" s="898" t="e">
        <v>#N/A</v>
      </c>
      <c r="I1060" s="899"/>
      <c r="J1060" s="899"/>
    </row>
    <row r="1061" spans="1:10">
      <c r="A1061" s="896" t="s">
        <v>5532</v>
      </c>
      <c r="B1061" s="897" t="s">
        <v>5533</v>
      </c>
      <c r="C1061" s="897" t="s">
        <v>5534</v>
      </c>
      <c r="D1061" s="897" t="s">
        <v>1912</v>
      </c>
      <c r="E1061" s="897"/>
      <c r="F1061" s="897"/>
      <c r="G1061" s="897"/>
      <c r="H1061" s="898" t="e">
        <v>#N/A</v>
      </c>
      <c r="I1061" s="899"/>
      <c r="J1061" s="899"/>
    </row>
    <row r="1062" spans="1:10">
      <c r="A1062" s="896" t="s">
        <v>5535</v>
      </c>
      <c r="B1062" s="897" t="s">
        <v>5536</v>
      </c>
      <c r="C1062" s="897" t="s">
        <v>5537</v>
      </c>
      <c r="D1062" s="897" t="s">
        <v>1912</v>
      </c>
      <c r="E1062" s="897"/>
      <c r="F1062" s="897"/>
      <c r="G1062" s="897"/>
      <c r="H1062" s="898" t="e">
        <v>#N/A</v>
      </c>
      <c r="I1062" s="899"/>
      <c r="J1062" s="899"/>
    </row>
    <row r="1063" spans="1:10">
      <c r="A1063" s="896" t="s">
        <v>5538</v>
      </c>
      <c r="B1063" s="897" t="s">
        <v>5539</v>
      </c>
      <c r="C1063" s="897" t="s">
        <v>5540</v>
      </c>
      <c r="D1063" s="897" t="s">
        <v>1912</v>
      </c>
      <c r="E1063" s="897"/>
      <c r="F1063" s="897"/>
      <c r="G1063" s="897"/>
      <c r="H1063" s="898" t="e">
        <v>#N/A</v>
      </c>
      <c r="I1063" s="899"/>
      <c r="J1063" s="899"/>
    </row>
    <row r="1064" spans="1:10">
      <c r="A1064" s="896" t="s">
        <v>5541</v>
      </c>
      <c r="B1064" s="897" t="s">
        <v>1418</v>
      </c>
      <c r="C1064" s="897" t="s">
        <v>5542</v>
      </c>
      <c r="D1064" s="897" t="s">
        <v>1912</v>
      </c>
      <c r="E1064" s="897"/>
      <c r="F1064" s="897"/>
      <c r="G1064" s="897"/>
      <c r="H1064" s="898" t="e">
        <v>#N/A</v>
      </c>
      <c r="I1064" s="899"/>
      <c r="J1064" s="899"/>
    </row>
    <row r="1065" spans="1:10">
      <c r="A1065" s="896" t="s">
        <v>5543</v>
      </c>
      <c r="B1065" s="897" t="s">
        <v>5544</v>
      </c>
      <c r="C1065" s="897" t="s">
        <v>5545</v>
      </c>
      <c r="D1065" s="897" t="s">
        <v>1912</v>
      </c>
      <c r="E1065" s="897"/>
      <c r="F1065" s="897"/>
      <c r="G1065" s="897"/>
      <c r="H1065" s="898" t="e">
        <v>#N/A</v>
      </c>
      <c r="I1065" s="899"/>
      <c r="J1065" s="899"/>
    </row>
    <row r="1066" spans="1:10">
      <c r="A1066" s="896" t="s">
        <v>5546</v>
      </c>
      <c r="B1066" s="897" t="s">
        <v>1736</v>
      </c>
      <c r="C1066" s="897" t="s">
        <v>5547</v>
      </c>
      <c r="D1066" s="897" t="s">
        <v>1912</v>
      </c>
      <c r="E1066" s="897"/>
      <c r="F1066" s="897"/>
      <c r="G1066" s="897"/>
      <c r="H1066" s="898" t="e">
        <v>#N/A</v>
      </c>
      <c r="I1066" s="899"/>
      <c r="J1066" s="899"/>
    </row>
    <row r="1067" spans="1:10">
      <c r="A1067" s="896" t="s">
        <v>5548</v>
      </c>
      <c r="B1067" s="897" t="s">
        <v>5549</v>
      </c>
      <c r="C1067" s="897" t="s">
        <v>5550</v>
      </c>
      <c r="D1067" s="897" t="s">
        <v>1912</v>
      </c>
      <c r="E1067" s="897"/>
      <c r="F1067" s="897"/>
      <c r="G1067" s="897"/>
      <c r="H1067" s="898" t="s">
        <v>1914</v>
      </c>
      <c r="I1067" s="899"/>
      <c r="J1067" s="899"/>
    </row>
    <row r="1068" spans="1:10">
      <c r="A1068" s="896" t="s">
        <v>5551</v>
      </c>
      <c r="B1068" s="897" t="s">
        <v>5552</v>
      </c>
      <c r="C1068" s="897" t="s">
        <v>5553</v>
      </c>
      <c r="D1068" s="897" t="s">
        <v>1912</v>
      </c>
      <c r="E1068" s="897"/>
      <c r="F1068" s="897"/>
      <c r="G1068" s="897"/>
      <c r="H1068" s="898" t="e">
        <v>#N/A</v>
      </c>
      <c r="I1068" s="899"/>
      <c r="J1068" s="899"/>
    </row>
    <row r="1069" spans="1:10">
      <c r="A1069" s="896" t="s">
        <v>5554</v>
      </c>
      <c r="B1069" s="897" t="s">
        <v>5555</v>
      </c>
      <c r="C1069" s="897" t="s">
        <v>5556</v>
      </c>
      <c r="D1069" s="897" t="s">
        <v>1912</v>
      </c>
      <c r="E1069" s="897"/>
      <c r="F1069" s="897"/>
      <c r="G1069" s="897"/>
      <c r="H1069" s="898" t="e">
        <v>#N/A</v>
      </c>
      <c r="I1069" s="899"/>
      <c r="J1069" s="899"/>
    </row>
    <row r="1070" spans="1:10">
      <c r="A1070" s="896" t="s">
        <v>5557</v>
      </c>
      <c r="B1070" s="897" t="s">
        <v>5558</v>
      </c>
      <c r="C1070" s="897" t="s">
        <v>5559</v>
      </c>
      <c r="D1070" s="897" t="s">
        <v>1912</v>
      </c>
      <c r="E1070" s="897"/>
      <c r="F1070" s="897"/>
      <c r="G1070" s="897"/>
      <c r="H1070" s="898" t="e">
        <v>#N/A</v>
      </c>
      <c r="I1070" s="899"/>
      <c r="J1070" s="899"/>
    </row>
    <row r="1071" spans="1:10">
      <c r="A1071" s="896" t="s">
        <v>5560</v>
      </c>
      <c r="B1071" s="897" t="s">
        <v>5561</v>
      </c>
      <c r="C1071" s="897" t="s">
        <v>1912</v>
      </c>
      <c r="D1071" s="897" t="s">
        <v>1912</v>
      </c>
      <c r="E1071" s="897"/>
      <c r="F1071" s="897"/>
      <c r="G1071" s="897"/>
      <c r="H1071" s="898" t="e">
        <v>#N/A</v>
      </c>
      <c r="I1071" s="899"/>
      <c r="J1071" s="899"/>
    </row>
    <row r="1072" spans="1:10">
      <c r="A1072" s="896" t="s">
        <v>5562</v>
      </c>
      <c r="B1072" s="897" t="s">
        <v>5563</v>
      </c>
      <c r="C1072" s="897" t="s">
        <v>1912</v>
      </c>
      <c r="D1072" s="897" t="s">
        <v>1912</v>
      </c>
      <c r="E1072" s="897"/>
      <c r="F1072" s="897"/>
      <c r="G1072" s="897"/>
      <c r="H1072" s="898" t="e">
        <v>#N/A</v>
      </c>
      <c r="I1072" s="899"/>
      <c r="J1072" s="899"/>
    </row>
    <row r="1073" spans="1:10">
      <c r="A1073" s="896" t="s">
        <v>5564</v>
      </c>
      <c r="B1073" s="897" t="s">
        <v>5565</v>
      </c>
      <c r="C1073" s="897" t="s">
        <v>5566</v>
      </c>
      <c r="D1073" s="897" t="s">
        <v>1912</v>
      </c>
      <c r="E1073" s="897"/>
      <c r="F1073" s="897"/>
      <c r="G1073" s="897"/>
      <c r="H1073" s="898" t="e">
        <v>#N/A</v>
      </c>
      <c r="I1073" s="899"/>
      <c r="J1073" s="899"/>
    </row>
    <row r="1074" spans="1:10">
      <c r="A1074" s="896" t="s">
        <v>5567</v>
      </c>
      <c r="B1074" s="897" t="s">
        <v>5568</v>
      </c>
      <c r="C1074" s="897" t="s">
        <v>5569</v>
      </c>
      <c r="D1074" s="897" t="s">
        <v>1912</v>
      </c>
      <c r="E1074" s="897"/>
      <c r="F1074" s="897"/>
      <c r="G1074" s="897"/>
      <c r="H1074" s="898" t="e">
        <v>#N/A</v>
      </c>
      <c r="I1074" s="899"/>
      <c r="J1074" s="899"/>
    </row>
    <row r="1075" spans="1:10">
      <c r="A1075" s="896" t="s">
        <v>5570</v>
      </c>
      <c r="B1075" s="897" t="s">
        <v>5571</v>
      </c>
      <c r="C1075" s="897" t="s">
        <v>5572</v>
      </c>
      <c r="D1075" s="897" t="s">
        <v>1305</v>
      </c>
      <c r="E1075" s="897"/>
      <c r="F1075" s="897"/>
      <c r="G1075" s="897"/>
      <c r="H1075" s="898" t="s">
        <v>1914</v>
      </c>
      <c r="I1075" s="899"/>
      <c r="J1075" s="899"/>
    </row>
    <row r="1076" spans="1:10">
      <c r="A1076" s="896" t="s">
        <v>5573</v>
      </c>
      <c r="B1076" s="897" t="s">
        <v>5574</v>
      </c>
      <c r="C1076" s="897" t="s">
        <v>5000</v>
      </c>
      <c r="D1076" s="897" t="s">
        <v>1912</v>
      </c>
      <c r="E1076" s="897"/>
      <c r="F1076" s="897"/>
      <c r="G1076" s="897"/>
      <c r="H1076" s="898" t="e">
        <v>#N/A</v>
      </c>
      <c r="I1076" s="899"/>
      <c r="J1076" s="899"/>
    </row>
    <row r="1077" spans="1:10">
      <c r="A1077" s="896" t="s">
        <v>5575</v>
      </c>
      <c r="B1077" s="897" t="s">
        <v>1738</v>
      </c>
      <c r="C1077" s="897" t="s">
        <v>3726</v>
      </c>
      <c r="D1077" s="897" t="s">
        <v>1912</v>
      </c>
      <c r="E1077" s="897"/>
      <c r="F1077" s="897"/>
      <c r="G1077" s="897"/>
      <c r="H1077" s="898" t="e">
        <v>#N/A</v>
      </c>
      <c r="I1077" s="899"/>
      <c r="J1077" s="899"/>
    </row>
    <row r="1078" spans="1:10">
      <c r="A1078" s="896" t="s">
        <v>5576</v>
      </c>
      <c r="B1078" s="897" t="s">
        <v>5577</v>
      </c>
      <c r="C1078" s="897" t="s">
        <v>5578</v>
      </c>
      <c r="D1078" s="897" t="s">
        <v>1912</v>
      </c>
      <c r="E1078" s="897"/>
      <c r="F1078" s="897"/>
      <c r="G1078" s="897"/>
      <c r="H1078" s="898" t="e">
        <v>#N/A</v>
      </c>
      <c r="I1078" s="899"/>
      <c r="J1078" s="899"/>
    </row>
    <row r="1079" spans="1:10">
      <c r="A1079" s="896" t="s">
        <v>5579</v>
      </c>
      <c r="B1079" s="897" t="s">
        <v>5580</v>
      </c>
      <c r="C1079" s="897" t="s">
        <v>5581</v>
      </c>
      <c r="D1079" s="897" t="s">
        <v>1912</v>
      </c>
      <c r="E1079" s="897"/>
      <c r="F1079" s="897"/>
      <c r="G1079" s="897"/>
      <c r="H1079" s="898" t="e">
        <v>#N/A</v>
      </c>
      <c r="I1079" s="899"/>
      <c r="J1079" s="899"/>
    </row>
    <row r="1080" spans="1:10">
      <c r="A1080" s="896" t="s">
        <v>5582</v>
      </c>
      <c r="B1080" s="897" t="s">
        <v>4310</v>
      </c>
      <c r="C1080" s="897" t="s">
        <v>4309</v>
      </c>
      <c r="D1080" s="897" t="s">
        <v>1912</v>
      </c>
      <c r="E1080" s="897"/>
      <c r="F1080" s="897"/>
      <c r="G1080" s="897"/>
      <c r="H1080" s="898" t="e">
        <v>#N/A</v>
      </c>
      <c r="I1080" s="899"/>
      <c r="J1080" s="899"/>
    </row>
    <row r="1081" spans="1:10">
      <c r="A1081" s="896" t="s">
        <v>5583</v>
      </c>
      <c r="B1081" s="897" t="s">
        <v>5584</v>
      </c>
      <c r="C1081" s="897" t="s">
        <v>5585</v>
      </c>
      <c r="D1081" s="897" t="s">
        <v>1912</v>
      </c>
      <c r="E1081" s="897"/>
      <c r="F1081" s="897"/>
      <c r="G1081" s="897"/>
      <c r="H1081" s="898" t="e">
        <v>#N/A</v>
      </c>
      <c r="I1081" s="899"/>
      <c r="J1081" s="899"/>
    </row>
    <row r="1082" spans="1:10">
      <c r="A1082" s="896" t="s">
        <v>5586</v>
      </c>
      <c r="B1082" s="897" t="s">
        <v>5587</v>
      </c>
      <c r="C1082" s="897" t="s">
        <v>5588</v>
      </c>
      <c r="D1082" s="897" t="s">
        <v>1912</v>
      </c>
      <c r="E1082" s="897"/>
      <c r="F1082" s="897"/>
      <c r="G1082" s="897"/>
      <c r="H1082" s="898" t="e">
        <v>#N/A</v>
      </c>
      <c r="I1082" s="899"/>
      <c r="J1082" s="899"/>
    </row>
    <row r="1083" spans="1:10">
      <c r="A1083" s="896" t="s">
        <v>5589</v>
      </c>
      <c r="B1083" s="897" t="s">
        <v>1904</v>
      </c>
      <c r="C1083" s="897" t="s">
        <v>5590</v>
      </c>
      <c r="D1083" s="897" t="s">
        <v>5591</v>
      </c>
      <c r="E1083" s="897" t="s">
        <v>5592</v>
      </c>
      <c r="F1083" s="897"/>
      <c r="G1083" s="897"/>
      <c r="H1083" s="898" t="s">
        <v>1953</v>
      </c>
      <c r="I1083" s="899"/>
      <c r="J1083" s="899"/>
    </row>
    <row r="1084" spans="1:10">
      <c r="A1084" s="896" t="s">
        <v>5593</v>
      </c>
      <c r="B1084" s="897" t="s">
        <v>5594</v>
      </c>
      <c r="C1084" s="897" t="s">
        <v>5595</v>
      </c>
      <c r="D1084" s="897" t="s">
        <v>1912</v>
      </c>
      <c r="E1084" s="897"/>
      <c r="F1084" s="897"/>
      <c r="G1084" s="897"/>
      <c r="H1084" s="898" t="e">
        <v>#N/A</v>
      </c>
      <c r="I1084" s="899"/>
      <c r="J1084" s="899"/>
    </row>
    <row r="1085" spans="1:10">
      <c r="A1085" s="896" t="s">
        <v>5596</v>
      </c>
      <c r="B1085" s="897" t="s">
        <v>5597</v>
      </c>
      <c r="C1085" s="897" t="s">
        <v>5598</v>
      </c>
      <c r="D1085" s="897" t="s">
        <v>1912</v>
      </c>
      <c r="E1085" s="897"/>
      <c r="F1085" s="897"/>
      <c r="G1085" s="897"/>
      <c r="H1085" s="898" t="e">
        <v>#N/A</v>
      </c>
      <c r="I1085" s="899"/>
      <c r="J1085" s="899"/>
    </row>
    <row r="1086" spans="1:10">
      <c r="A1086" s="896" t="s">
        <v>5599</v>
      </c>
      <c r="B1086" s="897" t="s">
        <v>5600</v>
      </c>
      <c r="C1086" s="897" t="s">
        <v>5601</v>
      </c>
      <c r="D1086" s="897" t="s">
        <v>1912</v>
      </c>
      <c r="E1086" s="897"/>
      <c r="F1086" s="897"/>
      <c r="G1086" s="897"/>
      <c r="H1086" s="898" t="e">
        <v>#N/A</v>
      </c>
      <c r="I1086" s="899"/>
      <c r="J1086" s="899"/>
    </row>
    <row r="1087" spans="1:10">
      <c r="A1087" s="896" t="s">
        <v>5602</v>
      </c>
      <c r="B1087" s="897" t="s">
        <v>5603</v>
      </c>
      <c r="C1087" s="897"/>
      <c r="D1087" s="897" t="s">
        <v>1912</v>
      </c>
      <c r="E1087" s="897"/>
      <c r="F1087" s="897"/>
      <c r="G1087" s="897"/>
      <c r="H1087" s="898">
        <v>0</v>
      </c>
      <c r="I1087" s="899"/>
      <c r="J1087" s="899"/>
    </row>
    <row r="1088" spans="1:10">
      <c r="A1088" s="896" t="s">
        <v>5604</v>
      </c>
      <c r="B1088" s="897" t="s">
        <v>5605</v>
      </c>
      <c r="C1088" s="897" t="s">
        <v>5606</v>
      </c>
      <c r="D1088" s="897" t="s">
        <v>1912</v>
      </c>
      <c r="E1088" s="897"/>
      <c r="F1088" s="897"/>
      <c r="G1088" s="897"/>
      <c r="H1088" s="898" t="e">
        <v>#N/A</v>
      </c>
      <c r="I1088" s="899"/>
      <c r="J1088" s="899"/>
    </row>
    <row r="1089" spans="1:10">
      <c r="A1089" s="896" t="s">
        <v>5607</v>
      </c>
      <c r="B1089" s="897" t="s">
        <v>5608</v>
      </c>
      <c r="C1089" s="897" t="s">
        <v>5609</v>
      </c>
      <c r="D1089" s="897" t="s">
        <v>1912</v>
      </c>
      <c r="E1089" s="897"/>
      <c r="F1089" s="897"/>
      <c r="G1089" s="897"/>
      <c r="H1089" s="898" t="s">
        <v>1914</v>
      </c>
      <c r="I1089" s="899"/>
      <c r="J1089" s="899"/>
    </row>
    <row r="1090" spans="1:10">
      <c r="A1090" s="896" t="s">
        <v>5610</v>
      </c>
      <c r="B1090" s="897" t="s">
        <v>1740</v>
      </c>
      <c r="C1090" s="897" t="s">
        <v>4792</v>
      </c>
      <c r="D1090" s="897" t="s">
        <v>1912</v>
      </c>
      <c r="E1090" s="897"/>
      <c r="F1090" s="897"/>
      <c r="G1090" s="897"/>
      <c r="H1090" s="898" t="s">
        <v>1914</v>
      </c>
      <c r="I1090" s="899"/>
      <c r="J1090" s="899"/>
    </row>
    <row r="1091" spans="1:10">
      <c r="A1091" s="896" t="s">
        <v>5611</v>
      </c>
      <c r="B1091" s="897" t="s">
        <v>1741</v>
      </c>
      <c r="C1091" s="897" t="s">
        <v>5612</v>
      </c>
      <c r="D1091" s="897" t="s">
        <v>1912</v>
      </c>
      <c r="E1091" s="897"/>
      <c r="F1091" s="897"/>
      <c r="G1091" s="897"/>
      <c r="H1091" s="898" t="e">
        <v>#N/A</v>
      </c>
      <c r="I1091" s="899"/>
      <c r="J1091" s="899"/>
    </row>
    <row r="1092" spans="1:10">
      <c r="A1092" s="896" t="s">
        <v>5613</v>
      </c>
      <c r="B1092" s="897" t="s">
        <v>1420</v>
      </c>
      <c r="C1092" s="897" t="s">
        <v>5614</v>
      </c>
      <c r="D1092" s="897" t="s">
        <v>1912</v>
      </c>
      <c r="E1092" s="897"/>
      <c r="F1092" s="897"/>
      <c r="G1092" s="897"/>
      <c r="H1092" s="898" t="e">
        <v>#N/A</v>
      </c>
      <c r="I1092" s="899"/>
      <c r="J1092" s="899"/>
    </row>
    <row r="1093" spans="1:10">
      <c r="A1093" s="896" t="s">
        <v>5615</v>
      </c>
      <c r="B1093" s="897" t="s">
        <v>5616</v>
      </c>
      <c r="C1093" s="897" t="s">
        <v>5617</v>
      </c>
      <c r="D1093" s="897" t="s">
        <v>1912</v>
      </c>
      <c r="E1093" s="897"/>
      <c r="F1093" s="897"/>
      <c r="G1093" s="897"/>
      <c r="H1093" s="898" t="e">
        <v>#N/A</v>
      </c>
      <c r="I1093" s="899"/>
      <c r="J1093" s="899"/>
    </row>
    <row r="1094" spans="1:10">
      <c r="A1094" s="896" t="s">
        <v>5618</v>
      </c>
      <c r="B1094" s="897" t="s">
        <v>201</v>
      </c>
      <c r="C1094" s="897" t="s">
        <v>5619</v>
      </c>
      <c r="D1094" s="897" t="s">
        <v>1912</v>
      </c>
      <c r="E1094" s="897"/>
      <c r="F1094" s="897"/>
      <c r="G1094" s="897"/>
      <c r="H1094" s="898" t="s">
        <v>1953</v>
      </c>
      <c r="I1094" s="899"/>
      <c r="J1094" s="899"/>
    </row>
    <row r="1095" spans="1:10">
      <c r="A1095" s="896" t="s">
        <v>5620</v>
      </c>
      <c r="B1095" s="897" t="s">
        <v>5621</v>
      </c>
      <c r="C1095" s="897" t="s">
        <v>5622</v>
      </c>
      <c r="D1095" s="897" t="s">
        <v>1912</v>
      </c>
      <c r="E1095" s="897"/>
      <c r="F1095" s="897"/>
      <c r="G1095" s="897"/>
      <c r="H1095" s="898" t="s">
        <v>1953</v>
      </c>
      <c r="I1095" s="899"/>
      <c r="J1095" s="899"/>
    </row>
    <row r="1096" spans="1:10">
      <c r="A1096" s="896" t="s">
        <v>5623</v>
      </c>
      <c r="B1096" s="897" t="s">
        <v>329</v>
      </c>
      <c r="C1096" s="897" t="s">
        <v>5624</v>
      </c>
      <c r="D1096" s="897" t="s">
        <v>1194</v>
      </c>
      <c r="E1096" s="897"/>
      <c r="F1096" s="897"/>
      <c r="G1096" s="897"/>
      <c r="H1096" s="898" t="s">
        <v>1953</v>
      </c>
      <c r="I1096" s="899"/>
      <c r="J1096" s="899"/>
    </row>
    <row r="1097" spans="1:10">
      <c r="A1097" s="896" t="s">
        <v>5625</v>
      </c>
      <c r="B1097" s="897" t="s">
        <v>5626</v>
      </c>
      <c r="C1097" s="897" t="s">
        <v>5627</v>
      </c>
      <c r="D1097" s="897" t="s">
        <v>1912</v>
      </c>
      <c r="E1097" s="897"/>
      <c r="F1097" s="897"/>
      <c r="G1097" s="897"/>
      <c r="H1097" s="898" t="s">
        <v>1914</v>
      </c>
      <c r="I1097" s="899"/>
      <c r="J1097" s="899"/>
    </row>
    <row r="1098" spans="1:10">
      <c r="A1098" s="896" t="s">
        <v>5628</v>
      </c>
      <c r="B1098" s="897" t="s">
        <v>5629</v>
      </c>
      <c r="C1098" s="897" t="s">
        <v>5630</v>
      </c>
      <c r="D1098" s="897" t="s">
        <v>1912</v>
      </c>
      <c r="E1098" s="897"/>
      <c r="F1098" s="897"/>
      <c r="G1098" s="897"/>
      <c r="H1098" s="898" t="s">
        <v>1914</v>
      </c>
      <c r="I1098" s="899"/>
      <c r="J1098" s="899"/>
    </row>
    <row r="1099" spans="1:10">
      <c r="A1099" s="896" t="s">
        <v>5631</v>
      </c>
      <c r="B1099" s="897" t="s">
        <v>5632</v>
      </c>
      <c r="C1099" s="897" t="s">
        <v>3980</v>
      </c>
      <c r="D1099" s="897" t="s">
        <v>1912</v>
      </c>
      <c r="E1099" s="897"/>
      <c r="F1099" s="897"/>
      <c r="G1099" s="897"/>
      <c r="H1099" s="898" t="e">
        <v>#N/A</v>
      </c>
      <c r="I1099" s="899"/>
      <c r="J1099" s="899"/>
    </row>
    <row r="1100" spans="1:10">
      <c r="A1100" s="896" t="s">
        <v>5633</v>
      </c>
      <c r="B1100" s="897" t="s">
        <v>5634</v>
      </c>
      <c r="C1100" s="897" t="s">
        <v>1912</v>
      </c>
      <c r="D1100" s="897" t="s">
        <v>1912</v>
      </c>
      <c r="E1100" s="897"/>
      <c r="F1100" s="897"/>
      <c r="G1100" s="897"/>
      <c r="H1100" s="898" t="e">
        <v>#N/A</v>
      </c>
      <c r="I1100" s="899"/>
      <c r="J1100" s="899"/>
    </row>
    <row r="1101" spans="1:10">
      <c r="A1101" s="896" t="s">
        <v>5635</v>
      </c>
      <c r="B1101" s="897" t="s">
        <v>5636</v>
      </c>
      <c r="C1101" s="897" t="s">
        <v>1912</v>
      </c>
      <c r="D1101" s="897" t="s">
        <v>1912</v>
      </c>
      <c r="E1101" s="897"/>
      <c r="F1101" s="897"/>
      <c r="G1101" s="897"/>
      <c r="H1101" s="898" t="e">
        <v>#N/A</v>
      </c>
      <c r="I1101" s="899"/>
      <c r="J1101" s="899"/>
    </row>
    <row r="1102" spans="1:10">
      <c r="A1102" s="896" t="s">
        <v>5637</v>
      </c>
      <c r="B1102" s="897" t="s">
        <v>5638</v>
      </c>
      <c r="C1102" s="897" t="s">
        <v>5639</v>
      </c>
      <c r="D1102" s="897" t="s">
        <v>1912</v>
      </c>
      <c r="E1102" s="897"/>
      <c r="F1102" s="897"/>
      <c r="G1102" s="897"/>
      <c r="H1102" s="898" t="e">
        <v>#N/A</v>
      </c>
      <c r="I1102" s="899"/>
      <c r="J1102" s="899"/>
    </row>
    <row r="1103" spans="1:10">
      <c r="A1103" s="896" t="s">
        <v>5640</v>
      </c>
      <c r="B1103" s="897" t="s">
        <v>5641</v>
      </c>
      <c r="C1103" s="897" t="s">
        <v>5642</v>
      </c>
      <c r="D1103" s="897" t="s">
        <v>1912</v>
      </c>
      <c r="E1103" s="897"/>
      <c r="F1103" s="897"/>
      <c r="G1103" s="897"/>
      <c r="H1103" s="898" t="s">
        <v>1953</v>
      </c>
      <c r="I1103" s="899"/>
      <c r="J1103" s="899"/>
    </row>
    <row r="1104" spans="1:10">
      <c r="A1104" s="896" t="s">
        <v>5643</v>
      </c>
      <c r="B1104" s="897" t="s">
        <v>5644</v>
      </c>
      <c r="C1104" s="897" t="s">
        <v>5645</v>
      </c>
      <c r="D1104" s="897" t="s">
        <v>1912</v>
      </c>
      <c r="E1104" s="897"/>
      <c r="F1104" s="897"/>
      <c r="G1104" s="897"/>
      <c r="H1104" s="898" t="e">
        <v>#N/A</v>
      </c>
      <c r="I1104" s="899"/>
      <c r="J1104" s="899"/>
    </row>
    <row r="1105" spans="1:10">
      <c r="A1105" s="896" t="s">
        <v>5646</v>
      </c>
      <c r="B1105" s="897" t="s">
        <v>5647</v>
      </c>
      <c r="C1105" s="897" t="s">
        <v>5648</v>
      </c>
      <c r="D1105" s="897" t="s">
        <v>1912</v>
      </c>
      <c r="E1105" s="897"/>
      <c r="F1105" s="897"/>
      <c r="G1105" s="897"/>
      <c r="H1105" s="898" t="e">
        <v>#N/A</v>
      </c>
      <c r="I1105" s="899"/>
      <c r="J1105" s="899"/>
    </row>
    <row r="1106" spans="1:10">
      <c r="A1106" s="896" t="s">
        <v>5649</v>
      </c>
      <c r="B1106" s="897" t="s">
        <v>5650</v>
      </c>
      <c r="C1106" s="897" t="s">
        <v>5651</v>
      </c>
      <c r="D1106" s="897" t="s">
        <v>1912</v>
      </c>
      <c r="E1106" s="897"/>
      <c r="F1106" s="897"/>
      <c r="G1106" s="897"/>
      <c r="H1106" s="898" t="e">
        <v>#N/A</v>
      </c>
      <c r="I1106" s="899"/>
      <c r="J1106" s="899"/>
    </row>
    <row r="1107" spans="1:10">
      <c r="A1107" s="896" t="s">
        <v>5652</v>
      </c>
      <c r="B1107" s="897" t="s">
        <v>5653</v>
      </c>
      <c r="C1107" s="897" t="s">
        <v>1912</v>
      </c>
      <c r="D1107" s="897" t="s">
        <v>1912</v>
      </c>
      <c r="E1107" s="897"/>
      <c r="F1107" s="897"/>
      <c r="G1107" s="897"/>
      <c r="H1107" s="898" t="e">
        <v>#N/A</v>
      </c>
      <c r="I1107" s="899"/>
      <c r="J1107" s="899"/>
    </row>
    <row r="1108" spans="1:10">
      <c r="A1108" s="896" t="s">
        <v>5654</v>
      </c>
      <c r="B1108" s="897" t="s">
        <v>633</v>
      </c>
      <c r="C1108" s="897" t="s">
        <v>5655</v>
      </c>
      <c r="D1108" s="897" t="s">
        <v>1912</v>
      </c>
      <c r="E1108" s="897"/>
      <c r="F1108" s="897"/>
      <c r="G1108" s="897"/>
      <c r="H1108" s="898" t="s">
        <v>1953</v>
      </c>
      <c r="I1108" s="899"/>
      <c r="J1108" s="899"/>
    </row>
    <row r="1109" spans="1:10">
      <c r="A1109" s="896" t="s">
        <v>5656</v>
      </c>
      <c r="B1109" s="897" t="s">
        <v>5657</v>
      </c>
      <c r="C1109" s="897" t="s">
        <v>5658</v>
      </c>
      <c r="D1109" s="897" t="s">
        <v>1912</v>
      </c>
      <c r="E1109" s="897"/>
      <c r="F1109" s="897"/>
      <c r="G1109" s="897"/>
      <c r="H1109" s="898" t="e">
        <v>#N/A</v>
      </c>
      <c r="I1109" s="899"/>
      <c r="J1109" s="899"/>
    </row>
    <row r="1110" spans="1:10">
      <c r="A1110" s="896" t="s">
        <v>5659</v>
      </c>
      <c r="B1110" s="897" t="s">
        <v>5660</v>
      </c>
      <c r="C1110" s="897" t="s">
        <v>5661</v>
      </c>
      <c r="D1110" s="897" t="s">
        <v>1912</v>
      </c>
      <c r="E1110" s="897"/>
      <c r="F1110" s="897"/>
      <c r="G1110" s="897"/>
      <c r="H1110" s="898">
        <v>0</v>
      </c>
      <c r="I1110" s="899"/>
      <c r="J1110" s="899"/>
    </row>
    <row r="1111" spans="1:10">
      <c r="A1111" s="896" t="s">
        <v>5662</v>
      </c>
      <c r="B1111" s="897" t="s">
        <v>5663</v>
      </c>
      <c r="C1111" s="897" t="s">
        <v>5664</v>
      </c>
      <c r="D1111" s="897" t="s">
        <v>1912</v>
      </c>
      <c r="E1111" s="897"/>
      <c r="F1111" s="897"/>
      <c r="G1111" s="897"/>
      <c r="H1111" s="898" t="e">
        <v>#N/A</v>
      </c>
      <c r="I1111" s="899"/>
      <c r="J1111" s="899"/>
    </row>
    <row r="1112" spans="1:10">
      <c r="A1112" s="896" t="s">
        <v>5665</v>
      </c>
      <c r="B1112" s="897" t="s">
        <v>5666</v>
      </c>
      <c r="C1112" s="897" t="s">
        <v>5667</v>
      </c>
      <c r="D1112" s="897" t="s">
        <v>1912</v>
      </c>
      <c r="E1112" s="897"/>
      <c r="F1112" s="897"/>
      <c r="G1112" s="897"/>
      <c r="H1112" s="898" t="e">
        <v>#N/A</v>
      </c>
      <c r="I1112" s="899"/>
      <c r="J1112" s="899"/>
    </row>
    <row r="1113" spans="1:10">
      <c r="A1113" s="896" t="s">
        <v>5668</v>
      </c>
      <c r="B1113" s="897" t="s">
        <v>5669</v>
      </c>
      <c r="C1113" s="897" t="s">
        <v>5670</v>
      </c>
      <c r="D1113" s="897" t="s">
        <v>1912</v>
      </c>
      <c r="E1113" s="897"/>
      <c r="F1113" s="897"/>
      <c r="G1113" s="897"/>
      <c r="H1113" s="898" t="s">
        <v>1953</v>
      </c>
      <c r="I1113" s="899"/>
      <c r="J1113" s="899"/>
    </row>
    <row r="1114" spans="1:10">
      <c r="A1114" s="896" t="s">
        <v>5671</v>
      </c>
      <c r="B1114" s="897" t="s">
        <v>5672</v>
      </c>
      <c r="C1114" s="897" t="s">
        <v>5673</v>
      </c>
      <c r="D1114" s="897" t="s">
        <v>1912</v>
      </c>
      <c r="E1114" s="897"/>
      <c r="F1114" s="897"/>
      <c r="G1114" s="897"/>
      <c r="H1114" s="898" t="e">
        <v>#N/A</v>
      </c>
      <c r="I1114" s="899"/>
      <c r="J1114" s="899"/>
    </row>
    <row r="1115" spans="1:10">
      <c r="A1115" s="896" t="s">
        <v>5674</v>
      </c>
      <c r="B1115" s="897" t="s">
        <v>233</v>
      </c>
      <c r="C1115" s="897" t="s">
        <v>1970</v>
      </c>
      <c r="D1115" s="897" t="s">
        <v>5675</v>
      </c>
      <c r="E1115" s="897"/>
      <c r="F1115" s="897"/>
      <c r="G1115" s="897"/>
      <c r="H1115" s="898" t="s">
        <v>1953</v>
      </c>
      <c r="I1115" s="899"/>
      <c r="J1115" s="899"/>
    </row>
    <row r="1116" spans="1:10">
      <c r="A1116" s="896" t="s">
        <v>5676</v>
      </c>
      <c r="B1116" s="897" t="s">
        <v>5677</v>
      </c>
      <c r="C1116" s="897" t="s">
        <v>5678</v>
      </c>
      <c r="D1116" s="897" t="s">
        <v>1912</v>
      </c>
      <c r="E1116" s="897"/>
      <c r="F1116" s="897"/>
      <c r="G1116" s="897"/>
      <c r="H1116" s="898" t="e">
        <v>#N/A</v>
      </c>
      <c r="I1116" s="899"/>
      <c r="J1116" s="899"/>
    </row>
    <row r="1117" spans="1:10">
      <c r="A1117" s="896" t="s">
        <v>5679</v>
      </c>
      <c r="B1117" s="897" t="s">
        <v>5680</v>
      </c>
      <c r="C1117" s="897" t="s">
        <v>5681</v>
      </c>
      <c r="D1117" s="897" t="s">
        <v>1912</v>
      </c>
      <c r="E1117" s="897"/>
      <c r="F1117" s="897"/>
      <c r="G1117" s="897"/>
      <c r="H1117" s="898" t="e">
        <v>#N/A</v>
      </c>
      <c r="I1117" s="899"/>
      <c r="J1117" s="899"/>
    </row>
    <row r="1118" spans="1:10">
      <c r="A1118" s="896" t="s">
        <v>5682</v>
      </c>
      <c r="B1118" s="897" t="s">
        <v>5683</v>
      </c>
      <c r="C1118" s="897" t="s">
        <v>5684</v>
      </c>
      <c r="D1118" s="897" t="s">
        <v>1912</v>
      </c>
      <c r="E1118" s="897"/>
      <c r="F1118" s="897"/>
      <c r="G1118" s="897"/>
      <c r="H1118" s="898" t="e">
        <v>#N/A</v>
      </c>
      <c r="I1118" s="899"/>
      <c r="J1118" s="899"/>
    </row>
    <row r="1119" spans="1:10">
      <c r="A1119" s="896" t="s">
        <v>5685</v>
      </c>
      <c r="B1119" s="897" t="s">
        <v>5686</v>
      </c>
      <c r="C1119" s="897" t="s">
        <v>5687</v>
      </c>
      <c r="D1119" s="897" t="s">
        <v>1912</v>
      </c>
      <c r="E1119" s="897"/>
      <c r="F1119" s="897"/>
      <c r="G1119" s="897"/>
      <c r="H1119" s="898" t="e">
        <v>#N/A</v>
      </c>
      <c r="I1119" s="899"/>
      <c r="J1119" s="899"/>
    </row>
    <row r="1120" spans="1:10">
      <c r="A1120" s="896" t="s">
        <v>5688</v>
      </c>
      <c r="B1120" s="897" t="s">
        <v>585</v>
      </c>
      <c r="C1120" s="897" t="s">
        <v>5279</v>
      </c>
      <c r="D1120" s="897" t="s">
        <v>1197</v>
      </c>
      <c r="E1120" s="897"/>
      <c r="F1120" s="897"/>
      <c r="G1120" s="897"/>
      <c r="H1120" s="898" t="s">
        <v>1914</v>
      </c>
      <c r="I1120" s="899"/>
      <c r="J1120" s="899"/>
    </row>
    <row r="1121" spans="1:10">
      <c r="A1121" s="896" t="s">
        <v>5689</v>
      </c>
      <c r="B1121" s="897" t="s">
        <v>5690</v>
      </c>
      <c r="C1121" s="897" t="s">
        <v>5691</v>
      </c>
      <c r="D1121" s="897" t="s">
        <v>1912</v>
      </c>
      <c r="E1121" s="897"/>
      <c r="F1121" s="897"/>
      <c r="G1121" s="897"/>
      <c r="H1121" s="898" t="e">
        <v>#N/A</v>
      </c>
      <c r="I1121" s="899"/>
      <c r="J1121" s="899"/>
    </row>
    <row r="1122" spans="1:10">
      <c r="A1122" s="896" t="s">
        <v>5692</v>
      </c>
      <c r="B1122" s="897" t="s">
        <v>5693</v>
      </c>
      <c r="C1122" s="897" t="s">
        <v>5694</v>
      </c>
      <c r="D1122" s="897" t="s">
        <v>1912</v>
      </c>
      <c r="E1122" s="897"/>
      <c r="F1122" s="897"/>
      <c r="G1122" s="897"/>
      <c r="H1122" s="898" t="e">
        <v>#N/A</v>
      </c>
      <c r="I1122" s="899"/>
      <c r="J1122" s="899"/>
    </row>
    <row r="1123" spans="1:10">
      <c r="A1123" s="896" t="s">
        <v>5695</v>
      </c>
      <c r="B1123" s="897" t="s">
        <v>5696</v>
      </c>
      <c r="C1123" s="897" t="s">
        <v>5697</v>
      </c>
      <c r="D1123" s="897" t="s">
        <v>1912</v>
      </c>
      <c r="E1123" s="897"/>
      <c r="F1123" s="897"/>
      <c r="G1123" s="897"/>
      <c r="H1123" s="898" t="e">
        <v>#N/A</v>
      </c>
      <c r="I1123" s="899"/>
      <c r="J1123" s="899"/>
    </row>
    <row r="1124" spans="1:10">
      <c r="A1124" s="896" t="s">
        <v>5698</v>
      </c>
      <c r="B1124" s="897" t="s">
        <v>5699</v>
      </c>
      <c r="C1124" s="897" t="s">
        <v>5700</v>
      </c>
      <c r="D1124" s="897" t="s">
        <v>1912</v>
      </c>
      <c r="E1124" s="897"/>
      <c r="F1124" s="897"/>
      <c r="G1124" s="897"/>
      <c r="H1124" s="898" t="e">
        <v>#N/A</v>
      </c>
      <c r="I1124" s="899"/>
      <c r="J1124" s="899"/>
    </row>
    <row r="1125" spans="1:10">
      <c r="A1125" s="896" t="s">
        <v>5701</v>
      </c>
      <c r="B1125" s="897" t="s">
        <v>5702</v>
      </c>
      <c r="C1125" s="897" t="s">
        <v>1912</v>
      </c>
      <c r="D1125" s="897" t="s">
        <v>1912</v>
      </c>
      <c r="E1125" s="897"/>
      <c r="F1125" s="897"/>
      <c r="G1125" s="897"/>
      <c r="H1125" s="898" t="e">
        <v>#N/A</v>
      </c>
      <c r="I1125" s="899"/>
      <c r="J1125" s="899"/>
    </row>
    <row r="1126" spans="1:10">
      <c r="A1126" s="896" t="s">
        <v>5703</v>
      </c>
      <c r="B1126" s="897" t="s">
        <v>5704</v>
      </c>
      <c r="C1126" s="897" t="s">
        <v>5705</v>
      </c>
      <c r="D1126" s="897" t="s">
        <v>1912</v>
      </c>
      <c r="E1126" s="897"/>
      <c r="F1126" s="897"/>
      <c r="G1126" s="897"/>
      <c r="H1126" s="898" t="e">
        <v>#N/A</v>
      </c>
      <c r="I1126" s="899"/>
      <c r="J1126" s="899"/>
    </row>
    <row r="1127" spans="1:10">
      <c r="A1127" s="896" t="s">
        <v>5706</v>
      </c>
      <c r="B1127" s="897" t="s">
        <v>5707</v>
      </c>
      <c r="C1127" s="897" t="s">
        <v>5708</v>
      </c>
      <c r="D1127" s="897" t="s">
        <v>1912</v>
      </c>
      <c r="E1127" s="897"/>
      <c r="F1127" s="897"/>
      <c r="G1127" s="897"/>
      <c r="H1127" s="898" t="e">
        <v>#N/A</v>
      </c>
      <c r="I1127" s="899"/>
      <c r="J1127" s="899"/>
    </row>
    <row r="1128" spans="1:10">
      <c r="A1128" s="896" t="s">
        <v>5709</v>
      </c>
      <c r="B1128" s="897" t="s">
        <v>1772</v>
      </c>
      <c r="C1128" s="897" t="s">
        <v>1912</v>
      </c>
      <c r="D1128" s="897" t="s">
        <v>1912</v>
      </c>
      <c r="E1128" s="897"/>
      <c r="F1128" s="897"/>
      <c r="G1128" s="897"/>
      <c r="H1128" s="898" t="e">
        <v>#N/A</v>
      </c>
      <c r="I1128" s="899"/>
      <c r="J1128" s="899"/>
    </row>
    <row r="1129" spans="1:10">
      <c r="A1129" s="896" t="s">
        <v>5710</v>
      </c>
      <c r="B1129" s="897" t="s">
        <v>5711</v>
      </c>
      <c r="C1129" s="897" t="s">
        <v>5712</v>
      </c>
      <c r="D1129" s="897" t="s">
        <v>1912</v>
      </c>
      <c r="E1129" s="897"/>
      <c r="F1129" s="897"/>
      <c r="G1129" s="897"/>
      <c r="H1129" s="898" t="s">
        <v>1953</v>
      </c>
      <c r="I1129" s="899"/>
      <c r="J1129" s="899"/>
    </row>
    <row r="1130" spans="1:10">
      <c r="A1130" s="896" t="s">
        <v>5713</v>
      </c>
      <c r="B1130" s="897" t="s">
        <v>5714</v>
      </c>
      <c r="C1130" s="897" t="s">
        <v>5715</v>
      </c>
      <c r="D1130" s="897" t="s">
        <v>1912</v>
      </c>
      <c r="E1130" s="897"/>
      <c r="F1130" s="897"/>
      <c r="G1130" s="897"/>
      <c r="H1130" s="898" t="s">
        <v>1953</v>
      </c>
      <c r="I1130" s="899"/>
      <c r="J1130" s="899"/>
    </row>
    <row r="1131" spans="1:10">
      <c r="A1131" s="896" t="s">
        <v>5716</v>
      </c>
      <c r="B1131" s="897" t="s">
        <v>5717</v>
      </c>
      <c r="C1131" s="897" t="s">
        <v>5718</v>
      </c>
      <c r="D1131" s="897" t="s">
        <v>1912</v>
      </c>
      <c r="E1131" s="897"/>
      <c r="F1131" s="897"/>
      <c r="G1131" s="897"/>
      <c r="H1131" s="898" t="s">
        <v>1953</v>
      </c>
      <c r="I1131" s="899"/>
      <c r="J1131" s="899"/>
    </row>
    <row r="1132" spans="1:10">
      <c r="A1132" s="896" t="s">
        <v>5719</v>
      </c>
      <c r="B1132" s="897" t="s">
        <v>5720</v>
      </c>
      <c r="C1132" s="897" t="s">
        <v>5721</v>
      </c>
      <c r="D1132" s="897" t="s">
        <v>1912</v>
      </c>
      <c r="E1132" s="897"/>
      <c r="F1132" s="897"/>
      <c r="G1132" s="897"/>
      <c r="H1132" s="898" t="s">
        <v>1953</v>
      </c>
      <c r="I1132" s="899"/>
      <c r="J1132" s="899"/>
    </row>
    <row r="1133" spans="1:10">
      <c r="A1133" s="896" t="s">
        <v>5722</v>
      </c>
      <c r="B1133" s="897" t="s">
        <v>1079</v>
      </c>
      <c r="C1133" s="897"/>
      <c r="D1133" s="897" t="s">
        <v>1912</v>
      </c>
      <c r="E1133" s="897"/>
      <c r="F1133" s="897"/>
      <c r="G1133" s="897"/>
      <c r="H1133" s="898">
        <v>0</v>
      </c>
      <c r="I1133" s="899"/>
      <c r="J1133" s="899"/>
    </row>
    <row r="1134" spans="1:10">
      <c r="A1134" s="896" t="s">
        <v>5723</v>
      </c>
      <c r="B1134" s="897" t="s">
        <v>5724</v>
      </c>
      <c r="C1134" s="897" t="s">
        <v>5725</v>
      </c>
      <c r="D1134" s="897" t="s">
        <v>1912</v>
      </c>
      <c r="E1134" s="897"/>
      <c r="F1134" s="897"/>
      <c r="G1134" s="897"/>
      <c r="H1134" s="898" t="e">
        <v>#N/A</v>
      </c>
      <c r="I1134" s="899"/>
      <c r="J1134" s="899"/>
    </row>
    <row r="1135" spans="1:10">
      <c r="A1135" s="896" t="s">
        <v>5726</v>
      </c>
      <c r="B1135" s="897" t="s">
        <v>5727</v>
      </c>
      <c r="C1135" s="897" t="s">
        <v>4958</v>
      </c>
      <c r="D1135" s="897" t="s">
        <v>1912</v>
      </c>
      <c r="E1135" s="897"/>
      <c r="F1135" s="897"/>
      <c r="G1135" s="897"/>
      <c r="H1135" s="898" t="e">
        <v>#N/A</v>
      </c>
      <c r="I1135" s="899"/>
      <c r="J1135" s="899"/>
    </row>
    <row r="1136" spans="1:10">
      <c r="A1136" s="896" t="s">
        <v>5728</v>
      </c>
      <c r="B1136" s="897" t="s">
        <v>5729</v>
      </c>
      <c r="C1136" s="897" t="s">
        <v>5730</v>
      </c>
      <c r="D1136" s="897" t="s">
        <v>1912</v>
      </c>
      <c r="E1136" s="897"/>
      <c r="F1136" s="897"/>
      <c r="G1136" s="897"/>
      <c r="H1136" s="898" t="e">
        <v>#N/A</v>
      </c>
      <c r="I1136" s="899"/>
      <c r="J1136" s="899"/>
    </row>
    <row r="1137" spans="1:10">
      <c r="A1137" s="896" t="s">
        <v>5731</v>
      </c>
      <c r="B1137" s="897" t="s">
        <v>5732</v>
      </c>
      <c r="C1137" s="897" t="s">
        <v>5733</v>
      </c>
      <c r="D1137" s="897" t="s">
        <v>1912</v>
      </c>
      <c r="E1137" s="897"/>
      <c r="F1137" s="897"/>
      <c r="G1137" s="897"/>
      <c r="H1137" s="898" t="e">
        <v>#N/A</v>
      </c>
      <c r="I1137" s="899"/>
      <c r="J1137" s="899"/>
    </row>
    <row r="1138" spans="1:10">
      <c r="A1138" s="896" t="s">
        <v>5734</v>
      </c>
      <c r="B1138" s="897" t="s">
        <v>5735</v>
      </c>
      <c r="C1138" s="897" t="s">
        <v>5736</v>
      </c>
      <c r="D1138" s="897" t="s">
        <v>1912</v>
      </c>
      <c r="E1138" s="897"/>
      <c r="F1138" s="897"/>
      <c r="G1138" s="897"/>
      <c r="H1138" s="898" t="e">
        <v>#N/A</v>
      </c>
      <c r="I1138" s="899"/>
      <c r="J1138" s="899"/>
    </row>
    <row r="1139" spans="1:10">
      <c r="A1139" s="896" t="s">
        <v>5737</v>
      </c>
      <c r="B1139" s="897" t="s">
        <v>5738</v>
      </c>
      <c r="C1139" s="897" t="s">
        <v>5739</v>
      </c>
      <c r="D1139" s="897" t="s">
        <v>1912</v>
      </c>
      <c r="E1139" s="897"/>
      <c r="F1139" s="897"/>
      <c r="G1139" s="897"/>
      <c r="H1139" s="898" t="s">
        <v>1953</v>
      </c>
      <c r="I1139" s="899"/>
      <c r="J1139" s="899"/>
    </row>
    <row r="1140" spans="1:10">
      <c r="A1140" s="896" t="s">
        <v>5740</v>
      </c>
      <c r="B1140" s="897" t="s">
        <v>5741</v>
      </c>
      <c r="C1140" s="897" t="s">
        <v>4835</v>
      </c>
      <c r="D1140" s="897" t="s">
        <v>1912</v>
      </c>
      <c r="E1140" s="897"/>
      <c r="F1140" s="897"/>
      <c r="G1140" s="897"/>
      <c r="H1140" s="898" t="e">
        <v>#N/A</v>
      </c>
      <c r="I1140" s="899"/>
      <c r="J1140" s="899"/>
    </row>
    <row r="1141" spans="1:10">
      <c r="A1141" s="896" t="s">
        <v>5742</v>
      </c>
      <c r="B1141" s="897" t="s">
        <v>5743</v>
      </c>
      <c r="C1141" s="897" t="s">
        <v>5744</v>
      </c>
      <c r="D1141" s="897" t="s">
        <v>1912</v>
      </c>
      <c r="E1141" s="897"/>
      <c r="F1141" s="897"/>
      <c r="G1141" s="897"/>
      <c r="H1141" s="898" t="e">
        <v>#N/A</v>
      </c>
      <c r="I1141" s="899"/>
      <c r="J1141" s="899"/>
    </row>
    <row r="1142" spans="1:10">
      <c r="A1142" s="896" t="s">
        <v>5745</v>
      </c>
      <c r="B1142" s="897" t="s">
        <v>5746</v>
      </c>
      <c r="C1142" s="897" t="s">
        <v>5747</v>
      </c>
      <c r="D1142" s="897" t="s">
        <v>1912</v>
      </c>
      <c r="E1142" s="897"/>
      <c r="F1142" s="897"/>
      <c r="G1142" s="897"/>
      <c r="H1142" s="898" t="s">
        <v>1953</v>
      </c>
      <c r="I1142" s="899"/>
      <c r="J1142" s="899"/>
    </row>
    <row r="1143" spans="1:10">
      <c r="A1143" s="896" t="s">
        <v>5748</v>
      </c>
      <c r="B1143" s="897" t="s">
        <v>5749</v>
      </c>
      <c r="C1143" s="897" t="s">
        <v>5750</v>
      </c>
      <c r="D1143" s="897" t="s">
        <v>1912</v>
      </c>
      <c r="E1143" s="897"/>
      <c r="F1143" s="897"/>
      <c r="G1143" s="897"/>
      <c r="H1143" s="898" t="e">
        <v>#N/A</v>
      </c>
      <c r="I1143" s="899"/>
      <c r="J1143" s="899"/>
    </row>
    <row r="1144" spans="1:10">
      <c r="A1144" s="896" t="s">
        <v>5751</v>
      </c>
      <c r="B1144" s="897" t="s">
        <v>5752</v>
      </c>
      <c r="C1144" s="897" t="s">
        <v>4364</v>
      </c>
      <c r="D1144" s="897" t="s">
        <v>1912</v>
      </c>
      <c r="E1144" s="897"/>
      <c r="F1144" s="897"/>
      <c r="G1144" s="897"/>
      <c r="H1144" s="898" t="s">
        <v>1953</v>
      </c>
      <c r="I1144" s="899"/>
      <c r="J1144" s="899"/>
    </row>
    <row r="1145" spans="1:10">
      <c r="A1145" s="896" t="s">
        <v>5753</v>
      </c>
      <c r="B1145" s="897" t="s">
        <v>5754</v>
      </c>
      <c r="C1145" s="897" t="s">
        <v>1912</v>
      </c>
      <c r="D1145" s="897" t="s">
        <v>1912</v>
      </c>
      <c r="E1145" s="897"/>
      <c r="F1145" s="897"/>
      <c r="G1145" s="897"/>
      <c r="H1145" s="898" t="e">
        <v>#N/A</v>
      </c>
      <c r="I1145" s="899"/>
      <c r="J1145" s="899"/>
    </row>
    <row r="1146" spans="1:10">
      <c r="A1146" s="896" t="s">
        <v>5755</v>
      </c>
      <c r="B1146" s="897" t="s">
        <v>5756</v>
      </c>
      <c r="C1146" s="897" t="s">
        <v>5757</v>
      </c>
      <c r="D1146" s="897" t="s">
        <v>1912</v>
      </c>
      <c r="E1146" s="897"/>
      <c r="F1146" s="897"/>
      <c r="G1146" s="897"/>
      <c r="H1146" s="898" t="s">
        <v>1953</v>
      </c>
      <c r="I1146" s="899"/>
      <c r="J1146" s="899"/>
    </row>
    <row r="1147" spans="1:10">
      <c r="A1147" s="896" t="s">
        <v>5758</v>
      </c>
      <c r="B1147" s="897" t="s">
        <v>646</v>
      </c>
      <c r="C1147" s="897" t="s">
        <v>5759</v>
      </c>
      <c r="D1147" s="897" t="s">
        <v>1912</v>
      </c>
      <c r="E1147" s="897"/>
      <c r="F1147" s="897"/>
      <c r="G1147" s="897"/>
      <c r="H1147" s="898" t="s">
        <v>1914</v>
      </c>
      <c r="I1147" s="899"/>
      <c r="J1147" s="899"/>
    </row>
    <row r="1148" spans="1:10">
      <c r="A1148" s="896" t="s">
        <v>5760</v>
      </c>
      <c r="B1148" s="897" t="s">
        <v>5761</v>
      </c>
      <c r="C1148" s="897" t="s">
        <v>5762</v>
      </c>
      <c r="D1148" s="897" t="s">
        <v>1912</v>
      </c>
      <c r="E1148" s="897"/>
      <c r="F1148" s="897"/>
      <c r="G1148" s="897"/>
      <c r="H1148" s="898" t="e">
        <v>#N/A</v>
      </c>
      <c r="I1148" s="899"/>
      <c r="J1148" s="899"/>
    </row>
    <row r="1149" spans="1:10">
      <c r="A1149" s="896" t="s">
        <v>5763</v>
      </c>
      <c r="B1149" s="897" t="s">
        <v>5764</v>
      </c>
      <c r="C1149" s="897" t="s">
        <v>3744</v>
      </c>
      <c r="D1149" s="897" t="s">
        <v>1912</v>
      </c>
      <c r="E1149" s="897"/>
      <c r="F1149" s="897"/>
      <c r="G1149" s="897"/>
      <c r="H1149" s="898" t="e">
        <v>#N/A</v>
      </c>
      <c r="I1149" s="899"/>
      <c r="J1149" s="899"/>
    </row>
    <row r="1150" spans="1:10">
      <c r="A1150" s="896" t="s">
        <v>5765</v>
      </c>
      <c r="B1150" s="897" t="s">
        <v>5766</v>
      </c>
      <c r="C1150" s="897" t="s">
        <v>5767</v>
      </c>
      <c r="D1150" s="897" t="s">
        <v>1912</v>
      </c>
      <c r="E1150" s="897"/>
      <c r="F1150" s="897"/>
      <c r="G1150" s="897"/>
      <c r="H1150" s="898" t="s">
        <v>1914</v>
      </c>
      <c r="I1150" s="899"/>
      <c r="J1150" s="899"/>
    </row>
    <row r="1151" spans="1:10">
      <c r="A1151" s="896" t="s">
        <v>5768</v>
      </c>
      <c r="B1151" s="897" t="s">
        <v>5769</v>
      </c>
      <c r="C1151" s="897" t="s">
        <v>5770</v>
      </c>
      <c r="D1151" s="897" t="s">
        <v>1912</v>
      </c>
      <c r="E1151" s="897"/>
      <c r="F1151" s="897"/>
      <c r="G1151" s="897"/>
      <c r="H1151" s="898" t="e">
        <v>#N/A</v>
      </c>
      <c r="I1151" s="899"/>
      <c r="J1151" s="899"/>
    </row>
    <row r="1152" spans="1:10">
      <c r="A1152" s="896" t="s">
        <v>5771</v>
      </c>
      <c r="B1152" s="897" t="s">
        <v>5772</v>
      </c>
      <c r="C1152" s="897" t="s">
        <v>5773</v>
      </c>
      <c r="D1152" s="897" t="s">
        <v>1912</v>
      </c>
      <c r="E1152" s="897"/>
      <c r="F1152" s="897"/>
      <c r="G1152" s="897"/>
      <c r="H1152" s="898" t="s">
        <v>1953</v>
      </c>
      <c r="I1152" s="899"/>
      <c r="J1152" s="899"/>
    </row>
    <row r="1153" spans="1:10">
      <c r="A1153" s="896" t="s">
        <v>5774</v>
      </c>
      <c r="B1153" s="897" t="s">
        <v>5775</v>
      </c>
      <c r="C1153" s="897" t="s">
        <v>5776</v>
      </c>
      <c r="D1153" s="897" t="s">
        <v>1912</v>
      </c>
      <c r="E1153" s="897"/>
      <c r="F1153" s="897"/>
      <c r="G1153" s="897"/>
      <c r="H1153" s="898" t="s">
        <v>1953</v>
      </c>
      <c r="I1153" s="899"/>
      <c r="J1153" s="899"/>
    </row>
    <row r="1154" spans="1:10">
      <c r="A1154" s="896" t="s">
        <v>5777</v>
      </c>
      <c r="B1154" s="897" t="s">
        <v>1422</v>
      </c>
      <c r="C1154" s="897" t="s">
        <v>5778</v>
      </c>
      <c r="D1154" s="897" t="s">
        <v>1912</v>
      </c>
      <c r="E1154" s="897"/>
      <c r="F1154" s="897"/>
      <c r="G1154" s="897"/>
      <c r="H1154" s="898" t="e">
        <v>#N/A</v>
      </c>
      <c r="I1154" s="899"/>
      <c r="J1154" s="899"/>
    </row>
    <row r="1155" spans="1:10">
      <c r="A1155" s="896" t="s">
        <v>5779</v>
      </c>
      <c r="B1155" s="897" t="s">
        <v>1423</v>
      </c>
      <c r="C1155" s="897" t="s">
        <v>5542</v>
      </c>
      <c r="D1155" s="897" t="s">
        <v>1912</v>
      </c>
      <c r="E1155" s="897"/>
      <c r="F1155" s="897"/>
      <c r="G1155" s="897"/>
      <c r="H1155" s="898" t="e">
        <v>#N/A</v>
      </c>
      <c r="I1155" s="899"/>
      <c r="J1155" s="899"/>
    </row>
    <row r="1156" spans="1:10">
      <c r="A1156" s="896" t="s">
        <v>5780</v>
      </c>
      <c r="B1156" s="897" t="s">
        <v>5781</v>
      </c>
      <c r="C1156" s="897" t="s">
        <v>5782</v>
      </c>
      <c r="D1156" s="897" t="s">
        <v>1912</v>
      </c>
      <c r="E1156" s="897"/>
      <c r="F1156" s="897"/>
      <c r="G1156" s="897"/>
      <c r="H1156" s="898" t="s">
        <v>1953</v>
      </c>
      <c r="I1156" s="899"/>
      <c r="J1156" s="899"/>
    </row>
    <row r="1157" spans="1:10">
      <c r="A1157" s="896" t="s">
        <v>5783</v>
      </c>
      <c r="B1157" s="897" t="s">
        <v>5784</v>
      </c>
      <c r="C1157" s="897" t="s">
        <v>5785</v>
      </c>
      <c r="D1157" s="897" t="s">
        <v>1912</v>
      </c>
      <c r="E1157" s="897"/>
      <c r="F1157" s="897"/>
      <c r="G1157" s="897"/>
      <c r="H1157" s="898" t="e">
        <v>#N/A</v>
      </c>
      <c r="I1157" s="899"/>
      <c r="J1157" s="899"/>
    </row>
    <row r="1158" spans="1:10">
      <c r="A1158" s="896" t="s">
        <v>5786</v>
      </c>
      <c r="B1158" s="897" t="s">
        <v>5787</v>
      </c>
      <c r="C1158" s="897" t="s">
        <v>5788</v>
      </c>
      <c r="D1158" s="897" t="s">
        <v>1912</v>
      </c>
      <c r="E1158" s="897"/>
      <c r="F1158" s="897"/>
      <c r="G1158" s="897"/>
      <c r="H1158" s="898" t="e">
        <v>#N/A</v>
      </c>
      <c r="I1158" s="899"/>
      <c r="J1158" s="899"/>
    </row>
    <row r="1159" spans="1:10">
      <c r="A1159" s="896" t="s">
        <v>5789</v>
      </c>
      <c r="B1159" s="897" t="s">
        <v>5790</v>
      </c>
      <c r="C1159" s="897" t="s">
        <v>5791</v>
      </c>
      <c r="D1159" s="897" t="s">
        <v>1912</v>
      </c>
      <c r="E1159" s="897"/>
      <c r="F1159" s="897"/>
      <c r="G1159" s="897"/>
      <c r="H1159" s="898" t="e">
        <v>#N/A</v>
      </c>
      <c r="I1159" s="899"/>
      <c r="J1159" s="899"/>
    </row>
    <row r="1160" spans="1:10">
      <c r="A1160" s="896" t="s">
        <v>5792</v>
      </c>
      <c r="B1160" s="897" t="s">
        <v>5793</v>
      </c>
      <c r="C1160" s="897" t="s">
        <v>5794</v>
      </c>
      <c r="D1160" s="897" t="s">
        <v>1912</v>
      </c>
      <c r="E1160" s="897"/>
      <c r="F1160" s="897"/>
      <c r="G1160" s="897"/>
      <c r="H1160" s="898" t="e">
        <v>#N/A</v>
      </c>
      <c r="I1160" s="899"/>
      <c r="J1160" s="899"/>
    </row>
    <row r="1161" spans="1:10">
      <c r="A1161" s="896" t="s">
        <v>5795</v>
      </c>
      <c r="B1161" s="897" t="s">
        <v>5796</v>
      </c>
      <c r="C1161" s="897" t="s">
        <v>5797</v>
      </c>
      <c r="D1161" s="897" t="s">
        <v>1912</v>
      </c>
      <c r="E1161" s="897"/>
      <c r="F1161" s="897"/>
      <c r="G1161" s="897"/>
      <c r="H1161" s="898" t="s">
        <v>1953</v>
      </c>
      <c r="I1161" s="899"/>
      <c r="J1161" s="899"/>
    </row>
    <row r="1162" spans="1:10">
      <c r="A1162" s="896" t="s">
        <v>5798</v>
      </c>
      <c r="B1162" s="897" t="s">
        <v>5799</v>
      </c>
      <c r="C1162" s="897" t="s">
        <v>5800</v>
      </c>
      <c r="D1162" s="897" t="s">
        <v>1912</v>
      </c>
      <c r="E1162" s="897"/>
      <c r="F1162" s="897"/>
      <c r="G1162" s="897"/>
      <c r="H1162" s="898" t="s">
        <v>1914</v>
      </c>
      <c r="I1162" s="899"/>
      <c r="J1162" s="899"/>
    </row>
    <row r="1163" spans="1:10">
      <c r="A1163" s="896" t="s">
        <v>5801</v>
      </c>
      <c r="B1163" s="897" t="s">
        <v>5802</v>
      </c>
      <c r="C1163" s="897" t="s">
        <v>5803</v>
      </c>
      <c r="D1163" s="897" t="s">
        <v>1295</v>
      </c>
      <c r="E1163" s="897"/>
      <c r="F1163" s="897"/>
      <c r="G1163" s="897"/>
      <c r="H1163" s="898">
        <v>0</v>
      </c>
      <c r="I1163" s="899"/>
      <c r="J1163" s="899"/>
    </row>
    <row r="1164" spans="1:10">
      <c r="A1164" s="896" t="s">
        <v>5804</v>
      </c>
      <c r="B1164" s="897" t="s">
        <v>5805</v>
      </c>
      <c r="C1164" s="897" t="s">
        <v>3650</v>
      </c>
      <c r="D1164" s="897" t="s">
        <v>1912</v>
      </c>
      <c r="E1164" s="897"/>
      <c r="F1164" s="897"/>
      <c r="G1164" s="897"/>
      <c r="H1164" s="898" t="e">
        <v>#N/A</v>
      </c>
      <c r="I1164" s="899"/>
      <c r="J1164" s="899"/>
    </row>
    <row r="1165" spans="1:10">
      <c r="A1165" s="896" t="s">
        <v>5806</v>
      </c>
      <c r="B1165" s="897" t="s">
        <v>5807</v>
      </c>
      <c r="C1165" s="897" t="s">
        <v>5808</v>
      </c>
      <c r="D1165" s="897" t="s">
        <v>1912</v>
      </c>
      <c r="E1165" s="897"/>
      <c r="F1165" s="897"/>
      <c r="G1165" s="897"/>
      <c r="H1165" s="898" t="e">
        <v>#N/A</v>
      </c>
      <c r="I1165" s="899"/>
      <c r="J1165" s="899"/>
    </row>
    <row r="1166" spans="1:10">
      <c r="A1166" s="896" t="s">
        <v>5809</v>
      </c>
      <c r="B1166" s="897" t="s">
        <v>5810</v>
      </c>
      <c r="C1166" s="897" t="s">
        <v>4164</v>
      </c>
      <c r="D1166" s="897" t="s">
        <v>1912</v>
      </c>
      <c r="E1166" s="897"/>
      <c r="F1166" s="897"/>
      <c r="G1166" s="897"/>
      <c r="H1166" s="898" t="s">
        <v>1914</v>
      </c>
      <c r="I1166" s="899"/>
      <c r="J1166" s="899"/>
    </row>
    <row r="1167" spans="1:10">
      <c r="A1167" s="896" t="s">
        <v>5811</v>
      </c>
      <c r="B1167" s="897" t="s">
        <v>5812</v>
      </c>
      <c r="C1167" s="897" t="s">
        <v>5813</v>
      </c>
      <c r="D1167" s="897" t="s">
        <v>1912</v>
      </c>
      <c r="E1167" s="897"/>
      <c r="F1167" s="897"/>
      <c r="G1167" s="897"/>
      <c r="H1167" s="898" t="e">
        <v>#N/A</v>
      </c>
      <c r="I1167" s="899"/>
      <c r="J1167" s="899"/>
    </row>
    <row r="1168" spans="1:10">
      <c r="A1168" s="896" t="s">
        <v>5814</v>
      </c>
      <c r="B1168" s="897" t="s">
        <v>5815</v>
      </c>
      <c r="C1168" s="897" t="s">
        <v>3910</v>
      </c>
      <c r="D1168" s="897" t="s">
        <v>1912</v>
      </c>
      <c r="E1168" s="897"/>
      <c r="F1168" s="897"/>
      <c r="G1168" s="897"/>
      <c r="H1168" s="898" t="s">
        <v>1953</v>
      </c>
      <c r="I1168" s="899"/>
      <c r="J1168" s="899"/>
    </row>
    <row r="1169" spans="1:10">
      <c r="A1169" s="896" t="s">
        <v>5816</v>
      </c>
      <c r="B1169" s="897" t="s">
        <v>5817</v>
      </c>
      <c r="C1169" s="897" t="s">
        <v>5818</v>
      </c>
      <c r="D1169" s="897" t="s">
        <v>1912</v>
      </c>
      <c r="E1169" s="897"/>
      <c r="F1169" s="897"/>
      <c r="G1169" s="897"/>
      <c r="H1169" s="898" t="e">
        <v>#N/A</v>
      </c>
      <c r="I1169" s="899"/>
      <c r="J1169" s="899"/>
    </row>
    <row r="1170" spans="1:10">
      <c r="A1170" s="896" t="s">
        <v>5819</v>
      </c>
      <c r="B1170" s="897" t="s">
        <v>5820</v>
      </c>
      <c r="C1170" s="897" t="s">
        <v>5821</v>
      </c>
      <c r="D1170" s="897" t="s">
        <v>1912</v>
      </c>
      <c r="E1170" s="897"/>
      <c r="F1170" s="897"/>
      <c r="G1170" s="897"/>
      <c r="H1170" s="898" t="e">
        <v>#N/A</v>
      </c>
      <c r="I1170" s="899"/>
      <c r="J1170" s="899"/>
    </row>
    <row r="1171" spans="1:10">
      <c r="A1171" s="896" t="s">
        <v>5822</v>
      </c>
      <c r="B1171" s="897" t="s">
        <v>611</v>
      </c>
      <c r="C1171" s="897" t="s">
        <v>5823</v>
      </c>
      <c r="D1171" s="897" t="s">
        <v>1912</v>
      </c>
      <c r="E1171" s="897"/>
      <c r="F1171" s="897"/>
      <c r="G1171" s="897"/>
      <c r="H1171" s="898" t="s">
        <v>1914</v>
      </c>
      <c r="I1171" s="899"/>
      <c r="J1171" s="899"/>
    </row>
    <row r="1172" spans="1:10">
      <c r="A1172" s="896" t="s">
        <v>5824</v>
      </c>
      <c r="B1172" s="897" t="s">
        <v>5825</v>
      </c>
      <c r="C1172" s="897" t="s">
        <v>5826</v>
      </c>
      <c r="D1172" s="897" t="s">
        <v>1912</v>
      </c>
      <c r="E1172" s="897"/>
      <c r="F1172" s="897"/>
      <c r="G1172" s="897"/>
      <c r="H1172" s="898" t="e">
        <v>#N/A</v>
      </c>
      <c r="I1172" s="899"/>
      <c r="J1172" s="899"/>
    </row>
    <row r="1173" spans="1:10">
      <c r="A1173" s="896" t="s">
        <v>5827</v>
      </c>
      <c r="B1173" s="897" t="s">
        <v>5828</v>
      </c>
      <c r="C1173" s="897" t="s">
        <v>5829</v>
      </c>
      <c r="D1173" s="897" t="s">
        <v>1912</v>
      </c>
      <c r="E1173" s="897"/>
      <c r="F1173" s="897"/>
      <c r="G1173" s="897"/>
      <c r="H1173" s="898" t="e">
        <v>#N/A</v>
      </c>
      <c r="I1173" s="899"/>
      <c r="J1173" s="899"/>
    </row>
    <row r="1174" spans="1:10">
      <c r="A1174" s="896" t="s">
        <v>5830</v>
      </c>
      <c r="B1174" s="897" t="s">
        <v>5831</v>
      </c>
      <c r="C1174" s="897" t="s">
        <v>1912</v>
      </c>
      <c r="D1174" s="897" t="s">
        <v>1912</v>
      </c>
      <c r="E1174" s="897"/>
      <c r="F1174" s="897"/>
      <c r="G1174" s="897"/>
      <c r="H1174" s="898" t="e">
        <v>#N/A</v>
      </c>
      <c r="I1174" s="899"/>
      <c r="J1174" s="899"/>
    </row>
    <row r="1175" spans="1:10">
      <c r="A1175" s="896" t="s">
        <v>5832</v>
      </c>
      <c r="B1175" s="897" t="s">
        <v>5833</v>
      </c>
      <c r="C1175" s="897" t="s">
        <v>5834</v>
      </c>
      <c r="D1175" s="897" t="s">
        <v>1912</v>
      </c>
      <c r="E1175" s="897"/>
      <c r="F1175" s="897"/>
      <c r="G1175" s="897"/>
      <c r="H1175" s="898" t="s">
        <v>1953</v>
      </c>
      <c r="I1175" s="899"/>
      <c r="J1175" s="899"/>
    </row>
    <row r="1176" spans="1:10">
      <c r="A1176" s="896" t="s">
        <v>5835</v>
      </c>
      <c r="B1176" s="897" t="s">
        <v>1748</v>
      </c>
      <c r="C1176" s="897" t="s">
        <v>5836</v>
      </c>
      <c r="D1176" s="897" t="s">
        <v>1912</v>
      </c>
      <c r="E1176" s="897"/>
      <c r="F1176" s="897"/>
      <c r="G1176" s="897"/>
      <c r="H1176" s="898" t="e">
        <v>#N/A</v>
      </c>
      <c r="I1176" s="899"/>
      <c r="J1176" s="899"/>
    </row>
    <row r="1177" spans="1:10">
      <c r="A1177" s="896" t="s">
        <v>5837</v>
      </c>
      <c r="B1177" s="897" t="s">
        <v>538</v>
      </c>
      <c r="C1177" s="897" t="s">
        <v>5838</v>
      </c>
      <c r="D1177" s="897" t="s">
        <v>1205</v>
      </c>
      <c r="E1177" s="897"/>
      <c r="F1177" s="897"/>
      <c r="G1177" s="897"/>
      <c r="H1177" s="898" t="s">
        <v>1953</v>
      </c>
      <c r="I1177" s="899"/>
      <c r="J1177" s="899"/>
    </row>
    <row r="1178" spans="1:10">
      <c r="A1178" s="896" t="s">
        <v>5839</v>
      </c>
      <c r="B1178" s="897" t="s">
        <v>5840</v>
      </c>
      <c r="C1178" s="897" t="s">
        <v>5841</v>
      </c>
      <c r="D1178" s="897" t="s">
        <v>1912</v>
      </c>
      <c r="E1178" s="897"/>
      <c r="F1178" s="897"/>
      <c r="G1178" s="897"/>
      <c r="H1178" s="898" t="s">
        <v>1914</v>
      </c>
      <c r="I1178" s="899"/>
      <c r="J1178" s="899"/>
    </row>
    <row r="1179" spans="1:10">
      <c r="A1179" s="896" t="s">
        <v>5842</v>
      </c>
      <c r="B1179" s="897" t="s">
        <v>1749</v>
      </c>
      <c r="C1179" s="897" t="s">
        <v>5843</v>
      </c>
      <c r="D1179" s="897" t="s">
        <v>1912</v>
      </c>
      <c r="E1179" s="897"/>
      <c r="F1179" s="897"/>
      <c r="G1179" s="897"/>
      <c r="H1179" s="898" t="e">
        <v>#N/A</v>
      </c>
      <c r="I1179" s="899"/>
      <c r="J1179" s="899"/>
    </row>
    <row r="1180" spans="1:10">
      <c r="A1180" s="896" t="s">
        <v>5844</v>
      </c>
      <c r="B1180" s="897" t="s">
        <v>5845</v>
      </c>
      <c r="C1180" s="897" t="s">
        <v>5846</v>
      </c>
      <c r="D1180" s="897" t="s">
        <v>1912</v>
      </c>
      <c r="E1180" s="897"/>
      <c r="F1180" s="897"/>
      <c r="G1180" s="897"/>
      <c r="H1180" s="898" t="e">
        <v>#N/A</v>
      </c>
      <c r="I1180" s="899"/>
      <c r="J1180" s="899"/>
    </row>
    <row r="1181" spans="1:10">
      <c r="A1181" s="896" t="s">
        <v>5847</v>
      </c>
      <c r="B1181" s="897" t="s">
        <v>5848</v>
      </c>
      <c r="C1181" s="897" t="s">
        <v>5849</v>
      </c>
      <c r="D1181" s="897" t="s">
        <v>1912</v>
      </c>
      <c r="E1181" s="897"/>
      <c r="F1181" s="897"/>
      <c r="G1181" s="897"/>
      <c r="H1181" s="898" t="e">
        <v>#N/A</v>
      </c>
      <c r="I1181" s="899"/>
      <c r="J1181" s="899"/>
    </row>
    <row r="1182" spans="1:10">
      <c r="A1182" s="896" t="s">
        <v>5850</v>
      </c>
      <c r="B1182" s="897" t="s">
        <v>5851</v>
      </c>
      <c r="C1182" s="897" t="s">
        <v>5852</v>
      </c>
      <c r="D1182" s="897" t="s">
        <v>1912</v>
      </c>
      <c r="E1182" s="897"/>
      <c r="F1182" s="897"/>
      <c r="G1182" s="897"/>
      <c r="H1182" s="898" t="e">
        <v>#N/A</v>
      </c>
      <c r="I1182" s="899"/>
      <c r="J1182" s="899"/>
    </row>
    <row r="1183" spans="1:10">
      <c r="A1183" s="896" t="s">
        <v>5853</v>
      </c>
      <c r="B1183" s="897" t="s">
        <v>5854</v>
      </c>
      <c r="C1183" s="897" t="s">
        <v>5855</v>
      </c>
      <c r="D1183" s="897" t="s">
        <v>1912</v>
      </c>
      <c r="E1183" s="897"/>
      <c r="F1183" s="897" t="s">
        <v>5856</v>
      </c>
      <c r="G1183" s="897" t="s">
        <v>5857</v>
      </c>
      <c r="H1183" s="898" t="e">
        <v>#N/A</v>
      </c>
      <c r="I1183" s="899"/>
      <c r="J1183" s="899"/>
    </row>
    <row r="1184" spans="1:10">
      <c r="A1184" s="896" t="s">
        <v>5858</v>
      </c>
      <c r="B1184" s="897" t="s">
        <v>5859</v>
      </c>
      <c r="C1184" s="897" t="s">
        <v>5860</v>
      </c>
      <c r="D1184" s="897" t="s">
        <v>1912</v>
      </c>
      <c r="E1184" s="897"/>
      <c r="F1184" s="897"/>
      <c r="G1184" s="897"/>
      <c r="H1184" s="898" t="e">
        <v>#N/A</v>
      </c>
      <c r="I1184" s="899"/>
      <c r="J1184" s="899"/>
    </row>
    <row r="1185" spans="1:10">
      <c r="A1185" s="896" t="s">
        <v>5861</v>
      </c>
      <c r="B1185" s="897" t="s">
        <v>5862</v>
      </c>
      <c r="C1185" s="897" t="s">
        <v>5863</v>
      </c>
      <c r="D1185" s="897" t="s">
        <v>1912</v>
      </c>
      <c r="E1185" s="897"/>
      <c r="F1185" s="897"/>
      <c r="G1185" s="897"/>
      <c r="H1185" s="898" t="e">
        <v>#N/A</v>
      </c>
      <c r="I1185" s="899"/>
      <c r="J1185" s="899"/>
    </row>
    <row r="1186" spans="1:10">
      <c r="A1186" s="896" t="s">
        <v>5864</v>
      </c>
      <c r="B1186" s="897" t="s">
        <v>1424</v>
      </c>
      <c r="C1186" s="897" t="s">
        <v>5865</v>
      </c>
      <c r="D1186" s="897" t="s">
        <v>1912</v>
      </c>
      <c r="E1186" s="897"/>
      <c r="F1186" s="897"/>
      <c r="G1186" s="897"/>
      <c r="H1186" s="898" t="e">
        <v>#N/A</v>
      </c>
      <c r="I1186" s="899"/>
      <c r="J1186" s="899"/>
    </row>
    <row r="1187" spans="1:10">
      <c r="A1187" s="896" t="s">
        <v>5866</v>
      </c>
      <c r="B1187" s="897" t="s">
        <v>5867</v>
      </c>
      <c r="C1187" s="897" t="s">
        <v>5868</v>
      </c>
      <c r="D1187" s="897" t="s">
        <v>1912</v>
      </c>
      <c r="E1187" s="897"/>
      <c r="F1187" s="897"/>
      <c r="G1187" s="897"/>
      <c r="H1187" s="898" t="s">
        <v>1953</v>
      </c>
      <c r="I1187" s="899"/>
      <c r="J1187" s="899"/>
    </row>
    <row r="1188" spans="1:10">
      <c r="A1188" s="896" t="s">
        <v>5869</v>
      </c>
      <c r="B1188" s="897" t="s">
        <v>5870</v>
      </c>
      <c r="C1188" s="897" t="s">
        <v>5871</v>
      </c>
      <c r="D1188" s="897" t="s">
        <v>1912</v>
      </c>
      <c r="E1188" s="897"/>
      <c r="F1188" s="897"/>
      <c r="G1188" s="897"/>
      <c r="H1188" s="898" t="s">
        <v>1953</v>
      </c>
      <c r="I1188" s="899"/>
      <c r="J1188" s="899"/>
    </row>
    <row r="1189" spans="1:10">
      <c r="A1189" s="896" t="s">
        <v>5872</v>
      </c>
      <c r="B1189" s="897" t="s">
        <v>5873</v>
      </c>
      <c r="C1189" s="897" t="s">
        <v>1912</v>
      </c>
      <c r="D1189" s="897" t="s">
        <v>1912</v>
      </c>
      <c r="E1189" s="897"/>
      <c r="F1189" s="897"/>
      <c r="G1189" s="897"/>
      <c r="H1189" s="898" t="e">
        <v>#N/A</v>
      </c>
      <c r="I1189" s="899"/>
      <c r="J1189" s="899"/>
    </row>
    <row r="1190" spans="1:10">
      <c r="A1190" s="896" t="s">
        <v>5874</v>
      </c>
      <c r="B1190" s="897" t="s">
        <v>5875</v>
      </c>
      <c r="C1190" s="897" t="s">
        <v>5876</v>
      </c>
      <c r="D1190" s="897" t="s">
        <v>1912</v>
      </c>
      <c r="E1190" s="897"/>
      <c r="F1190" s="897"/>
      <c r="G1190" s="897"/>
      <c r="H1190" s="898" t="e">
        <v>#N/A</v>
      </c>
      <c r="I1190" s="899"/>
      <c r="J1190" s="899"/>
    </row>
    <row r="1191" spans="1:10">
      <c r="A1191" s="896" t="s">
        <v>5877</v>
      </c>
      <c r="B1191" s="897" t="s">
        <v>5878</v>
      </c>
      <c r="C1191" s="897" t="s">
        <v>5879</v>
      </c>
      <c r="D1191" s="897" t="s">
        <v>1912</v>
      </c>
      <c r="E1191" s="897"/>
      <c r="F1191" s="897"/>
      <c r="G1191" s="897"/>
      <c r="H1191" s="898" t="s">
        <v>1953</v>
      </c>
      <c r="I1191" s="899"/>
      <c r="J1191" s="899"/>
    </row>
    <row r="1192" spans="1:10">
      <c r="A1192" s="896" t="s">
        <v>5880</v>
      </c>
      <c r="B1192" s="897" t="s">
        <v>5881</v>
      </c>
      <c r="C1192" s="897"/>
      <c r="D1192" s="897" t="s">
        <v>1912</v>
      </c>
      <c r="E1192" s="897"/>
      <c r="F1192" s="897"/>
      <c r="G1192" s="897"/>
      <c r="H1192" s="898" t="s">
        <v>1914</v>
      </c>
      <c r="I1192" s="899"/>
      <c r="J1192" s="899"/>
    </row>
    <row r="1193" spans="1:10">
      <c r="A1193" s="896" t="s">
        <v>5882</v>
      </c>
      <c r="B1193" s="897" t="s">
        <v>5883</v>
      </c>
      <c r="C1193" s="897" t="s">
        <v>5884</v>
      </c>
      <c r="D1193" s="897" t="s">
        <v>1912</v>
      </c>
      <c r="E1193" s="897"/>
      <c r="F1193" s="897"/>
      <c r="G1193" s="897"/>
      <c r="H1193" s="898" t="s">
        <v>1953</v>
      </c>
      <c r="I1193" s="899"/>
      <c r="J1193" s="899"/>
    </row>
    <row r="1194" spans="1:10">
      <c r="A1194" s="896" t="s">
        <v>5885</v>
      </c>
      <c r="B1194" s="897" t="s">
        <v>1425</v>
      </c>
      <c r="C1194" s="897" t="s">
        <v>5886</v>
      </c>
      <c r="D1194" s="897" t="s">
        <v>1912</v>
      </c>
      <c r="E1194" s="897"/>
      <c r="F1194" s="897"/>
      <c r="G1194" s="897"/>
      <c r="H1194" s="898" t="e">
        <v>#N/A</v>
      </c>
      <c r="I1194" s="899"/>
      <c r="J1194" s="899"/>
    </row>
    <row r="1195" spans="1:10">
      <c r="A1195" s="896" t="s">
        <v>5887</v>
      </c>
      <c r="B1195" s="897" t="s">
        <v>5888</v>
      </c>
      <c r="C1195" s="897" t="s">
        <v>5889</v>
      </c>
      <c r="D1195" s="897" t="s">
        <v>1912</v>
      </c>
      <c r="E1195" s="897"/>
      <c r="F1195" s="897"/>
      <c r="G1195" s="897"/>
      <c r="H1195" s="898" t="e">
        <v>#N/A</v>
      </c>
      <c r="I1195" s="899"/>
      <c r="J1195" s="899"/>
    </row>
    <row r="1196" spans="1:10">
      <c r="A1196" s="896" t="s">
        <v>5890</v>
      </c>
      <c r="B1196" s="897" t="s">
        <v>5891</v>
      </c>
      <c r="C1196" s="897" t="s">
        <v>5892</v>
      </c>
      <c r="D1196" s="897" t="s">
        <v>1912</v>
      </c>
      <c r="E1196" s="897"/>
      <c r="F1196" s="897"/>
      <c r="G1196" s="897"/>
      <c r="H1196" s="898" t="e">
        <v>#N/A</v>
      </c>
      <c r="I1196" s="899"/>
      <c r="J1196" s="899"/>
    </row>
    <row r="1197" spans="1:10">
      <c r="A1197" s="896" t="s">
        <v>5893</v>
      </c>
      <c r="B1197" s="897" t="s">
        <v>1751</v>
      </c>
      <c r="C1197" s="897" t="s">
        <v>5894</v>
      </c>
      <c r="D1197" s="897" t="s">
        <v>1912</v>
      </c>
      <c r="E1197" s="897"/>
      <c r="F1197" s="897"/>
      <c r="G1197" s="897"/>
      <c r="H1197" s="898" t="e">
        <v>#N/A</v>
      </c>
      <c r="I1197" s="899"/>
      <c r="J1197" s="899"/>
    </row>
    <row r="1198" spans="1:10">
      <c r="A1198" s="896" t="s">
        <v>5895</v>
      </c>
      <c r="B1198" s="897" t="s">
        <v>5896</v>
      </c>
      <c r="C1198" s="897" t="s">
        <v>1912</v>
      </c>
      <c r="D1198" s="897" t="s">
        <v>1912</v>
      </c>
      <c r="E1198" s="897"/>
      <c r="F1198" s="897"/>
      <c r="G1198" s="897"/>
      <c r="H1198" s="898" t="e">
        <v>#N/A</v>
      </c>
      <c r="I1198" s="899"/>
      <c r="J1198" s="899"/>
    </row>
    <row r="1199" spans="1:10">
      <c r="A1199" s="896" t="s">
        <v>5897</v>
      </c>
      <c r="B1199" s="897" t="s">
        <v>5898</v>
      </c>
      <c r="C1199" s="897" t="s">
        <v>5899</v>
      </c>
      <c r="D1199" s="897" t="s">
        <v>1912</v>
      </c>
      <c r="E1199" s="897"/>
      <c r="F1199" s="897"/>
      <c r="G1199" s="897"/>
      <c r="H1199" s="898" t="e">
        <v>#N/A</v>
      </c>
      <c r="I1199" s="899"/>
      <c r="J1199" s="899"/>
    </row>
    <row r="1200" spans="1:10">
      <c r="A1200" s="896" t="s">
        <v>5900</v>
      </c>
      <c r="B1200" s="897" t="s">
        <v>5901</v>
      </c>
      <c r="C1200" s="897" t="s">
        <v>5902</v>
      </c>
      <c r="D1200" s="897" t="s">
        <v>1912</v>
      </c>
      <c r="E1200" s="897"/>
      <c r="F1200" s="897"/>
      <c r="G1200" s="897"/>
      <c r="H1200" s="898" t="e">
        <v>#N/A</v>
      </c>
      <c r="I1200" s="899"/>
      <c r="J1200" s="899"/>
    </row>
    <row r="1201" spans="1:10">
      <c r="A1201" s="896" t="s">
        <v>5903</v>
      </c>
      <c r="B1201" s="897" t="s">
        <v>5904</v>
      </c>
      <c r="C1201" s="897" t="s">
        <v>5905</v>
      </c>
      <c r="D1201" s="897" t="s">
        <v>1912</v>
      </c>
      <c r="E1201" s="897"/>
      <c r="F1201" s="897"/>
      <c r="G1201" s="897"/>
      <c r="H1201" s="898" t="s">
        <v>1953</v>
      </c>
      <c r="I1201" s="899"/>
      <c r="J1201" s="899"/>
    </row>
    <row r="1202" spans="1:10">
      <c r="A1202" s="896" t="s">
        <v>5906</v>
      </c>
      <c r="B1202" s="897" t="s">
        <v>5907</v>
      </c>
      <c r="C1202" s="897" t="s">
        <v>5908</v>
      </c>
      <c r="D1202" s="897" t="s">
        <v>1912</v>
      </c>
      <c r="E1202" s="897"/>
      <c r="F1202" s="897"/>
      <c r="G1202" s="897"/>
      <c r="H1202" s="898" t="s">
        <v>1953</v>
      </c>
      <c r="I1202" s="899"/>
      <c r="J1202" s="899"/>
    </row>
    <row r="1203" spans="1:10">
      <c r="A1203" s="896" t="s">
        <v>5909</v>
      </c>
      <c r="B1203" s="897" t="s">
        <v>5910</v>
      </c>
      <c r="C1203" s="897" t="s">
        <v>5911</v>
      </c>
      <c r="D1203" s="897" t="s">
        <v>1912</v>
      </c>
      <c r="E1203" s="897"/>
      <c r="F1203" s="897"/>
      <c r="G1203" s="897"/>
      <c r="H1203" s="898" t="e">
        <v>#N/A</v>
      </c>
      <c r="I1203" s="899"/>
      <c r="J1203" s="899"/>
    </row>
    <row r="1204" spans="1:10">
      <c r="A1204" s="896" t="s">
        <v>5912</v>
      </c>
      <c r="B1204" s="897" t="s">
        <v>5913</v>
      </c>
      <c r="C1204" s="897" t="s">
        <v>5911</v>
      </c>
      <c r="D1204" s="897" t="s">
        <v>1912</v>
      </c>
      <c r="E1204" s="897"/>
      <c r="F1204" s="897"/>
      <c r="G1204" s="897"/>
      <c r="H1204" s="898" t="s">
        <v>1914</v>
      </c>
      <c r="I1204" s="899"/>
      <c r="J1204" s="899"/>
    </row>
    <row r="1205" spans="1:10">
      <c r="A1205" s="896" t="s">
        <v>5914</v>
      </c>
      <c r="B1205" s="897" t="s">
        <v>5915</v>
      </c>
      <c r="C1205" s="897" t="s">
        <v>5916</v>
      </c>
      <c r="D1205" s="897" t="s">
        <v>1912</v>
      </c>
      <c r="E1205" s="897"/>
      <c r="F1205" s="897"/>
      <c r="G1205" s="897"/>
      <c r="H1205" s="898" t="e">
        <v>#N/A</v>
      </c>
      <c r="I1205" s="899"/>
      <c r="J1205" s="899"/>
    </row>
    <row r="1206" spans="1:10">
      <c r="A1206" s="896" t="s">
        <v>5917</v>
      </c>
      <c r="B1206" s="897" t="s">
        <v>5918</v>
      </c>
      <c r="C1206" s="897" t="s">
        <v>4115</v>
      </c>
      <c r="D1206" s="897" t="s">
        <v>1912</v>
      </c>
      <c r="E1206" s="897"/>
      <c r="F1206" s="897"/>
      <c r="G1206" s="897"/>
      <c r="H1206" s="898" t="s">
        <v>1953</v>
      </c>
      <c r="I1206" s="899"/>
      <c r="J1206" s="899"/>
    </row>
    <row r="1207" spans="1:10">
      <c r="A1207" s="896" t="s">
        <v>5919</v>
      </c>
      <c r="B1207" s="897" t="s">
        <v>367</v>
      </c>
      <c r="C1207" s="897" t="s">
        <v>3679</v>
      </c>
      <c r="D1207" s="897" t="s">
        <v>1206</v>
      </c>
      <c r="E1207" s="897"/>
      <c r="F1207" s="897"/>
      <c r="G1207" s="897"/>
      <c r="H1207" s="898" t="s">
        <v>1953</v>
      </c>
      <c r="I1207" s="899"/>
      <c r="J1207" s="899"/>
    </row>
    <row r="1208" spans="1:10">
      <c r="A1208" s="896" t="s">
        <v>5920</v>
      </c>
      <c r="B1208" s="897" t="s">
        <v>5921</v>
      </c>
      <c r="C1208" s="897" t="s">
        <v>5922</v>
      </c>
      <c r="D1208" s="897" t="s">
        <v>1912</v>
      </c>
      <c r="E1208" s="897"/>
      <c r="F1208" s="897"/>
      <c r="G1208" s="897"/>
      <c r="H1208" s="898" t="e">
        <v>#N/A</v>
      </c>
      <c r="I1208" s="899"/>
      <c r="J1208" s="899"/>
    </row>
    <row r="1209" spans="1:10">
      <c r="A1209" s="896" t="s">
        <v>5923</v>
      </c>
      <c r="B1209" s="897" t="s">
        <v>5924</v>
      </c>
      <c r="C1209" s="897" t="s">
        <v>5925</v>
      </c>
      <c r="D1209" s="897" t="s">
        <v>1912</v>
      </c>
      <c r="E1209" s="897"/>
      <c r="F1209" s="897"/>
      <c r="G1209" s="897"/>
      <c r="H1209" s="898" t="e">
        <v>#N/A</v>
      </c>
      <c r="I1209" s="899"/>
      <c r="J1209" s="899"/>
    </row>
    <row r="1210" spans="1:10">
      <c r="A1210" s="896" t="s">
        <v>5926</v>
      </c>
      <c r="B1210" s="897" t="s">
        <v>5927</v>
      </c>
      <c r="C1210" s="897" t="s">
        <v>5928</v>
      </c>
      <c r="D1210" s="897" t="s">
        <v>1912</v>
      </c>
      <c r="E1210" s="897"/>
      <c r="F1210" s="897"/>
      <c r="G1210" s="897"/>
      <c r="H1210" s="898" t="e">
        <v>#N/A</v>
      </c>
      <c r="I1210" s="899"/>
      <c r="J1210" s="899"/>
    </row>
    <row r="1211" spans="1:10">
      <c r="A1211" s="896" t="s">
        <v>5929</v>
      </c>
      <c r="B1211" s="897" t="s">
        <v>5930</v>
      </c>
      <c r="C1211" s="897" t="s">
        <v>5931</v>
      </c>
      <c r="D1211" s="897" t="s">
        <v>1912</v>
      </c>
      <c r="E1211" s="897"/>
      <c r="F1211" s="897"/>
      <c r="G1211" s="897"/>
      <c r="H1211" s="898" t="e">
        <v>#N/A</v>
      </c>
      <c r="I1211" s="899"/>
      <c r="J1211" s="899"/>
    </row>
    <row r="1212" spans="1:10">
      <c r="A1212" s="896" t="s">
        <v>5932</v>
      </c>
      <c r="B1212" s="897" t="s">
        <v>5933</v>
      </c>
      <c r="C1212" s="897" t="s">
        <v>4113</v>
      </c>
      <c r="D1212" s="897" t="s">
        <v>1912</v>
      </c>
      <c r="E1212" s="897"/>
      <c r="F1212" s="897"/>
      <c r="G1212" s="897"/>
      <c r="H1212" s="898" t="s">
        <v>1953</v>
      </c>
      <c r="I1212" s="899"/>
      <c r="J1212" s="899"/>
    </row>
    <row r="1213" spans="1:10">
      <c r="A1213" s="896" t="s">
        <v>5934</v>
      </c>
      <c r="B1213" s="897" t="s">
        <v>5935</v>
      </c>
      <c r="C1213" s="897" t="s">
        <v>1912</v>
      </c>
      <c r="D1213" s="897" t="s">
        <v>1912</v>
      </c>
      <c r="E1213" s="897"/>
      <c r="F1213" s="897"/>
      <c r="G1213" s="897"/>
      <c r="H1213" s="898" t="e">
        <v>#N/A</v>
      </c>
      <c r="I1213" s="899"/>
      <c r="J1213" s="899"/>
    </row>
    <row r="1214" spans="1:10">
      <c r="A1214" s="896" t="s">
        <v>5936</v>
      </c>
      <c r="B1214" s="897" t="s">
        <v>5937</v>
      </c>
      <c r="C1214" s="897" t="s">
        <v>5938</v>
      </c>
      <c r="D1214" s="897" t="s">
        <v>1912</v>
      </c>
      <c r="E1214" s="897"/>
      <c r="F1214" s="897"/>
      <c r="G1214" s="897"/>
      <c r="H1214" s="898" t="e">
        <v>#N/A</v>
      </c>
      <c r="I1214" s="899"/>
      <c r="J1214" s="899"/>
    </row>
    <row r="1215" spans="1:10">
      <c r="A1215" s="896" t="s">
        <v>5939</v>
      </c>
      <c r="B1215" s="897" t="s">
        <v>5940</v>
      </c>
      <c r="C1215" s="897" t="s">
        <v>5941</v>
      </c>
      <c r="D1215" s="897" t="s">
        <v>1912</v>
      </c>
      <c r="E1215" s="897"/>
      <c r="F1215" s="897"/>
      <c r="G1215" s="897"/>
      <c r="H1215" s="898" t="e">
        <v>#N/A</v>
      </c>
      <c r="I1215" s="899"/>
      <c r="J1215" s="899"/>
    </row>
    <row r="1216" spans="1:10">
      <c r="A1216" s="896" t="s">
        <v>5942</v>
      </c>
      <c r="B1216" s="897" t="s">
        <v>5943</v>
      </c>
      <c r="C1216" s="897" t="s">
        <v>4101</v>
      </c>
      <c r="D1216" s="897" t="s">
        <v>1912</v>
      </c>
      <c r="E1216" s="897"/>
      <c r="F1216" s="897"/>
      <c r="G1216" s="897"/>
      <c r="H1216" s="898" t="e">
        <v>#N/A</v>
      </c>
      <c r="I1216" s="899"/>
      <c r="J1216" s="899"/>
    </row>
    <row r="1217" spans="1:10">
      <c r="A1217" s="896" t="s">
        <v>5944</v>
      </c>
      <c r="B1217" s="897" t="s">
        <v>5945</v>
      </c>
      <c r="C1217" s="897" t="s">
        <v>5946</v>
      </c>
      <c r="D1217" s="897" t="s">
        <v>1912</v>
      </c>
      <c r="E1217" s="897"/>
      <c r="F1217" s="897"/>
      <c r="G1217" s="897"/>
      <c r="H1217" s="898" t="e">
        <v>#N/A</v>
      </c>
      <c r="I1217" s="899"/>
      <c r="J1217" s="899"/>
    </row>
    <row r="1218" spans="1:10">
      <c r="A1218" s="896" t="s">
        <v>5947</v>
      </c>
      <c r="B1218" s="897" t="s">
        <v>421</v>
      </c>
      <c r="C1218" s="897" t="s">
        <v>5948</v>
      </c>
      <c r="D1218" s="897" t="s">
        <v>5949</v>
      </c>
      <c r="E1218" s="897"/>
      <c r="F1218" s="897"/>
      <c r="G1218" s="897"/>
      <c r="H1218" s="898" t="e">
        <v>#N/A</v>
      </c>
      <c r="I1218" s="899"/>
      <c r="J1218" s="899"/>
    </row>
    <row r="1219" spans="1:10">
      <c r="A1219" s="896" t="s">
        <v>5950</v>
      </c>
      <c r="B1219" s="897" t="s">
        <v>5951</v>
      </c>
      <c r="C1219" s="897" t="s">
        <v>5952</v>
      </c>
      <c r="D1219" s="897" t="s">
        <v>1912</v>
      </c>
      <c r="E1219" s="897"/>
      <c r="F1219" s="897"/>
      <c r="G1219" s="897"/>
      <c r="H1219" s="898" t="e">
        <v>#N/A</v>
      </c>
      <c r="I1219" s="899"/>
      <c r="J1219" s="899"/>
    </row>
    <row r="1220" spans="1:10">
      <c r="A1220" s="896" t="s">
        <v>5953</v>
      </c>
      <c r="B1220" s="897" t="s">
        <v>5954</v>
      </c>
      <c r="C1220" s="897" t="s">
        <v>5955</v>
      </c>
      <c r="D1220" s="897" t="s">
        <v>1912</v>
      </c>
      <c r="E1220" s="897"/>
      <c r="F1220" s="897"/>
      <c r="G1220" s="897"/>
      <c r="H1220" s="898" t="s">
        <v>1914</v>
      </c>
      <c r="I1220" s="899"/>
      <c r="J1220" s="899"/>
    </row>
    <row r="1221" spans="1:10">
      <c r="A1221" s="896" t="s">
        <v>5956</v>
      </c>
      <c r="B1221" s="897" t="s">
        <v>5957</v>
      </c>
      <c r="C1221" s="897" t="s">
        <v>5958</v>
      </c>
      <c r="D1221" s="897" t="s">
        <v>1912</v>
      </c>
      <c r="E1221" s="897"/>
      <c r="F1221" s="897"/>
      <c r="G1221" s="897"/>
      <c r="H1221" s="898" t="e">
        <v>#N/A</v>
      </c>
      <c r="I1221" s="899"/>
      <c r="J1221" s="899"/>
    </row>
    <row r="1222" spans="1:10">
      <c r="A1222" s="896" t="s">
        <v>5959</v>
      </c>
      <c r="B1222" s="897" t="s">
        <v>5960</v>
      </c>
      <c r="C1222" s="897" t="s">
        <v>5961</v>
      </c>
      <c r="D1222" s="897" t="s">
        <v>1912</v>
      </c>
      <c r="E1222" s="897"/>
      <c r="F1222" s="897"/>
      <c r="G1222" s="897"/>
      <c r="H1222" s="898" t="e">
        <v>#N/A</v>
      </c>
      <c r="I1222" s="899"/>
      <c r="J1222" s="899"/>
    </row>
    <row r="1223" spans="1:10">
      <c r="A1223" s="896" t="s">
        <v>5962</v>
      </c>
      <c r="B1223" s="897" t="s">
        <v>5963</v>
      </c>
      <c r="C1223" s="897" t="s">
        <v>5964</v>
      </c>
      <c r="D1223" s="897" t="s">
        <v>1912</v>
      </c>
      <c r="E1223" s="897"/>
      <c r="F1223" s="897"/>
      <c r="G1223" s="897"/>
      <c r="H1223" s="898" t="e">
        <v>#N/A</v>
      </c>
      <c r="I1223" s="899"/>
      <c r="J1223" s="899"/>
    </row>
    <row r="1224" spans="1:10">
      <c r="A1224" s="896" t="s">
        <v>5965</v>
      </c>
      <c r="B1224" s="897" t="s">
        <v>5966</v>
      </c>
      <c r="C1224" s="897" t="s">
        <v>5967</v>
      </c>
      <c r="D1224" s="897" t="s">
        <v>1912</v>
      </c>
      <c r="E1224" s="897"/>
      <c r="F1224" s="897"/>
      <c r="G1224" s="897"/>
      <c r="H1224" s="898" t="e">
        <v>#N/A</v>
      </c>
      <c r="I1224" s="899"/>
      <c r="J1224" s="899"/>
    </row>
    <row r="1225" spans="1:10">
      <c r="A1225" s="896" t="s">
        <v>5968</v>
      </c>
      <c r="B1225" s="897" t="s">
        <v>5969</v>
      </c>
      <c r="C1225" s="897" t="s">
        <v>5970</v>
      </c>
      <c r="D1225" s="897" t="s">
        <v>1912</v>
      </c>
      <c r="E1225" s="897"/>
      <c r="F1225" s="897"/>
      <c r="G1225" s="897"/>
      <c r="H1225" s="898" t="s">
        <v>1914</v>
      </c>
      <c r="I1225" s="899"/>
      <c r="J1225" s="899"/>
    </row>
    <row r="1226" spans="1:10">
      <c r="A1226" s="896" t="s">
        <v>5971</v>
      </c>
      <c r="B1226" s="897" t="s">
        <v>5972</v>
      </c>
      <c r="C1226" s="897" t="s">
        <v>5973</v>
      </c>
      <c r="D1226" s="897" t="s">
        <v>1912</v>
      </c>
      <c r="E1226" s="897"/>
      <c r="F1226" s="897"/>
      <c r="G1226" s="897"/>
      <c r="H1226" s="898" t="e">
        <v>#N/A</v>
      </c>
      <c r="I1226" s="899"/>
      <c r="J1226" s="899"/>
    </row>
    <row r="1227" spans="1:10">
      <c r="A1227" s="896" t="s">
        <v>5974</v>
      </c>
      <c r="B1227" s="897" t="s">
        <v>542</v>
      </c>
      <c r="C1227" s="897" t="s">
        <v>5975</v>
      </c>
      <c r="D1227" s="897" t="s">
        <v>5976</v>
      </c>
      <c r="E1227" s="897"/>
      <c r="F1227" s="897"/>
      <c r="G1227" s="897"/>
      <c r="H1227" s="898" t="s">
        <v>1914</v>
      </c>
      <c r="I1227" s="899"/>
      <c r="J1227" s="899"/>
    </row>
    <row r="1228" spans="1:10">
      <c r="A1228" s="896" t="s">
        <v>5977</v>
      </c>
      <c r="B1228" s="897" t="s">
        <v>5978</v>
      </c>
      <c r="C1228" s="897" t="s">
        <v>4119</v>
      </c>
      <c r="D1228" s="897" t="s">
        <v>1912</v>
      </c>
      <c r="E1228" s="897"/>
      <c r="F1228" s="897"/>
      <c r="G1228" s="897"/>
      <c r="H1228" s="898" t="e">
        <v>#N/A</v>
      </c>
      <c r="I1228" s="899"/>
      <c r="J1228" s="899"/>
    </row>
    <row r="1229" spans="1:10">
      <c r="A1229" s="896" t="s">
        <v>5979</v>
      </c>
      <c r="B1229" s="897" t="s">
        <v>5980</v>
      </c>
      <c r="C1229" s="897" t="s">
        <v>5981</v>
      </c>
      <c r="D1229" s="897" t="s">
        <v>1912</v>
      </c>
      <c r="E1229" s="897"/>
      <c r="F1229" s="897"/>
      <c r="G1229" s="897"/>
      <c r="H1229" s="898" t="e">
        <v>#N/A</v>
      </c>
      <c r="I1229" s="899"/>
      <c r="J1229" s="899"/>
    </row>
    <row r="1230" spans="1:10">
      <c r="A1230" s="896" t="s">
        <v>5982</v>
      </c>
      <c r="B1230" s="897" t="s">
        <v>235</v>
      </c>
      <c r="C1230" s="897" t="s">
        <v>4164</v>
      </c>
      <c r="D1230" s="897" t="s">
        <v>1131</v>
      </c>
      <c r="E1230" s="897"/>
      <c r="F1230" s="897"/>
      <c r="G1230" s="897"/>
      <c r="H1230" s="898" t="s">
        <v>1914</v>
      </c>
      <c r="I1230" s="899"/>
      <c r="J1230" s="899"/>
    </row>
    <row r="1231" spans="1:10">
      <c r="A1231" s="896" t="s">
        <v>5983</v>
      </c>
      <c r="B1231" s="897" t="s">
        <v>5984</v>
      </c>
      <c r="C1231" s="897" t="s">
        <v>5985</v>
      </c>
      <c r="D1231" s="897" t="s">
        <v>1912</v>
      </c>
      <c r="E1231" s="897"/>
      <c r="F1231" s="897"/>
      <c r="G1231" s="897"/>
      <c r="H1231" s="898" t="e">
        <v>#N/A</v>
      </c>
      <c r="I1231" s="899"/>
      <c r="J1231" s="899"/>
    </row>
    <row r="1232" spans="1:10">
      <c r="A1232" s="896" t="s">
        <v>5986</v>
      </c>
      <c r="B1232" s="897" t="s">
        <v>5987</v>
      </c>
      <c r="C1232" s="897" t="s">
        <v>5988</v>
      </c>
      <c r="D1232" s="897" t="s">
        <v>1912</v>
      </c>
      <c r="E1232" s="897"/>
      <c r="F1232" s="897"/>
      <c r="G1232" s="897"/>
      <c r="H1232" s="898" t="s">
        <v>1914</v>
      </c>
      <c r="I1232" s="899"/>
      <c r="J1232" s="899"/>
    </row>
    <row r="1233" spans="1:10">
      <c r="A1233" s="896" t="s">
        <v>5989</v>
      </c>
      <c r="B1233" s="897" t="s">
        <v>5990</v>
      </c>
      <c r="C1233" s="897" t="s">
        <v>5991</v>
      </c>
      <c r="D1233" s="897" t="s">
        <v>1912</v>
      </c>
      <c r="E1233" s="897"/>
      <c r="F1233" s="897"/>
      <c r="G1233" s="897"/>
      <c r="H1233" s="898" t="e">
        <v>#N/A</v>
      </c>
      <c r="I1233" s="899"/>
      <c r="J1233" s="899"/>
    </row>
    <row r="1234" spans="1:10">
      <c r="A1234" s="896" t="s">
        <v>5992</v>
      </c>
      <c r="B1234" s="897" t="s">
        <v>249</v>
      </c>
      <c r="C1234" s="897"/>
      <c r="D1234" s="897" t="s">
        <v>1195</v>
      </c>
      <c r="E1234" s="897"/>
      <c r="F1234" s="897"/>
      <c r="G1234" s="897"/>
      <c r="H1234" s="898" t="e">
        <v>#N/A</v>
      </c>
      <c r="I1234" s="899"/>
      <c r="J1234" s="899"/>
    </row>
    <row r="1235" spans="1:10">
      <c r="A1235" s="896" t="s">
        <v>5993</v>
      </c>
      <c r="B1235" s="897" t="s">
        <v>5994</v>
      </c>
      <c r="C1235" s="897" t="s">
        <v>5995</v>
      </c>
      <c r="D1235" s="897" t="s">
        <v>1912</v>
      </c>
      <c r="E1235" s="897"/>
      <c r="F1235" s="897"/>
      <c r="G1235" s="897"/>
      <c r="H1235" s="898" t="e">
        <v>#N/A</v>
      </c>
      <c r="I1235" s="899"/>
      <c r="J1235" s="899"/>
    </row>
    <row r="1236" spans="1:10">
      <c r="A1236" s="896" t="s">
        <v>5996</v>
      </c>
      <c r="B1236" s="897" t="s">
        <v>5997</v>
      </c>
      <c r="C1236" s="897" t="s">
        <v>5998</v>
      </c>
      <c r="D1236" s="897" t="s">
        <v>1912</v>
      </c>
      <c r="E1236" s="897"/>
      <c r="F1236" s="897"/>
      <c r="G1236" s="897"/>
      <c r="H1236" s="898" t="e">
        <v>#N/A</v>
      </c>
      <c r="I1236" s="899"/>
      <c r="J1236" s="899"/>
    </row>
    <row r="1237" spans="1:10">
      <c r="A1237" s="896" t="s">
        <v>5999</v>
      </c>
      <c r="B1237" s="897" t="s">
        <v>6000</v>
      </c>
      <c r="C1237" s="897" t="s">
        <v>4009</v>
      </c>
      <c r="D1237" s="897" t="s">
        <v>1912</v>
      </c>
      <c r="E1237" s="897"/>
      <c r="F1237" s="897"/>
      <c r="G1237" s="897"/>
      <c r="H1237" s="898" t="s">
        <v>1953</v>
      </c>
      <c r="I1237" s="899"/>
      <c r="J1237" s="899"/>
    </row>
    <row r="1238" spans="1:10">
      <c r="A1238" s="896" t="s">
        <v>6001</v>
      </c>
      <c r="B1238" s="897" t="s">
        <v>6002</v>
      </c>
      <c r="C1238" s="897" t="s">
        <v>4051</v>
      </c>
      <c r="D1238" s="897" t="s">
        <v>1912</v>
      </c>
      <c r="E1238" s="897"/>
      <c r="F1238" s="897"/>
      <c r="G1238" s="897"/>
      <c r="H1238" s="898" t="e">
        <v>#N/A</v>
      </c>
      <c r="I1238" s="899"/>
      <c r="J1238" s="899"/>
    </row>
    <row r="1239" spans="1:10">
      <c r="A1239" s="896" t="s">
        <v>6003</v>
      </c>
      <c r="B1239" s="897" t="s">
        <v>6004</v>
      </c>
      <c r="C1239" s="897" t="s">
        <v>6005</v>
      </c>
      <c r="D1239" s="897" t="s">
        <v>1912</v>
      </c>
      <c r="E1239" s="897"/>
      <c r="F1239" s="897"/>
      <c r="G1239" s="897"/>
      <c r="H1239" s="898" t="e">
        <v>#N/A</v>
      </c>
      <c r="I1239" s="899"/>
      <c r="J1239" s="899"/>
    </row>
    <row r="1240" spans="1:10">
      <c r="A1240" s="896" t="s">
        <v>6006</v>
      </c>
      <c r="B1240" s="897" t="s">
        <v>462</v>
      </c>
      <c r="C1240" s="897" t="s">
        <v>6007</v>
      </c>
      <c r="D1240" s="897" t="s">
        <v>1912</v>
      </c>
      <c r="E1240" s="897"/>
      <c r="F1240" s="897"/>
      <c r="G1240" s="897"/>
      <c r="H1240" s="898" t="s">
        <v>1953</v>
      </c>
      <c r="I1240" s="899"/>
      <c r="J1240" s="899"/>
    </row>
    <row r="1241" spans="1:10">
      <c r="A1241" s="896" t="s">
        <v>6008</v>
      </c>
      <c r="B1241" s="897" t="s">
        <v>6009</v>
      </c>
      <c r="C1241" s="897" t="s">
        <v>6010</v>
      </c>
      <c r="D1241" s="897" t="s">
        <v>1912</v>
      </c>
      <c r="E1241" s="897"/>
      <c r="F1241" s="897"/>
      <c r="G1241" s="897"/>
      <c r="H1241" s="898" t="e">
        <v>#N/A</v>
      </c>
      <c r="I1241" s="899"/>
      <c r="J1241" s="899"/>
    </row>
    <row r="1242" spans="1:10">
      <c r="A1242" s="896" t="s">
        <v>6011</v>
      </c>
      <c r="B1242" s="897" t="s">
        <v>6012</v>
      </c>
      <c r="C1242" s="897" t="s">
        <v>6013</v>
      </c>
      <c r="D1242" s="897" t="s">
        <v>1912</v>
      </c>
      <c r="E1242" s="897"/>
      <c r="F1242" s="897"/>
      <c r="G1242" s="897"/>
      <c r="H1242" s="898" t="e">
        <v>#N/A</v>
      </c>
      <c r="I1242" s="899"/>
      <c r="J1242" s="899"/>
    </row>
    <row r="1243" spans="1:10">
      <c r="A1243" s="896" t="s">
        <v>6014</v>
      </c>
      <c r="B1243" s="897" t="s">
        <v>6015</v>
      </c>
      <c r="C1243" s="897" t="s">
        <v>6016</v>
      </c>
      <c r="D1243" s="897" t="s">
        <v>1912</v>
      </c>
      <c r="E1243" s="897"/>
      <c r="F1243" s="897"/>
      <c r="G1243" s="897"/>
      <c r="H1243" s="898" t="e">
        <v>#N/A</v>
      </c>
      <c r="I1243" s="899"/>
      <c r="J1243" s="899"/>
    </row>
    <row r="1244" spans="1:10">
      <c r="A1244" s="896" t="s">
        <v>6017</v>
      </c>
      <c r="B1244" s="897" t="s">
        <v>1724</v>
      </c>
      <c r="C1244" s="897" t="s">
        <v>1912</v>
      </c>
      <c r="D1244" s="897" t="s">
        <v>1912</v>
      </c>
      <c r="E1244" s="897"/>
      <c r="F1244" s="897"/>
      <c r="G1244" s="897"/>
      <c r="H1244" s="898" t="e">
        <v>#N/A</v>
      </c>
      <c r="I1244" s="899"/>
      <c r="J1244" s="899"/>
    </row>
    <row r="1245" spans="1:10">
      <c r="A1245" s="896" t="s">
        <v>6018</v>
      </c>
      <c r="B1245" s="897" t="s">
        <v>1756</v>
      </c>
      <c r="C1245" s="897" t="s">
        <v>1912</v>
      </c>
      <c r="D1245" s="897" t="s">
        <v>1912</v>
      </c>
      <c r="E1245" s="897"/>
      <c r="F1245" s="897"/>
      <c r="G1245" s="897"/>
      <c r="H1245" s="898" t="e">
        <v>#N/A</v>
      </c>
      <c r="I1245" s="899"/>
      <c r="J1245" s="899"/>
    </row>
    <row r="1246" spans="1:10">
      <c r="A1246" s="896" t="s">
        <v>6019</v>
      </c>
      <c r="B1246" s="897" t="s">
        <v>6020</v>
      </c>
      <c r="C1246" s="897" t="s">
        <v>6021</v>
      </c>
      <c r="D1246" s="897" t="s">
        <v>1912</v>
      </c>
      <c r="E1246" s="897"/>
      <c r="F1246" s="897"/>
      <c r="G1246" s="897"/>
      <c r="H1246" s="898" t="e">
        <v>#N/A</v>
      </c>
      <c r="I1246" s="899"/>
      <c r="J1246" s="899"/>
    </row>
    <row r="1247" spans="1:10">
      <c r="A1247" s="896" t="s">
        <v>6022</v>
      </c>
      <c r="B1247" s="897" t="s">
        <v>6023</v>
      </c>
      <c r="C1247" s="897"/>
      <c r="D1247" s="897"/>
      <c r="E1247" s="897"/>
      <c r="F1247" s="897" t="s">
        <v>716</v>
      </c>
      <c r="G1247" s="897"/>
      <c r="H1247" s="898" t="e">
        <v>#N/A</v>
      </c>
      <c r="I1247" s="899"/>
      <c r="J1247" s="899"/>
    </row>
    <row r="1248" spans="1:10">
      <c r="A1248" s="896" t="s">
        <v>6024</v>
      </c>
      <c r="B1248" s="897" t="s">
        <v>6025</v>
      </c>
      <c r="C1248" s="897" t="s">
        <v>6026</v>
      </c>
      <c r="D1248" s="897" t="s">
        <v>1912</v>
      </c>
      <c r="E1248" s="897"/>
      <c r="F1248" s="897"/>
      <c r="G1248" s="897"/>
      <c r="H1248" s="898" t="e">
        <v>#N/A</v>
      </c>
      <c r="I1248" s="899"/>
      <c r="J1248" s="899"/>
    </row>
    <row r="1249" spans="1:10">
      <c r="A1249" s="896" t="s">
        <v>6027</v>
      </c>
      <c r="B1249" s="897" t="s">
        <v>6028</v>
      </c>
      <c r="C1249" s="897" t="s">
        <v>6029</v>
      </c>
      <c r="D1249" s="897" t="s">
        <v>1912</v>
      </c>
      <c r="E1249" s="897"/>
      <c r="F1249" s="897"/>
      <c r="G1249" s="897"/>
      <c r="H1249" s="898" t="s">
        <v>1953</v>
      </c>
      <c r="I1249" s="899"/>
      <c r="J1249" s="899"/>
    </row>
    <row r="1250" spans="1:10">
      <c r="A1250" s="896" t="s">
        <v>6030</v>
      </c>
      <c r="B1250" s="897" t="s">
        <v>368</v>
      </c>
      <c r="C1250" s="897" t="s">
        <v>5525</v>
      </c>
      <c r="D1250" s="897" t="s">
        <v>1212</v>
      </c>
      <c r="E1250" s="897"/>
      <c r="F1250" s="897"/>
      <c r="G1250" s="897"/>
      <c r="H1250" s="898" t="s">
        <v>1914</v>
      </c>
      <c r="I1250" s="899"/>
      <c r="J1250" s="899"/>
    </row>
    <row r="1251" spans="1:10">
      <c r="A1251" s="896" t="s">
        <v>6031</v>
      </c>
      <c r="B1251" s="897" t="s">
        <v>6032</v>
      </c>
      <c r="C1251" s="897" t="s">
        <v>3674</v>
      </c>
      <c r="D1251" s="897" t="s">
        <v>1912</v>
      </c>
      <c r="E1251" s="897"/>
      <c r="F1251" s="897"/>
      <c r="G1251" s="897"/>
      <c r="H1251" s="898" t="e">
        <v>#N/A</v>
      </c>
      <c r="I1251" s="899"/>
      <c r="J1251" s="899"/>
    </row>
    <row r="1252" spans="1:10">
      <c r="A1252" s="896" t="s">
        <v>6033</v>
      </c>
      <c r="B1252" s="897" t="s">
        <v>6034</v>
      </c>
      <c r="C1252" s="897" t="s">
        <v>4223</v>
      </c>
      <c r="D1252" s="897" t="s">
        <v>1912</v>
      </c>
      <c r="E1252" s="897"/>
      <c r="F1252" s="897"/>
      <c r="G1252" s="897"/>
      <c r="H1252" s="898" t="e">
        <v>#N/A</v>
      </c>
      <c r="I1252" s="899"/>
      <c r="J1252" s="899"/>
    </row>
    <row r="1253" spans="1:10">
      <c r="A1253" s="896" t="s">
        <v>6035</v>
      </c>
      <c r="B1253" s="897" t="s">
        <v>6036</v>
      </c>
      <c r="C1253" s="897" t="s">
        <v>1912</v>
      </c>
      <c r="D1253" s="897" t="s">
        <v>1912</v>
      </c>
      <c r="E1253" s="897"/>
      <c r="F1253" s="897"/>
      <c r="G1253" s="897"/>
      <c r="H1253" s="898" t="e">
        <v>#N/A</v>
      </c>
      <c r="I1253" s="899"/>
      <c r="J1253" s="899"/>
    </row>
    <row r="1254" spans="1:10">
      <c r="A1254" s="896" t="s">
        <v>6037</v>
      </c>
      <c r="B1254" s="897" t="s">
        <v>6038</v>
      </c>
      <c r="C1254" s="897" t="s">
        <v>4306</v>
      </c>
      <c r="D1254" s="897" t="s">
        <v>1912</v>
      </c>
      <c r="E1254" s="897"/>
      <c r="F1254" s="897"/>
      <c r="G1254" s="897"/>
      <c r="H1254" s="898" t="e">
        <v>#N/A</v>
      </c>
      <c r="I1254" s="899"/>
      <c r="J1254" s="899"/>
    </row>
    <row r="1255" spans="1:10">
      <c r="A1255" s="896" t="s">
        <v>6039</v>
      </c>
      <c r="B1255" s="897" t="s">
        <v>6040</v>
      </c>
      <c r="C1255" s="897" t="s">
        <v>6041</v>
      </c>
      <c r="D1255" s="897" t="s">
        <v>1912</v>
      </c>
      <c r="E1255" s="897"/>
      <c r="F1255" s="897"/>
      <c r="G1255" s="897"/>
      <c r="H1255" s="898" t="e">
        <v>#N/A</v>
      </c>
      <c r="I1255" s="899"/>
      <c r="J1255" s="899"/>
    </row>
    <row r="1256" spans="1:10">
      <c r="A1256" s="896" t="s">
        <v>6042</v>
      </c>
      <c r="B1256" s="897" t="s">
        <v>6043</v>
      </c>
      <c r="C1256" s="897" t="s">
        <v>6044</v>
      </c>
      <c r="D1256" s="897" t="s">
        <v>1912</v>
      </c>
      <c r="E1256" s="897"/>
      <c r="F1256" s="897"/>
      <c r="G1256" s="897"/>
      <c r="H1256" s="898" t="e">
        <v>#N/A</v>
      </c>
      <c r="I1256" s="899"/>
      <c r="J1256" s="899"/>
    </row>
    <row r="1257" spans="1:10">
      <c r="A1257" s="896" t="s">
        <v>6045</v>
      </c>
      <c r="B1257" s="897" t="s">
        <v>6046</v>
      </c>
      <c r="C1257" s="897" t="s">
        <v>6047</v>
      </c>
      <c r="D1257" s="897" t="s">
        <v>1912</v>
      </c>
      <c r="E1257" s="897"/>
      <c r="F1257" s="897"/>
      <c r="G1257" s="897"/>
      <c r="H1257" s="898" t="e">
        <v>#N/A</v>
      </c>
      <c r="I1257" s="899"/>
      <c r="J1257" s="899"/>
    </row>
    <row r="1258" spans="1:10">
      <c r="A1258" s="896" t="s">
        <v>6048</v>
      </c>
      <c r="B1258" s="897" t="s">
        <v>292</v>
      </c>
      <c r="C1258" s="897" t="s">
        <v>6049</v>
      </c>
      <c r="D1258" s="897" t="s">
        <v>1213</v>
      </c>
      <c r="E1258" s="897"/>
      <c r="F1258" s="897"/>
      <c r="G1258" s="897"/>
      <c r="H1258" s="898">
        <v>0</v>
      </c>
      <c r="I1258" s="899"/>
      <c r="J1258" s="899"/>
    </row>
    <row r="1259" spans="1:10">
      <c r="A1259" s="896" t="s">
        <v>6050</v>
      </c>
      <c r="B1259" s="897" t="s">
        <v>6051</v>
      </c>
      <c r="C1259" s="897" t="s">
        <v>6052</v>
      </c>
      <c r="D1259" s="897" t="s">
        <v>1912</v>
      </c>
      <c r="E1259" s="897"/>
      <c r="F1259" s="897"/>
      <c r="G1259" s="897"/>
      <c r="H1259" s="898" t="e">
        <v>#N/A</v>
      </c>
      <c r="I1259" s="899"/>
      <c r="J1259" s="899"/>
    </row>
    <row r="1260" spans="1:10">
      <c r="A1260" s="896" t="s">
        <v>6053</v>
      </c>
      <c r="B1260" s="897" t="s">
        <v>293</v>
      </c>
      <c r="C1260" s="897" t="s">
        <v>6054</v>
      </c>
      <c r="D1260" s="897" t="s">
        <v>1281</v>
      </c>
      <c r="E1260" s="897"/>
      <c r="F1260" s="897"/>
      <c r="G1260" s="897"/>
      <c r="H1260" s="898" t="s">
        <v>136</v>
      </c>
      <c r="I1260" s="899"/>
      <c r="J1260" s="899"/>
    </row>
    <row r="1261" spans="1:10">
      <c r="A1261" s="896" t="s">
        <v>6055</v>
      </c>
      <c r="B1261" s="897" t="s">
        <v>175</v>
      </c>
      <c r="C1261" s="897" t="s">
        <v>2162</v>
      </c>
      <c r="D1261" s="897" t="s">
        <v>1214</v>
      </c>
      <c r="E1261" s="897"/>
      <c r="F1261" s="897"/>
      <c r="G1261" s="897"/>
      <c r="H1261" s="898">
        <v>0</v>
      </c>
      <c r="I1261" s="899"/>
      <c r="J1261" s="899"/>
    </row>
    <row r="1262" spans="1:10">
      <c r="A1262" s="896" t="s">
        <v>6056</v>
      </c>
      <c r="B1262" s="897" t="s">
        <v>6057</v>
      </c>
      <c r="C1262" s="897" t="s">
        <v>6058</v>
      </c>
      <c r="D1262" s="897" t="s">
        <v>1912</v>
      </c>
      <c r="E1262" s="897"/>
      <c r="F1262" s="897"/>
      <c r="G1262" s="897"/>
      <c r="H1262" s="898">
        <v>0</v>
      </c>
      <c r="I1262" s="899"/>
      <c r="J1262" s="899"/>
    </row>
    <row r="1263" spans="1:10">
      <c r="A1263" s="896" t="s">
        <v>6059</v>
      </c>
      <c r="B1263" s="897" t="s">
        <v>6060</v>
      </c>
      <c r="C1263" s="897" t="s">
        <v>3825</v>
      </c>
      <c r="D1263" s="897" t="s">
        <v>1912</v>
      </c>
      <c r="E1263" s="897"/>
      <c r="F1263" s="897"/>
      <c r="G1263" s="897"/>
      <c r="H1263" s="898" t="s">
        <v>1914</v>
      </c>
      <c r="I1263" s="899"/>
      <c r="J1263" s="899"/>
    </row>
    <row r="1264" spans="1:10">
      <c r="A1264" s="896" t="s">
        <v>6061</v>
      </c>
      <c r="B1264" s="897" t="s">
        <v>1428</v>
      </c>
      <c r="C1264" s="897" t="s">
        <v>6062</v>
      </c>
      <c r="D1264" s="897" t="s">
        <v>1912</v>
      </c>
      <c r="E1264" s="897"/>
      <c r="F1264" s="897"/>
      <c r="G1264" s="897"/>
      <c r="H1264" s="898" t="e">
        <v>#N/A</v>
      </c>
      <c r="I1264" s="899"/>
      <c r="J1264" s="899"/>
    </row>
    <row r="1265" spans="1:10">
      <c r="A1265" s="896" t="s">
        <v>6063</v>
      </c>
      <c r="B1265" s="897" t="s">
        <v>6064</v>
      </c>
      <c r="C1265" s="897" t="s">
        <v>6065</v>
      </c>
      <c r="D1265" s="897" t="s">
        <v>1912</v>
      </c>
      <c r="E1265" s="897"/>
      <c r="F1265" s="897"/>
      <c r="G1265" s="897"/>
      <c r="H1265" s="898" t="e">
        <v>#N/A</v>
      </c>
      <c r="I1265" s="899"/>
      <c r="J1265" s="899"/>
    </row>
    <row r="1266" spans="1:10">
      <c r="A1266" s="896" t="s">
        <v>6066</v>
      </c>
      <c r="B1266" s="897" t="s">
        <v>6067</v>
      </c>
      <c r="C1266" s="897" t="s">
        <v>4128</v>
      </c>
      <c r="D1266" s="897" t="s">
        <v>1912</v>
      </c>
      <c r="E1266" s="897"/>
      <c r="F1266" s="897"/>
      <c r="G1266" s="897"/>
      <c r="H1266" s="898" t="s">
        <v>1914</v>
      </c>
      <c r="I1266" s="899"/>
      <c r="J1266" s="899"/>
    </row>
    <row r="1267" spans="1:10">
      <c r="A1267" s="896" t="s">
        <v>6068</v>
      </c>
      <c r="B1267" s="897" t="s">
        <v>6069</v>
      </c>
      <c r="C1267" s="897" t="s">
        <v>6070</v>
      </c>
      <c r="D1267" s="897" t="s">
        <v>1912</v>
      </c>
      <c r="E1267" s="897"/>
      <c r="F1267" s="897"/>
      <c r="G1267" s="897"/>
      <c r="H1267" s="898" t="s">
        <v>1914</v>
      </c>
      <c r="I1267" s="899"/>
      <c r="J1267" s="899"/>
    </row>
    <row r="1268" spans="1:10">
      <c r="A1268" s="896" t="s">
        <v>6071</v>
      </c>
      <c r="B1268" s="897" t="s">
        <v>6072</v>
      </c>
      <c r="C1268" s="897" t="s">
        <v>4341</v>
      </c>
      <c r="D1268" s="897" t="s">
        <v>1912</v>
      </c>
      <c r="E1268" s="897"/>
      <c r="F1268" s="897"/>
      <c r="G1268" s="897"/>
      <c r="H1268" s="898" t="s">
        <v>1953</v>
      </c>
      <c r="I1268" s="899"/>
      <c r="J1268" s="899"/>
    </row>
    <row r="1269" spans="1:10">
      <c r="A1269" s="896" t="s">
        <v>6073</v>
      </c>
      <c r="B1269" s="897" t="s">
        <v>6074</v>
      </c>
      <c r="C1269" s="897" t="s">
        <v>6075</v>
      </c>
      <c r="D1269" s="897" t="s">
        <v>1912</v>
      </c>
      <c r="E1269" s="897"/>
      <c r="F1269" s="897"/>
      <c r="G1269" s="897"/>
      <c r="H1269" s="898" t="s">
        <v>1953</v>
      </c>
      <c r="I1269" s="899"/>
      <c r="J1269" s="899"/>
    </row>
    <row r="1270" spans="1:10">
      <c r="A1270" s="896" t="s">
        <v>6076</v>
      </c>
      <c r="B1270" s="897" t="s">
        <v>6077</v>
      </c>
      <c r="C1270" s="897" t="s">
        <v>6078</v>
      </c>
      <c r="D1270" s="897" t="s">
        <v>1912</v>
      </c>
      <c r="E1270" s="897"/>
      <c r="F1270" s="897"/>
      <c r="G1270" s="897"/>
      <c r="H1270" s="898" t="e">
        <v>#N/A</v>
      </c>
      <c r="I1270" s="899"/>
      <c r="J1270" s="899"/>
    </row>
    <row r="1271" spans="1:10">
      <c r="A1271" s="896" t="s">
        <v>6079</v>
      </c>
      <c r="B1271" s="897" t="s">
        <v>6080</v>
      </c>
      <c r="C1271" s="897" t="s">
        <v>6081</v>
      </c>
      <c r="D1271" s="897" t="s">
        <v>1912</v>
      </c>
      <c r="E1271" s="897"/>
      <c r="F1271" s="897"/>
      <c r="G1271" s="897"/>
      <c r="H1271" s="898" t="s">
        <v>1953</v>
      </c>
      <c r="I1271" s="899"/>
      <c r="J1271" s="899"/>
    </row>
    <row r="1272" spans="1:10">
      <c r="A1272" s="896" t="s">
        <v>6082</v>
      </c>
      <c r="B1272" s="897" t="s">
        <v>6083</v>
      </c>
      <c r="C1272" s="897" t="s">
        <v>6084</v>
      </c>
      <c r="D1272" s="897" t="s">
        <v>1912</v>
      </c>
      <c r="E1272" s="897"/>
      <c r="F1272" s="897"/>
      <c r="G1272" s="897"/>
      <c r="H1272" s="898" t="s">
        <v>1953</v>
      </c>
      <c r="I1272" s="899"/>
      <c r="J1272" s="899"/>
    </row>
    <row r="1273" spans="1:10">
      <c r="A1273" s="896" t="s">
        <v>6085</v>
      </c>
      <c r="B1273" s="897" t="s">
        <v>6086</v>
      </c>
      <c r="C1273" s="897" t="s">
        <v>6087</v>
      </c>
      <c r="D1273" s="897" t="s">
        <v>1912</v>
      </c>
      <c r="E1273" s="897"/>
      <c r="F1273" s="897"/>
      <c r="G1273" s="897"/>
      <c r="H1273" s="898" t="s">
        <v>1953</v>
      </c>
      <c r="I1273" s="899"/>
      <c r="J1273" s="899"/>
    </row>
    <row r="1274" spans="1:10">
      <c r="A1274" s="896" t="s">
        <v>6088</v>
      </c>
      <c r="B1274" s="897" t="s">
        <v>6089</v>
      </c>
      <c r="C1274" s="897" t="s">
        <v>6090</v>
      </c>
      <c r="D1274" s="897" t="s">
        <v>1912</v>
      </c>
      <c r="E1274" s="897"/>
      <c r="F1274" s="897"/>
      <c r="G1274" s="897"/>
      <c r="H1274" s="898" t="e">
        <v>#N/A</v>
      </c>
      <c r="I1274" s="899"/>
      <c r="J1274" s="899"/>
    </row>
    <row r="1275" spans="1:10">
      <c r="A1275" s="896" t="s">
        <v>6091</v>
      </c>
      <c r="B1275" s="897" t="s">
        <v>6092</v>
      </c>
      <c r="C1275" s="897" t="s">
        <v>6093</v>
      </c>
      <c r="D1275" s="897" t="s">
        <v>1912</v>
      </c>
      <c r="E1275" s="897"/>
      <c r="F1275" s="897"/>
      <c r="G1275" s="897"/>
      <c r="H1275" s="898" t="s">
        <v>1953</v>
      </c>
      <c r="I1275" s="899"/>
      <c r="J1275" s="899"/>
    </row>
    <row r="1276" spans="1:10">
      <c r="A1276" s="896" t="s">
        <v>6094</v>
      </c>
      <c r="B1276" s="897" t="s">
        <v>6095</v>
      </c>
      <c r="C1276" s="897" t="s">
        <v>6096</v>
      </c>
      <c r="D1276" s="897" t="s">
        <v>1912</v>
      </c>
      <c r="E1276" s="897"/>
      <c r="F1276" s="897"/>
      <c r="G1276" s="897"/>
      <c r="H1276" s="898" t="s">
        <v>1953</v>
      </c>
      <c r="I1276" s="899"/>
      <c r="J1276" s="899"/>
    </row>
    <row r="1277" spans="1:10">
      <c r="A1277" s="896" t="s">
        <v>6097</v>
      </c>
      <c r="B1277" s="897" t="s">
        <v>6098</v>
      </c>
      <c r="C1277" s="897" t="s">
        <v>4332</v>
      </c>
      <c r="D1277" s="897" t="s">
        <v>1912</v>
      </c>
      <c r="E1277" s="897"/>
      <c r="F1277" s="897"/>
      <c r="G1277" s="897"/>
      <c r="H1277" s="898" t="s">
        <v>1953</v>
      </c>
      <c r="I1277" s="899"/>
      <c r="J1277" s="899"/>
    </row>
    <row r="1278" spans="1:10">
      <c r="A1278" s="896" t="s">
        <v>6099</v>
      </c>
      <c r="B1278" s="897" t="s">
        <v>6100</v>
      </c>
      <c r="C1278" s="897" t="s">
        <v>6101</v>
      </c>
      <c r="D1278" s="897" t="s">
        <v>1912</v>
      </c>
      <c r="E1278" s="897"/>
      <c r="F1278" s="897"/>
      <c r="G1278" s="897"/>
      <c r="H1278" s="898" t="s">
        <v>1953</v>
      </c>
      <c r="I1278" s="899"/>
      <c r="J1278" s="899"/>
    </row>
    <row r="1279" spans="1:10">
      <c r="A1279" s="896" t="s">
        <v>6102</v>
      </c>
      <c r="B1279" s="897" t="s">
        <v>6103</v>
      </c>
      <c r="C1279" s="897" t="s">
        <v>6104</v>
      </c>
      <c r="D1279" s="897" t="s">
        <v>1912</v>
      </c>
      <c r="E1279" s="897"/>
      <c r="F1279" s="897"/>
      <c r="G1279" s="897"/>
      <c r="H1279" s="898" t="s">
        <v>1953</v>
      </c>
      <c r="I1279" s="899"/>
      <c r="J1279" s="899"/>
    </row>
    <row r="1280" spans="1:10">
      <c r="A1280" s="896" t="s">
        <v>6105</v>
      </c>
      <c r="B1280" s="897" t="s">
        <v>1698</v>
      </c>
      <c r="C1280" s="897" t="s">
        <v>6106</v>
      </c>
      <c r="D1280" s="897" t="s">
        <v>1912</v>
      </c>
      <c r="E1280" s="897"/>
      <c r="F1280" s="897"/>
      <c r="G1280" s="897"/>
      <c r="H1280" s="898" t="e">
        <v>#N/A</v>
      </c>
      <c r="I1280" s="899"/>
      <c r="J1280" s="899"/>
    </row>
    <row r="1281" spans="1:10">
      <c r="A1281" s="896" t="s">
        <v>6107</v>
      </c>
      <c r="B1281" s="897" t="s">
        <v>6108</v>
      </c>
      <c r="C1281" s="897" t="s">
        <v>6109</v>
      </c>
      <c r="D1281" s="897" t="s">
        <v>1912</v>
      </c>
      <c r="E1281" s="897"/>
      <c r="F1281" s="897"/>
      <c r="G1281" s="897"/>
      <c r="H1281" s="898" t="e">
        <v>#N/A</v>
      </c>
      <c r="I1281" s="899"/>
      <c r="J1281" s="899"/>
    </row>
    <row r="1282" spans="1:10">
      <c r="A1282" s="896" t="s">
        <v>6110</v>
      </c>
      <c r="B1282" s="897" t="s">
        <v>6111</v>
      </c>
      <c r="C1282" s="897" t="s">
        <v>6112</v>
      </c>
      <c r="D1282" s="897" t="s">
        <v>1912</v>
      </c>
      <c r="E1282" s="897"/>
      <c r="F1282" s="897"/>
      <c r="G1282" s="897"/>
      <c r="H1282" s="898" t="e">
        <v>#N/A</v>
      </c>
      <c r="I1282" s="899"/>
      <c r="J1282" s="899"/>
    </row>
    <row r="1283" spans="1:10">
      <c r="A1283" s="896" t="s">
        <v>6113</v>
      </c>
      <c r="B1283" s="897" t="s">
        <v>182</v>
      </c>
      <c r="C1283" s="897" t="s">
        <v>6114</v>
      </c>
      <c r="D1283" s="897" t="s">
        <v>6115</v>
      </c>
      <c r="E1283" s="897"/>
      <c r="F1283" s="897"/>
      <c r="G1283" s="897"/>
      <c r="H1283" s="898">
        <v>0</v>
      </c>
      <c r="I1283" s="899"/>
      <c r="J1283" s="899"/>
    </row>
    <row r="1284" spans="1:10">
      <c r="A1284" s="896" t="s">
        <v>6116</v>
      </c>
      <c r="B1284" s="897" t="s">
        <v>1759</v>
      </c>
      <c r="C1284" s="897" t="s">
        <v>6117</v>
      </c>
      <c r="D1284" s="897" t="s">
        <v>1912</v>
      </c>
      <c r="E1284" s="897"/>
      <c r="F1284" s="897"/>
      <c r="G1284" s="897"/>
      <c r="H1284" s="898" t="e">
        <v>#N/A</v>
      </c>
      <c r="I1284" s="899"/>
      <c r="J1284" s="899"/>
    </row>
    <row r="1285" spans="1:10">
      <c r="A1285" s="896" t="s">
        <v>6118</v>
      </c>
      <c r="B1285" s="897" t="s">
        <v>792</v>
      </c>
      <c r="C1285" s="897"/>
      <c r="D1285" s="897"/>
      <c r="E1285" s="897"/>
      <c r="F1285" s="897"/>
      <c r="G1285" s="897"/>
      <c r="H1285" s="898" t="e">
        <v>#N/A</v>
      </c>
      <c r="I1285" s="899"/>
      <c r="J1285" s="899"/>
    </row>
    <row r="1286" spans="1:10">
      <c r="A1286" s="896" t="s">
        <v>6119</v>
      </c>
      <c r="B1286" s="897" t="s">
        <v>6120</v>
      </c>
      <c r="C1286" s="897" t="s">
        <v>6121</v>
      </c>
      <c r="D1286" s="897" t="s">
        <v>1912</v>
      </c>
      <c r="E1286" s="897"/>
      <c r="F1286" s="897" t="s">
        <v>1779</v>
      </c>
      <c r="G1286" s="897" t="s">
        <v>6122</v>
      </c>
      <c r="H1286" s="898" t="e">
        <v>#N/A</v>
      </c>
      <c r="I1286" s="899"/>
      <c r="J1286" s="899"/>
    </row>
    <row r="1287" spans="1:10">
      <c r="A1287" s="896" t="s">
        <v>6123</v>
      </c>
      <c r="B1287" s="897" t="s">
        <v>1431</v>
      </c>
      <c r="C1287" s="897" t="s">
        <v>6124</v>
      </c>
      <c r="D1287" s="897" t="s">
        <v>1912</v>
      </c>
      <c r="E1287" s="897"/>
      <c r="F1287" s="897"/>
      <c r="G1287" s="897"/>
      <c r="H1287" s="898" t="e">
        <v>#N/A</v>
      </c>
      <c r="I1287" s="899"/>
      <c r="J1287" s="899"/>
    </row>
    <row r="1288" spans="1:10">
      <c r="A1288" s="896" t="s">
        <v>6125</v>
      </c>
      <c r="B1288" s="897" t="s">
        <v>298</v>
      </c>
      <c r="C1288" s="897" t="s">
        <v>6126</v>
      </c>
      <c r="D1288" s="897" t="s">
        <v>1912</v>
      </c>
      <c r="E1288" s="897"/>
      <c r="F1288" s="897"/>
      <c r="G1288" s="897"/>
      <c r="H1288" s="898">
        <v>0</v>
      </c>
      <c r="I1288" s="899"/>
      <c r="J1288" s="899"/>
    </row>
    <row r="1289" spans="1:10">
      <c r="A1289" s="896" t="s">
        <v>6127</v>
      </c>
      <c r="B1289" s="897" t="s">
        <v>6128</v>
      </c>
      <c r="C1289" s="897" t="s">
        <v>6129</v>
      </c>
      <c r="D1289" s="897" t="s">
        <v>1912</v>
      </c>
      <c r="E1289" s="897"/>
      <c r="F1289" s="897"/>
      <c r="G1289" s="897"/>
      <c r="H1289" s="898" t="e">
        <v>#N/A</v>
      </c>
      <c r="I1289" s="899"/>
      <c r="J1289" s="899"/>
    </row>
    <row r="1290" spans="1:10">
      <c r="A1290" s="896" t="s">
        <v>6130</v>
      </c>
      <c r="B1290" s="897" t="s">
        <v>6131</v>
      </c>
      <c r="C1290" s="897" t="s">
        <v>6132</v>
      </c>
      <c r="D1290" s="897" t="s">
        <v>1912</v>
      </c>
      <c r="E1290" s="897"/>
      <c r="F1290" s="897"/>
      <c r="G1290" s="897"/>
      <c r="H1290" s="898" t="s">
        <v>1953</v>
      </c>
      <c r="I1290" s="899"/>
      <c r="J1290" s="899"/>
    </row>
    <row r="1291" spans="1:10">
      <c r="A1291" s="896" t="s">
        <v>6133</v>
      </c>
      <c r="B1291" s="897" t="s">
        <v>6134</v>
      </c>
      <c r="C1291" s="897" t="s">
        <v>6135</v>
      </c>
      <c r="D1291" s="897" t="s">
        <v>1912</v>
      </c>
      <c r="E1291" s="897"/>
      <c r="F1291" s="897"/>
      <c r="G1291" s="897"/>
      <c r="H1291" s="898" t="e">
        <v>#N/A</v>
      </c>
      <c r="I1291" s="899"/>
      <c r="J1291" s="899"/>
    </row>
    <row r="1292" spans="1:10">
      <c r="A1292" s="896" t="s">
        <v>6136</v>
      </c>
      <c r="B1292" s="897" t="s">
        <v>6137</v>
      </c>
      <c r="C1292" s="897" t="s">
        <v>4027</v>
      </c>
      <c r="D1292" s="897" t="s">
        <v>1912</v>
      </c>
      <c r="E1292" s="897"/>
      <c r="F1292" s="897" t="s">
        <v>6138</v>
      </c>
      <c r="G1292" s="897" t="s">
        <v>6139</v>
      </c>
      <c r="H1292" s="898" t="e">
        <v>#N/A</v>
      </c>
      <c r="I1292" s="899"/>
      <c r="J1292" s="899"/>
    </row>
    <row r="1293" spans="1:10">
      <c r="A1293" s="896" t="s">
        <v>6140</v>
      </c>
      <c r="B1293" s="897" t="s">
        <v>6141</v>
      </c>
      <c r="C1293" s="897" t="s">
        <v>6142</v>
      </c>
      <c r="D1293" s="897" t="s">
        <v>1912</v>
      </c>
      <c r="E1293" s="897"/>
      <c r="F1293" s="897"/>
      <c r="G1293" s="897"/>
      <c r="H1293" s="898" t="e">
        <v>#N/A</v>
      </c>
      <c r="I1293" s="899"/>
      <c r="J1293" s="899"/>
    </row>
    <row r="1294" spans="1:10">
      <c r="A1294" s="896" t="s">
        <v>6143</v>
      </c>
      <c r="B1294" s="897" t="s">
        <v>6144</v>
      </c>
      <c r="C1294" s="897" t="s">
        <v>6145</v>
      </c>
      <c r="D1294" s="897" t="s">
        <v>1912</v>
      </c>
      <c r="E1294" s="897"/>
      <c r="F1294" s="897"/>
      <c r="G1294" s="897"/>
      <c r="H1294" s="898" t="s">
        <v>1953</v>
      </c>
      <c r="I1294" s="899"/>
      <c r="J1294" s="899"/>
    </row>
    <row r="1295" spans="1:10">
      <c r="A1295" s="896" t="s">
        <v>6146</v>
      </c>
      <c r="B1295" s="897" t="s">
        <v>6147</v>
      </c>
      <c r="C1295" s="897" t="s">
        <v>6148</v>
      </c>
      <c r="D1295" s="897" t="s">
        <v>1912</v>
      </c>
      <c r="E1295" s="897"/>
      <c r="F1295" s="897"/>
      <c r="G1295" s="897"/>
      <c r="H1295" s="898" t="e">
        <v>#N/A</v>
      </c>
      <c r="I1295" s="899"/>
      <c r="J1295" s="899"/>
    </row>
    <row r="1296" spans="1:10">
      <c r="A1296" s="896" t="s">
        <v>6149</v>
      </c>
      <c r="B1296" s="897" t="s">
        <v>6150</v>
      </c>
      <c r="C1296" s="897" t="s">
        <v>6151</v>
      </c>
      <c r="D1296" s="897" t="s">
        <v>1912</v>
      </c>
      <c r="E1296" s="897"/>
      <c r="F1296" s="897"/>
      <c r="G1296" s="897"/>
      <c r="H1296" s="898" t="e">
        <v>#N/A</v>
      </c>
      <c r="I1296" s="899"/>
      <c r="J1296" s="899"/>
    </row>
    <row r="1297" spans="1:10">
      <c r="A1297" s="896" t="s">
        <v>6152</v>
      </c>
      <c r="B1297" s="897" t="s">
        <v>250</v>
      </c>
      <c r="C1297" s="897" t="s">
        <v>2840</v>
      </c>
      <c r="D1297" s="897" t="s">
        <v>1219</v>
      </c>
      <c r="E1297" s="897"/>
      <c r="F1297" s="897"/>
      <c r="G1297" s="897"/>
      <c r="H1297" s="898" t="s">
        <v>1914</v>
      </c>
      <c r="I1297" s="899"/>
      <c r="J1297" s="899"/>
    </row>
    <row r="1298" spans="1:10">
      <c r="A1298" s="896" t="s">
        <v>6153</v>
      </c>
      <c r="B1298" s="897" t="s">
        <v>330</v>
      </c>
      <c r="C1298" s="897" t="s">
        <v>7188</v>
      </c>
      <c r="D1298" s="897" t="s">
        <v>1220</v>
      </c>
      <c r="E1298" s="897"/>
      <c r="F1298" s="897"/>
      <c r="G1298" s="897"/>
      <c r="H1298" s="898" t="s">
        <v>1953</v>
      </c>
      <c r="I1298" s="899"/>
      <c r="J1298" s="899"/>
    </row>
    <row r="1299" spans="1:10">
      <c r="A1299" s="896" t="s">
        <v>6154</v>
      </c>
      <c r="B1299" s="897" t="s">
        <v>6155</v>
      </c>
      <c r="C1299" s="897" t="s">
        <v>6156</v>
      </c>
      <c r="D1299" s="897" t="s">
        <v>1912</v>
      </c>
      <c r="E1299" s="897"/>
      <c r="F1299" s="897"/>
      <c r="G1299" s="897"/>
      <c r="H1299" s="898" t="e">
        <v>#N/A</v>
      </c>
      <c r="I1299" s="899"/>
      <c r="J1299" s="899"/>
    </row>
    <row r="1300" spans="1:10">
      <c r="A1300" s="896" t="s">
        <v>6157</v>
      </c>
      <c r="B1300" s="897" t="s">
        <v>6158</v>
      </c>
      <c r="C1300" s="897" t="s">
        <v>4113</v>
      </c>
      <c r="D1300" s="897" t="s">
        <v>1912</v>
      </c>
      <c r="E1300" s="897"/>
      <c r="F1300" s="897"/>
      <c r="G1300" s="897"/>
      <c r="H1300" s="898" t="s">
        <v>1914</v>
      </c>
      <c r="I1300" s="899"/>
      <c r="J1300" s="899"/>
    </row>
    <row r="1301" spans="1:10">
      <c r="A1301" s="896" t="s">
        <v>6159</v>
      </c>
      <c r="B1301" s="897" t="s">
        <v>6160</v>
      </c>
      <c r="C1301" s="897" t="s">
        <v>4782</v>
      </c>
      <c r="D1301" s="897" t="s">
        <v>1912</v>
      </c>
      <c r="E1301" s="897"/>
      <c r="F1301" s="897"/>
      <c r="G1301" s="897"/>
      <c r="H1301" s="898" t="s">
        <v>1953</v>
      </c>
      <c r="I1301" s="899"/>
      <c r="J1301" s="899"/>
    </row>
    <row r="1302" spans="1:10">
      <c r="A1302" s="896" t="s">
        <v>6161</v>
      </c>
      <c r="B1302" s="897" t="s">
        <v>6162</v>
      </c>
      <c r="C1302" s="897" t="s">
        <v>6163</v>
      </c>
      <c r="D1302" s="897" t="s">
        <v>1912</v>
      </c>
      <c r="E1302" s="897"/>
      <c r="F1302" s="897"/>
      <c r="G1302" s="897"/>
      <c r="H1302" s="898" t="e">
        <v>#N/A</v>
      </c>
      <c r="I1302" s="899"/>
      <c r="J1302" s="899"/>
    </row>
    <row r="1303" spans="1:10">
      <c r="A1303" s="896" t="s">
        <v>6164</v>
      </c>
      <c r="B1303" s="897" t="s">
        <v>6165</v>
      </c>
      <c r="C1303" s="897" t="s">
        <v>6166</v>
      </c>
      <c r="D1303" s="897" t="s">
        <v>1912</v>
      </c>
      <c r="E1303" s="897"/>
      <c r="F1303" s="897"/>
      <c r="G1303" s="897"/>
      <c r="H1303" s="898" t="e">
        <v>#N/A</v>
      </c>
      <c r="I1303" s="899"/>
      <c r="J1303" s="899"/>
    </row>
    <row r="1304" spans="1:10">
      <c r="A1304" s="896" t="s">
        <v>6167</v>
      </c>
      <c r="B1304" s="897" t="s">
        <v>1221</v>
      </c>
      <c r="C1304" s="897" t="s">
        <v>6168</v>
      </c>
      <c r="D1304" s="897" t="s">
        <v>1222</v>
      </c>
      <c r="E1304" s="897"/>
      <c r="F1304" s="897"/>
      <c r="G1304" s="897"/>
      <c r="H1304" s="898" t="s">
        <v>1914</v>
      </c>
      <c r="I1304" s="899"/>
      <c r="J1304" s="899"/>
    </row>
    <row r="1305" spans="1:10">
      <c r="A1305" s="896" t="s">
        <v>6169</v>
      </c>
      <c r="B1305" s="897" t="s">
        <v>6170</v>
      </c>
      <c r="C1305" s="897" t="s">
        <v>6171</v>
      </c>
      <c r="D1305" s="897" t="s">
        <v>1912</v>
      </c>
      <c r="E1305" s="897"/>
      <c r="F1305" s="897"/>
      <c r="G1305" s="897"/>
      <c r="H1305" s="898" t="e">
        <v>#N/A</v>
      </c>
      <c r="I1305" s="899"/>
      <c r="J1305" s="899"/>
    </row>
    <row r="1306" spans="1:10">
      <c r="A1306" s="896" t="s">
        <v>6172</v>
      </c>
      <c r="B1306" s="897" t="s">
        <v>6173</v>
      </c>
      <c r="C1306" s="897" t="s">
        <v>6174</v>
      </c>
      <c r="D1306" s="897" t="s">
        <v>1912</v>
      </c>
      <c r="E1306" s="897"/>
      <c r="F1306" s="897"/>
      <c r="G1306" s="897"/>
      <c r="H1306" s="898" t="e">
        <v>#N/A</v>
      </c>
      <c r="I1306" s="899"/>
      <c r="J1306" s="899"/>
    </row>
    <row r="1307" spans="1:10">
      <c r="A1307" s="896" t="s">
        <v>6175</v>
      </c>
      <c r="B1307" s="897" t="s">
        <v>6176</v>
      </c>
      <c r="C1307" s="897" t="s">
        <v>6177</v>
      </c>
      <c r="D1307" s="897" t="s">
        <v>1912</v>
      </c>
      <c r="E1307" s="897"/>
      <c r="F1307" s="897" t="s">
        <v>6178</v>
      </c>
      <c r="G1307" s="897" t="s">
        <v>6179</v>
      </c>
      <c r="H1307" s="898" t="e">
        <v>#N/A</v>
      </c>
      <c r="I1307" s="899"/>
      <c r="J1307" s="899"/>
    </row>
    <row r="1308" spans="1:10">
      <c r="A1308" s="896" t="s">
        <v>6180</v>
      </c>
      <c r="B1308" s="897" t="s">
        <v>6181</v>
      </c>
      <c r="C1308" s="897" t="s">
        <v>6182</v>
      </c>
      <c r="D1308" s="897" t="s">
        <v>1912</v>
      </c>
      <c r="E1308" s="897"/>
      <c r="F1308" s="897" t="s">
        <v>1680</v>
      </c>
      <c r="G1308" s="897" t="s">
        <v>6183</v>
      </c>
      <c r="H1308" s="898" t="e">
        <v>#N/A</v>
      </c>
      <c r="I1308" s="899"/>
      <c r="J1308" s="899"/>
    </row>
    <row r="1309" spans="1:10">
      <c r="A1309" s="896" t="s">
        <v>6184</v>
      </c>
      <c r="B1309" s="897" t="s">
        <v>16</v>
      </c>
      <c r="C1309" s="897"/>
      <c r="D1309" s="897" t="s">
        <v>1223</v>
      </c>
      <c r="E1309" s="897"/>
      <c r="F1309" s="897"/>
      <c r="G1309" s="897"/>
      <c r="H1309" s="898" t="s">
        <v>1936</v>
      </c>
      <c r="I1309" s="899"/>
      <c r="J1309" s="899"/>
    </row>
    <row r="1310" spans="1:10">
      <c r="A1310" s="896" t="s">
        <v>6185</v>
      </c>
      <c r="B1310" s="897" t="s">
        <v>6186</v>
      </c>
      <c r="C1310" s="897" t="s">
        <v>3691</v>
      </c>
      <c r="D1310" s="897" t="s">
        <v>6187</v>
      </c>
      <c r="E1310" s="897"/>
      <c r="F1310" s="897" t="s">
        <v>3693</v>
      </c>
      <c r="G1310" s="897" t="s">
        <v>6188</v>
      </c>
      <c r="H1310" s="898">
        <v>0</v>
      </c>
      <c r="I1310" s="899"/>
      <c r="J1310" s="899"/>
    </row>
    <row r="1311" spans="1:10">
      <c r="A1311" s="896" t="s">
        <v>6189</v>
      </c>
      <c r="B1311" s="897" t="s">
        <v>6190</v>
      </c>
      <c r="C1311" s="897" t="s">
        <v>6191</v>
      </c>
      <c r="D1311" s="897" t="s">
        <v>1912</v>
      </c>
      <c r="E1311" s="897"/>
      <c r="F1311" s="897"/>
      <c r="G1311" s="897"/>
      <c r="H1311" s="898" t="s">
        <v>1953</v>
      </c>
      <c r="I1311" s="899"/>
      <c r="J1311" s="899"/>
    </row>
    <row r="1312" spans="1:10">
      <c r="A1312" s="896" t="s">
        <v>6192</v>
      </c>
      <c r="B1312" s="897" t="s">
        <v>338</v>
      </c>
      <c r="C1312" s="897" t="s">
        <v>6193</v>
      </c>
      <c r="D1312" s="897" t="s">
        <v>6194</v>
      </c>
      <c r="E1312" s="897"/>
      <c r="F1312" s="897"/>
      <c r="G1312" s="897"/>
      <c r="H1312" s="898" t="s">
        <v>1953</v>
      </c>
      <c r="I1312" s="899"/>
      <c r="J1312" s="899"/>
    </row>
    <row r="1313" spans="1:10">
      <c r="A1313" s="896" t="s">
        <v>6195</v>
      </c>
      <c r="B1313" s="897" t="s">
        <v>6196</v>
      </c>
      <c r="C1313" s="897" t="s">
        <v>6197</v>
      </c>
      <c r="D1313" s="897" t="s">
        <v>1912</v>
      </c>
      <c r="E1313" s="897"/>
      <c r="F1313" s="897"/>
      <c r="G1313" s="897"/>
      <c r="H1313" s="898" t="e">
        <v>#N/A</v>
      </c>
      <c r="I1313" s="899"/>
      <c r="J1313" s="899"/>
    </row>
    <row r="1314" spans="1:10">
      <c r="A1314" s="896" t="s">
        <v>6198</v>
      </c>
      <c r="B1314" s="897" t="s">
        <v>6199</v>
      </c>
      <c r="C1314" s="897" t="s">
        <v>6200</v>
      </c>
      <c r="D1314" s="897" t="s">
        <v>1912</v>
      </c>
      <c r="E1314" s="897"/>
      <c r="F1314" s="897"/>
      <c r="G1314" s="897"/>
      <c r="H1314" s="898" t="e">
        <v>#N/A</v>
      </c>
      <c r="I1314" s="899"/>
      <c r="J1314" s="899"/>
    </row>
    <row r="1315" spans="1:10">
      <c r="A1315" s="896" t="s">
        <v>6201</v>
      </c>
      <c r="B1315" s="897" t="s">
        <v>6202</v>
      </c>
      <c r="C1315" s="897" t="s">
        <v>6203</v>
      </c>
      <c r="D1315" s="897" t="s">
        <v>1912</v>
      </c>
      <c r="E1315" s="897"/>
      <c r="F1315" s="897"/>
      <c r="G1315" s="897"/>
      <c r="H1315" s="898" t="e">
        <v>#N/A</v>
      </c>
      <c r="I1315" s="899"/>
      <c r="J1315" s="899"/>
    </row>
    <row r="1316" spans="1:10">
      <c r="A1316" s="896" t="s">
        <v>6204</v>
      </c>
      <c r="B1316" s="897" t="s">
        <v>6205</v>
      </c>
      <c r="C1316" s="897" t="s">
        <v>6206</v>
      </c>
      <c r="D1316" s="897" t="s">
        <v>1912</v>
      </c>
      <c r="E1316" s="897"/>
      <c r="F1316" s="897"/>
      <c r="G1316" s="897"/>
      <c r="H1316" s="898" t="e">
        <v>#N/A</v>
      </c>
      <c r="I1316" s="899"/>
      <c r="J1316" s="899"/>
    </row>
    <row r="1317" spans="1:10">
      <c r="A1317" s="896" t="s">
        <v>6207</v>
      </c>
      <c r="B1317" s="897" t="s">
        <v>6208</v>
      </c>
      <c r="C1317" s="897" t="s">
        <v>6209</v>
      </c>
      <c r="D1317" s="897" t="s">
        <v>1912</v>
      </c>
      <c r="E1317" s="897"/>
      <c r="F1317" s="897"/>
      <c r="G1317" s="897"/>
      <c r="H1317" s="898" t="e">
        <v>#N/A</v>
      </c>
      <c r="I1317" s="899"/>
      <c r="J1317" s="899"/>
    </row>
    <row r="1318" spans="1:10">
      <c r="A1318" s="896" t="s">
        <v>6210</v>
      </c>
      <c r="B1318" s="897" t="s">
        <v>6211</v>
      </c>
      <c r="C1318" s="897" t="s">
        <v>4782</v>
      </c>
      <c r="D1318" s="897" t="s">
        <v>1912</v>
      </c>
      <c r="E1318" s="897"/>
      <c r="F1318" s="897"/>
      <c r="G1318" s="897"/>
      <c r="H1318" s="898" t="s">
        <v>1953</v>
      </c>
      <c r="I1318" s="899"/>
      <c r="J1318" s="899"/>
    </row>
    <row r="1319" spans="1:10">
      <c r="A1319" s="896" t="s">
        <v>6212</v>
      </c>
      <c r="B1319" s="897" t="s">
        <v>6213</v>
      </c>
      <c r="C1319" s="897" t="s">
        <v>6214</v>
      </c>
      <c r="D1319" s="897" t="s">
        <v>1912</v>
      </c>
      <c r="E1319" s="897"/>
      <c r="F1319" s="897"/>
      <c r="G1319" s="897"/>
      <c r="H1319" s="898" t="e">
        <v>#N/A</v>
      </c>
      <c r="I1319" s="899"/>
      <c r="J1319" s="899"/>
    </row>
    <row r="1320" spans="1:10">
      <c r="A1320" s="896" t="s">
        <v>6215</v>
      </c>
      <c r="B1320" s="897" t="s">
        <v>6216</v>
      </c>
      <c r="C1320" s="897" t="s">
        <v>6217</v>
      </c>
      <c r="D1320" s="897" t="s">
        <v>1912</v>
      </c>
      <c r="E1320" s="897"/>
      <c r="F1320" s="897"/>
      <c r="G1320" s="897"/>
      <c r="H1320" s="898" t="s">
        <v>1953</v>
      </c>
      <c r="I1320" s="899"/>
      <c r="J1320" s="899"/>
    </row>
    <row r="1321" spans="1:10">
      <c r="A1321" s="896" t="s">
        <v>6218</v>
      </c>
      <c r="B1321" s="897" t="s">
        <v>422</v>
      </c>
      <c r="C1321" s="897" t="s">
        <v>6219</v>
      </c>
      <c r="D1321" s="897" t="s">
        <v>6220</v>
      </c>
      <c r="E1321" s="897"/>
      <c r="F1321" s="897"/>
      <c r="G1321" s="897"/>
      <c r="H1321" s="898" t="s">
        <v>1914</v>
      </c>
      <c r="I1321" s="899"/>
      <c r="J1321" s="899"/>
    </row>
    <row r="1322" spans="1:10">
      <c r="A1322" s="896" t="s">
        <v>6221</v>
      </c>
      <c r="B1322" s="897" t="s">
        <v>6222</v>
      </c>
      <c r="C1322" s="897" t="s">
        <v>6223</v>
      </c>
      <c r="D1322" s="897" t="s">
        <v>1912</v>
      </c>
      <c r="E1322" s="897"/>
      <c r="F1322" s="897"/>
      <c r="G1322" s="897"/>
      <c r="H1322" s="898" t="e">
        <v>#N/A</v>
      </c>
      <c r="I1322" s="899"/>
      <c r="J1322" s="899"/>
    </row>
    <row r="1323" spans="1:10">
      <c r="A1323" s="896" t="s">
        <v>6224</v>
      </c>
      <c r="B1323" s="897" t="s">
        <v>6225</v>
      </c>
      <c r="C1323" s="897" t="s">
        <v>6226</v>
      </c>
      <c r="D1323" s="897" t="s">
        <v>1912</v>
      </c>
      <c r="E1323" s="897"/>
      <c r="F1323" s="897"/>
      <c r="G1323" s="897"/>
      <c r="H1323" s="898" t="e">
        <v>#N/A</v>
      </c>
      <c r="I1323" s="899"/>
      <c r="J1323" s="899"/>
    </row>
    <row r="1324" spans="1:10">
      <c r="A1324" s="896" t="s">
        <v>6227</v>
      </c>
      <c r="B1324" s="897" t="s">
        <v>6228</v>
      </c>
      <c r="C1324" s="897" t="s">
        <v>3903</v>
      </c>
      <c r="D1324" s="897" t="s">
        <v>1912</v>
      </c>
      <c r="E1324" s="897"/>
      <c r="F1324" s="897"/>
      <c r="G1324" s="897"/>
      <c r="H1324" s="898" t="s">
        <v>1953</v>
      </c>
      <c r="I1324" s="899"/>
      <c r="J1324" s="899"/>
    </row>
    <row r="1325" spans="1:10">
      <c r="A1325" s="896" t="s">
        <v>6229</v>
      </c>
      <c r="B1325" s="897" t="s">
        <v>424</v>
      </c>
      <c r="C1325" s="897" t="s">
        <v>6230</v>
      </c>
      <c r="D1325" s="897" t="s">
        <v>1231</v>
      </c>
      <c r="E1325" s="897"/>
      <c r="F1325" s="897"/>
      <c r="G1325" s="897"/>
      <c r="H1325" s="898" t="s">
        <v>1953</v>
      </c>
      <c r="I1325" s="899"/>
      <c r="J1325" s="899"/>
    </row>
    <row r="1326" spans="1:10">
      <c r="A1326" s="896" t="s">
        <v>6231</v>
      </c>
      <c r="B1326" s="897" t="s">
        <v>6232</v>
      </c>
      <c r="C1326" s="897" t="s">
        <v>6233</v>
      </c>
      <c r="D1326" s="897" t="s">
        <v>1912</v>
      </c>
      <c r="E1326" s="897"/>
      <c r="F1326" s="897"/>
      <c r="G1326" s="897"/>
      <c r="H1326" s="898" t="s">
        <v>1953</v>
      </c>
      <c r="I1326" s="899"/>
      <c r="J1326" s="899"/>
    </row>
    <row r="1327" spans="1:10">
      <c r="A1327" s="896" t="s">
        <v>6234</v>
      </c>
      <c r="B1327" s="897" t="s">
        <v>6235</v>
      </c>
      <c r="C1327" s="897" t="s">
        <v>6236</v>
      </c>
      <c r="D1327" s="897" t="s">
        <v>1912</v>
      </c>
      <c r="E1327" s="897"/>
      <c r="F1327" s="897"/>
      <c r="G1327" s="897"/>
      <c r="H1327" s="898" t="s">
        <v>1953</v>
      </c>
      <c r="I1327" s="899"/>
      <c r="J1327" s="899"/>
    </row>
    <row r="1328" spans="1:10">
      <c r="A1328" s="896" t="s">
        <v>6237</v>
      </c>
      <c r="B1328" s="897" t="s">
        <v>6238</v>
      </c>
      <c r="C1328" s="897" t="s">
        <v>6239</v>
      </c>
      <c r="D1328" s="897" t="s">
        <v>1912</v>
      </c>
      <c r="E1328" s="897"/>
      <c r="F1328" s="897" t="s">
        <v>6240</v>
      </c>
      <c r="G1328" s="897" t="s">
        <v>6241</v>
      </c>
      <c r="H1328" s="898" t="s">
        <v>1914</v>
      </c>
      <c r="I1328" s="899"/>
      <c r="J1328" s="899"/>
    </row>
    <row r="1329" spans="1:10">
      <c r="A1329" s="896" t="s">
        <v>6242</v>
      </c>
      <c r="B1329" s="897" t="s">
        <v>6243</v>
      </c>
      <c r="C1329" s="897" t="s">
        <v>6244</v>
      </c>
      <c r="D1329" s="897" t="s">
        <v>1912</v>
      </c>
      <c r="E1329" s="897"/>
      <c r="F1329" s="897"/>
      <c r="G1329" s="897"/>
      <c r="H1329" s="898" t="e">
        <v>#N/A</v>
      </c>
      <c r="I1329" s="899"/>
      <c r="J1329" s="899"/>
    </row>
    <row r="1330" spans="1:10">
      <c r="A1330" s="896" t="s">
        <v>6245</v>
      </c>
      <c r="B1330" s="897" t="s">
        <v>6246</v>
      </c>
      <c r="C1330" s="897" t="s">
        <v>6247</v>
      </c>
      <c r="D1330" s="897" t="s">
        <v>1912</v>
      </c>
      <c r="E1330" s="897"/>
      <c r="F1330" s="897"/>
      <c r="G1330" s="897"/>
      <c r="H1330" s="898" t="e">
        <v>#N/A</v>
      </c>
      <c r="I1330" s="899"/>
      <c r="J1330" s="899"/>
    </row>
    <row r="1331" spans="1:10">
      <c r="A1331" s="896" t="s">
        <v>6248</v>
      </c>
      <c r="B1331" s="897" t="s">
        <v>6249</v>
      </c>
      <c r="C1331" s="897" t="s">
        <v>6250</v>
      </c>
      <c r="D1331" s="897" t="s">
        <v>1912</v>
      </c>
      <c r="E1331" s="897"/>
      <c r="F1331" s="897"/>
      <c r="G1331" s="897"/>
      <c r="H1331" s="898" t="s">
        <v>1953</v>
      </c>
      <c r="I1331" s="899"/>
      <c r="J1331" s="899"/>
    </row>
    <row r="1332" spans="1:10">
      <c r="A1332" s="896" t="s">
        <v>6251</v>
      </c>
      <c r="B1332" s="897" t="s">
        <v>6252</v>
      </c>
      <c r="C1332" s="897" t="s">
        <v>6253</v>
      </c>
      <c r="D1332" s="897" t="s">
        <v>1912</v>
      </c>
      <c r="E1332" s="897"/>
      <c r="F1332" s="897"/>
      <c r="G1332" s="897"/>
      <c r="H1332" s="898" t="e">
        <v>#N/A</v>
      </c>
      <c r="I1332" s="899"/>
      <c r="J1332" s="899"/>
    </row>
    <row r="1333" spans="1:10">
      <c r="A1333" s="896" t="s">
        <v>6254</v>
      </c>
      <c r="B1333" s="897" t="s">
        <v>6255</v>
      </c>
      <c r="C1333" s="897" t="s">
        <v>6256</v>
      </c>
      <c r="D1333" s="897" t="s">
        <v>1912</v>
      </c>
      <c r="E1333" s="897"/>
      <c r="F1333" s="897"/>
      <c r="G1333" s="897"/>
      <c r="H1333" s="898" t="s">
        <v>1953</v>
      </c>
      <c r="I1333" s="899"/>
      <c r="J1333" s="899"/>
    </row>
    <row r="1334" spans="1:10">
      <c r="A1334" s="896" t="s">
        <v>6257</v>
      </c>
      <c r="B1334" s="897" t="s">
        <v>6258</v>
      </c>
      <c r="C1334" s="897" t="s">
        <v>6259</v>
      </c>
      <c r="D1334" s="897" t="s">
        <v>1912</v>
      </c>
      <c r="E1334" s="897"/>
      <c r="F1334" s="897"/>
      <c r="G1334" s="897"/>
      <c r="H1334" s="898" t="e">
        <v>#N/A</v>
      </c>
      <c r="I1334" s="899"/>
      <c r="J1334" s="899"/>
    </row>
    <row r="1335" spans="1:10">
      <c r="A1335" s="896" t="s">
        <v>6260</v>
      </c>
      <c r="B1335" s="897" t="s">
        <v>6261</v>
      </c>
      <c r="C1335" s="897" t="s">
        <v>1994</v>
      </c>
      <c r="D1335" s="897" t="s">
        <v>1912</v>
      </c>
      <c r="E1335" s="897"/>
      <c r="F1335" s="897"/>
      <c r="G1335" s="897"/>
      <c r="H1335" s="898" t="s">
        <v>1953</v>
      </c>
      <c r="I1335" s="899"/>
      <c r="J1335" s="899"/>
    </row>
    <row r="1336" spans="1:10">
      <c r="A1336" s="896" t="s">
        <v>6262</v>
      </c>
      <c r="B1336" s="897" t="s">
        <v>6263</v>
      </c>
      <c r="C1336" s="897" t="s">
        <v>6264</v>
      </c>
      <c r="D1336" s="897" t="s">
        <v>1912</v>
      </c>
      <c r="E1336" s="897"/>
      <c r="F1336" s="897"/>
      <c r="G1336" s="897"/>
      <c r="H1336" s="898" t="e">
        <v>#N/A</v>
      </c>
      <c r="I1336" s="899"/>
      <c r="J1336" s="899"/>
    </row>
    <row r="1337" spans="1:10">
      <c r="A1337" s="896" t="s">
        <v>6265</v>
      </c>
      <c r="B1337" s="897" t="s">
        <v>6266</v>
      </c>
      <c r="C1337" s="897" t="s">
        <v>1912</v>
      </c>
      <c r="D1337" s="897" t="s">
        <v>1912</v>
      </c>
      <c r="E1337" s="897"/>
      <c r="F1337" s="897"/>
      <c r="G1337" s="897"/>
      <c r="H1337" s="898" t="e">
        <v>#N/A</v>
      </c>
      <c r="I1337" s="899"/>
      <c r="J1337" s="899"/>
    </row>
    <row r="1338" spans="1:10">
      <c r="A1338" s="896" t="s">
        <v>6267</v>
      </c>
      <c r="B1338" s="897" t="s">
        <v>1764</v>
      </c>
      <c r="C1338" s="897" t="s">
        <v>6010</v>
      </c>
      <c r="D1338" s="897" t="s">
        <v>1233</v>
      </c>
      <c r="E1338" s="897"/>
      <c r="F1338" s="897"/>
      <c r="G1338" s="897"/>
      <c r="H1338" s="898" t="e">
        <v>#N/A</v>
      </c>
      <c r="I1338" s="899"/>
      <c r="J1338" s="899"/>
    </row>
    <row r="1339" spans="1:10">
      <c r="A1339" s="896" t="s">
        <v>6268</v>
      </c>
      <c r="B1339" s="897" t="s">
        <v>6269</v>
      </c>
      <c r="C1339" s="897"/>
      <c r="D1339" s="897" t="s">
        <v>1912</v>
      </c>
      <c r="E1339" s="897"/>
      <c r="F1339" s="897"/>
      <c r="G1339" s="897"/>
      <c r="H1339" s="898" t="e">
        <v>#N/A</v>
      </c>
      <c r="I1339" s="899"/>
      <c r="J1339" s="899"/>
    </row>
    <row r="1340" spans="1:10">
      <c r="A1340" s="896" t="s">
        <v>6270</v>
      </c>
      <c r="B1340" s="897" t="s">
        <v>6271</v>
      </c>
      <c r="C1340" s="897" t="s">
        <v>6272</v>
      </c>
      <c r="D1340" s="897" t="s">
        <v>1912</v>
      </c>
      <c r="E1340" s="897"/>
      <c r="F1340" s="897"/>
      <c r="G1340" s="897"/>
      <c r="H1340" s="898" t="s">
        <v>1953</v>
      </c>
      <c r="I1340" s="899"/>
      <c r="J1340" s="899"/>
    </row>
    <row r="1341" spans="1:10">
      <c r="A1341" s="896" t="s">
        <v>6273</v>
      </c>
      <c r="B1341" s="897" t="s">
        <v>6274</v>
      </c>
      <c r="C1341" s="897" t="s">
        <v>5457</v>
      </c>
      <c r="D1341" s="897" t="s">
        <v>1912</v>
      </c>
      <c r="E1341" s="897"/>
      <c r="F1341" s="897"/>
      <c r="G1341" s="897"/>
      <c r="H1341" s="898" t="e">
        <v>#N/A</v>
      </c>
      <c r="I1341" s="899"/>
      <c r="J1341" s="899"/>
    </row>
    <row r="1342" spans="1:10">
      <c r="A1342" s="896" t="s">
        <v>6275</v>
      </c>
      <c r="B1342" s="897" t="s">
        <v>6276</v>
      </c>
      <c r="C1342" s="897" t="s">
        <v>6277</v>
      </c>
      <c r="D1342" s="897" t="s">
        <v>1912</v>
      </c>
      <c r="E1342" s="897"/>
      <c r="F1342" s="897"/>
      <c r="G1342" s="897"/>
      <c r="H1342" s="898" t="e">
        <v>#N/A</v>
      </c>
      <c r="I1342" s="899"/>
      <c r="J1342" s="899"/>
    </row>
    <row r="1343" spans="1:10">
      <c r="A1343" s="896" t="s">
        <v>6278</v>
      </c>
      <c r="B1343" s="897" t="s">
        <v>6279</v>
      </c>
      <c r="C1343" s="897" t="s">
        <v>1912</v>
      </c>
      <c r="D1343" s="897" t="s">
        <v>1912</v>
      </c>
      <c r="E1343" s="897"/>
      <c r="F1343" s="897"/>
      <c r="G1343" s="897"/>
      <c r="H1343" s="898" t="e">
        <v>#N/A</v>
      </c>
      <c r="I1343" s="899"/>
      <c r="J1343" s="899"/>
    </row>
    <row r="1344" spans="1:10">
      <c r="A1344" s="896" t="s">
        <v>6280</v>
      </c>
      <c r="B1344" s="897" t="s">
        <v>6281</v>
      </c>
      <c r="C1344" s="897" t="s">
        <v>4803</v>
      </c>
      <c r="D1344" s="897" t="s">
        <v>1912</v>
      </c>
      <c r="E1344" s="897"/>
      <c r="F1344" s="897"/>
      <c r="G1344" s="897"/>
      <c r="H1344" s="898" t="e">
        <v>#N/A</v>
      </c>
      <c r="I1344" s="899"/>
      <c r="J1344" s="899"/>
    </row>
    <row r="1345" spans="1:10">
      <c r="A1345" s="896" t="s">
        <v>6282</v>
      </c>
      <c r="B1345" s="897" t="s">
        <v>6283</v>
      </c>
      <c r="C1345" s="897" t="s">
        <v>6284</v>
      </c>
      <c r="D1345" s="897" t="s">
        <v>1912</v>
      </c>
      <c r="E1345" s="897"/>
      <c r="F1345" s="897"/>
      <c r="G1345" s="897"/>
      <c r="H1345" s="898" t="e">
        <v>#N/A</v>
      </c>
      <c r="I1345" s="899"/>
      <c r="J1345" s="899"/>
    </row>
    <row r="1346" spans="1:10">
      <c r="A1346" s="896" t="s">
        <v>6285</v>
      </c>
      <c r="B1346" s="897" t="s">
        <v>237</v>
      </c>
      <c r="C1346" s="897" t="s">
        <v>6286</v>
      </c>
      <c r="D1346" s="897" t="s">
        <v>1235</v>
      </c>
      <c r="E1346" s="897"/>
      <c r="F1346" s="897"/>
      <c r="G1346" s="897"/>
      <c r="H1346" s="898" t="s">
        <v>1953</v>
      </c>
      <c r="I1346" s="899"/>
      <c r="J1346" s="899"/>
    </row>
    <row r="1347" spans="1:10">
      <c r="A1347" s="896" t="s">
        <v>6287</v>
      </c>
      <c r="B1347" s="897" t="s">
        <v>6288</v>
      </c>
      <c r="C1347" s="897" t="s">
        <v>5377</v>
      </c>
      <c r="D1347" s="897" t="s">
        <v>1912</v>
      </c>
      <c r="E1347" s="897"/>
      <c r="F1347" s="897"/>
      <c r="G1347" s="897"/>
      <c r="H1347" s="898" t="e">
        <v>#N/A</v>
      </c>
      <c r="I1347" s="899"/>
      <c r="J1347" s="899"/>
    </row>
    <row r="1348" spans="1:10">
      <c r="A1348" s="896" t="s">
        <v>6289</v>
      </c>
      <c r="B1348" s="897" t="s">
        <v>6290</v>
      </c>
      <c r="C1348" s="897" t="s">
        <v>6291</v>
      </c>
      <c r="D1348" s="897" t="s">
        <v>1912</v>
      </c>
      <c r="E1348" s="897"/>
      <c r="F1348" s="897"/>
      <c r="G1348" s="897"/>
      <c r="H1348" s="898" t="e">
        <v>#N/A</v>
      </c>
      <c r="I1348" s="899"/>
      <c r="J1348" s="899"/>
    </row>
    <row r="1349" spans="1:10">
      <c r="A1349" s="896" t="s">
        <v>6292</v>
      </c>
      <c r="B1349" s="897" t="s">
        <v>6293</v>
      </c>
      <c r="C1349" s="897" t="s">
        <v>1912</v>
      </c>
      <c r="D1349" s="897" t="s">
        <v>1912</v>
      </c>
      <c r="E1349" s="897"/>
      <c r="F1349" s="897"/>
      <c r="G1349" s="897"/>
      <c r="H1349" s="898" t="e">
        <v>#N/A</v>
      </c>
      <c r="I1349" s="899"/>
      <c r="J1349" s="899"/>
    </row>
    <row r="1350" spans="1:10">
      <c r="A1350" s="896" t="s">
        <v>6294</v>
      </c>
      <c r="B1350" s="897" t="s">
        <v>6295</v>
      </c>
      <c r="C1350" s="897" t="s">
        <v>6296</v>
      </c>
      <c r="D1350" s="897" t="s">
        <v>1912</v>
      </c>
      <c r="E1350" s="897"/>
      <c r="F1350" s="897" t="s">
        <v>6297</v>
      </c>
      <c r="G1350" s="897" t="s">
        <v>6298</v>
      </c>
      <c r="H1350" s="898" t="e">
        <v>#N/A</v>
      </c>
      <c r="I1350" s="899"/>
      <c r="J1350" s="899"/>
    </row>
    <row r="1351" spans="1:10">
      <c r="A1351" s="896" t="s">
        <v>6299</v>
      </c>
      <c r="B1351" s="897" t="s">
        <v>1435</v>
      </c>
      <c r="C1351" s="897" t="s">
        <v>6300</v>
      </c>
      <c r="D1351" s="897" t="s">
        <v>1912</v>
      </c>
      <c r="E1351" s="897"/>
      <c r="F1351" s="897"/>
      <c r="G1351" s="897"/>
      <c r="H1351" s="898" t="e">
        <v>#N/A</v>
      </c>
      <c r="I1351" s="899"/>
      <c r="J1351" s="899"/>
    </row>
    <row r="1352" spans="1:10">
      <c r="A1352" s="896" t="s">
        <v>6301</v>
      </c>
      <c r="B1352" s="897" t="s">
        <v>6302</v>
      </c>
      <c r="C1352" s="897" t="s">
        <v>1912</v>
      </c>
      <c r="D1352" s="897" t="s">
        <v>1912</v>
      </c>
      <c r="E1352" s="897"/>
      <c r="F1352" s="897"/>
      <c r="G1352" s="897"/>
      <c r="H1352" s="898" t="e">
        <v>#N/A</v>
      </c>
      <c r="I1352" s="899"/>
      <c r="J1352" s="899"/>
    </row>
    <row r="1353" spans="1:10">
      <c r="A1353" s="896" t="s">
        <v>6303</v>
      </c>
      <c r="B1353" s="897" t="s">
        <v>6304</v>
      </c>
      <c r="C1353" s="897" t="s">
        <v>6305</v>
      </c>
      <c r="D1353" s="897" t="s">
        <v>1912</v>
      </c>
      <c r="E1353" s="897"/>
      <c r="F1353" s="897"/>
      <c r="G1353" s="897"/>
      <c r="H1353" s="898" t="e">
        <v>#N/A</v>
      </c>
      <c r="I1353" s="899"/>
      <c r="J1353" s="899"/>
    </row>
    <row r="1354" spans="1:10">
      <c r="A1354" s="896" t="s">
        <v>6306</v>
      </c>
      <c r="B1354" s="897" t="s">
        <v>6307</v>
      </c>
      <c r="C1354" s="897" t="s">
        <v>6308</v>
      </c>
      <c r="D1354" s="897" t="s">
        <v>1912</v>
      </c>
      <c r="E1354" s="897"/>
      <c r="F1354" s="897"/>
      <c r="G1354" s="897"/>
      <c r="H1354" s="898" t="e">
        <v>#N/A</v>
      </c>
      <c r="I1354" s="899"/>
      <c r="J1354" s="899"/>
    </row>
    <row r="1355" spans="1:10">
      <c r="A1355" s="896" t="s">
        <v>6309</v>
      </c>
      <c r="B1355" s="897" t="s">
        <v>6310</v>
      </c>
      <c r="C1355" s="897" t="s">
        <v>6311</v>
      </c>
      <c r="D1355" s="897" t="s">
        <v>1912</v>
      </c>
      <c r="E1355" s="897"/>
      <c r="F1355" s="897"/>
      <c r="G1355" s="897"/>
      <c r="H1355" s="898" t="e">
        <v>#N/A</v>
      </c>
      <c r="I1355" s="899"/>
      <c r="J1355" s="899"/>
    </row>
    <row r="1356" spans="1:10">
      <c r="A1356" s="896" t="s">
        <v>6312</v>
      </c>
      <c r="B1356" s="897" t="s">
        <v>6313</v>
      </c>
      <c r="C1356" s="897" t="s">
        <v>6314</v>
      </c>
      <c r="D1356" s="897" t="s">
        <v>1912</v>
      </c>
      <c r="E1356" s="897"/>
      <c r="F1356" s="897"/>
      <c r="G1356" s="897"/>
      <c r="H1356" s="898" t="s">
        <v>1953</v>
      </c>
      <c r="I1356" s="899"/>
      <c r="J1356" s="899"/>
    </row>
    <row r="1357" spans="1:10">
      <c r="A1357" s="896" t="s">
        <v>6315</v>
      </c>
      <c r="B1357" s="897" t="s">
        <v>6316</v>
      </c>
      <c r="C1357" s="897" t="s">
        <v>6317</v>
      </c>
      <c r="D1357" s="897" t="s">
        <v>1912</v>
      </c>
      <c r="E1357" s="897"/>
      <c r="F1357" s="897"/>
      <c r="G1357" s="897"/>
      <c r="H1357" s="898" t="s">
        <v>1953</v>
      </c>
      <c r="I1357" s="899"/>
      <c r="J1357" s="899"/>
    </row>
    <row r="1358" spans="1:10">
      <c r="A1358" s="896" t="s">
        <v>6318</v>
      </c>
      <c r="B1358" s="897" t="s">
        <v>188</v>
      </c>
      <c r="C1358" s="897" t="s">
        <v>6319</v>
      </c>
      <c r="D1358" s="897" t="s">
        <v>1236</v>
      </c>
      <c r="E1358" s="897"/>
      <c r="F1358" s="897"/>
      <c r="G1358" s="897"/>
      <c r="H1358" s="898" t="s">
        <v>1953</v>
      </c>
      <c r="I1358" s="899"/>
      <c r="J1358" s="899"/>
    </row>
    <row r="1359" spans="1:10">
      <c r="A1359" s="896" t="s">
        <v>6320</v>
      </c>
      <c r="B1359" s="897" t="s">
        <v>6321</v>
      </c>
      <c r="C1359" s="897" t="s">
        <v>6322</v>
      </c>
      <c r="D1359" s="897" t="s">
        <v>1912</v>
      </c>
      <c r="E1359" s="897"/>
      <c r="F1359" s="897"/>
      <c r="G1359" s="897"/>
      <c r="H1359" s="898" t="s">
        <v>1953</v>
      </c>
      <c r="I1359" s="899"/>
      <c r="J1359" s="899"/>
    </row>
    <row r="1360" spans="1:10">
      <c r="A1360" s="896" t="s">
        <v>6323</v>
      </c>
      <c r="B1360" s="897" t="s">
        <v>6324</v>
      </c>
      <c r="C1360" s="897" t="s">
        <v>3650</v>
      </c>
      <c r="D1360" s="897" t="s">
        <v>1912</v>
      </c>
      <c r="E1360" s="897"/>
      <c r="F1360" s="897"/>
      <c r="G1360" s="897"/>
      <c r="H1360" s="898" t="e">
        <v>#N/A</v>
      </c>
      <c r="I1360" s="899"/>
      <c r="J1360" s="899"/>
    </row>
    <row r="1361" spans="1:10">
      <c r="A1361" s="896" t="s">
        <v>6325</v>
      </c>
      <c r="B1361" s="897" t="s">
        <v>6326</v>
      </c>
      <c r="C1361" s="897" t="s">
        <v>3903</v>
      </c>
      <c r="D1361" s="897" t="s">
        <v>1912</v>
      </c>
      <c r="E1361" s="897"/>
      <c r="F1361" s="897"/>
      <c r="G1361" s="897"/>
      <c r="H1361" s="898" t="s">
        <v>1953</v>
      </c>
      <c r="I1361" s="899"/>
      <c r="J1361" s="899"/>
    </row>
    <row r="1362" spans="1:10">
      <c r="A1362" s="896" t="s">
        <v>6327</v>
      </c>
      <c r="B1362" s="897" t="s">
        <v>6328</v>
      </c>
      <c r="C1362" s="897" t="s">
        <v>1932</v>
      </c>
      <c r="D1362" s="897" t="s">
        <v>1912</v>
      </c>
      <c r="E1362" s="897"/>
      <c r="F1362" s="897"/>
      <c r="G1362" s="897"/>
      <c r="H1362" s="898" t="e">
        <v>#N/A</v>
      </c>
      <c r="I1362" s="899"/>
      <c r="J1362" s="899"/>
    </row>
    <row r="1363" spans="1:10">
      <c r="A1363" s="896" t="s">
        <v>6329</v>
      </c>
      <c r="B1363" s="897" t="s">
        <v>6330</v>
      </c>
      <c r="C1363" s="897" t="s">
        <v>6331</v>
      </c>
      <c r="D1363" s="897" t="s">
        <v>1912</v>
      </c>
      <c r="E1363" s="897"/>
      <c r="F1363" s="897"/>
      <c r="G1363" s="897"/>
      <c r="H1363" s="898" t="s">
        <v>1953</v>
      </c>
      <c r="I1363" s="899"/>
      <c r="J1363" s="899"/>
    </row>
    <row r="1364" spans="1:10">
      <c r="A1364" s="896" t="s">
        <v>6332</v>
      </c>
      <c r="B1364" s="897" t="s">
        <v>6333</v>
      </c>
      <c r="C1364" s="897"/>
      <c r="D1364" s="897" t="s">
        <v>6334</v>
      </c>
      <c r="E1364" s="897"/>
      <c r="F1364" s="897" t="s">
        <v>1082</v>
      </c>
      <c r="G1364" s="897"/>
      <c r="H1364" s="898">
        <v>0</v>
      </c>
      <c r="I1364" s="899"/>
      <c r="J1364" s="899"/>
    </row>
    <row r="1365" spans="1:10">
      <c r="A1365" s="896" t="s">
        <v>6335</v>
      </c>
      <c r="B1365" s="897" t="s">
        <v>6336</v>
      </c>
      <c r="C1365" s="897" t="s">
        <v>6337</v>
      </c>
      <c r="D1365" s="897" t="s">
        <v>1912</v>
      </c>
      <c r="E1365" s="897"/>
      <c r="F1365" s="897"/>
      <c r="G1365" s="897"/>
      <c r="H1365" s="898" t="e">
        <v>#N/A</v>
      </c>
      <c r="I1365" s="899"/>
      <c r="J1365" s="899"/>
    </row>
    <row r="1366" spans="1:10">
      <c r="A1366" s="896" t="s">
        <v>6338</v>
      </c>
      <c r="B1366" s="897" t="s">
        <v>6339</v>
      </c>
      <c r="C1366" s="897" t="s">
        <v>6340</v>
      </c>
      <c r="D1366" s="897" t="s">
        <v>1912</v>
      </c>
      <c r="E1366" s="897"/>
      <c r="F1366" s="897"/>
      <c r="G1366" s="897"/>
      <c r="H1366" s="898" t="e">
        <v>#N/A</v>
      </c>
      <c r="I1366" s="899"/>
      <c r="J1366" s="899"/>
    </row>
    <row r="1367" spans="1:10">
      <c r="A1367" s="896" t="s">
        <v>6341</v>
      </c>
      <c r="B1367" s="897" t="s">
        <v>6342</v>
      </c>
      <c r="C1367" s="897" t="s">
        <v>6343</v>
      </c>
      <c r="D1367" s="897" t="s">
        <v>1912</v>
      </c>
      <c r="E1367" s="897"/>
      <c r="F1367" s="897"/>
      <c r="G1367" s="897"/>
      <c r="H1367" s="898" t="e">
        <v>#N/A</v>
      </c>
      <c r="I1367" s="899"/>
      <c r="J1367" s="899"/>
    </row>
    <row r="1368" spans="1:10">
      <c r="A1368" s="896" t="s">
        <v>6344</v>
      </c>
      <c r="B1368" s="897" t="s">
        <v>6345</v>
      </c>
      <c r="C1368" s="897" t="s">
        <v>6346</v>
      </c>
      <c r="D1368" s="897" t="s">
        <v>1912</v>
      </c>
      <c r="E1368" s="897"/>
      <c r="F1368" s="897"/>
      <c r="G1368" s="897"/>
      <c r="H1368" s="898" t="e">
        <v>#N/A</v>
      </c>
      <c r="I1368" s="899"/>
      <c r="J1368" s="899"/>
    </row>
    <row r="1369" spans="1:10">
      <c r="A1369" s="896" t="s">
        <v>6347</v>
      </c>
      <c r="B1369" s="897" t="s">
        <v>6348</v>
      </c>
      <c r="C1369" s="897" t="s">
        <v>4344</v>
      </c>
      <c r="D1369" s="897" t="s">
        <v>1912</v>
      </c>
      <c r="E1369" s="897"/>
      <c r="F1369" s="897" t="s">
        <v>4343</v>
      </c>
      <c r="G1369" s="897" t="s">
        <v>6349</v>
      </c>
      <c r="H1369" s="898" t="e">
        <v>#N/A</v>
      </c>
      <c r="I1369" s="899"/>
      <c r="J1369" s="899"/>
    </row>
    <row r="1370" spans="1:10">
      <c r="A1370" s="896" t="s">
        <v>6350</v>
      </c>
      <c r="B1370" s="897" t="s">
        <v>6351</v>
      </c>
      <c r="C1370" s="897" t="s">
        <v>6352</v>
      </c>
      <c r="D1370" s="897" t="s">
        <v>1912</v>
      </c>
      <c r="E1370" s="897"/>
      <c r="F1370" s="897"/>
      <c r="G1370" s="897"/>
      <c r="H1370" s="898" t="e">
        <v>#N/A</v>
      </c>
      <c r="I1370" s="899"/>
      <c r="J1370" s="899"/>
    </row>
    <row r="1371" spans="1:10">
      <c r="A1371" s="896" t="s">
        <v>6353</v>
      </c>
      <c r="B1371" s="897" t="s">
        <v>705</v>
      </c>
      <c r="C1371" s="897" t="s">
        <v>6354</v>
      </c>
      <c r="D1371" s="897" t="s">
        <v>6355</v>
      </c>
      <c r="E1371" s="897"/>
      <c r="F1371" s="897" t="s">
        <v>6356</v>
      </c>
      <c r="G1371" s="897"/>
      <c r="H1371" s="898">
        <v>0</v>
      </c>
      <c r="I1371" s="899"/>
      <c r="J1371" s="899"/>
    </row>
    <row r="1372" spans="1:10">
      <c r="A1372" s="896" t="s">
        <v>6357</v>
      </c>
      <c r="B1372" s="897" t="s">
        <v>6358</v>
      </c>
      <c r="C1372" s="897" t="s">
        <v>1912</v>
      </c>
      <c r="D1372" s="897" t="s">
        <v>1912</v>
      </c>
      <c r="E1372" s="897"/>
      <c r="F1372" s="897"/>
      <c r="G1372" s="897"/>
      <c r="H1372" s="898" t="e">
        <v>#N/A</v>
      </c>
      <c r="I1372" s="899"/>
      <c r="J1372" s="899"/>
    </row>
    <row r="1373" spans="1:10">
      <c r="A1373" s="896" t="s">
        <v>6359</v>
      </c>
      <c r="B1373" s="897" t="s">
        <v>6360</v>
      </c>
      <c r="C1373" s="897" t="s">
        <v>6361</v>
      </c>
      <c r="D1373" s="897" t="s">
        <v>1912</v>
      </c>
      <c r="E1373" s="897"/>
      <c r="F1373" s="897"/>
      <c r="G1373" s="897"/>
      <c r="H1373" s="898" t="e">
        <v>#N/A</v>
      </c>
      <c r="I1373" s="899"/>
      <c r="J1373" s="899"/>
    </row>
    <row r="1374" spans="1:10">
      <c r="A1374" s="896" t="s">
        <v>6362</v>
      </c>
      <c r="B1374" s="897" t="s">
        <v>1436</v>
      </c>
      <c r="C1374" s="897" t="s">
        <v>6363</v>
      </c>
      <c r="D1374" s="897" t="s">
        <v>1912</v>
      </c>
      <c r="E1374" s="897"/>
      <c r="F1374" s="897"/>
      <c r="G1374" s="897"/>
      <c r="H1374" s="898" t="e">
        <v>#N/A</v>
      </c>
      <c r="I1374" s="899"/>
      <c r="J1374" s="899"/>
    </row>
    <row r="1375" spans="1:10">
      <c r="A1375" s="896" t="s">
        <v>6364</v>
      </c>
      <c r="B1375" s="897" t="s">
        <v>6365</v>
      </c>
      <c r="C1375" s="897" t="s">
        <v>6366</v>
      </c>
      <c r="D1375" s="897" t="s">
        <v>1912</v>
      </c>
      <c r="E1375" s="897"/>
      <c r="F1375" s="897"/>
      <c r="G1375" s="897"/>
      <c r="H1375" s="898" t="e">
        <v>#N/A</v>
      </c>
      <c r="I1375" s="899"/>
      <c r="J1375" s="899"/>
    </row>
    <row r="1376" spans="1:10">
      <c r="A1376" s="896" t="s">
        <v>6367</v>
      </c>
      <c r="B1376" s="897" t="s">
        <v>46</v>
      </c>
      <c r="C1376" s="897"/>
      <c r="D1376" s="897" t="s">
        <v>1912</v>
      </c>
      <c r="E1376" s="897"/>
      <c r="F1376" s="897"/>
      <c r="G1376" s="897"/>
      <c r="H1376" s="898">
        <v>0</v>
      </c>
      <c r="I1376" s="899"/>
      <c r="J1376" s="899"/>
    </row>
    <row r="1377" spans="1:10">
      <c r="A1377" s="896" t="s">
        <v>6368</v>
      </c>
      <c r="B1377" s="897" t="s">
        <v>6369</v>
      </c>
      <c r="C1377" s="897" t="s">
        <v>6370</v>
      </c>
      <c r="D1377" s="897" t="s">
        <v>1912</v>
      </c>
      <c r="E1377" s="897"/>
      <c r="F1377" s="897"/>
      <c r="G1377" s="897"/>
      <c r="H1377" s="898" t="e">
        <v>#N/A</v>
      </c>
      <c r="I1377" s="899"/>
      <c r="J1377" s="899"/>
    </row>
    <row r="1378" spans="1:10">
      <c r="A1378" s="896" t="s">
        <v>6371</v>
      </c>
      <c r="B1378" s="897" t="s">
        <v>6372</v>
      </c>
      <c r="C1378" s="897" t="s">
        <v>6373</v>
      </c>
      <c r="D1378" s="897" t="s">
        <v>1912</v>
      </c>
      <c r="E1378" s="897"/>
      <c r="F1378" s="897"/>
      <c r="G1378" s="897"/>
      <c r="H1378" s="898" t="e">
        <v>#N/A</v>
      </c>
      <c r="I1378" s="899"/>
      <c r="J1378" s="899"/>
    </row>
    <row r="1379" spans="1:10">
      <c r="A1379" s="896" t="s">
        <v>6374</v>
      </c>
      <c r="B1379" s="897" t="s">
        <v>369</v>
      </c>
      <c r="C1379" s="897" t="s">
        <v>6375</v>
      </c>
      <c r="D1379" s="897" t="s">
        <v>1912</v>
      </c>
      <c r="E1379" s="897"/>
      <c r="F1379" s="897"/>
      <c r="G1379" s="897"/>
      <c r="H1379" s="898" t="s">
        <v>1953</v>
      </c>
      <c r="I1379" s="899"/>
      <c r="J1379" s="899"/>
    </row>
    <row r="1380" spans="1:10">
      <c r="A1380" s="896" t="s">
        <v>6376</v>
      </c>
      <c r="B1380" s="897" t="s">
        <v>354</v>
      </c>
      <c r="C1380" s="897" t="s">
        <v>6377</v>
      </c>
      <c r="D1380" s="897" t="s">
        <v>7189</v>
      </c>
      <c r="E1380" s="897"/>
      <c r="F1380" s="897"/>
      <c r="G1380" s="897"/>
      <c r="H1380" s="898" t="s">
        <v>1936</v>
      </c>
      <c r="I1380" s="899"/>
      <c r="J1380" s="899"/>
    </row>
    <row r="1381" spans="1:10">
      <c r="A1381" s="896" t="s">
        <v>6378</v>
      </c>
      <c r="B1381" s="897" t="s">
        <v>6379</v>
      </c>
      <c r="C1381" s="897" t="s">
        <v>6380</v>
      </c>
      <c r="D1381" s="897" t="s">
        <v>1912</v>
      </c>
      <c r="E1381" s="897"/>
      <c r="F1381" s="897"/>
      <c r="G1381" s="897"/>
      <c r="H1381" s="898" t="s">
        <v>1914</v>
      </c>
      <c r="I1381" s="899"/>
      <c r="J1381" s="899"/>
    </row>
    <row r="1382" spans="1:10">
      <c r="A1382" s="896" t="s">
        <v>6381</v>
      </c>
      <c r="B1382" s="897" t="s">
        <v>6382</v>
      </c>
      <c r="C1382" s="897" t="s">
        <v>6383</v>
      </c>
      <c r="D1382" s="897" t="s">
        <v>1912</v>
      </c>
      <c r="E1382" s="897"/>
      <c r="F1382" s="897"/>
      <c r="G1382" s="897"/>
      <c r="H1382" s="898" t="s">
        <v>1953</v>
      </c>
      <c r="I1382" s="899"/>
      <c r="J1382" s="899"/>
    </row>
    <row r="1383" spans="1:10">
      <c r="A1383" s="896" t="s">
        <v>6384</v>
      </c>
      <c r="B1383" s="897" t="s">
        <v>6385</v>
      </c>
      <c r="C1383" s="897" t="s">
        <v>6386</v>
      </c>
      <c r="D1383" s="897" t="s">
        <v>1912</v>
      </c>
      <c r="E1383" s="897"/>
      <c r="F1383" s="897" t="s">
        <v>6387</v>
      </c>
      <c r="G1383" s="897" t="s">
        <v>6388</v>
      </c>
      <c r="H1383" s="898" t="e">
        <v>#N/A</v>
      </c>
      <c r="I1383" s="899"/>
      <c r="J1383" s="899"/>
    </row>
    <row r="1384" spans="1:10">
      <c r="A1384" s="896" t="s">
        <v>6389</v>
      </c>
      <c r="B1384" s="897" t="s">
        <v>6390</v>
      </c>
      <c r="C1384" s="897" t="s">
        <v>2840</v>
      </c>
      <c r="D1384" s="897" t="s">
        <v>1912</v>
      </c>
      <c r="E1384" s="897"/>
      <c r="F1384" s="897"/>
      <c r="G1384" s="897"/>
      <c r="H1384" s="898" t="e">
        <v>#N/A</v>
      </c>
      <c r="I1384" s="899"/>
      <c r="J1384" s="899"/>
    </row>
    <row r="1385" spans="1:10">
      <c r="A1385" s="896" t="s">
        <v>6391</v>
      </c>
      <c r="B1385" s="897" t="s">
        <v>6392</v>
      </c>
      <c r="C1385" s="897"/>
      <c r="D1385" s="897" t="s">
        <v>1912</v>
      </c>
      <c r="E1385" s="897"/>
      <c r="F1385" s="897"/>
      <c r="G1385" s="897"/>
      <c r="H1385" s="898" t="e">
        <v>#N/A</v>
      </c>
      <c r="I1385" s="899"/>
      <c r="J1385" s="899"/>
    </row>
    <row r="1386" spans="1:10">
      <c r="A1386" s="896" t="s">
        <v>6393</v>
      </c>
      <c r="B1386" s="897" t="s">
        <v>6394</v>
      </c>
      <c r="C1386" s="897" t="s">
        <v>3754</v>
      </c>
      <c r="D1386" s="897" t="s">
        <v>1912</v>
      </c>
      <c r="E1386" s="897"/>
      <c r="F1386" s="897"/>
      <c r="G1386" s="897"/>
      <c r="H1386" s="898" t="e">
        <v>#N/A</v>
      </c>
      <c r="I1386" s="899"/>
      <c r="J1386" s="899"/>
    </row>
    <row r="1387" spans="1:10">
      <c r="A1387" s="896" t="s">
        <v>6395</v>
      </c>
      <c r="B1387" s="897" t="s">
        <v>6396</v>
      </c>
      <c r="C1387" s="897" t="s">
        <v>4323</v>
      </c>
      <c r="D1387" s="897" t="s">
        <v>1912</v>
      </c>
      <c r="E1387" s="897"/>
      <c r="F1387" s="897"/>
      <c r="G1387" s="897"/>
      <c r="H1387" s="898" t="e">
        <v>#N/A</v>
      </c>
      <c r="I1387" s="899"/>
      <c r="J1387" s="899"/>
    </row>
    <row r="1388" spans="1:10">
      <c r="A1388" s="896" t="s">
        <v>6397</v>
      </c>
      <c r="B1388" s="897" t="s">
        <v>6398</v>
      </c>
      <c r="C1388" s="897" t="s">
        <v>6399</v>
      </c>
      <c r="D1388" s="897" t="s">
        <v>1912</v>
      </c>
      <c r="E1388" s="897"/>
      <c r="F1388" s="897" t="s">
        <v>6400</v>
      </c>
      <c r="G1388" s="897" t="s">
        <v>6401</v>
      </c>
      <c r="H1388" s="898" t="e">
        <v>#N/A</v>
      </c>
      <c r="I1388" s="899"/>
      <c r="J1388" s="899"/>
    </row>
    <row r="1389" spans="1:10">
      <c r="A1389" s="896" t="s">
        <v>6402</v>
      </c>
      <c r="B1389" s="897" t="s">
        <v>301</v>
      </c>
      <c r="C1389" s="897" t="s">
        <v>4344</v>
      </c>
      <c r="D1389" s="897" t="s">
        <v>6403</v>
      </c>
      <c r="E1389" s="897"/>
      <c r="F1389" s="897"/>
      <c r="G1389" s="897"/>
      <c r="H1389" s="898">
        <v>0</v>
      </c>
      <c r="I1389" s="899"/>
      <c r="J1389" s="899"/>
    </row>
    <row r="1390" spans="1:10">
      <c r="A1390" s="896" t="s">
        <v>6404</v>
      </c>
      <c r="B1390" s="897" t="s">
        <v>6405</v>
      </c>
      <c r="C1390" s="897" t="s">
        <v>6406</v>
      </c>
      <c r="D1390" s="897" t="s">
        <v>1912</v>
      </c>
      <c r="E1390" s="897"/>
      <c r="F1390" s="897"/>
      <c r="G1390" s="897"/>
      <c r="H1390" s="898" t="e">
        <v>#N/A</v>
      </c>
      <c r="I1390" s="899"/>
      <c r="J1390" s="899"/>
    </row>
    <row r="1391" spans="1:10">
      <c r="A1391" s="896" t="s">
        <v>6407</v>
      </c>
      <c r="B1391" s="897" t="s">
        <v>6408</v>
      </c>
      <c r="C1391" s="897" t="s">
        <v>6409</v>
      </c>
      <c r="D1391" s="897" t="s">
        <v>1912</v>
      </c>
      <c r="E1391" s="897"/>
      <c r="F1391" s="897"/>
      <c r="G1391" s="897"/>
      <c r="H1391" s="898" t="s">
        <v>1953</v>
      </c>
      <c r="I1391" s="899"/>
      <c r="J1391" s="899"/>
    </row>
    <row r="1392" spans="1:10">
      <c r="A1392" s="896" t="s">
        <v>6410</v>
      </c>
      <c r="B1392" s="897" t="s">
        <v>6411</v>
      </c>
      <c r="C1392" s="897" t="s">
        <v>4223</v>
      </c>
      <c r="D1392" s="897" t="s">
        <v>1912</v>
      </c>
      <c r="E1392" s="897"/>
      <c r="F1392" s="897"/>
      <c r="G1392" s="897"/>
      <c r="H1392" s="898" t="e">
        <v>#N/A</v>
      </c>
      <c r="I1392" s="899"/>
      <c r="J1392" s="899"/>
    </row>
    <row r="1393" spans="1:10">
      <c r="A1393" s="896" t="s">
        <v>6412</v>
      </c>
      <c r="B1393" s="897" t="s">
        <v>6413</v>
      </c>
      <c r="C1393" s="897" t="s">
        <v>4223</v>
      </c>
      <c r="D1393" s="897" t="s">
        <v>1912</v>
      </c>
      <c r="E1393" s="897"/>
      <c r="F1393" s="897"/>
      <c r="G1393" s="897"/>
      <c r="H1393" s="898" t="e">
        <v>#N/A</v>
      </c>
      <c r="I1393" s="899"/>
      <c r="J1393" s="899"/>
    </row>
    <row r="1394" spans="1:10">
      <c r="A1394" s="896" t="s">
        <v>6414</v>
      </c>
      <c r="B1394" s="897" t="s">
        <v>6415</v>
      </c>
      <c r="C1394" s="897" t="s">
        <v>6416</v>
      </c>
      <c r="D1394" s="897" t="s">
        <v>1912</v>
      </c>
      <c r="E1394" s="897"/>
      <c r="F1394" s="897"/>
      <c r="G1394" s="897"/>
      <c r="H1394" s="898" t="s">
        <v>1953</v>
      </c>
      <c r="I1394" s="899"/>
      <c r="J1394" s="899"/>
    </row>
    <row r="1395" spans="1:10">
      <c r="A1395" s="896" t="s">
        <v>6417</v>
      </c>
      <c r="B1395" s="897" t="s">
        <v>6418</v>
      </c>
      <c r="C1395" s="897" t="s">
        <v>3608</v>
      </c>
      <c r="D1395" s="897" t="s">
        <v>1912</v>
      </c>
      <c r="E1395" s="897"/>
      <c r="F1395" s="897"/>
      <c r="G1395" s="897"/>
      <c r="H1395" s="898">
        <v>0</v>
      </c>
      <c r="I1395" s="899"/>
      <c r="J1395" s="899"/>
    </row>
    <row r="1396" spans="1:10">
      <c r="A1396" s="896" t="s">
        <v>6419</v>
      </c>
      <c r="B1396" s="897" t="s">
        <v>6420</v>
      </c>
      <c r="C1396" s="897" t="s">
        <v>6421</v>
      </c>
      <c r="D1396" s="897" t="s">
        <v>1912</v>
      </c>
      <c r="E1396" s="897"/>
      <c r="F1396" s="897"/>
      <c r="G1396" s="897"/>
      <c r="H1396" s="898" t="e">
        <v>#N/A</v>
      </c>
      <c r="I1396" s="899"/>
      <c r="J1396" s="899"/>
    </row>
    <row r="1397" spans="1:10">
      <c r="A1397" s="896" t="s">
        <v>6422</v>
      </c>
      <c r="B1397" s="897" t="s">
        <v>6423</v>
      </c>
      <c r="C1397" s="897" t="s">
        <v>6424</v>
      </c>
      <c r="D1397" s="897" t="s">
        <v>1912</v>
      </c>
      <c r="E1397" s="897"/>
      <c r="F1397" s="897"/>
      <c r="G1397" s="897"/>
      <c r="H1397" s="898" t="e">
        <v>#N/A</v>
      </c>
      <c r="I1397" s="899"/>
      <c r="J1397" s="899"/>
    </row>
    <row r="1398" spans="1:10">
      <c r="A1398" s="896" t="s">
        <v>6425</v>
      </c>
      <c r="B1398" s="897" t="s">
        <v>1072</v>
      </c>
      <c r="C1398" s="897"/>
      <c r="D1398" s="897" t="s">
        <v>1912</v>
      </c>
      <c r="E1398" s="897"/>
      <c r="F1398" s="897"/>
      <c r="G1398" s="897"/>
      <c r="H1398" s="898" t="s">
        <v>1936</v>
      </c>
      <c r="I1398" s="899"/>
      <c r="J1398" s="899"/>
    </row>
    <row r="1399" spans="1:10">
      <c r="A1399" s="896" t="s">
        <v>6426</v>
      </c>
      <c r="B1399" s="897" t="s">
        <v>6427</v>
      </c>
      <c r="C1399" s="897" t="s">
        <v>6428</v>
      </c>
      <c r="D1399" s="897" t="s">
        <v>1912</v>
      </c>
      <c r="E1399" s="897"/>
      <c r="F1399" s="897"/>
      <c r="G1399" s="897"/>
      <c r="H1399" s="898" t="e">
        <v>#N/A</v>
      </c>
      <c r="I1399" s="899"/>
      <c r="J1399" s="899"/>
    </row>
    <row r="1400" spans="1:10">
      <c r="A1400" s="896" t="s">
        <v>6429</v>
      </c>
      <c r="B1400" s="897" t="s">
        <v>6430</v>
      </c>
      <c r="C1400" s="897" t="s">
        <v>1912</v>
      </c>
      <c r="D1400" s="897" t="s">
        <v>1912</v>
      </c>
      <c r="E1400" s="897"/>
      <c r="F1400" s="897"/>
      <c r="G1400" s="897"/>
      <c r="H1400" s="898" t="e">
        <v>#N/A</v>
      </c>
      <c r="I1400" s="899"/>
      <c r="J1400" s="899"/>
    </row>
    <row r="1401" spans="1:10">
      <c r="A1401" s="896" t="s">
        <v>6431</v>
      </c>
      <c r="B1401" s="897" t="s">
        <v>6432</v>
      </c>
      <c r="C1401" s="897" t="s">
        <v>6433</v>
      </c>
      <c r="D1401" s="897" t="s">
        <v>1912</v>
      </c>
      <c r="E1401" s="897"/>
      <c r="F1401" s="897"/>
      <c r="G1401" s="897"/>
      <c r="H1401" s="898" t="s">
        <v>1953</v>
      </c>
      <c r="I1401" s="899"/>
      <c r="J1401" s="899"/>
    </row>
    <row r="1402" spans="1:10">
      <c r="A1402" s="896" t="s">
        <v>6434</v>
      </c>
      <c r="B1402" s="897" t="s">
        <v>6435</v>
      </c>
      <c r="C1402" s="897" t="s">
        <v>6436</v>
      </c>
      <c r="D1402" s="897" t="s">
        <v>1912</v>
      </c>
      <c r="E1402" s="897"/>
      <c r="F1402" s="897"/>
      <c r="G1402" s="897"/>
      <c r="H1402" s="898" t="e">
        <v>#N/A</v>
      </c>
      <c r="I1402" s="899"/>
      <c r="J1402" s="899"/>
    </row>
    <row r="1403" spans="1:10">
      <c r="A1403" s="896" t="s">
        <v>6437</v>
      </c>
      <c r="B1403" s="897" t="s">
        <v>6438</v>
      </c>
      <c r="C1403" s="897" t="s">
        <v>6439</v>
      </c>
      <c r="D1403" s="897" t="s">
        <v>1912</v>
      </c>
      <c r="E1403" s="897"/>
      <c r="F1403" s="897"/>
      <c r="G1403" s="897"/>
      <c r="H1403" s="898" t="s">
        <v>1953</v>
      </c>
      <c r="I1403" s="899"/>
      <c r="J1403" s="899"/>
    </row>
    <row r="1404" spans="1:10">
      <c r="A1404" s="896" t="s">
        <v>6440</v>
      </c>
      <c r="B1404" s="897" t="s">
        <v>6441</v>
      </c>
      <c r="C1404" s="897" t="s">
        <v>6442</v>
      </c>
      <c r="D1404" s="897" t="s">
        <v>1912</v>
      </c>
      <c r="E1404" s="897"/>
      <c r="F1404" s="897"/>
      <c r="G1404" s="897"/>
      <c r="H1404" s="898" t="e">
        <v>#N/A</v>
      </c>
      <c r="I1404" s="899"/>
      <c r="J1404" s="899"/>
    </row>
    <row r="1405" spans="1:10">
      <c r="A1405" s="896" t="s">
        <v>6443</v>
      </c>
      <c r="B1405" s="897" t="s">
        <v>6444</v>
      </c>
      <c r="C1405" s="897"/>
      <c r="D1405" s="897" t="s">
        <v>1912</v>
      </c>
      <c r="E1405" s="897"/>
      <c r="F1405" s="897"/>
      <c r="G1405" s="897"/>
      <c r="H1405" s="898" t="s">
        <v>1914</v>
      </c>
      <c r="I1405" s="899"/>
      <c r="J1405" s="899"/>
    </row>
    <row r="1406" spans="1:10">
      <c r="A1406" s="896" t="s">
        <v>6445</v>
      </c>
      <c r="B1406" s="897" t="s">
        <v>6446</v>
      </c>
      <c r="C1406" s="897" t="s">
        <v>6447</v>
      </c>
      <c r="D1406" s="897" t="s">
        <v>1912</v>
      </c>
      <c r="E1406" s="897"/>
      <c r="F1406" s="897"/>
      <c r="G1406" s="897"/>
      <c r="H1406" s="898" t="e">
        <v>#N/A</v>
      </c>
      <c r="I1406" s="899"/>
      <c r="J1406" s="899"/>
    </row>
    <row r="1407" spans="1:10">
      <c r="A1407" s="896" t="s">
        <v>6448</v>
      </c>
      <c r="B1407" s="897" t="s">
        <v>6449</v>
      </c>
      <c r="C1407" s="897" t="s">
        <v>1912</v>
      </c>
      <c r="D1407" s="897" t="s">
        <v>1912</v>
      </c>
      <c r="E1407" s="897"/>
      <c r="F1407" s="897"/>
      <c r="G1407" s="897"/>
      <c r="H1407" s="898" t="e">
        <v>#N/A</v>
      </c>
      <c r="I1407" s="899"/>
      <c r="J1407" s="899"/>
    </row>
    <row r="1408" spans="1:10">
      <c r="A1408" s="896" t="s">
        <v>6450</v>
      </c>
      <c r="B1408" s="897" t="s">
        <v>6451</v>
      </c>
      <c r="C1408" s="897" t="s">
        <v>6452</v>
      </c>
      <c r="D1408" s="897" t="s">
        <v>1912</v>
      </c>
      <c r="E1408" s="897"/>
      <c r="F1408" s="897"/>
      <c r="G1408" s="897"/>
      <c r="H1408" s="898" t="e">
        <v>#N/A</v>
      </c>
      <c r="I1408" s="899"/>
      <c r="J1408" s="899"/>
    </row>
    <row r="1409" spans="1:10">
      <c r="A1409" s="896" t="s">
        <v>6453</v>
      </c>
      <c r="B1409" s="897" t="s">
        <v>6454</v>
      </c>
      <c r="C1409" s="897" t="s">
        <v>6455</v>
      </c>
      <c r="D1409" s="897" t="s">
        <v>1912</v>
      </c>
      <c r="E1409" s="897"/>
      <c r="F1409" s="897"/>
      <c r="G1409" s="897"/>
      <c r="H1409" s="898" t="e">
        <v>#N/A</v>
      </c>
      <c r="I1409" s="899"/>
      <c r="J1409" s="899"/>
    </row>
    <row r="1410" spans="1:10">
      <c r="A1410" s="896" t="s">
        <v>6456</v>
      </c>
      <c r="B1410" s="897" t="s">
        <v>1439</v>
      </c>
      <c r="C1410" s="897" t="s">
        <v>4666</v>
      </c>
      <c r="D1410" s="897" t="s">
        <v>1912</v>
      </c>
      <c r="E1410" s="897"/>
      <c r="F1410" s="897"/>
      <c r="G1410" s="897"/>
      <c r="H1410" s="898" t="e">
        <v>#N/A</v>
      </c>
      <c r="I1410" s="899"/>
      <c r="J1410" s="899"/>
    </row>
    <row r="1411" spans="1:10">
      <c r="A1411" s="896" t="s">
        <v>6457</v>
      </c>
      <c r="B1411" s="897" t="s">
        <v>1241</v>
      </c>
      <c r="C1411" s="897" t="s">
        <v>6458</v>
      </c>
      <c r="D1411" s="897" t="s">
        <v>1912</v>
      </c>
      <c r="E1411" s="897"/>
      <c r="F1411" s="897"/>
      <c r="G1411" s="897"/>
      <c r="H1411" s="898" t="s">
        <v>1914</v>
      </c>
      <c r="I1411" s="899"/>
      <c r="J1411" s="899"/>
    </row>
    <row r="1412" spans="1:10">
      <c r="A1412" s="896" t="s">
        <v>6459</v>
      </c>
      <c r="B1412" s="897" t="s">
        <v>6460</v>
      </c>
      <c r="C1412" s="897" t="s">
        <v>6461</v>
      </c>
      <c r="D1412" s="897" t="s">
        <v>1912</v>
      </c>
      <c r="E1412" s="897"/>
      <c r="F1412" s="897"/>
      <c r="G1412" s="897"/>
      <c r="H1412" s="898" t="e">
        <v>#N/A</v>
      </c>
      <c r="I1412" s="899"/>
      <c r="J1412" s="899"/>
    </row>
    <row r="1413" spans="1:10">
      <c r="A1413" s="896" t="s">
        <v>6462</v>
      </c>
      <c r="B1413" s="897" t="s">
        <v>6463</v>
      </c>
      <c r="C1413" s="897" t="s">
        <v>4666</v>
      </c>
      <c r="D1413" s="897" t="s">
        <v>1912</v>
      </c>
      <c r="E1413" s="897"/>
      <c r="F1413" s="897"/>
      <c r="G1413" s="897"/>
      <c r="H1413" s="898" t="e">
        <v>#N/A</v>
      </c>
      <c r="I1413" s="899"/>
      <c r="J1413" s="899"/>
    </row>
    <row r="1414" spans="1:10">
      <c r="A1414" s="896" t="s">
        <v>6464</v>
      </c>
      <c r="B1414" s="897" t="s">
        <v>6465</v>
      </c>
      <c r="C1414" s="897" t="s">
        <v>6466</v>
      </c>
      <c r="D1414" s="897" t="s">
        <v>1912</v>
      </c>
      <c r="E1414" s="897"/>
      <c r="F1414" s="897" t="s">
        <v>185</v>
      </c>
      <c r="G1414" s="897" t="s">
        <v>6467</v>
      </c>
      <c r="H1414" s="898" t="e">
        <v>#N/A</v>
      </c>
      <c r="I1414" s="899"/>
      <c r="J1414" s="899"/>
    </row>
    <row r="1415" spans="1:10">
      <c r="A1415" s="896" t="s">
        <v>6468</v>
      </c>
      <c r="B1415" s="897" t="s">
        <v>1773</v>
      </c>
      <c r="C1415" s="897" t="s">
        <v>6469</v>
      </c>
      <c r="D1415" s="897" t="s">
        <v>1912</v>
      </c>
      <c r="E1415" s="897"/>
      <c r="F1415" s="897"/>
      <c r="G1415" s="897"/>
      <c r="H1415" s="898" t="e">
        <v>#N/A</v>
      </c>
      <c r="I1415" s="899"/>
      <c r="J1415" s="899"/>
    </row>
    <row r="1416" spans="1:10">
      <c r="A1416" s="896" t="s">
        <v>6470</v>
      </c>
      <c r="B1416" s="897" t="s">
        <v>6471</v>
      </c>
      <c r="C1416" s="897" t="s">
        <v>6472</v>
      </c>
      <c r="D1416" s="897" t="s">
        <v>1912</v>
      </c>
      <c r="E1416" s="897"/>
      <c r="F1416" s="897"/>
      <c r="G1416" s="897"/>
      <c r="H1416" s="898" t="s">
        <v>1953</v>
      </c>
      <c r="I1416" s="899"/>
      <c r="J1416" s="899"/>
    </row>
    <row r="1417" spans="1:10">
      <c r="A1417" s="896" t="s">
        <v>6473</v>
      </c>
      <c r="B1417" s="897" t="s">
        <v>6474</v>
      </c>
      <c r="C1417" s="897" t="s">
        <v>1912</v>
      </c>
      <c r="D1417" s="897" t="s">
        <v>1912</v>
      </c>
      <c r="E1417" s="897"/>
      <c r="F1417" s="897"/>
      <c r="G1417" s="897"/>
      <c r="H1417" s="898" t="e">
        <v>#N/A</v>
      </c>
      <c r="I1417" s="899"/>
      <c r="J1417" s="899"/>
    </row>
    <row r="1418" spans="1:10">
      <c r="A1418" s="896" t="s">
        <v>6475</v>
      </c>
      <c r="B1418" s="897" t="s">
        <v>6476</v>
      </c>
      <c r="C1418" s="897" t="s">
        <v>6477</v>
      </c>
      <c r="D1418" s="897" t="s">
        <v>1912</v>
      </c>
      <c r="E1418" s="897"/>
      <c r="F1418" s="897"/>
      <c r="G1418" s="897"/>
      <c r="H1418" s="898" t="e">
        <v>#N/A</v>
      </c>
      <c r="I1418" s="899"/>
      <c r="J1418" s="899"/>
    </row>
    <row r="1419" spans="1:10">
      <c r="A1419" s="896" t="s">
        <v>6478</v>
      </c>
      <c r="B1419" s="897" t="s">
        <v>6479</v>
      </c>
      <c r="C1419" s="897" t="s">
        <v>6480</v>
      </c>
      <c r="D1419" s="897" t="s">
        <v>1912</v>
      </c>
      <c r="E1419" s="897"/>
      <c r="F1419" s="897"/>
      <c r="G1419" s="897"/>
      <c r="H1419" s="898" t="s">
        <v>1953</v>
      </c>
      <c r="I1419" s="899"/>
      <c r="J1419" s="899"/>
    </row>
    <row r="1420" spans="1:10">
      <c r="A1420" s="896" t="s">
        <v>6481</v>
      </c>
      <c r="B1420" s="897" t="s">
        <v>6482</v>
      </c>
      <c r="C1420" s="897" t="s">
        <v>1912</v>
      </c>
      <c r="D1420" s="897" t="s">
        <v>1912</v>
      </c>
      <c r="E1420" s="897"/>
      <c r="F1420" s="897"/>
      <c r="G1420" s="897"/>
      <c r="H1420" s="898" t="e">
        <v>#N/A</v>
      </c>
      <c r="I1420" s="899"/>
      <c r="J1420" s="899"/>
    </row>
    <row r="1421" spans="1:10">
      <c r="A1421" s="896" t="s">
        <v>6483</v>
      </c>
      <c r="B1421" s="897" t="s">
        <v>6484</v>
      </c>
      <c r="C1421" s="897" t="s">
        <v>6485</v>
      </c>
      <c r="D1421" s="897" t="s">
        <v>1912</v>
      </c>
      <c r="E1421" s="897"/>
      <c r="F1421" s="897"/>
      <c r="G1421" s="897"/>
      <c r="H1421" s="898" t="e">
        <v>#N/A</v>
      </c>
      <c r="I1421" s="899"/>
      <c r="J1421" s="899"/>
    </row>
    <row r="1422" spans="1:10">
      <c r="A1422" s="896" t="s">
        <v>6486</v>
      </c>
      <c r="B1422" s="897" t="s">
        <v>6487</v>
      </c>
      <c r="C1422" s="897" t="s">
        <v>6488</v>
      </c>
      <c r="D1422" s="897" t="s">
        <v>1912</v>
      </c>
      <c r="E1422" s="897"/>
      <c r="F1422" s="897"/>
      <c r="G1422" s="897"/>
      <c r="H1422" s="898" t="e">
        <v>#N/A</v>
      </c>
      <c r="I1422" s="899"/>
      <c r="J1422" s="899"/>
    </row>
    <row r="1423" spans="1:10">
      <c r="A1423" s="896" t="s">
        <v>6489</v>
      </c>
      <c r="B1423" s="897" t="s">
        <v>372</v>
      </c>
      <c r="C1423" s="897" t="s">
        <v>5525</v>
      </c>
      <c r="D1423" s="897" t="s">
        <v>1912</v>
      </c>
      <c r="E1423" s="897"/>
      <c r="F1423" s="897"/>
      <c r="G1423" s="897"/>
      <c r="H1423" s="898" t="s">
        <v>1914</v>
      </c>
      <c r="I1423" s="899"/>
      <c r="J1423" s="899"/>
    </row>
    <row r="1424" spans="1:10">
      <c r="A1424" s="896" t="s">
        <v>6490</v>
      </c>
      <c r="B1424" s="897" t="s">
        <v>6491</v>
      </c>
      <c r="C1424" s="897" t="s">
        <v>1912</v>
      </c>
      <c r="D1424" s="897" t="s">
        <v>1912</v>
      </c>
      <c r="E1424" s="897"/>
      <c r="F1424" s="897"/>
      <c r="G1424" s="897"/>
      <c r="H1424" s="898" t="e">
        <v>#N/A</v>
      </c>
      <c r="I1424" s="899"/>
      <c r="J1424" s="899"/>
    </row>
    <row r="1425" spans="1:10">
      <c r="A1425" s="896" t="s">
        <v>6492</v>
      </c>
      <c r="B1425" s="897" t="s">
        <v>6493</v>
      </c>
      <c r="C1425" s="897" t="s">
        <v>6494</v>
      </c>
      <c r="D1425" s="897" t="s">
        <v>1912</v>
      </c>
      <c r="E1425" s="897"/>
      <c r="F1425" s="897"/>
      <c r="G1425" s="897"/>
      <c r="H1425" s="898" t="s">
        <v>1914</v>
      </c>
      <c r="I1425" s="899"/>
      <c r="J1425" s="899"/>
    </row>
    <row r="1426" spans="1:10">
      <c r="A1426" s="896" t="s">
        <v>6495</v>
      </c>
      <c r="B1426" s="897" t="s">
        <v>6496</v>
      </c>
      <c r="C1426" s="897" t="s">
        <v>4425</v>
      </c>
      <c r="D1426" s="897" t="s">
        <v>1912</v>
      </c>
      <c r="E1426" s="897"/>
      <c r="F1426" s="897"/>
      <c r="G1426" s="897"/>
      <c r="H1426" s="898" t="s">
        <v>1953</v>
      </c>
      <c r="I1426" s="899"/>
      <c r="J1426" s="899"/>
    </row>
    <row r="1427" spans="1:10">
      <c r="A1427" s="896" t="s">
        <v>6497</v>
      </c>
      <c r="B1427" s="897" t="s">
        <v>6498</v>
      </c>
      <c r="C1427" s="897" t="s">
        <v>6499</v>
      </c>
      <c r="D1427" s="897" t="s">
        <v>1912</v>
      </c>
      <c r="E1427" s="897"/>
      <c r="F1427" s="897"/>
      <c r="G1427" s="897"/>
      <c r="H1427" s="898" t="s">
        <v>1953</v>
      </c>
      <c r="I1427" s="899"/>
      <c r="J1427" s="899"/>
    </row>
    <row r="1428" spans="1:10">
      <c r="A1428" s="896" t="s">
        <v>6500</v>
      </c>
      <c r="B1428" s="897" t="s">
        <v>6501</v>
      </c>
      <c r="C1428" s="897" t="s">
        <v>1912</v>
      </c>
      <c r="D1428" s="897" t="s">
        <v>1912</v>
      </c>
      <c r="E1428" s="897"/>
      <c r="F1428" s="897"/>
      <c r="G1428" s="897"/>
      <c r="H1428" s="898" t="e">
        <v>#N/A</v>
      </c>
      <c r="I1428" s="899"/>
      <c r="J1428" s="899"/>
    </row>
    <row r="1429" spans="1:10">
      <c r="A1429" s="896" t="s">
        <v>6502</v>
      </c>
      <c r="B1429" s="897" t="s">
        <v>6503</v>
      </c>
      <c r="C1429" s="897" t="s">
        <v>6504</v>
      </c>
      <c r="D1429" s="897" t="s">
        <v>1912</v>
      </c>
      <c r="E1429" s="897"/>
      <c r="F1429" s="897"/>
      <c r="G1429" s="897"/>
      <c r="H1429" s="898" t="e">
        <v>#N/A</v>
      </c>
      <c r="I1429" s="899"/>
      <c r="J1429" s="899"/>
    </row>
    <row r="1430" spans="1:10">
      <c r="A1430" s="896" t="s">
        <v>6505</v>
      </c>
      <c r="B1430" s="897" t="s">
        <v>6506</v>
      </c>
      <c r="C1430" s="897" t="s">
        <v>3618</v>
      </c>
      <c r="D1430" s="897" t="s">
        <v>1912</v>
      </c>
      <c r="E1430" s="897"/>
      <c r="F1430" s="897"/>
      <c r="G1430" s="897"/>
      <c r="H1430" s="898" t="e">
        <v>#N/A</v>
      </c>
      <c r="I1430" s="899"/>
      <c r="J1430" s="899"/>
    </row>
    <row r="1431" spans="1:10">
      <c r="A1431" s="896" t="s">
        <v>6507</v>
      </c>
      <c r="B1431" s="897" t="s">
        <v>6508</v>
      </c>
      <c r="C1431" s="897" t="s">
        <v>6509</v>
      </c>
      <c r="D1431" s="897" t="s">
        <v>1912</v>
      </c>
      <c r="E1431" s="897"/>
      <c r="F1431" s="897"/>
      <c r="G1431" s="897"/>
      <c r="H1431" s="898" t="e">
        <v>#N/A</v>
      </c>
      <c r="I1431" s="899"/>
      <c r="J1431" s="899"/>
    </row>
    <row r="1432" spans="1:10">
      <c r="A1432" s="896" t="s">
        <v>6510</v>
      </c>
      <c r="B1432" s="897" t="s">
        <v>6511</v>
      </c>
      <c r="C1432" s="897" t="s">
        <v>5211</v>
      </c>
      <c r="D1432" s="897" t="s">
        <v>1912</v>
      </c>
      <c r="E1432" s="897"/>
      <c r="F1432" s="897"/>
      <c r="G1432" s="897"/>
      <c r="H1432" s="898" t="e">
        <v>#N/A</v>
      </c>
      <c r="I1432" s="899"/>
      <c r="J1432" s="899"/>
    </row>
    <row r="1433" spans="1:10">
      <c r="A1433" s="896" t="s">
        <v>6512</v>
      </c>
      <c r="B1433" s="897" t="s">
        <v>425</v>
      </c>
      <c r="C1433" s="897" t="s">
        <v>6513</v>
      </c>
      <c r="D1433" s="897" t="s">
        <v>1912</v>
      </c>
      <c r="E1433" s="897"/>
      <c r="F1433" s="897"/>
      <c r="G1433" s="897"/>
      <c r="H1433" s="898" t="s">
        <v>1914</v>
      </c>
      <c r="I1433" s="899"/>
      <c r="J1433" s="899"/>
    </row>
    <row r="1434" spans="1:10">
      <c r="A1434" s="896" t="s">
        <v>6514</v>
      </c>
      <c r="B1434" s="897" t="s">
        <v>910</v>
      </c>
      <c r="C1434" s="897" t="s">
        <v>4821</v>
      </c>
      <c r="D1434" s="897" t="s">
        <v>1245</v>
      </c>
      <c r="E1434" s="897"/>
      <c r="F1434" s="897"/>
      <c r="G1434" s="897"/>
      <c r="H1434" s="898" t="s">
        <v>1953</v>
      </c>
      <c r="I1434" s="899"/>
      <c r="J1434" s="899"/>
    </row>
    <row r="1435" spans="1:10">
      <c r="A1435" s="896" t="s">
        <v>6515</v>
      </c>
      <c r="B1435" s="897" t="s">
        <v>915</v>
      </c>
      <c r="C1435" s="897" t="s">
        <v>6516</v>
      </c>
      <c r="D1435" s="897" t="s">
        <v>1246</v>
      </c>
      <c r="E1435" s="897"/>
      <c r="F1435" s="897"/>
      <c r="G1435" s="897"/>
      <c r="H1435" s="898" t="s">
        <v>6517</v>
      </c>
      <c r="I1435" s="899"/>
      <c r="J1435" s="899"/>
    </row>
    <row r="1436" spans="1:10">
      <c r="A1436" s="896" t="s">
        <v>6518</v>
      </c>
      <c r="B1436" s="897" t="s">
        <v>6519</v>
      </c>
      <c r="C1436" s="897" t="s">
        <v>6520</v>
      </c>
      <c r="D1436" s="897" t="s">
        <v>1912</v>
      </c>
      <c r="E1436" s="897"/>
      <c r="F1436" s="897"/>
      <c r="G1436" s="897"/>
      <c r="H1436" s="898" t="e">
        <v>#N/A</v>
      </c>
      <c r="I1436" s="899"/>
      <c r="J1436" s="899"/>
    </row>
    <row r="1437" spans="1:10">
      <c r="A1437" s="896" t="s">
        <v>6521</v>
      </c>
      <c r="B1437" s="897" t="s">
        <v>1442</v>
      </c>
      <c r="C1437" s="897" t="s">
        <v>6522</v>
      </c>
      <c r="D1437" s="897" t="s">
        <v>1912</v>
      </c>
      <c r="E1437" s="897"/>
      <c r="F1437" s="897"/>
      <c r="G1437" s="897"/>
      <c r="H1437" s="898" t="e">
        <v>#N/A</v>
      </c>
      <c r="I1437" s="899"/>
      <c r="J1437" s="899"/>
    </row>
    <row r="1438" spans="1:10">
      <c r="A1438" s="896" t="s">
        <v>6523</v>
      </c>
      <c r="B1438" s="897" t="s">
        <v>6524</v>
      </c>
      <c r="C1438" s="897" t="s">
        <v>4217</v>
      </c>
      <c r="D1438" s="897" t="s">
        <v>1912</v>
      </c>
      <c r="E1438" s="897"/>
      <c r="F1438" s="897"/>
      <c r="G1438" s="897"/>
      <c r="H1438" s="898" t="s">
        <v>1953</v>
      </c>
      <c r="I1438" s="899"/>
      <c r="J1438" s="899"/>
    </row>
    <row r="1439" spans="1:10">
      <c r="A1439" s="896" t="s">
        <v>6525</v>
      </c>
      <c r="B1439" s="897" t="s">
        <v>727</v>
      </c>
      <c r="C1439" s="897" t="s">
        <v>6526</v>
      </c>
      <c r="D1439" s="897" t="s">
        <v>1304</v>
      </c>
      <c r="E1439" s="897"/>
      <c r="F1439" s="897"/>
      <c r="G1439" s="897"/>
      <c r="H1439" s="898" t="s">
        <v>1953</v>
      </c>
      <c r="I1439" s="899"/>
      <c r="J1439" s="899"/>
    </row>
    <row r="1440" spans="1:10">
      <c r="A1440" s="896" t="s">
        <v>6527</v>
      </c>
      <c r="B1440" s="897" t="s">
        <v>6528</v>
      </c>
      <c r="C1440" s="897" t="s">
        <v>6529</v>
      </c>
      <c r="D1440" s="897" t="s">
        <v>1912</v>
      </c>
      <c r="E1440" s="897"/>
      <c r="F1440" s="897"/>
      <c r="G1440" s="897"/>
      <c r="H1440" s="898" t="e">
        <v>#N/A</v>
      </c>
      <c r="I1440" s="899"/>
      <c r="J1440" s="899"/>
    </row>
    <row r="1441" spans="1:10">
      <c r="A1441" s="896" t="s">
        <v>6530</v>
      </c>
      <c r="B1441" s="897" t="s">
        <v>6531</v>
      </c>
      <c r="C1441" s="897" t="s">
        <v>4918</v>
      </c>
      <c r="D1441" s="897" t="s">
        <v>1912</v>
      </c>
      <c r="E1441" s="897"/>
      <c r="F1441" s="897"/>
      <c r="G1441" s="897"/>
      <c r="H1441" s="898" t="e">
        <v>#N/A</v>
      </c>
      <c r="I1441" s="899"/>
      <c r="J1441" s="899"/>
    </row>
    <row r="1442" spans="1:10">
      <c r="A1442" s="896" t="s">
        <v>6532</v>
      </c>
      <c r="B1442" s="897" t="s">
        <v>6533</v>
      </c>
      <c r="C1442" s="897" t="s">
        <v>6534</v>
      </c>
      <c r="D1442" s="897" t="s">
        <v>1912</v>
      </c>
      <c r="E1442" s="897"/>
      <c r="F1442" s="897"/>
      <c r="G1442" s="897"/>
      <c r="H1442" s="898" t="s">
        <v>1953</v>
      </c>
      <c r="I1442" s="899"/>
      <c r="J1442" s="899"/>
    </row>
    <row r="1443" spans="1:10">
      <c r="A1443" s="896" t="s">
        <v>6535</v>
      </c>
      <c r="B1443" s="897" t="s">
        <v>111</v>
      </c>
      <c r="C1443" s="897"/>
      <c r="D1443" s="897" t="s">
        <v>1912</v>
      </c>
      <c r="E1443" s="897"/>
      <c r="F1443" s="897"/>
      <c r="G1443" s="897"/>
      <c r="H1443" s="898">
        <v>0</v>
      </c>
      <c r="I1443" s="899"/>
      <c r="J1443" s="899"/>
    </row>
    <row r="1444" spans="1:10">
      <c r="A1444" s="896" t="s">
        <v>6536</v>
      </c>
      <c r="B1444" s="897" t="s">
        <v>6537</v>
      </c>
      <c r="C1444" s="897" t="s">
        <v>6538</v>
      </c>
      <c r="D1444" s="897" t="s">
        <v>1912</v>
      </c>
      <c r="E1444" s="897"/>
      <c r="F1444" s="897"/>
      <c r="G1444" s="897"/>
      <c r="H1444" s="898" t="e">
        <v>#N/A</v>
      </c>
      <c r="I1444" s="899"/>
      <c r="J1444" s="899"/>
    </row>
    <row r="1445" spans="1:10">
      <c r="A1445" s="896" t="s">
        <v>6539</v>
      </c>
      <c r="B1445" s="897" t="s">
        <v>6540</v>
      </c>
      <c r="C1445" s="897" t="s">
        <v>6541</v>
      </c>
      <c r="D1445" s="897" t="s">
        <v>1912</v>
      </c>
      <c r="E1445" s="897"/>
      <c r="F1445" s="897"/>
      <c r="G1445" s="897"/>
      <c r="H1445" s="898" t="e">
        <v>#N/A</v>
      </c>
      <c r="I1445" s="899"/>
      <c r="J1445" s="899"/>
    </row>
    <row r="1446" spans="1:10">
      <c r="A1446" s="896" t="s">
        <v>6542</v>
      </c>
      <c r="B1446" s="897" t="s">
        <v>6543</v>
      </c>
      <c r="C1446" s="897" t="s">
        <v>4997</v>
      </c>
      <c r="D1446" s="897" t="s">
        <v>1912</v>
      </c>
      <c r="E1446" s="897"/>
      <c r="F1446" s="897"/>
      <c r="G1446" s="897"/>
      <c r="H1446" s="898" t="s">
        <v>1953</v>
      </c>
      <c r="I1446" s="899"/>
      <c r="J1446" s="899"/>
    </row>
    <row r="1447" spans="1:10">
      <c r="A1447" s="896" t="s">
        <v>6544</v>
      </c>
      <c r="B1447" s="897" t="s">
        <v>194</v>
      </c>
      <c r="C1447" s="897" t="s">
        <v>6545</v>
      </c>
      <c r="D1447" s="897" t="s">
        <v>1912</v>
      </c>
      <c r="E1447" s="897"/>
      <c r="F1447" s="897"/>
      <c r="G1447" s="897"/>
      <c r="H1447" s="898" t="s">
        <v>1953</v>
      </c>
      <c r="I1447" s="899"/>
      <c r="J1447" s="899"/>
    </row>
    <row r="1448" spans="1:10">
      <c r="A1448" s="896" t="s">
        <v>6546</v>
      </c>
      <c r="B1448" s="897" t="s">
        <v>1777</v>
      </c>
      <c r="C1448" s="897" t="s">
        <v>6547</v>
      </c>
      <c r="D1448" s="897" t="s">
        <v>1912</v>
      </c>
      <c r="E1448" s="897"/>
      <c r="F1448" s="897"/>
      <c r="G1448" s="897"/>
      <c r="H1448" s="898" t="e">
        <v>#N/A</v>
      </c>
      <c r="I1448" s="899"/>
      <c r="J1448" s="899"/>
    </row>
    <row r="1449" spans="1:10">
      <c r="A1449" s="896" t="s">
        <v>6548</v>
      </c>
      <c r="B1449" s="897" t="s">
        <v>254</v>
      </c>
      <c r="C1449" s="897" t="s">
        <v>6549</v>
      </c>
      <c r="D1449" s="897" t="s">
        <v>6550</v>
      </c>
      <c r="E1449" s="897"/>
      <c r="F1449" s="897"/>
      <c r="G1449" s="897"/>
      <c r="H1449" s="898" t="s">
        <v>1953</v>
      </c>
      <c r="I1449" s="899"/>
      <c r="J1449" s="899"/>
    </row>
    <row r="1450" spans="1:10">
      <c r="A1450" s="896" t="s">
        <v>6551</v>
      </c>
      <c r="B1450" s="897" t="s">
        <v>6552</v>
      </c>
      <c r="C1450" s="897" t="s">
        <v>1912</v>
      </c>
      <c r="D1450" s="897" t="s">
        <v>1912</v>
      </c>
      <c r="E1450" s="897"/>
      <c r="F1450" s="897"/>
      <c r="G1450" s="897"/>
      <c r="H1450" s="898" t="e">
        <v>#N/A</v>
      </c>
      <c r="I1450" s="899"/>
      <c r="J1450" s="899"/>
    </row>
    <row r="1451" spans="1:10">
      <c r="A1451" s="896" t="s">
        <v>6553</v>
      </c>
      <c r="B1451" s="897" t="s">
        <v>6554</v>
      </c>
      <c r="C1451" s="897" t="s">
        <v>1912</v>
      </c>
      <c r="D1451" s="897" t="s">
        <v>1912</v>
      </c>
      <c r="E1451" s="897"/>
      <c r="F1451" s="897"/>
      <c r="G1451" s="897"/>
      <c r="H1451" s="898" t="e">
        <v>#N/A</v>
      </c>
      <c r="I1451" s="899"/>
      <c r="J1451" s="899"/>
    </row>
    <row r="1452" spans="1:10">
      <c r="A1452" s="896" t="s">
        <v>6555</v>
      </c>
      <c r="B1452" s="897" t="s">
        <v>6556</v>
      </c>
      <c r="C1452" s="897" t="s">
        <v>6557</v>
      </c>
      <c r="D1452" s="897" t="s">
        <v>1912</v>
      </c>
      <c r="E1452" s="897"/>
      <c r="F1452" s="897"/>
      <c r="G1452" s="897"/>
      <c r="H1452" s="898" t="e">
        <v>#N/A</v>
      </c>
      <c r="I1452" s="899"/>
      <c r="J1452" s="899"/>
    </row>
    <row r="1453" spans="1:10">
      <c r="A1453" s="896" t="s">
        <v>6558</v>
      </c>
      <c r="B1453" s="897" t="s">
        <v>6559</v>
      </c>
      <c r="C1453" s="897" t="s">
        <v>6560</v>
      </c>
      <c r="D1453" s="897" t="s">
        <v>1912</v>
      </c>
      <c r="E1453" s="897"/>
      <c r="F1453" s="897"/>
      <c r="G1453" s="897"/>
      <c r="H1453" s="898" t="e">
        <v>#N/A</v>
      </c>
      <c r="I1453" s="899"/>
      <c r="J1453" s="899"/>
    </row>
    <row r="1454" spans="1:10">
      <c r="A1454" s="896" t="s">
        <v>6561</v>
      </c>
      <c r="B1454" s="897" t="s">
        <v>6562</v>
      </c>
      <c r="C1454" s="897"/>
      <c r="D1454" s="897" t="s">
        <v>6563</v>
      </c>
      <c r="E1454" s="897"/>
      <c r="F1454" s="897"/>
      <c r="G1454" s="897"/>
      <c r="H1454" s="898">
        <v>0</v>
      </c>
      <c r="I1454" s="899"/>
      <c r="J1454" s="899"/>
    </row>
    <row r="1455" spans="1:10">
      <c r="A1455" s="896" t="s">
        <v>6564</v>
      </c>
      <c r="B1455" s="897" t="s">
        <v>6565</v>
      </c>
      <c r="C1455" s="897" t="s">
        <v>6566</v>
      </c>
      <c r="D1455" s="897" t="s">
        <v>1912</v>
      </c>
      <c r="E1455" s="897"/>
      <c r="F1455" s="897"/>
      <c r="G1455" s="897"/>
      <c r="H1455" s="898">
        <v>0</v>
      </c>
      <c r="I1455" s="899"/>
      <c r="J1455" s="899"/>
    </row>
    <row r="1456" spans="1:10">
      <c r="A1456" s="896" t="s">
        <v>6567</v>
      </c>
      <c r="B1456" s="897" t="s">
        <v>6568</v>
      </c>
      <c r="C1456" s="897" t="s">
        <v>6569</v>
      </c>
      <c r="D1456" s="897" t="s">
        <v>1912</v>
      </c>
      <c r="E1456" s="897"/>
      <c r="F1456" s="897"/>
      <c r="G1456" s="897"/>
      <c r="H1456" s="898" t="e">
        <v>#N/A</v>
      </c>
      <c r="I1456" s="899"/>
      <c r="J1456" s="899"/>
    </row>
    <row r="1457" spans="1:10">
      <c r="A1457" s="896" t="s">
        <v>6570</v>
      </c>
      <c r="B1457" s="897" t="s">
        <v>6571</v>
      </c>
      <c r="C1457" s="897" t="s">
        <v>1912</v>
      </c>
      <c r="D1457" s="897" t="s">
        <v>1912</v>
      </c>
      <c r="E1457" s="897"/>
      <c r="F1457" s="897"/>
      <c r="G1457" s="897"/>
      <c r="H1457" s="898" t="e">
        <v>#N/A</v>
      </c>
      <c r="I1457" s="899"/>
      <c r="J1457" s="899"/>
    </row>
    <row r="1458" spans="1:10">
      <c r="A1458" s="896" t="s">
        <v>6572</v>
      </c>
      <c r="B1458" s="897" t="s">
        <v>6573</v>
      </c>
      <c r="C1458" s="897" t="s">
        <v>4657</v>
      </c>
      <c r="D1458" s="897" t="s">
        <v>1912</v>
      </c>
      <c r="E1458" s="897"/>
      <c r="F1458" s="897"/>
      <c r="G1458" s="897"/>
      <c r="H1458" s="898" t="e">
        <v>#N/A</v>
      </c>
      <c r="I1458" s="899"/>
      <c r="J1458" s="899"/>
    </row>
    <row r="1459" spans="1:10">
      <c r="A1459" s="896" t="s">
        <v>6574</v>
      </c>
      <c r="B1459" s="897" t="s">
        <v>6575</v>
      </c>
      <c r="C1459" s="897" t="s">
        <v>6504</v>
      </c>
      <c r="D1459" s="897" t="s">
        <v>1912</v>
      </c>
      <c r="E1459" s="897"/>
      <c r="F1459" s="897"/>
      <c r="G1459" s="897"/>
      <c r="H1459" s="898" t="e">
        <v>#N/A</v>
      </c>
      <c r="I1459" s="899"/>
      <c r="J1459" s="899"/>
    </row>
    <row r="1460" spans="1:10">
      <c r="A1460" s="896" t="s">
        <v>6576</v>
      </c>
      <c r="B1460" s="897" t="s">
        <v>6577</v>
      </c>
      <c r="C1460" s="897" t="s">
        <v>6578</v>
      </c>
      <c r="D1460" s="897" t="s">
        <v>1912</v>
      </c>
      <c r="E1460" s="897"/>
      <c r="F1460" s="897"/>
      <c r="G1460" s="897"/>
      <c r="H1460" s="898" t="s">
        <v>1953</v>
      </c>
      <c r="I1460" s="899"/>
      <c r="J1460" s="899"/>
    </row>
    <row r="1461" spans="1:10">
      <c r="A1461" s="896" t="s">
        <v>6579</v>
      </c>
      <c r="B1461" s="897" t="s">
        <v>6580</v>
      </c>
      <c r="C1461" s="897" t="s">
        <v>6581</v>
      </c>
      <c r="D1461" s="897" t="s">
        <v>1912</v>
      </c>
      <c r="E1461" s="897"/>
      <c r="F1461" s="897"/>
      <c r="G1461" s="897"/>
      <c r="H1461" s="898" t="e">
        <v>#N/A</v>
      </c>
      <c r="I1461" s="899"/>
      <c r="J1461" s="899"/>
    </row>
    <row r="1462" spans="1:10">
      <c r="A1462" s="896" t="s">
        <v>6582</v>
      </c>
      <c r="B1462" s="897" t="s">
        <v>1443</v>
      </c>
      <c r="C1462" s="897" t="s">
        <v>1912</v>
      </c>
      <c r="D1462" s="897" t="s">
        <v>1912</v>
      </c>
      <c r="E1462" s="897"/>
      <c r="F1462" s="897"/>
      <c r="G1462" s="897"/>
      <c r="H1462" s="898" t="s">
        <v>1914</v>
      </c>
      <c r="I1462" s="899"/>
      <c r="J1462" s="899"/>
    </row>
    <row r="1463" spans="1:10">
      <c r="A1463" s="896" t="s">
        <v>6583</v>
      </c>
      <c r="B1463" s="897" t="s">
        <v>6584</v>
      </c>
      <c r="C1463" s="897" t="s">
        <v>1912</v>
      </c>
      <c r="D1463" s="897" t="s">
        <v>1912</v>
      </c>
      <c r="E1463" s="897"/>
      <c r="F1463" s="897"/>
      <c r="G1463" s="897"/>
      <c r="H1463" s="898" t="e">
        <v>#N/A</v>
      </c>
      <c r="I1463" s="899"/>
      <c r="J1463" s="899"/>
    </row>
    <row r="1464" spans="1:10">
      <c r="A1464" s="896" t="s">
        <v>6585</v>
      </c>
      <c r="B1464" s="897" t="s">
        <v>6586</v>
      </c>
      <c r="C1464" s="897" t="s">
        <v>5684</v>
      </c>
      <c r="D1464" s="897" t="s">
        <v>1912</v>
      </c>
      <c r="E1464" s="897"/>
      <c r="F1464" s="897"/>
      <c r="G1464" s="897"/>
      <c r="H1464" s="898" t="e">
        <v>#N/A</v>
      </c>
      <c r="I1464" s="899"/>
      <c r="J1464" s="899"/>
    </row>
    <row r="1465" spans="1:10">
      <c r="A1465" s="896" t="s">
        <v>6587</v>
      </c>
      <c r="B1465" s="897" t="s">
        <v>6588</v>
      </c>
      <c r="C1465" s="897" t="s">
        <v>6589</v>
      </c>
      <c r="D1465" s="897" t="s">
        <v>1912</v>
      </c>
      <c r="E1465" s="897"/>
      <c r="F1465" s="897"/>
      <c r="G1465" s="897"/>
      <c r="H1465" s="898" t="e">
        <v>#N/A</v>
      </c>
      <c r="I1465" s="899"/>
      <c r="J1465" s="899"/>
    </row>
    <row r="1466" spans="1:10">
      <c r="A1466" s="896" t="s">
        <v>6590</v>
      </c>
      <c r="B1466" s="897" t="s">
        <v>6591</v>
      </c>
      <c r="C1466" s="897" t="s">
        <v>6592</v>
      </c>
      <c r="D1466" s="897" t="s">
        <v>1912</v>
      </c>
      <c r="E1466" s="897"/>
      <c r="F1466" s="897"/>
      <c r="G1466" s="897"/>
      <c r="H1466" s="898" t="s">
        <v>1914</v>
      </c>
      <c r="I1466" s="899"/>
      <c r="J1466" s="899"/>
    </row>
    <row r="1467" spans="1:10">
      <c r="A1467" s="896" t="s">
        <v>6593</v>
      </c>
      <c r="B1467" s="897" t="s">
        <v>6594</v>
      </c>
      <c r="C1467" s="897" t="s">
        <v>6595</v>
      </c>
      <c r="D1467" s="897" t="s">
        <v>1912</v>
      </c>
      <c r="E1467" s="897"/>
      <c r="F1467" s="897"/>
      <c r="G1467" s="897"/>
      <c r="H1467" s="898" t="s">
        <v>1953</v>
      </c>
      <c r="I1467" s="899"/>
      <c r="J1467" s="899"/>
    </row>
    <row r="1468" spans="1:10">
      <c r="A1468" s="896" t="s">
        <v>6596</v>
      </c>
      <c r="B1468" s="897" t="s">
        <v>6597</v>
      </c>
      <c r="C1468" s="897" t="s">
        <v>6598</v>
      </c>
      <c r="D1468" s="897" t="s">
        <v>1912</v>
      </c>
      <c r="E1468" s="897"/>
      <c r="F1468" s="897"/>
      <c r="G1468" s="897"/>
      <c r="H1468" s="898" t="e">
        <v>#N/A</v>
      </c>
      <c r="I1468" s="899"/>
      <c r="J1468" s="899"/>
    </row>
    <row r="1469" spans="1:10">
      <c r="A1469" s="896" t="s">
        <v>6599</v>
      </c>
      <c r="B1469" s="897" t="s">
        <v>6600</v>
      </c>
      <c r="C1469" s="897"/>
      <c r="D1469" s="897" t="s">
        <v>1912</v>
      </c>
      <c r="E1469" s="897"/>
      <c r="F1469" s="897"/>
      <c r="G1469" s="897"/>
      <c r="H1469" s="898" t="e">
        <v>#N/A</v>
      </c>
      <c r="I1469" s="899"/>
      <c r="J1469" s="899"/>
    </row>
    <row r="1470" spans="1:10">
      <c r="A1470" s="896" t="s">
        <v>6601</v>
      </c>
      <c r="B1470" s="897" t="s">
        <v>6602</v>
      </c>
      <c r="C1470" s="897" t="s">
        <v>6603</v>
      </c>
      <c r="D1470" s="897" t="s">
        <v>1912</v>
      </c>
      <c r="E1470" s="897"/>
      <c r="F1470" s="897"/>
      <c r="G1470" s="897"/>
      <c r="H1470" s="898" t="s">
        <v>1953</v>
      </c>
      <c r="I1470" s="899"/>
      <c r="J1470" s="899"/>
    </row>
    <row r="1471" spans="1:10">
      <c r="A1471" s="896" t="s">
        <v>6604</v>
      </c>
      <c r="B1471" s="897" t="s">
        <v>6605</v>
      </c>
      <c r="C1471" s="897" t="s">
        <v>6606</v>
      </c>
      <c r="D1471" s="897" t="s">
        <v>1912</v>
      </c>
      <c r="E1471" s="897"/>
      <c r="F1471" s="897"/>
      <c r="G1471" s="897"/>
      <c r="H1471" s="898" t="e">
        <v>#N/A</v>
      </c>
      <c r="I1471" s="899"/>
      <c r="J1471" s="899"/>
    </row>
    <row r="1472" spans="1:10">
      <c r="A1472" s="896" t="s">
        <v>6607</v>
      </c>
      <c r="B1472" s="897" t="s">
        <v>6608</v>
      </c>
      <c r="C1472" s="897" t="s">
        <v>5922</v>
      </c>
      <c r="D1472" s="897" t="s">
        <v>1912</v>
      </c>
      <c r="E1472" s="897"/>
      <c r="F1472" s="897"/>
      <c r="G1472" s="897"/>
      <c r="H1472" s="898" t="s">
        <v>1953</v>
      </c>
      <c r="I1472" s="899"/>
      <c r="J1472" s="899"/>
    </row>
    <row r="1473" spans="1:10">
      <c r="A1473" s="896" t="s">
        <v>6609</v>
      </c>
      <c r="B1473" s="897" t="s">
        <v>6610</v>
      </c>
      <c r="C1473" s="897" t="s">
        <v>6611</v>
      </c>
      <c r="D1473" s="897" t="s">
        <v>1912</v>
      </c>
      <c r="E1473" s="897"/>
      <c r="F1473" s="897"/>
      <c r="G1473" s="897"/>
      <c r="H1473" s="898" t="e">
        <v>#N/A</v>
      </c>
      <c r="I1473" s="899"/>
      <c r="J1473" s="899"/>
    </row>
    <row r="1474" spans="1:10">
      <c r="A1474" s="896" t="s">
        <v>6612</v>
      </c>
      <c r="B1474" s="897" t="s">
        <v>82</v>
      </c>
      <c r="C1474" s="897"/>
      <c r="D1474" s="897" t="s">
        <v>6334</v>
      </c>
      <c r="E1474" s="897"/>
      <c r="F1474" s="897"/>
      <c r="G1474" s="897"/>
      <c r="H1474" s="898" t="e">
        <v>#N/A</v>
      </c>
      <c r="I1474" s="899"/>
      <c r="J1474" s="899"/>
    </row>
    <row r="1475" spans="1:10">
      <c r="A1475" s="896" t="s">
        <v>6613</v>
      </c>
      <c r="B1475" s="897" t="s">
        <v>6614</v>
      </c>
      <c r="C1475" s="897" t="s">
        <v>6615</v>
      </c>
      <c r="D1475" s="897" t="s">
        <v>1912</v>
      </c>
      <c r="E1475" s="897"/>
      <c r="F1475" s="897"/>
      <c r="G1475" s="897"/>
      <c r="H1475" s="898" t="e">
        <v>#N/A</v>
      </c>
      <c r="I1475" s="899"/>
      <c r="J1475" s="899"/>
    </row>
    <row r="1476" spans="1:10">
      <c r="A1476" s="896" t="s">
        <v>6616</v>
      </c>
      <c r="B1476" s="897" t="s">
        <v>1782</v>
      </c>
      <c r="C1476" s="897" t="s">
        <v>1912</v>
      </c>
      <c r="D1476" s="897" t="s">
        <v>1912</v>
      </c>
      <c r="E1476" s="897"/>
      <c r="F1476" s="897"/>
      <c r="G1476" s="897"/>
      <c r="H1476" s="898" t="e">
        <v>#N/A</v>
      </c>
      <c r="I1476" s="899"/>
      <c r="J1476" s="899"/>
    </row>
    <row r="1477" spans="1:10">
      <c r="A1477" s="896" t="s">
        <v>6617</v>
      </c>
      <c r="B1477" s="897" t="s">
        <v>636</v>
      </c>
      <c r="C1477" s="897" t="s">
        <v>6618</v>
      </c>
      <c r="D1477" s="897" t="s">
        <v>1912</v>
      </c>
      <c r="E1477" s="897"/>
      <c r="F1477" s="897"/>
      <c r="G1477" s="897"/>
      <c r="H1477" s="898" t="s">
        <v>1914</v>
      </c>
      <c r="I1477" s="899"/>
      <c r="J1477" s="899"/>
    </row>
    <row r="1478" spans="1:10">
      <c r="A1478" s="896" t="s">
        <v>6619</v>
      </c>
      <c r="B1478" s="897" t="s">
        <v>6620</v>
      </c>
      <c r="C1478" s="897" t="s">
        <v>1912</v>
      </c>
      <c r="D1478" s="897" t="s">
        <v>1912</v>
      </c>
      <c r="E1478" s="897"/>
      <c r="F1478" s="897"/>
      <c r="G1478" s="897"/>
      <c r="H1478" s="898" t="e">
        <v>#N/A</v>
      </c>
      <c r="I1478" s="899"/>
      <c r="J1478" s="899"/>
    </row>
    <row r="1479" spans="1:10">
      <c r="A1479" s="896" t="s">
        <v>6621</v>
      </c>
      <c r="B1479" s="897" t="s">
        <v>6622</v>
      </c>
      <c r="C1479" s="897"/>
      <c r="D1479" s="897" t="s">
        <v>1912</v>
      </c>
      <c r="E1479" s="897"/>
      <c r="F1479" s="897"/>
      <c r="G1479" s="897"/>
      <c r="H1479" s="898" t="s">
        <v>1914</v>
      </c>
      <c r="I1479" s="899"/>
      <c r="J1479" s="899"/>
    </row>
    <row r="1480" spans="1:10">
      <c r="A1480" s="896" t="s">
        <v>6623</v>
      </c>
      <c r="B1480" s="897" t="s">
        <v>6624</v>
      </c>
      <c r="C1480" s="897" t="s">
        <v>4637</v>
      </c>
      <c r="D1480" s="897" t="s">
        <v>1912</v>
      </c>
      <c r="E1480" s="897"/>
      <c r="F1480" s="897"/>
      <c r="G1480" s="897"/>
      <c r="H1480" s="898" t="e">
        <v>#N/A</v>
      </c>
      <c r="I1480" s="899"/>
      <c r="J1480" s="899"/>
    </row>
    <row r="1481" spans="1:10">
      <c r="A1481" s="896" t="s">
        <v>6625</v>
      </c>
      <c r="B1481" s="897" t="s">
        <v>6626</v>
      </c>
      <c r="C1481" s="897" t="s">
        <v>6627</v>
      </c>
      <c r="D1481" s="897" t="s">
        <v>1912</v>
      </c>
      <c r="E1481" s="897"/>
      <c r="F1481" s="897"/>
      <c r="G1481" s="897"/>
      <c r="H1481" s="898" t="e">
        <v>#N/A</v>
      </c>
      <c r="I1481" s="899"/>
      <c r="J1481" s="899"/>
    </row>
    <row r="1482" spans="1:10">
      <c r="A1482" s="896" t="s">
        <v>6628</v>
      </c>
      <c r="B1482" s="897" t="s">
        <v>6629</v>
      </c>
      <c r="C1482" s="897" t="s">
        <v>6630</v>
      </c>
      <c r="D1482" s="897" t="s">
        <v>1912</v>
      </c>
      <c r="E1482" s="897"/>
      <c r="F1482" s="897"/>
      <c r="G1482" s="897"/>
      <c r="H1482" s="898" t="e">
        <v>#N/A</v>
      </c>
      <c r="I1482" s="899"/>
      <c r="J1482" s="899"/>
    </row>
    <row r="1483" spans="1:10">
      <c r="A1483" s="896" t="s">
        <v>6631</v>
      </c>
      <c r="B1483" s="897" t="s">
        <v>6632</v>
      </c>
      <c r="C1483" s="897" t="s">
        <v>6633</v>
      </c>
      <c r="D1483" s="897" t="s">
        <v>1912</v>
      </c>
      <c r="E1483" s="897"/>
      <c r="F1483" s="897"/>
      <c r="G1483" s="897"/>
      <c r="H1483" s="898" t="e">
        <v>#N/A</v>
      </c>
      <c r="I1483" s="899"/>
      <c r="J1483" s="899"/>
    </row>
    <row r="1484" spans="1:10">
      <c r="A1484" s="896" t="s">
        <v>6634</v>
      </c>
      <c r="B1484" s="897" t="s">
        <v>1444</v>
      </c>
      <c r="C1484" s="897" t="s">
        <v>6635</v>
      </c>
      <c r="D1484" s="897" t="s">
        <v>1912</v>
      </c>
      <c r="E1484" s="897"/>
      <c r="F1484" s="897"/>
      <c r="G1484" s="897"/>
      <c r="H1484" s="898" t="e">
        <v>#N/A</v>
      </c>
      <c r="I1484" s="899"/>
      <c r="J1484" s="899"/>
    </row>
    <row r="1485" spans="1:10">
      <c r="A1485" s="896" t="s">
        <v>6636</v>
      </c>
      <c r="B1485" s="897" t="s">
        <v>6637</v>
      </c>
      <c r="C1485" s="897" t="s">
        <v>6638</v>
      </c>
      <c r="D1485" s="897" t="s">
        <v>1912</v>
      </c>
      <c r="E1485" s="897"/>
      <c r="F1485" s="897"/>
      <c r="G1485" s="897"/>
      <c r="H1485" s="898" t="e">
        <v>#N/A</v>
      </c>
      <c r="I1485" s="899"/>
      <c r="J1485" s="899"/>
    </row>
    <row r="1486" spans="1:10">
      <c r="A1486" s="896" t="s">
        <v>6639</v>
      </c>
      <c r="B1486" s="897" t="s">
        <v>6640</v>
      </c>
      <c r="C1486" s="897" t="s">
        <v>6641</v>
      </c>
      <c r="D1486" s="897" t="s">
        <v>1912</v>
      </c>
      <c r="E1486" s="897"/>
      <c r="F1486" s="897"/>
      <c r="G1486" s="897"/>
      <c r="H1486" s="898" t="e">
        <v>#N/A</v>
      </c>
      <c r="I1486" s="899"/>
      <c r="J1486" s="899"/>
    </row>
    <row r="1487" spans="1:10">
      <c r="A1487" s="896" t="s">
        <v>6642</v>
      </c>
      <c r="B1487" s="897" t="s">
        <v>6643</v>
      </c>
      <c r="C1487" s="897" t="s">
        <v>1912</v>
      </c>
      <c r="D1487" s="897" t="s">
        <v>1912</v>
      </c>
      <c r="E1487" s="897"/>
      <c r="F1487" s="897"/>
      <c r="G1487" s="897"/>
      <c r="H1487" s="898" t="e">
        <v>#N/A</v>
      </c>
      <c r="I1487" s="899"/>
      <c r="J1487" s="899"/>
    </row>
    <row r="1488" spans="1:10">
      <c r="A1488" s="896" t="s">
        <v>6644</v>
      </c>
      <c r="B1488" s="897" t="s">
        <v>6645</v>
      </c>
      <c r="C1488" s="897" t="s">
        <v>6646</v>
      </c>
      <c r="D1488" s="897" t="s">
        <v>1912</v>
      </c>
      <c r="E1488" s="897"/>
      <c r="F1488" s="897"/>
      <c r="G1488" s="897"/>
      <c r="H1488" s="898" t="e">
        <v>#N/A</v>
      </c>
      <c r="I1488" s="899"/>
      <c r="J1488" s="899"/>
    </row>
    <row r="1489" spans="1:10">
      <c r="A1489" s="896" t="s">
        <v>6647</v>
      </c>
      <c r="B1489" s="897" t="s">
        <v>6648</v>
      </c>
      <c r="C1489" s="897" t="s">
        <v>6649</v>
      </c>
      <c r="D1489" s="897" t="s">
        <v>1912</v>
      </c>
      <c r="E1489" s="897"/>
      <c r="F1489" s="897"/>
      <c r="G1489" s="897"/>
      <c r="H1489" s="898" t="e">
        <v>#N/A</v>
      </c>
      <c r="I1489" s="899"/>
      <c r="J1489" s="899"/>
    </row>
    <row r="1490" spans="1:10">
      <c r="A1490" s="896" t="s">
        <v>6650</v>
      </c>
      <c r="B1490" s="897" t="s">
        <v>6651</v>
      </c>
      <c r="C1490" s="897" t="s">
        <v>6652</v>
      </c>
      <c r="D1490" s="897" t="s">
        <v>1912</v>
      </c>
      <c r="E1490" s="897"/>
      <c r="F1490" s="897"/>
      <c r="G1490" s="897"/>
      <c r="H1490" s="898" t="s">
        <v>1953</v>
      </c>
      <c r="I1490" s="899"/>
      <c r="J1490" s="899"/>
    </row>
    <row r="1491" spans="1:10">
      <c r="A1491" s="896" t="s">
        <v>6653</v>
      </c>
      <c r="B1491" s="897" t="s">
        <v>6654</v>
      </c>
      <c r="C1491" s="897"/>
      <c r="D1491" s="897"/>
      <c r="E1491" s="897"/>
      <c r="F1491" s="897"/>
      <c r="G1491" s="897" t="s">
        <v>6655</v>
      </c>
      <c r="H1491" s="898" t="e">
        <v>#N/A</v>
      </c>
      <c r="I1491" s="899"/>
      <c r="J1491" s="899"/>
    </row>
    <row r="1492" spans="1:10">
      <c r="A1492" s="896" t="s">
        <v>6656</v>
      </c>
      <c r="B1492" s="897" t="s">
        <v>197</v>
      </c>
      <c r="C1492" s="897" t="s">
        <v>6657</v>
      </c>
      <c r="D1492" s="897" t="s">
        <v>6658</v>
      </c>
      <c r="E1492" s="897"/>
      <c r="F1492" s="897"/>
      <c r="G1492" s="897"/>
      <c r="H1492" s="898" t="s">
        <v>1953</v>
      </c>
      <c r="I1492" s="899"/>
      <c r="J1492" s="899"/>
    </row>
    <row r="1493" spans="1:10">
      <c r="A1493" s="896" t="s">
        <v>6659</v>
      </c>
      <c r="B1493" s="897" t="s">
        <v>845</v>
      </c>
      <c r="C1493" s="897" t="s">
        <v>4915</v>
      </c>
      <c r="D1493" s="897" t="s">
        <v>1912</v>
      </c>
      <c r="E1493" s="897"/>
      <c r="F1493" s="897"/>
      <c r="G1493" s="897"/>
      <c r="H1493" s="898" t="s">
        <v>1953</v>
      </c>
      <c r="I1493" s="899"/>
      <c r="J1493" s="899"/>
    </row>
    <row r="1494" spans="1:10">
      <c r="A1494" s="896" t="s">
        <v>6660</v>
      </c>
      <c r="B1494" s="897" t="s">
        <v>6661</v>
      </c>
      <c r="C1494" s="897" t="s">
        <v>6662</v>
      </c>
      <c r="D1494" s="897" t="s">
        <v>1912</v>
      </c>
      <c r="E1494" s="897"/>
      <c r="F1494" s="897"/>
      <c r="G1494" s="897"/>
      <c r="H1494" s="898" t="e">
        <v>#N/A</v>
      </c>
      <c r="I1494" s="899"/>
      <c r="J1494" s="899"/>
    </row>
    <row r="1495" spans="1:10">
      <c r="A1495" s="896" t="s">
        <v>6663</v>
      </c>
      <c r="B1495" s="897" t="s">
        <v>239</v>
      </c>
      <c r="C1495" s="897" t="s">
        <v>6664</v>
      </c>
      <c r="D1495" s="897" t="s">
        <v>1253</v>
      </c>
      <c r="E1495" s="897"/>
      <c r="F1495" s="897"/>
      <c r="G1495" s="897"/>
      <c r="H1495" s="898" t="s">
        <v>1914</v>
      </c>
      <c r="I1495" s="899"/>
      <c r="J1495" s="899"/>
    </row>
    <row r="1496" spans="1:10">
      <c r="A1496" s="896" t="s">
        <v>6665</v>
      </c>
      <c r="B1496" s="897" t="s">
        <v>6666</v>
      </c>
      <c r="C1496" s="897" t="s">
        <v>6667</v>
      </c>
      <c r="D1496" s="897" t="s">
        <v>1912</v>
      </c>
      <c r="E1496" s="897"/>
      <c r="F1496" s="897"/>
      <c r="G1496" s="897"/>
      <c r="H1496" s="898" t="e">
        <v>#N/A</v>
      </c>
      <c r="I1496" s="899"/>
      <c r="J1496" s="899"/>
    </row>
    <row r="1497" spans="1:10">
      <c r="A1497" s="896" t="s">
        <v>6668</v>
      </c>
      <c r="B1497" s="897" t="s">
        <v>6669</v>
      </c>
      <c r="C1497" s="897" t="s">
        <v>6670</v>
      </c>
      <c r="D1497" s="897" t="s">
        <v>1912</v>
      </c>
      <c r="E1497" s="897"/>
      <c r="F1497" s="897"/>
      <c r="G1497" s="897"/>
      <c r="H1497" s="898" t="e">
        <v>#N/A</v>
      </c>
      <c r="I1497" s="899"/>
      <c r="J1497" s="899"/>
    </row>
    <row r="1498" spans="1:10">
      <c r="A1498" s="896" t="s">
        <v>6671</v>
      </c>
      <c r="B1498" s="897" t="s">
        <v>6672</v>
      </c>
      <c r="C1498" s="897" t="s">
        <v>6673</v>
      </c>
      <c r="D1498" s="897" t="s">
        <v>1912</v>
      </c>
      <c r="E1498" s="897"/>
      <c r="F1498" s="897"/>
      <c r="G1498" s="897"/>
      <c r="H1498" s="898" t="s">
        <v>1914</v>
      </c>
      <c r="I1498" s="899"/>
      <c r="J1498" s="899"/>
    </row>
    <row r="1499" spans="1:10">
      <c r="A1499" s="896" t="s">
        <v>6674</v>
      </c>
      <c r="B1499" s="897" t="s">
        <v>6675</v>
      </c>
      <c r="C1499" s="897" t="s">
        <v>4782</v>
      </c>
      <c r="D1499" s="897" t="s">
        <v>1912</v>
      </c>
      <c r="E1499" s="897"/>
      <c r="F1499" s="897"/>
      <c r="G1499" s="897"/>
      <c r="H1499" s="898" t="s">
        <v>1953</v>
      </c>
      <c r="I1499" s="899"/>
      <c r="J1499" s="899"/>
    </row>
    <row r="1500" spans="1:10">
      <c r="A1500" s="896" t="s">
        <v>6676</v>
      </c>
      <c r="B1500" s="897" t="s">
        <v>6677</v>
      </c>
      <c r="C1500" s="897" t="s">
        <v>6678</v>
      </c>
      <c r="D1500" s="897" t="s">
        <v>1912</v>
      </c>
      <c r="E1500" s="897"/>
      <c r="F1500" s="897"/>
      <c r="G1500" s="897"/>
      <c r="H1500" s="898" t="e">
        <v>#N/A</v>
      </c>
      <c r="I1500" s="899"/>
      <c r="J1500" s="899"/>
    </row>
    <row r="1501" spans="1:10">
      <c r="A1501" s="896" t="s">
        <v>6679</v>
      </c>
      <c r="B1501" s="897" t="s">
        <v>6680</v>
      </c>
      <c r="C1501" s="897" t="s">
        <v>1912</v>
      </c>
      <c r="D1501" s="897" t="s">
        <v>1912</v>
      </c>
      <c r="E1501" s="897"/>
      <c r="F1501" s="897"/>
      <c r="G1501" s="897"/>
      <c r="H1501" s="898" t="e">
        <v>#N/A</v>
      </c>
      <c r="I1501" s="899"/>
      <c r="J1501" s="899"/>
    </row>
    <row r="1502" spans="1:10">
      <c r="A1502" s="896" t="s">
        <v>6681</v>
      </c>
      <c r="B1502" s="897" t="s">
        <v>1341</v>
      </c>
      <c r="C1502" s="897" t="s">
        <v>6682</v>
      </c>
      <c r="D1502" s="897" t="s">
        <v>1912</v>
      </c>
      <c r="E1502" s="897"/>
      <c r="F1502" s="897"/>
      <c r="G1502" s="897"/>
      <c r="H1502" s="898" t="e">
        <v>#N/A</v>
      </c>
      <c r="I1502" s="899"/>
      <c r="J1502" s="899"/>
    </row>
    <row r="1503" spans="1:10">
      <c r="A1503" s="896" t="s">
        <v>6683</v>
      </c>
      <c r="B1503" s="897" t="s">
        <v>6684</v>
      </c>
      <c r="C1503" s="897" t="s">
        <v>6685</v>
      </c>
      <c r="D1503" s="897" t="s">
        <v>1912</v>
      </c>
      <c r="E1503" s="897"/>
      <c r="F1503" s="897"/>
      <c r="G1503" s="897"/>
      <c r="H1503" s="898" t="e">
        <v>#N/A</v>
      </c>
      <c r="I1503" s="899"/>
      <c r="J1503" s="899"/>
    </row>
    <row r="1504" spans="1:10">
      <c r="A1504" s="896" t="s">
        <v>6686</v>
      </c>
      <c r="B1504" s="897" t="s">
        <v>6687</v>
      </c>
      <c r="C1504" s="897" t="s">
        <v>6688</v>
      </c>
      <c r="D1504" s="897" t="s">
        <v>1912</v>
      </c>
      <c r="E1504" s="897"/>
      <c r="F1504" s="897"/>
      <c r="G1504" s="897"/>
      <c r="H1504" s="898" t="e">
        <v>#N/A</v>
      </c>
      <c r="I1504" s="899"/>
      <c r="J1504" s="899"/>
    </row>
    <row r="1505" spans="1:10">
      <c r="A1505" s="896" t="s">
        <v>6689</v>
      </c>
      <c r="B1505" s="897" t="s">
        <v>6690</v>
      </c>
      <c r="C1505" s="897" t="s">
        <v>3618</v>
      </c>
      <c r="D1505" s="897" t="s">
        <v>1912</v>
      </c>
      <c r="E1505" s="897"/>
      <c r="F1505" s="897"/>
      <c r="G1505" s="897"/>
      <c r="H1505" s="898" t="e">
        <v>#N/A</v>
      </c>
      <c r="I1505" s="899"/>
      <c r="J1505" s="899"/>
    </row>
    <row r="1506" spans="1:10">
      <c r="A1506" s="896" t="s">
        <v>6691</v>
      </c>
      <c r="B1506" s="897" t="s">
        <v>454</v>
      </c>
      <c r="C1506" s="897" t="s">
        <v>6692</v>
      </c>
      <c r="D1506" s="897" t="s">
        <v>6693</v>
      </c>
      <c r="E1506" s="897"/>
      <c r="F1506" s="897"/>
      <c r="G1506" s="897"/>
      <c r="H1506" s="898" t="s">
        <v>1936</v>
      </c>
      <c r="I1506" s="899"/>
      <c r="J1506" s="899"/>
    </row>
    <row r="1507" spans="1:10">
      <c r="A1507" s="896" t="s">
        <v>6694</v>
      </c>
      <c r="B1507" s="897" t="s">
        <v>553</v>
      </c>
      <c r="C1507" s="897" t="s">
        <v>6695</v>
      </c>
      <c r="D1507" s="897" t="s">
        <v>6696</v>
      </c>
      <c r="E1507" s="897" t="s">
        <v>6697</v>
      </c>
      <c r="F1507" s="897"/>
      <c r="G1507" s="897" t="e" vm="1">
        <v>#VALUE!</v>
      </c>
      <c r="H1507" s="898" t="s">
        <v>1953</v>
      </c>
      <c r="I1507" s="899"/>
      <c r="J1507" s="899"/>
    </row>
    <row r="1508" spans="1:10">
      <c r="A1508" s="896" t="s">
        <v>6698</v>
      </c>
      <c r="B1508" s="897" t="s">
        <v>6699</v>
      </c>
      <c r="C1508" s="897" t="s">
        <v>6700</v>
      </c>
      <c r="D1508" s="897" t="s">
        <v>1912</v>
      </c>
      <c r="E1508" s="897"/>
      <c r="F1508" s="897"/>
      <c r="G1508" s="897"/>
      <c r="H1508" s="898" t="s">
        <v>1953</v>
      </c>
      <c r="I1508" s="899"/>
      <c r="J1508" s="899"/>
    </row>
    <row r="1509" spans="1:10">
      <c r="A1509" s="896" t="s">
        <v>6701</v>
      </c>
      <c r="B1509" s="897" t="s">
        <v>6702</v>
      </c>
      <c r="C1509" s="897" t="s">
        <v>5673</v>
      </c>
      <c r="D1509" s="897" t="s">
        <v>1912</v>
      </c>
      <c r="E1509" s="897"/>
      <c r="F1509" s="897"/>
      <c r="G1509" s="897"/>
      <c r="H1509" s="898" t="e">
        <v>#N/A</v>
      </c>
      <c r="I1509" s="899"/>
      <c r="J1509" s="899"/>
    </row>
    <row r="1510" spans="1:10">
      <c r="A1510" s="896" t="s">
        <v>6703</v>
      </c>
      <c r="B1510" s="897" t="s">
        <v>6704</v>
      </c>
      <c r="C1510" s="897" t="s">
        <v>4745</v>
      </c>
      <c r="D1510" s="897" t="s">
        <v>1912</v>
      </c>
      <c r="E1510" s="897"/>
      <c r="F1510" s="897"/>
      <c r="G1510" s="897"/>
      <c r="H1510" s="898" t="s">
        <v>1953</v>
      </c>
      <c r="I1510" s="899"/>
      <c r="J1510" s="899"/>
    </row>
    <row r="1511" spans="1:10">
      <c r="A1511" s="896" t="s">
        <v>6705</v>
      </c>
      <c r="B1511" s="897" t="s">
        <v>6706</v>
      </c>
      <c r="C1511" s="897" t="s">
        <v>6480</v>
      </c>
      <c r="D1511" s="897" t="s">
        <v>1912</v>
      </c>
      <c r="E1511" s="897"/>
      <c r="F1511" s="897"/>
      <c r="G1511" s="897"/>
      <c r="H1511" s="898" t="s">
        <v>1953</v>
      </c>
      <c r="I1511" s="899"/>
      <c r="J1511" s="899"/>
    </row>
    <row r="1512" spans="1:10">
      <c r="A1512" s="896" t="s">
        <v>6707</v>
      </c>
      <c r="B1512" s="897" t="s">
        <v>6708</v>
      </c>
      <c r="C1512" s="897" t="s">
        <v>6709</v>
      </c>
      <c r="D1512" s="897" t="s">
        <v>1912</v>
      </c>
      <c r="E1512" s="897"/>
      <c r="F1512" s="897"/>
      <c r="G1512" s="897"/>
      <c r="H1512" s="898" t="e">
        <v>#N/A</v>
      </c>
      <c r="I1512" s="899"/>
      <c r="J1512" s="899"/>
    </row>
    <row r="1513" spans="1:10">
      <c r="A1513" s="896" t="s">
        <v>6710</v>
      </c>
      <c r="B1513" s="897" t="s">
        <v>6711</v>
      </c>
      <c r="C1513" s="897" t="s">
        <v>6712</v>
      </c>
      <c r="D1513" s="897" t="s">
        <v>1912</v>
      </c>
      <c r="E1513" s="897"/>
      <c r="F1513" s="897"/>
      <c r="G1513" s="897"/>
      <c r="H1513" s="898" t="e">
        <v>#N/A</v>
      </c>
      <c r="I1513" s="899"/>
      <c r="J1513" s="899"/>
    </row>
    <row r="1514" spans="1:10">
      <c r="A1514" s="896" t="s">
        <v>6713</v>
      </c>
      <c r="B1514" s="897" t="s">
        <v>6714</v>
      </c>
      <c r="C1514" s="897" t="s">
        <v>4217</v>
      </c>
      <c r="D1514" s="897" t="s">
        <v>1912</v>
      </c>
      <c r="E1514" s="897"/>
      <c r="F1514" s="897"/>
      <c r="G1514" s="897"/>
      <c r="H1514" s="898" t="s">
        <v>1953</v>
      </c>
      <c r="I1514" s="899"/>
      <c r="J1514" s="899"/>
    </row>
    <row r="1515" spans="1:10">
      <c r="A1515" s="896" t="s">
        <v>6715</v>
      </c>
      <c r="B1515" s="897" t="s">
        <v>6716</v>
      </c>
      <c r="C1515" s="897" t="s">
        <v>4841</v>
      </c>
      <c r="D1515" s="897" t="s">
        <v>1912</v>
      </c>
      <c r="E1515" s="897"/>
      <c r="F1515" s="897"/>
      <c r="G1515" s="897"/>
      <c r="H1515" s="898" t="e">
        <v>#N/A</v>
      </c>
      <c r="I1515" s="899"/>
      <c r="J1515" s="899"/>
    </row>
    <row r="1516" spans="1:10">
      <c r="A1516" s="896" t="s">
        <v>6717</v>
      </c>
      <c r="B1516" s="897" t="s">
        <v>6718</v>
      </c>
      <c r="C1516" s="897" t="s">
        <v>6719</v>
      </c>
      <c r="D1516" s="897" t="s">
        <v>1912</v>
      </c>
      <c r="E1516" s="897"/>
      <c r="F1516" s="897"/>
      <c r="G1516" s="897"/>
      <c r="H1516" s="898" t="e">
        <v>#N/A</v>
      </c>
      <c r="I1516" s="899"/>
      <c r="J1516" s="899"/>
    </row>
    <row r="1517" spans="1:10">
      <c r="A1517" s="896" t="s">
        <v>6720</v>
      </c>
      <c r="B1517" s="897" t="s">
        <v>6721</v>
      </c>
      <c r="C1517" s="897" t="s">
        <v>6722</v>
      </c>
      <c r="D1517" s="897" t="s">
        <v>1912</v>
      </c>
      <c r="E1517" s="897"/>
      <c r="F1517" s="897"/>
      <c r="G1517" s="897"/>
      <c r="H1517" s="898" t="e">
        <v>#N/A</v>
      </c>
      <c r="I1517" s="899"/>
      <c r="J1517" s="899"/>
    </row>
    <row r="1518" spans="1:10">
      <c r="A1518" s="896" t="s">
        <v>6723</v>
      </c>
      <c r="B1518" s="897" t="s">
        <v>6724</v>
      </c>
      <c r="C1518" s="897" t="s">
        <v>6725</v>
      </c>
      <c r="D1518" s="897" t="s">
        <v>1912</v>
      </c>
      <c r="E1518" s="897"/>
      <c r="F1518" s="897"/>
      <c r="G1518" s="897"/>
      <c r="H1518" s="898" t="s">
        <v>1953</v>
      </c>
      <c r="I1518" s="899"/>
      <c r="J1518" s="899"/>
    </row>
    <row r="1519" spans="1:10">
      <c r="A1519" s="896" t="s">
        <v>6726</v>
      </c>
      <c r="B1519" s="897" t="s">
        <v>240</v>
      </c>
      <c r="C1519" s="897" t="s">
        <v>6727</v>
      </c>
      <c r="D1519" s="897" t="s">
        <v>1254</v>
      </c>
      <c r="E1519" s="897"/>
      <c r="F1519" s="897"/>
      <c r="G1519" s="897"/>
      <c r="H1519" s="898" t="s">
        <v>1953</v>
      </c>
      <c r="I1519" s="899"/>
      <c r="J1519" s="899"/>
    </row>
    <row r="1520" spans="1:10">
      <c r="A1520" s="896" t="s">
        <v>6728</v>
      </c>
      <c r="B1520" s="897" t="s">
        <v>6729</v>
      </c>
      <c r="C1520" s="897" t="s">
        <v>6730</v>
      </c>
      <c r="D1520" s="897" t="s">
        <v>1912</v>
      </c>
      <c r="E1520" s="897"/>
      <c r="F1520" s="897"/>
      <c r="G1520" s="897"/>
      <c r="H1520" s="898" t="e">
        <v>#N/A</v>
      </c>
      <c r="I1520" s="899"/>
      <c r="J1520" s="899"/>
    </row>
    <row r="1521" spans="1:10">
      <c r="A1521" s="896" t="s">
        <v>6731</v>
      </c>
      <c r="B1521" s="897" t="s">
        <v>6732</v>
      </c>
      <c r="C1521" s="897" t="s">
        <v>6733</v>
      </c>
      <c r="D1521" s="897" t="s">
        <v>1912</v>
      </c>
      <c r="E1521" s="897"/>
      <c r="F1521" s="897"/>
      <c r="G1521" s="897" t="s">
        <v>6734</v>
      </c>
      <c r="H1521" s="898" t="e">
        <v>#N/A</v>
      </c>
      <c r="I1521" s="899"/>
      <c r="J1521" s="899"/>
    </row>
    <row r="1522" spans="1:10">
      <c r="A1522" s="896" t="s">
        <v>6735</v>
      </c>
      <c r="B1522" s="897" t="s">
        <v>6736</v>
      </c>
      <c r="C1522" s="897" t="s">
        <v>6737</v>
      </c>
      <c r="D1522" s="897" t="s">
        <v>1912</v>
      </c>
      <c r="E1522" s="897"/>
      <c r="F1522" s="897"/>
      <c r="G1522" s="897"/>
      <c r="H1522" s="898" t="e">
        <v>#N/A</v>
      </c>
      <c r="I1522" s="899"/>
      <c r="J1522" s="899"/>
    </row>
    <row r="1523" spans="1:10">
      <c r="A1523" s="896" t="s">
        <v>6738</v>
      </c>
      <c r="B1523" s="897" t="s">
        <v>1790</v>
      </c>
      <c r="C1523" s="897" t="s">
        <v>6739</v>
      </c>
      <c r="D1523" s="897" t="s">
        <v>1912</v>
      </c>
      <c r="E1523" s="897"/>
      <c r="F1523" s="897"/>
      <c r="G1523" s="897"/>
      <c r="H1523" s="898" t="s">
        <v>1953</v>
      </c>
      <c r="I1523" s="899"/>
      <c r="J1523" s="899"/>
    </row>
    <row r="1524" spans="1:10">
      <c r="A1524" s="896" t="s">
        <v>6740</v>
      </c>
      <c r="B1524" s="897" t="s">
        <v>6741</v>
      </c>
      <c r="C1524" s="897" t="s">
        <v>6742</v>
      </c>
      <c r="D1524" s="897" t="s">
        <v>1912</v>
      </c>
      <c r="E1524" s="897"/>
      <c r="F1524" s="897"/>
      <c r="G1524" s="897"/>
      <c r="H1524" s="898" t="s">
        <v>1953</v>
      </c>
      <c r="I1524" s="899"/>
      <c r="J1524" s="899"/>
    </row>
    <row r="1525" spans="1:10">
      <c r="A1525" s="896" t="s">
        <v>6743</v>
      </c>
      <c r="B1525" s="897" t="s">
        <v>6744</v>
      </c>
      <c r="C1525" s="897" t="s">
        <v>6745</v>
      </c>
      <c r="D1525" s="897" t="s">
        <v>1912</v>
      </c>
      <c r="E1525" s="897"/>
      <c r="F1525" s="897"/>
      <c r="G1525" s="897"/>
      <c r="H1525" s="898" t="e">
        <v>#N/A</v>
      </c>
      <c r="I1525" s="899"/>
      <c r="J1525" s="899"/>
    </row>
    <row r="1526" spans="1:10">
      <c r="A1526" s="896" t="s">
        <v>6746</v>
      </c>
      <c r="B1526" s="897" t="s">
        <v>6747</v>
      </c>
      <c r="C1526" s="897" t="s">
        <v>3903</v>
      </c>
      <c r="D1526" s="897" t="s">
        <v>1912</v>
      </c>
      <c r="E1526" s="897"/>
      <c r="F1526" s="897"/>
      <c r="G1526" s="897"/>
      <c r="H1526" s="898" t="e">
        <v>#N/A</v>
      </c>
      <c r="I1526" s="899"/>
      <c r="J1526" s="899"/>
    </row>
    <row r="1527" spans="1:10">
      <c r="A1527" s="896" t="s">
        <v>6748</v>
      </c>
      <c r="B1527" s="897" t="s">
        <v>6749</v>
      </c>
      <c r="C1527" s="897" t="s">
        <v>6750</v>
      </c>
      <c r="D1527" s="897" t="s">
        <v>1912</v>
      </c>
      <c r="E1527" s="897"/>
      <c r="F1527" s="897"/>
      <c r="G1527" s="897"/>
      <c r="H1527" s="898" t="e">
        <v>#N/A</v>
      </c>
      <c r="I1527" s="899"/>
      <c r="J1527" s="899"/>
    </row>
    <row r="1528" spans="1:10">
      <c r="A1528" s="896" t="s">
        <v>6751</v>
      </c>
      <c r="B1528" s="897" t="s">
        <v>6752</v>
      </c>
      <c r="C1528" s="897" t="s">
        <v>6753</v>
      </c>
      <c r="D1528" s="897" t="s">
        <v>1912</v>
      </c>
      <c r="E1528" s="897"/>
      <c r="F1528" s="897"/>
      <c r="G1528" s="897"/>
      <c r="H1528" s="898" t="e">
        <v>#N/A</v>
      </c>
      <c r="I1528" s="899"/>
      <c r="J1528" s="899"/>
    </row>
    <row r="1529" spans="1:10">
      <c r="A1529" s="896" t="s">
        <v>6754</v>
      </c>
      <c r="B1529" s="897" t="s">
        <v>6755</v>
      </c>
      <c r="C1529" s="897" t="s">
        <v>6756</v>
      </c>
      <c r="D1529" s="897" t="s">
        <v>1912</v>
      </c>
      <c r="E1529" s="897"/>
      <c r="F1529" s="897"/>
      <c r="G1529" s="897"/>
      <c r="H1529" s="898" t="e">
        <v>#N/A</v>
      </c>
      <c r="I1529" s="899"/>
      <c r="J1529" s="899"/>
    </row>
    <row r="1530" spans="1:10">
      <c r="A1530" s="896" t="s">
        <v>6757</v>
      </c>
      <c r="B1530" s="897" t="s">
        <v>6758</v>
      </c>
      <c r="C1530" s="897" t="s">
        <v>6759</v>
      </c>
      <c r="D1530" s="897" t="s">
        <v>1912</v>
      </c>
      <c r="E1530" s="897"/>
      <c r="F1530" s="897" t="s">
        <v>6760</v>
      </c>
      <c r="G1530" s="897" t="s">
        <v>6761</v>
      </c>
      <c r="H1530" s="898" t="e">
        <v>#N/A</v>
      </c>
      <c r="I1530" s="899"/>
      <c r="J1530" s="899"/>
    </row>
    <row r="1531" spans="1:10">
      <c r="A1531" s="896" t="s">
        <v>6762</v>
      </c>
      <c r="B1531" s="897" t="s">
        <v>6763</v>
      </c>
      <c r="C1531" s="897" t="s">
        <v>4967</v>
      </c>
      <c r="D1531" s="897" t="s">
        <v>1912</v>
      </c>
      <c r="E1531" s="897"/>
      <c r="F1531" s="897"/>
      <c r="G1531" s="897"/>
      <c r="H1531" s="898" t="e">
        <v>#N/A</v>
      </c>
      <c r="I1531" s="899"/>
      <c r="J1531" s="899"/>
    </row>
    <row r="1532" spans="1:10">
      <c r="A1532" s="896" t="s">
        <v>6764</v>
      </c>
      <c r="B1532" s="897" t="s">
        <v>6765</v>
      </c>
      <c r="C1532" s="897" t="s">
        <v>6766</v>
      </c>
      <c r="D1532" s="897" t="s">
        <v>1912</v>
      </c>
      <c r="E1532" s="897"/>
      <c r="F1532" s="897"/>
      <c r="G1532" s="897"/>
      <c r="H1532" s="898" t="s">
        <v>1953</v>
      </c>
      <c r="I1532" s="899"/>
      <c r="J1532" s="899"/>
    </row>
    <row r="1533" spans="1:10">
      <c r="A1533" s="896" t="s">
        <v>6767</v>
      </c>
      <c r="B1533" s="897" t="s">
        <v>6768</v>
      </c>
      <c r="C1533" s="897" t="s">
        <v>4054</v>
      </c>
      <c r="D1533" s="897" t="s">
        <v>1912</v>
      </c>
      <c r="E1533" s="897"/>
      <c r="F1533" s="897"/>
      <c r="G1533" s="897"/>
      <c r="H1533" s="898" t="e">
        <v>#N/A</v>
      </c>
      <c r="I1533" s="899"/>
      <c r="J1533" s="899"/>
    </row>
    <row r="1534" spans="1:10">
      <c r="A1534" s="896" t="s">
        <v>6769</v>
      </c>
      <c r="B1534" s="897" t="s">
        <v>6770</v>
      </c>
      <c r="C1534" s="897" t="s">
        <v>6771</v>
      </c>
      <c r="D1534" s="897" t="s">
        <v>1912</v>
      </c>
      <c r="E1534" s="897"/>
      <c r="F1534" s="897"/>
      <c r="G1534" s="897"/>
      <c r="H1534" s="898" t="e">
        <v>#N/A</v>
      </c>
      <c r="I1534" s="899"/>
      <c r="J1534" s="899"/>
    </row>
    <row r="1535" spans="1:10">
      <c r="A1535" s="896" t="s">
        <v>6772</v>
      </c>
      <c r="B1535" s="897" t="s">
        <v>6773</v>
      </c>
      <c r="C1535" s="897" t="s">
        <v>1912</v>
      </c>
      <c r="D1535" s="897" t="s">
        <v>1912</v>
      </c>
      <c r="E1535" s="897"/>
      <c r="F1535" s="897"/>
      <c r="G1535" s="897"/>
      <c r="H1535" s="898" t="e">
        <v>#N/A</v>
      </c>
      <c r="I1535" s="899"/>
      <c r="J1535" s="899"/>
    </row>
    <row r="1536" spans="1:10">
      <c r="A1536" s="896" t="s">
        <v>6774</v>
      </c>
      <c r="B1536" s="897" t="s">
        <v>6775</v>
      </c>
      <c r="C1536" s="897" t="s">
        <v>6776</v>
      </c>
      <c r="D1536" s="897" t="s">
        <v>1912</v>
      </c>
      <c r="E1536" s="897"/>
      <c r="F1536" s="897"/>
      <c r="G1536" s="897"/>
      <c r="H1536" s="898" t="e">
        <v>#N/A</v>
      </c>
      <c r="I1536" s="899"/>
      <c r="J1536" s="899"/>
    </row>
    <row r="1537" spans="1:10">
      <c r="A1537" s="896" t="s">
        <v>6777</v>
      </c>
      <c r="B1537" s="897" t="s">
        <v>6778</v>
      </c>
      <c r="C1537" s="897" t="s">
        <v>6779</v>
      </c>
      <c r="D1537" s="897" t="s">
        <v>1912</v>
      </c>
      <c r="E1537" s="897"/>
      <c r="F1537" s="897"/>
      <c r="G1537" s="897"/>
      <c r="H1537" s="898" t="e">
        <v>#N/A</v>
      </c>
      <c r="I1537" s="899"/>
      <c r="J1537" s="899"/>
    </row>
    <row r="1538" spans="1:10">
      <c r="A1538" s="896" t="s">
        <v>6780</v>
      </c>
      <c r="B1538" s="897" t="s">
        <v>6781</v>
      </c>
      <c r="C1538" s="897" t="s">
        <v>6782</v>
      </c>
      <c r="D1538" s="897" t="s">
        <v>1912</v>
      </c>
      <c r="E1538" s="897"/>
      <c r="F1538" s="897"/>
      <c r="G1538" s="897"/>
      <c r="H1538" s="898" t="e">
        <v>#N/A</v>
      </c>
      <c r="I1538" s="899"/>
      <c r="J1538" s="899"/>
    </row>
    <row r="1539" spans="1:10">
      <c r="A1539" s="896" t="s">
        <v>6783</v>
      </c>
      <c r="B1539" s="897" t="s">
        <v>6784</v>
      </c>
      <c r="C1539" s="897" t="s">
        <v>6785</v>
      </c>
      <c r="D1539" s="897" t="s">
        <v>1912</v>
      </c>
      <c r="E1539" s="897"/>
      <c r="F1539" s="897" t="s">
        <v>1692</v>
      </c>
      <c r="G1539" s="897" t="s">
        <v>6786</v>
      </c>
      <c r="H1539" s="898" t="e">
        <v>#N/A</v>
      </c>
      <c r="I1539" s="899"/>
      <c r="J1539" s="899"/>
    </row>
    <row r="1540" spans="1:10">
      <c r="A1540" s="896" t="s">
        <v>6787</v>
      </c>
      <c r="B1540" s="897" t="s">
        <v>6788</v>
      </c>
      <c r="C1540" s="897" t="s">
        <v>6789</v>
      </c>
      <c r="D1540" s="897" t="s">
        <v>1912</v>
      </c>
      <c r="E1540" s="897"/>
      <c r="F1540" s="897"/>
      <c r="G1540" s="897"/>
      <c r="H1540" s="898" t="e">
        <v>#N/A</v>
      </c>
      <c r="I1540" s="899"/>
      <c r="J1540" s="899"/>
    </row>
    <row r="1541" spans="1:10">
      <c r="A1541" s="896" t="s">
        <v>6790</v>
      </c>
      <c r="B1541" s="897" t="s">
        <v>184</v>
      </c>
      <c r="C1541" s="897"/>
      <c r="D1541" s="897" t="s">
        <v>6791</v>
      </c>
      <c r="E1541" s="897"/>
      <c r="F1541" s="897"/>
      <c r="G1541" s="897"/>
      <c r="H1541" s="898">
        <v>0</v>
      </c>
      <c r="I1541" s="899"/>
      <c r="J1541" s="899"/>
    </row>
    <row r="1542" spans="1:10">
      <c r="A1542" s="896" t="s">
        <v>6792</v>
      </c>
      <c r="B1542" s="897" t="s">
        <v>6793</v>
      </c>
      <c r="C1542" s="897" t="s">
        <v>6789</v>
      </c>
      <c r="D1542" s="897" t="s">
        <v>1912</v>
      </c>
      <c r="E1542" s="897"/>
      <c r="F1542" s="897"/>
      <c r="G1542" s="897"/>
      <c r="H1542" s="898" t="e">
        <v>#N/A</v>
      </c>
      <c r="I1542" s="899"/>
      <c r="J1542" s="899"/>
    </row>
    <row r="1543" spans="1:10">
      <c r="A1543" s="896" t="s">
        <v>6794</v>
      </c>
      <c r="B1543" s="897" t="s">
        <v>6795</v>
      </c>
      <c r="C1543" s="897" t="s">
        <v>6796</v>
      </c>
      <c r="D1543" s="897" t="s">
        <v>1912</v>
      </c>
      <c r="E1543" s="897"/>
      <c r="F1543" s="897"/>
      <c r="G1543" s="897"/>
      <c r="H1543" s="898" t="e">
        <v>#N/A</v>
      </c>
      <c r="I1543" s="899"/>
      <c r="J1543" s="899"/>
    </row>
    <row r="1544" spans="1:10">
      <c r="A1544" s="896" t="s">
        <v>6797</v>
      </c>
      <c r="B1544" s="897" t="s">
        <v>6798</v>
      </c>
      <c r="C1544" s="897" t="s">
        <v>6799</v>
      </c>
      <c r="D1544" s="897" t="s">
        <v>1912</v>
      </c>
      <c r="E1544" s="897"/>
      <c r="F1544" s="897"/>
      <c r="G1544" s="897"/>
      <c r="H1544" s="898" t="e">
        <v>#N/A</v>
      </c>
      <c r="I1544" s="899"/>
      <c r="J1544" s="899"/>
    </row>
    <row r="1545" spans="1:10">
      <c r="A1545" s="896" t="s">
        <v>6800</v>
      </c>
      <c r="B1545" s="897" t="s">
        <v>6801</v>
      </c>
      <c r="C1545" s="897" t="s">
        <v>6802</v>
      </c>
      <c r="D1545" s="897" t="s">
        <v>1912</v>
      </c>
      <c r="E1545" s="897"/>
      <c r="F1545" s="897"/>
      <c r="G1545" s="897"/>
      <c r="H1545" s="898">
        <v>0</v>
      </c>
      <c r="I1545" s="899"/>
      <c r="J1545" s="899"/>
    </row>
    <row r="1546" spans="1:10">
      <c r="A1546" s="896" t="s">
        <v>6803</v>
      </c>
      <c r="B1546" s="897" t="s">
        <v>6804</v>
      </c>
      <c r="C1546" s="897" t="s">
        <v>6805</v>
      </c>
      <c r="D1546" s="897" t="s">
        <v>1912</v>
      </c>
      <c r="E1546" s="897"/>
      <c r="F1546" s="897"/>
      <c r="G1546" s="897"/>
      <c r="H1546" s="898" t="s">
        <v>1953</v>
      </c>
      <c r="I1546" s="899"/>
      <c r="J1546" s="899"/>
    </row>
    <row r="1547" spans="1:10">
      <c r="A1547" s="896" t="s">
        <v>6806</v>
      </c>
      <c r="B1547" s="897" t="s">
        <v>6807</v>
      </c>
      <c r="C1547" s="897" t="s">
        <v>6808</v>
      </c>
      <c r="D1547" s="897" t="s">
        <v>1912</v>
      </c>
      <c r="E1547" s="897"/>
      <c r="F1547" s="897"/>
      <c r="G1547" s="897"/>
      <c r="H1547" s="898" t="e">
        <v>#N/A</v>
      </c>
      <c r="I1547" s="899"/>
      <c r="J1547" s="899"/>
    </row>
    <row r="1548" spans="1:10">
      <c r="A1548" s="896" t="s">
        <v>6809</v>
      </c>
      <c r="B1548" s="897" t="s">
        <v>6810</v>
      </c>
      <c r="C1548" s="897" t="s">
        <v>6811</v>
      </c>
      <c r="D1548" s="897" t="s">
        <v>1912</v>
      </c>
      <c r="E1548" s="897"/>
      <c r="F1548" s="897"/>
      <c r="G1548" s="897"/>
      <c r="H1548" s="898" t="e">
        <v>#N/A</v>
      </c>
      <c r="I1548" s="899"/>
      <c r="J1548" s="899"/>
    </row>
    <row r="1549" spans="1:10">
      <c r="A1549" s="896" t="s">
        <v>6812</v>
      </c>
      <c r="B1549" s="897" t="s">
        <v>6813</v>
      </c>
      <c r="C1549" s="897" t="s">
        <v>6814</v>
      </c>
      <c r="D1549" s="897" t="s">
        <v>1912</v>
      </c>
      <c r="E1549" s="897"/>
      <c r="F1549" s="897"/>
      <c r="G1549" s="897"/>
      <c r="H1549" s="898" t="e">
        <v>#N/A</v>
      </c>
      <c r="I1549" s="899"/>
      <c r="J1549" s="899"/>
    </row>
    <row r="1550" spans="1:10">
      <c r="A1550" s="896" t="s">
        <v>6815</v>
      </c>
      <c r="B1550" s="897" t="s">
        <v>6816</v>
      </c>
      <c r="C1550" s="897" t="s">
        <v>6817</v>
      </c>
      <c r="D1550" s="897" t="s">
        <v>1912</v>
      </c>
      <c r="E1550" s="897"/>
      <c r="F1550" s="897"/>
      <c r="G1550" s="897"/>
      <c r="H1550" s="898" t="e">
        <v>#N/A</v>
      </c>
      <c r="I1550" s="899"/>
      <c r="J1550" s="899"/>
    </row>
    <row r="1551" spans="1:10">
      <c r="A1551" s="896" t="s">
        <v>6818</v>
      </c>
      <c r="B1551" s="897" t="s">
        <v>6819</v>
      </c>
      <c r="C1551" s="897" t="s">
        <v>6817</v>
      </c>
      <c r="D1551" s="897" t="s">
        <v>1912</v>
      </c>
      <c r="E1551" s="897"/>
      <c r="F1551" s="897"/>
      <c r="G1551" s="897"/>
      <c r="H1551" s="898" t="e">
        <v>#N/A</v>
      </c>
      <c r="I1551" s="899"/>
      <c r="J1551" s="899"/>
    </row>
    <row r="1552" spans="1:10">
      <c r="A1552" s="896" t="s">
        <v>6820</v>
      </c>
      <c r="B1552" s="897" t="s">
        <v>6821</v>
      </c>
      <c r="C1552" s="897" t="s">
        <v>6822</v>
      </c>
      <c r="D1552" s="897" t="s">
        <v>1912</v>
      </c>
      <c r="E1552" s="897"/>
      <c r="F1552" s="897"/>
      <c r="G1552" s="897"/>
      <c r="H1552" s="898" t="e">
        <v>#N/A</v>
      </c>
      <c r="I1552" s="899"/>
      <c r="J1552" s="899"/>
    </row>
    <row r="1553" spans="1:10">
      <c r="A1553" s="896" t="s">
        <v>6823</v>
      </c>
      <c r="B1553" s="897" t="s">
        <v>6824</v>
      </c>
      <c r="C1553" s="897" t="s">
        <v>6825</v>
      </c>
      <c r="D1553" s="897" t="s">
        <v>1912</v>
      </c>
      <c r="E1553" s="897"/>
      <c r="F1553" s="897"/>
      <c r="G1553" s="897"/>
      <c r="H1553" s="898" t="s">
        <v>1914</v>
      </c>
      <c r="I1553" s="899"/>
      <c r="J1553" s="899"/>
    </row>
    <row r="1554" spans="1:10">
      <c r="A1554" s="896" t="s">
        <v>6826</v>
      </c>
      <c r="B1554" s="897" t="s">
        <v>6827</v>
      </c>
      <c r="C1554" s="897" t="s">
        <v>6828</v>
      </c>
      <c r="D1554" s="897" t="s">
        <v>1912</v>
      </c>
      <c r="E1554" s="897"/>
      <c r="F1554" s="897"/>
      <c r="G1554" s="897"/>
      <c r="H1554" s="898" t="e">
        <v>#N/A</v>
      </c>
      <c r="I1554" s="899"/>
      <c r="J1554" s="899"/>
    </row>
    <row r="1555" spans="1:10">
      <c r="A1555" s="896" t="s">
        <v>6829</v>
      </c>
      <c r="B1555" s="897" t="s">
        <v>6830</v>
      </c>
      <c r="C1555" s="897" t="s">
        <v>6831</v>
      </c>
      <c r="D1555" s="897" t="s">
        <v>1912</v>
      </c>
      <c r="E1555" s="897"/>
      <c r="F1555" s="897"/>
      <c r="G1555" s="897"/>
      <c r="H1555" s="898" t="e">
        <v>#N/A</v>
      </c>
      <c r="I1555" s="899"/>
      <c r="J1555" s="899"/>
    </row>
    <row r="1556" spans="1:10">
      <c r="A1556" s="896" t="s">
        <v>6832</v>
      </c>
      <c r="B1556" s="897" t="s">
        <v>6833</v>
      </c>
      <c r="C1556" s="897" t="s">
        <v>6834</v>
      </c>
      <c r="D1556" s="897" t="s">
        <v>1912</v>
      </c>
      <c r="E1556" s="897"/>
      <c r="F1556" s="897"/>
      <c r="G1556" s="897"/>
      <c r="H1556" s="898" t="e">
        <v>#N/A</v>
      </c>
      <c r="I1556" s="899"/>
      <c r="J1556" s="899"/>
    </row>
    <row r="1557" spans="1:10">
      <c r="A1557" s="896" t="s">
        <v>6835</v>
      </c>
      <c r="B1557" s="897" t="s">
        <v>745</v>
      </c>
      <c r="C1557" s="897"/>
      <c r="D1557" s="897" t="s">
        <v>1184</v>
      </c>
      <c r="E1557" s="897"/>
      <c r="F1557" s="897"/>
      <c r="G1557" s="897"/>
      <c r="H1557" s="898" t="e">
        <v>#N/A</v>
      </c>
      <c r="I1557" s="899"/>
      <c r="J1557" s="899"/>
    </row>
    <row r="1558" spans="1:10">
      <c r="A1558" s="896" t="s">
        <v>6836</v>
      </c>
      <c r="B1558" s="897" t="s">
        <v>6837</v>
      </c>
      <c r="C1558" s="897" t="s">
        <v>6838</v>
      </c>
      <c r="D1558" s="897" t="s">
        <v>1912</v>
      </c>
      <c r="E1558" s="897"/>
      <c r="F1558" s="897"/>
      <c r="G1558" s="897"/>
      <c r="H1558" s="898" t="e">
        <v>#N/A</v>
      </c>
      <c r="I1558" s="899"/>
      <c r="J1558" s="899"/>
    </row>
    <row r="1559" spans="1:10">
      <c r="A1559" s="896" t="s">
        <v>6839</v>
      </c>
      <c r="B1559" s="897" t="s">
        <v>6840</v>
      </c>
      <c r="C1559" s="897" t="s">
        <v>4821</v>
      </c>
      <c r="D1559" s="897" t="s">
        <v>1912</v>
      </c>
      <c r="E1559" s="897"/>
      <c r="F1559" s="897"/>
      <c r="G1559" s="897"/>
      <c r="H1559" s="898" t="s">
        <v>1953</v>
      </c>
      <c r="I1559" s="899"/>
      <c r="J1559" s="899"/>
    </row>
    <row r="1560" spans="1:10">
      <c r="A1560" s="896" t="s">
        <v>6841</v>
      </c>
      <c r="B1560" s="897" t="s">
        <v>6842</v>
      </c>
      <c r="C1560" s="897" t="s">
        <v>6843</v>
      </c>
      <c r="D1560" s="897" t="s">
        <v>1912</v>
      </c>
      <c r="E1560" s="897"/>
      <c r="F1560" s="897"/>
      <c r="G1560" s="897"/>
      <c r="H1560" s="898" t="e">
        <v>#N/A</v>
      </c>
      <c r="I1560" s="899"/>
      <c r="J1560" s="899"/>
    </row>
    <row r="1561" spans="1:10">
      <c r="A1561" s="896" t="s">
        <v>6844</v>
      </c>
      <c r="B1561" s="897" t="s">
        <v>6845</v>
      </c>
      <c r="C1561" s="897" t="s">
        <v>6846</v>
      </c>
      <c r="D1561" s="897" t="s">
        <v>1912</v>
      </c>
      <c r="E1561" s="897"/>
      <c r="F1561" s="897"/>
      <c r="G1561" s="897"/>
      <c r="H1561" s="898" t="s">
        <v>1953</v>
      </c>
      <c r="I1561" s="899"/>
      <c r="J1561" s="899"/>
    </row>
    <row r="1562" spans="1:10">
      <c r="A1562" s="896" t="s">
        <v>6847</v>
      </c>
      <c r="B1562" s="897" t="s">
        <v>308</v>
      </c>
      <c r="C1562" s="897" t="s">
        <v>6848</v>
      </c>
      <c r="D1562" s="897" t="s">
        <v>1260</v>
      </c>
      <c r="E1562" s="897"/>
      <c r="F1562" s="897"/>
      <c r="G1562" s="897"/>
      <c r="H1562" s="898" t="s">
        <v>1953</v>
      </c>
      <c r="I1562" s="899"/>
      <c r="J1562" s="899"/>
    </row>
    <row r="1563" spans="1:10">
      <c r="A1563" s="896" t="s">
        <v>6849</v>
      </c>
      <c r="B1563" s="897" t="s">
        <v>6850</v>
      </c>
      <c r="C1563" s="897" t="s">
        <v>1912</v>
      </c>
      <c r="D1563" s="897" t="s">
        <v>1912</v>
      </c>
      <c r="E1563" s="897"/>
      <c r="F1563" s="897"/>
      <c r="G1563" s="897"/>
      <c r="H1563" s="898" t="e">
        <v>#N/A</v>
      </c>
      <c r="I1563" s="899"/>
      <c r="J1563" s="899"/>
    </row>
    <row r="1564" spans="1:10">
      <c r="A1564" s="896" t="s">
        <v>6851</v>
      </c>
      <c r="B1564" s="897" t="s">
        <v>6852</v>
      </c>
      <c r="C1564" s="897" t="s">
        <v>4398</v>
      </c>
      <c r="D1564" s="897" t="s">
        <v>1912</v>
      </c>
      <c r="E1564" s="897"/>
      <c r="F1564" s="897"/>
      <c r="G1564" s="897"/>
      <c r="H1564" s="898" t="e">
        <v>#N/A</v>
      </c>
      <c r="I1564" s="899"/>
      <c r="J1564" s="899"/>
    </row>
    <row r="1565" spans="1:10">
      <c r="A1565" s="896" t="s">
        <v>6853</v>
      </c>
      <c r="B1565" s="897" t="s">
        <v>911</v>
      </c>
      <c r="C1565" s="897" t="s">
        <v>6854</v>
      </c>
      <c r="D1565" s="897" t="s">
        <v>1261</v>
      </c>
      <c r="E1565" s="897"/>
      <c r="F1565" s="897"/>
      <c r="G1565" s="897"/>
      <c r="H1565" s="898" t="s">
        <v>1953</v>
      </c>
      <c r="I1565" s="899"/>
      <c r="J1565" s="899"/>
    </row>
    <row r="1566" spans="1:10">
      <c r="A1566" s="896" t="s">
        <v>6855</v>
      </c>
      <c r="B1566" s="897" t="s">
        <v>6856</v>
      </c>
      <c r="C1566" s="897" t="s">
        <v>5329</v>
      </c>
      <c r="D1566" s="897" t="s">
        <v>1912</v>
      </c>
      <c r="E1566" s="897"/>
      <c r="F1566" s="897"/>
      <c r="G1566" s="897"/>
      <c r="H1566" s="898" t="e">
        <v>#N/A</v>
      </c>
      <c r="I1566" s="899"/>
      <c r="J1566" s="899"/>
    </row>
    <row r="1567" spans="1:10">
      <c r="A1567" s="896" t="s">
        <v>6857</v>
      </c>
      <c r="B1567" s="897" t="s">
        <v>6858</v>
      </c>
      <c r="C1567" s="897" t="s">
        <v>6859</v>
      </c>
      <c r="D1567" s="897" t="s">
        <v>1912</v>
      </c>
      <c r="E1567" s="897"/>
      <c r="F1567" s="897"/>
      <c r="G1567" s="897"/>
      <c r="H1567" s="898">
        <v>0</v>
      </c>
      <c r="I1567" s="899"/>
      <c r="J1567" s="899"/>
    </row>
    <row r="1568" spans="1:10">
      <c r="A1568" s="896" t="s">
        <v>6860</v>
      </c>
      <c r="B1568" s="897" t="s">
        <v>6861</v>
      </c>
      <c r="C1568" s="897" t="s">
        <v>6862</v>
      </c>
      <c r="D1568" s="897" t="s">
        <v>1912</v>
      </c>
      <c r="E1568" s="897"/>
      <c r="F1568" s="897"/>
      <c r="G1568" s="897"/>
      <c r="H1568" s="898" t="e">
        <v>#N/A</v>
      </c>
      <c r="I1568" s="899"/>
      <c r="J1568" s="899"/>
    </row>
    <row r="1569" spans="1:10">
      <c r="A1569" s="896" t="s">
        <v>6863</v>
      </c>
      <c r="B1569" s="897" t="s">
        <v>729</v>
      </c>
      <c r="C1569" s="897"/>
      <c r="D1569" s="897" t="s">
        <v>1912</v>
      </c>
      <c r="E1569" s="897"/>
      <c r="F1569" s="897"/>
      <c r="G1569" s="897"/>
      <c r="H1569" s="898" t="s">
        <v>1914</v>
      </c>
      <c r="I1569" s="899"/>
      <c r="J1569" s="899"/>
    </row>
    <row r="1570" spans="1:10">
      <c r="A1570" s="896" t="s">
        <v>6864</v>
      </c>
      <c r="B1570" s="897" t="s">
        <v>6865</v>
      </c>
      <c r="C1570" s="897" t="s">
        <v>6866</v>
      </c>
      <c r="D1570" s="897" t="s">
        <v>1912</v>
      </c>
      <c r="E1570" s="897"/>
      <c r="F1570" s="897"/>
      <c r="G1570" s="897"/>
      <c r="H1570" s="898" t="e">
        <v>#N/A</v>
      </c>
      <c r="I1570" s="899"/>
      <c r="J1570" s="899"/>
    </row>
    <row r="1571" spans="1:10">
      <c r="A1571" s="896" t="s">
        <v>6867</v>
      </c>
      <c r="B1571" s="897" t="s">
        <v>1445</v>
      </c>
      <c r="C1571" s="897" t="s">
        <v>6868</v>
      </c>
      <c r="D1571" s="897" t="s">
        <v>1912</v>
      </c>
      <c r="E1571" s="897"/>
      <c r="F1571" s="897"/>
      <c r="G1571" s="897"/>
      <c r="H1571" s="898" t="e">
        <v>#N/A</v>
      </c>
      <c r="I1571" s="899"/>
      <c r="J1571" s="899"/>
    </row>
    <row r="1572" spans="1:10">
      <c r="A1572" s="896" t="s">
        <v>6869</v>
      </c>
      <c r="B1572" s="897" t="s">
        <v>6870</v>
      </c>
      <c r="C1572" s="897" t="s">
        <v>4745</v>
      </c>
      <c r="D1572" s="897" t="s">
        <v>1912</v>
      </c>
      <c r="E1572" s="897"/>
      <c r="F1572" s="897"/>
      <c r="G1572" s="897"/>
      <c r="H1572" s="898" t="s">
        <v>1953</v>
      </c>
      <c r="I1572" s="899"/>
      <c r="J1572" s="899"/>
    </row>
    <row r="1573" spans="1:10">
      <c r="A1573" s="896" t="s">
        <v>6871</v>
      </c>
      <c r="B1573" s="897" t="s">
        <v>1446</v>
      </c>
      <c r="C1573" s="897" t="s">
        <v>6872</v>
      </c>
      <c r="D1573" s="897" t="s">
        <v>1912</v>
      </c>
      <c r="E1573" s="897"/>
      <c r="F1573" s="897"/>
      <c r="G1573" s="897"/>
      <c r="H1573" s="898" t="e">
        <v>#N/A</v>
      </c>
      <c r="I1573" s="899"/>
      <c r="J1573" s="899"/>
    </row>
    <row r="1574" spans="1:10">
      <c r="A1574" s="896" t="s">
        <v>6873</v>
      </c>
      <c r="B1574" s="897" t="s">
        <v>6874</v>
      </c>
      <c r="C1574" s="897" t="s">
        <v>4681</v>
      </c>
      <c r="D1574" s="897" t="s">
        <v>1912</v>
      </c>
      <c r="E1574" s="897"/>
      <c r="F1574" s="897"/>
      <c r="G1574" s="897"/>
      <c r="H1574" s="898" t="e">
        <v>#N/A</v>
      </c>
      <c r="I1574" s="899"/>
      <c r="J1574" s="899"/>
    </row>
    <row r="1575" spans="1:10">
      <c r="A1575" s="896" t="s">
        <v>6875</v>
      </c>
      <c r="B1575" s="897" t="s">
        <v>6876</v>
      </c>
      <c r="C1575" s="897" t="s">
        <v>6877</v>
      </c>
      <c r="D1575" s="897" t="s">
        <v>1912</v>
      </c>
      <c r="E1575" s="897"/>
      <c r="F1575" s="897"/>
      <c r="G1575" s="897"/>
      <c r="H1575" s="898" t="s">
        <v>1953</v>
      </c>
      <c r="I1575" s="899"/>
      <c r="J1575" s="899"/>
    </row>
    <row r="1576" spans="1:10">
      <c r="A1576" s="896" t="s">
        <v>6878</v>
      </c>
      <c r="B1576" s="897" t="s">
        <v>6879</v>
      </c>
      <c r="C1576" s="897" t="s">
        <v>6880</v>
      </c>
      <c r="D1576" s="897" t="s">
        <v>1912</v>
      </c>
      <c r="E1576" s="897"/>
      <c r="F1576" s="897"/>
      <c r="G1576" s="897"/>
      <c r="H1576" s="898" t="s">
        <v>1953</v>
      </c>
      <c r="I1576" s="899"/>
      <c r="J1576" s="899"/>
    </row>
    <row r="1577" spans="1:10">
      <c r="A1577" s="896" t="s">
        <v>6881</v>
      </c>
      <c r="B1577" s="897" t="s">
        <v>6882</v>
      </c>
      <c r="C1577" s="897" t="s">
        <v>6883</v>
      </c>
      <c r="D1577" s="897" t="s">
        <v>1912</v>
      </c>
      <c r="E1577" s="897"/>
      <c r="F1577" s="897"/>
      <c r="G1577" s="897"/>
      <c r="H1577" s="898" t="e">
        <v>#N/A</v>
      </c>
      <c r="I1577" s="899"/>
      <c r="J1577" s="899"/>
    </row>
    <row r="1578" spans="1:10">
      <c r="A1578" s="896" t="s">
        <v>6884</v>
      </c>
      <c r="B1578" s="897" t="s">
        <v>6885</v>
      </c>
      <c r="C1578" s="897"/>
      <c r="D1578" s="897"/>
      <c r="E1578" s="897"/>
      <c r="F1578" s="897" t="s">
        <v>5151</v>
      </c>
      <c r="G1578" s="897" t="s">
        <v>6886</v>
      </c>
      <c r="H1578" s="898" t="s">
        <v>1914</v>
      </c>
      <c r="I1578" s="899"/>
      <c r="J1578" s="899"/>
    </row>
    <row r="1579" spans="1:10">
      <c r="A1579" s="896" t="s">
        <v>6887</v>
      </c>
      <c r="B1579" s="897" t="s">
        <v>6888</v>
      </c>
      <c r="C1579" s="897" t="s">
        <v>6889</v>
      </c>
      <c r="D1579" s="897" t="s">
        <v>1912</v>
      </c>
      <c r="E1579" s="897"/>
      <c r="F1579" s="897"/>
      <c r="G1579" s="897"/>
      <c r="H1579" s="898" t="e">
        <v>#N/A</v>
      </c>
      <c r="I1579" s="899"/>
      <c r="J1579" s="899"/>
    </row>
    <row r="1580" spans="1:10">
      <c r="A1580" s="896" t="s">
        <v>6890</v>
      </c>
      <c r="B1580" s="897" t="s">
        <v>6891</v>
      </c>
      <c r="C1580" s="897" t="s">
        <v>6892</v>
      </c>
      <c r="D1580" s="897" t="s">
        <v>1912</v>
      </c>
      <c r="E1580" s="897"/>
      <c r="F1580" s="897" t="s">
        <v>6893</v>
      </c>
      <c r="G1580" s="897" t="s">
        <v>6894</v>
      </c>
      <c r="H1580" s="898" t="e">
        <v>#N/A</v>
      </c>
      <c r="I1580" s="899"/>
      <c r="J1580" s="899"/>
    </row>
    <row r="1581" spans="1:10">
      <c r="A1581" s="896" t="s">
        <v>6895</v>
      </c>
      <c r="B1581" s="897" t="s">
        <v>1801</v>
      </c>
      <c r="C1581" s="897"/>
      <c r="D1581" s="897" t="s">
        <v>1912</v>
      </c>
      <c r="E1581" s="897"/>
      <c r="F1581" s="897"/>
      <c r="G1581" s="897"/>
      <c r="H1581" s="898" t="e">
        <v>#N/A</v>
      </c>
      <c r="I1581" s="899"/>
      <c r="J1581" s="899"/>
    </row>
    <row r="1582" spans="1:10">
      <c r="A1582" s="896" t="s">
        <v>6896</v>
      </c>
      <c r="B1582" s="897" t="s">
        <v>1802</v>
      </c>
      <c r="C1582" s="897" t="s">
        <v>6897</v>
      </c>
      <c r="D1582" s="897" t="s">
        <v>1912</v>
      </c>
      <c r="E1582" s="897"/>
      <c r="F1582" s="897"/>
      <c r="G1582" s="897"/>
      <c r="H1582" s="898" t="e">
        <v>#N/A</v>
      </c>
      <c r="I1582" s="899"/>
      <c r="J1582" s="899"/>
    </row>
    <row r="1583" spans="1:10">
      <c r="A1583" s="896" t="s">
        <v>6898</v>
      </c>
      <c r="B1583" s="897" t="s">
        <v>6899</v>
      </c>
      <c r="C1583" s="897" t="s">
        <v>6900</v>
      </c>
      <c r="D1583" s="897" t="s">
        <v>1912</v>
      </c>
      <c r="E1583" s="897"/>
      <c r="F1583" s="897"/>
      <c r="G1583" s="897"/>
      <c r="H1583" s="898" t="s">
        <v>1914</v>
      </c>
      <c r="I1583" s="899"/>
      <c r="J1583" s="899"/>
    </row>
    <row r="1584" spans="1:10">
      <c r="A1584" s="896" t="s">
        <v>6901</v>
      </c>
      <c r="B1584" s="897" t="s">
        <v>6902</v>
      </c>
      <c r="C1584" s="897" t="s">
        <v>5368</v>
      </c>
      <c r="D1584" s="897" t="s">
        <v>1912</v>
      </c>
      <c r="E1584" s="897"/>
      <c r="F1584" s="897"/>
      <c r="G1584" s="897"/>
      <c r="H1584" s="898" t="s">
        <v>1953</v>
      </c>
      <c r="I1584" s="899"/>
      <c r="J1584" s="899"/>
    </row>
    <row r="1585" spans="1:10">
      <c r="A1585" s="896" t="s">
        <v>6903</v>
      </c>
      <c r="B1585" s="897" t="s">
        <v>6904</v>
      </c>
      <c r="C1585" s="897" t="s">
        <v>6905</v>
      </c>
      <c r="D1585" s="897" t="s">
        <v>1912</v>
      </c>
      <c r="E1585" s="897"/>
      <c r="F1585" s="897"/>
      <c r="G1585" s="897"/>
      <c r="H1585" s="898" t="e">
        <v>#N/A</v>
      </c>
      <c r="I1585" s="899"/>
      <c r="J1585" s="899"/>
    </row>
    <row r="1586" spans="1:10">
      <c r="A1586" s="896" t="s">
        <v>6906</v>
      </c>
      <c r="B1586" s="897" t="s">
        <v>1803</v>
      </c>
      <c r="C1586" s="897" t="s">
        <v>6907</v>
      </c>
      <c r="D1586" s="897" t="s">
        <v>1912</v>
      </c>
      <c r="E1586" s="897"/>
      <c r="F1586" s="897"/>
      <c r="G1586" s="897"/>
      <c r="H1586" s="898" t="e">
        <v>#N/A</v>
      </c>
      <c r="I1586" s="899"/>
      <c r="J1586" s="899"/>
    </row>
    <row r="1587" spans="1:10">
      <c r="A1587" s="896" t="s">
        <v>6908</v>
      </c>
      <c r="B1587" s="897" t="s">
        <v>6909</v>
      </c>
      <c r="C1587" s="897" t="s">
        <v>6910</v>
      </c>
      <c r="D1587" s="897" t="s">
        <v>1912</v>
      </c>
      <c r="E1587" s="897"/>
      <c r="F1587" s="897"/>
      <c r="G1587" s="897"/>
      <c r="H1587" s="898" t="e">
        <v>#N/A</v>
      </c>
      <c r="I1587" s="899"/>
      <c r="J1587" s="899"/>
    </row>
    <row r="1588" spans="1:10">
      <c r="A1588" s="896" t="s">
        <v>6911</v>
      </c>
      <c r="B1588" s="897" t="s">
        <v>6912</v>
      </c>
      <c r="C1588" s="897" t="s">
        <v>6913</v>
      </c>
      <c r="D1588" s="897" t="s">
        <v>1912</v>
      </c>
      <c r="E1588" s="897"/>
      <c r="F1588" s="897" t="s">
        <v>6914</v>
      </c>
      <c r="G1588" s="897" t="s">
        <v>6915</v>
      </c>
      <c r="H1588" s="898" t="e">
        <v>#N/A</v>
      </c>
      <c r="I1588" s="899"/>
      <c r="J1588" s="899"/>
    </row>
    <row r="1589" spans="1:10">
      <c r="A1589" s="896" t="s">
        <v>6916</v>
      </c>
      <c r="B1589" s="897" t="s">
        <v>6917</v>
      </c>
      <c r="C1589" s="897" t="s">
        <v>6918</v>
      </c>
      <c r="D1589" s="897" t="s">
        <v>1912</v>
      </c>
      <c r="E1589" s="897"/>
      <c r="F1589" s="897"/>
      <c r="G1589" s="897"/>
      <c r="H1589" s="898" t="e">
        <v>#N/A</v>
      </c>
      <c r="I1589" s="899"/>
      <c r="J1589" s="899"/>
    </row>
    <row r="1590" spans="1:10">
      <c r="A1590" s="896" t="s">
        <v>6919</v>
      </c>
      <c r="B1590" s="897" t="s">
        <v>6920</v>
      </c>
      <c r="C1590" s="897" t="s">
        <v>6921</v>
      </c>
      <c r="D1590" s="897" t="s">
        <v>1912</v>
      </c>
      <c r="E1590" s="897"/>
      <c r="F1590" s="897"/>
      <c r="G1590" s="897"/>
      <c r="H1590" s="898" t="s">
        <v>1914</v>
      </c>
      <c r="I1590" s="899"/>
      <c r="J1590" s="899"/>
    </row>
    <row r="1591" spans="1:10">
      <c r="A1591" s="896" t="s">
        <v>6922</v>
      </c>
      <c r="B1591" s="897" t="s">
        <v>6923</v>
      </c>
      <c r="C1591" s="897" t="s">
        <v>6924</v>
      </c>
      <c r="D1591" s="897" t="s">
        <v>1912</v>
      </c>
      <c r="E1591" s="897"/>
      <c r="F1591" s="897"/>
      <c r="G1591" s="897"/>
      <c r="H1591" s="898" t="e">
        <v>#N/A</v>
      </c>
      <c r="I1591" s="899"/>
      <c r="J1591" s="899"/>
    </row>
    <row r="1592" spans="1:10">
      <c r="A1592" s="896" t="s">
        <v>6925</v>
      </c>
      <c r="B1592" s="897" t="s">
        <v>198</v>
      </c>
      <c r="C1592" s="897" t="s">
        <v>4067</v>
      </c>
      <c r="D1592" s="897" t="s">
        <v>1262</v>
      </c>
      <c r="E1592" s="897"/>
      <c r="F1592" s="897"/>
      <c r="G1592" s="897"/>
      <c r="H1592" s="898" t="s">
        <v>1953</v>
      </c>
      <c r="I1592" s="899"/>
      <c r="J1592" s="899"/>
    </row>
    <row r="1593" spans="1:10">
      <c r="A1593" s="896" t="s">
        <v>6926</v>
      </c>
      <c r="B1593" s="897" t="s">
        <v>6927</v>
      </c>
      <c r="C1593" s="897" t="s">
        <v>6928</v>
      </c>
      <c r="D1593" s="897" t="s">
        <v>1912</v>
      </c>
      <c r="E1593" s="897"/>
      <c r="F1593" s="897"/>
      <c r="G1593" s="897"/>
      <c r="H1593" s="898" t="e">
        <v>#N/A</v>
      </c>
      <c r="I1593" s="899"/>
      <c r="J1593" s="899"/>
    </row>
    <row r="1594" spans="1:10">
      <c r="A1594" s="896" t="s">
        <v>6929</v>
      </c>
      <c r="B1594" s="897" t="s">
        <v>6930</v>
      </c>
      <c r="C1594" s="897" t="s">
        <v>6931</v>
      </c>
      <c r="D1594" s="897" t="s">
        <v>1912</v>
      </c>
      <c r="E1594" s="897"/>
      <c r="F1594" s="897"/>
      <c r="G1594" s="897"/>
      <c r="H1594" s="898" t="e">
        <v>#N/A</v>
      </c>
      <c r="I1594" s="899"/>
      <c r="J1594" s="899"/>
    </row>
    <row r="1595" spans="1:10">
      <c r="A1595" s="896" t="s">
        <v>6932</v>
      </c>
      <c r="B1595" s="897" t="s">
        <v>6933</v>
      </c>
      <c r="C1595" s="897" t="s">
        <v>6934</v>
      </c>
      <c r="D1595" s="897" t="s">
        <v>1912</v>
      </c>
      <c r="E1595" s="897"/>
      <c r="F1595" s="897"/>
      <c r="G1595" s="897"/>
      <c r="H1595" s="898" t="s">
        <v>1953</v>
      </c>
      <c r="I1595" s="899"/>
      <c r="J1595" s="899"/>
    </row>
    <row r="1596" spans="1:10">
      <c r="A1596" s="896" t="s">
        <v>6935</v>
      </c>
      <c r="B1596" s="897" t="s">
        <v>6936</v>
      </c>
      <c r="C1596" s="897" t="s">
        <v>6346</v>
      </c>
      <c r="D1596" s="897" t="s">
        <v>1912</v>
      </c>
      <c r="E1596" s="897"/>
      <c r="F1596" s="897"/>
      <c r="G1596" s="897"/>
      <c r="H1596" s="898" t="e">
        <v>#N/A</v>
      </c>
      <c r="I1596" s="899"/>
      <c r="J1596" s="899"/>
    </row>
    <row r="1597" spans="1:10">
      <c r="A1597" s="896" t="s">
        <v>6937</v>
      </c>
      <c r="B1597" s="897" t="s">
        <v>1805</v>
      </c>
      <c r="C1597" s="897"/>
      <c r="D1597" s="897" t="s">
        <v>1912</v>
      </c>
      <c r="E1597" s="897"/>
      <c r="F1597" s="897"/>
      <c r="G1597" s="897"/>
      <c r="H1597" s="898" t="e">
        <v>#N/A</v>
      </c>
      <c r="I1597" s="899"/>
      <c r="J1597" s="899"/>
    </row>
    <row r="1598" spans="1:10">
      <c r="A1598" s="896" t="s">
        <v>6938</v>
      </c>
      <c r="B1598" s="897" t="s">
        <v>6939</v>
      </c>
      <c r="C1598" s="897" t="s">
        <v>6940</v>
      </c>
      <c r="D1598" s="897" t="s">
        <v>1912</v>
      </c>
      <c r="E1598" s="897"/>
      <c r="F1598" s="897"/>
      <c r="G1598" s="897"/>
      <c r="H1598" s="898" t="e">
        <v>#N/A</v>
      </c>
      <c r="I1598" s="899"/>
      <c r="J1598" s="899"/>
    </row>
    <row r="1599" spans="1:10">
      <c r="A1599" s="896" t="s">
        <v>6941</v>
      </c>
      <c r="B1599" s="897" t="s">
        <v>6942</v>
      </c>
      <c r="C1599" s="897" t="s">
        <v>6943</v>
      </c>
      <c r="D1599" s="897" t="s">
        <v>1912</v>
      </c>
      <c r="E1599" s="897"/>
      <c r="F1599" s="897"/>
      <c r="G1599" s="897"/>
      <c r="H1599" s="898" t="s">
        <v>1953</v>
      </c>
      <c r="I1599" s="899"/>
      <c r="J1599" s="899"/>
    </row>
    <row r="1600" spans="1:10">
      <c r="A1600" s="896" t="s">
        <v>6944</v>
      </c>
      <c r="B1600" s="897" t="s">
        <v>1807</v>
      </c>
      <c r="C1600" s="897"/>
      <c r="D1600" s="897" t="s">
        <v>6945</v>
      </c>
      <c r="E1600" s="897"/>
      <c r="F1600" s="897"/>
      <c r="G1600" s="897"/>
      <c r="H1600" s="898" t="e">
        <v>#N/A</v>
      </c>
      <c r="I1600" s="899"/>
      <c r="J1600" s="899"/>
    </row>
    <row r="1601" spans="1:10">
      <c r="A1601" s="896" t="s">
        <v>6946</v>
      </c>
      <c r="B1601" s="897" t="s">
        <v>6947</v>
      </c>
      <c r="C1601" s="897" t="s">
        <v>6948</v>
      </c>
      <c r="D1601" s="897" t="s">
        <v>6949</v>
      </c>
      <c r="E1601" s="897"/>
      <c r="F1601" s="897"/>
      <c r="G1601" s="897"/>
      <c r="H1601" s="898" t="e">
        <v>#N/A</v>
      </c>
      <c r="I1601" s="899"/>
      <c r="J1601" s="899"/>
    </row>
    <row r="1602" spans="1:10">
      <c r="A1602" s="896" t="s">
        <v>6950</v>
      </c>
      <c r="B1602" s="897" t="s">
        <v>6951</v>
      </c>
      <c r="C1602" s="897" t="s">
        <v>6952</v>
      </c>
      <c r="D1602" s="897" t="s">
        <v>3004</v>
      </c>
      <c r="E1602" s="897"/>
      <c r="F1602" s="897"/>
      <c r="G1602" s="897"/>
      <c r="H1602" s="898" t="e">
        <v>#N/A</v>
      </c>
      <c r="I1602" s="899"/>
      <c r="J1602" s="899"/>
    </row>
    <row r="1603" spans="1:10">
      <c r="A1603" s="896" t="s">
        <v>6953</v>
      </c>
      <c r="B1603" s="897" t="s">
        <v>6954</v>
      </c>
      <c r="C1603" s="897" t="s">
        <v>4054</v>
      </c>
      <c r="D1603" s="897" t="s">
        <v>1966</v>
      </c>
      <c r="E1603" s="897"/>
      <c r="F1603" s="897"/>
      <c r="G1603" s="897"/>
      <c r="H1603" s="898" t="e">
        <v>#N/A</v>
      </c>
      <c r="I1603" s="899"/>
      <c r="J1603" s="899"/>
    </row>
    <row r="1604" spans="1:10">
      <c r="A1604" s="896" t="s">
        <v>6955</v>
      </c>
      <c r="B1604" s="897" t="s">
        <v>6956</v>
      </c>
      <c r="C1604" s="897" t="s">
        <v>6957</v>
      </c>
      <c r="D1604" s="897" t="s">
        <v>1912</v>
      </c>
      <c r="E1604" s="897"/>
      <c r="F1604" s="897"/>
      <c r="G1604" s="897"/>
      <c r="H1604" s="898" t="e">
        <v>#N/A</v>
      </c>
      <c r="I1604" s="899"/>
      <c r="J1604" s="899"/>
    </row>
    <row r="1605" spans="1:10">
      <c r="A1605" s="896" t="s">
        <v>6958</v>
      </c>
      <c r="B1605" s="897" t="s">
        <v>6959</v>
      </c>
      <c r="C1605" s="897" t="s">
        <v>5902</v>
      </c>
      <c r="D1605" s="897" t="s">
        <v>6791</v>
      </c>
      <c r="E1605" s="897"/>
      <c r="F1605" s="897"/>
      <c r="G1605" s="897"/>
      <c r="H1605" s="898" t="e">
        <v>#N/A</v>
      </c>
      <c r="I1605" s="899"/>
      <c r="J1605" s="899"/>
    </row>
    <row r="1606" spans="1:10">
      <c r="A1606" s="896" t="s">
        <v>6960</v>
      </c>
      <c r="B1606" s="897" t="s">
        <v>6961</v>
      </c>
      <c r="C1606" s="897" t="s">
        <v>4853</v>
      </c>
      <c r="D1606" s="897" t="s">
        <v>6962</v>
      </c>
      <c r="E1606" s="897"/>
      <c r="F1606" s="897"/>
      <c r="G1606" s="897"/>
      <c r="H1606" s="898" t="s">
        <v>1953</v>
      </c>
      <c r="I1606" s="899"/>
      <c r="J1606" s="899"/>
    </row>
    <row r="1607" spans="1:10">
      <c r="A1607" s="896" t="s">
        <v>6963</v>
      </c>
      <c r="B1607" s="897" t="s">
        <v>1449</v>
      </c>
      <c r="C1607" s="897"/>
      <c r="D1607" s="897" t="s">
        <v>6964</v>
      </c>
      <c r="E1607" s="897"/>
      <c r="F1607" s="897"/>
      <c r="G1607" s="897"/>
      <c r="H1607" s="898" t="s">
        <v>1914</v>
      </c>
      <c r="I1607" s="899"/>
      <c r="J1607" s="899"/>
    </row>
    <row r="1608" spans="1:10">
      <c r="A1608" s="896" t="s">
        <v>6965</v>
      </c>
      <c r="B1608" s="897" t="s">
        <v>6966</v>
      </c>
      <c r="C1608" s="897" t="s">
        <v>6967</v>
      </c>
      <c r="D1608" s="897"/>
      <c r="E1608" s="897"/>
      <c r="F1608" s="897"/>
      <c r="G1608" s="897"/>
      <c r="H1608" s="898">
        <v>0</v>
      </c>
      <c r="I1608" s="899"/>
      <c r="J1608" s="899"/>
    </row>
    <row r="1609" spans="1:10">
      <c r="A1609" s="896" t="s">
        <v>6968</v>
      </c>
      <c r="B1609" s="897" t="s">
        <v>6969</v>
      </c>
      <c r="C1609" s="897" t="s">
        <v>6970</v>
      </c>
      <c r="D1609" s="897" t="s">
        <v>1912</v>
      </c>
      <c r="E1609" s="897"/>
      <c r="F1609" s="897"/>
      <c r="G1609" s="897"/>
      <c r="H1609" s="898" t="s">
        <v>1953</v>
      </c>
      <c r="I1609" s="899"/>
      <c r="J1609" s="899"/>
    </row>
    <row r="1610" spans="1:10">
      <c r="A1610" s="896" t="s">
        <v>6971</v>
      </c>
      <c r="B1610" s="897" t="s">
        <v>1898</v>
      </c>
      <c r="C1610" s="897" t="s">
        <v>6972</v>
      </c>
      <c r="D1610" s="897" t="s">
        <v>6973</v>
      </c>
      <c r="E1610" s="897" t="s">
        <v>6974</v>
      </c>
      <c r="F1610" s="897" t="s">
        <v>6975</v>
      </c>
      <c r="G1610" s="897"/>
      <c r="H1610" s="898" t="s">
        <v>1953</v>
      </c>
      <c r="I1610" s="899"/>
      <c r="J1610" s="899"/>
    </row>
    <row r="1611" spans="1:10">
      <c r="A1611" s="896" t="s">
        <v>6976</v>
      </c>
      <c r="B1611" s="897" t="s">
        <v>7190</v>
      </c>
      <c r="C1611" s="897" t="s">
        <v>6977</v>
      </c>
      <c r="D1611" s="897" t="s">
        <v>2900</v>
      </c>
      <c r="E1611" s="897" t="s">
        <v>6978</v>
      </c>
      <c r="F1611" s="897"/>
      <c r="G1611" s="897"/>
      <c r="H1611" s="898" t="s">
        <v>1914</v>
      </c>
      <c r="I1611" s="899"/>
      <c r="J1611" s="899"/>
    </row>
    <row r="1612" spans="1:10">
      <c r="A1612" s="896" t="s">
        <v>6979</v>
      </c>
      <c r="B1612" s="897" t="s">
        <v>6980</v>
      </c>
      <c r="C1612" s="897" t="s">
        <v>6981</v>
      </c>
      <c r="D1612" s="897" t="s">
        <v>6982</v>
      </c>
      <c r="E1612" s="897" t="s">
        <v>6983</v>
      </c>
      <c r="F1612" s="897"/>
      <c r="G1612" s="897"/>
      <c r="H1612" s="898" t="s">
        <v>1914</v>
      </c>
      <c r="I1612" s="899"/>
      <c r="J1612" s="899"/>
    </row>
    <row r="1613" spans="1:10">
      <c r="A1613" s="896" t="s">
        <v>6984</v>
      </c>
      <c r="B1613" s="897" t="s">
        <v>6985</v>
      </c>
      <c r="C1613" s="897" t="s">
        <v>6986</v>
      </c>
      <c r="D1613" s="897" t="s">
        <v>6987</v>
      </c>
      <c r="E1613" s="897" t="s">
        <v>6988</v>
      </c>
      <c r="F1613" s="897"/>
      <c r="G1613" s="897"/>
      <c r="H1613" s="898" t="s">
        <v>1953</v>
      </c>
      <c r="I1613" s="899"/>
      <c r="J1613" s="899"/>
    </row>
    <row r="1614" spans="1:10">
      <c r="A1614" s="896" t="s">
        <v>6989</v>
      </c>
      <c r="B1614" s="897" t="s">
        <v>6990</v>
      </c>
      <c r="C1614" s="897" t="s">
        <v>6991</v>
      </c>
      <c r="D1614" s="897" t="s">
        <v>6992</v>
      </c>
      <c r="E1614" s="897" t="s">
        <v>6993</v>
      </c>
      <c r="F1614" s="897"/>
      <c r="G1614" s="897"/>
      <c r="H1614" s="898" t="s">
        <v>1953</v>
      </c>
      <c r="I1614" s="899"/>
      <c r="J1614" s="899"/>
    </row>
    <row r="1615" spans="1:10">
      <c r="A1615" s="896" t="s">
        <v>6994</v>
      </c>
      <c r="B1615" s="897" t="s">
        <v>1901</v>
      </c>
      <c r="C1615" s="897"/>
      <c r="D1615" s="897" t="s">
        <v>6995</v>
      </c>
      <c r="E1615" s="897" t="s">
        <v>6996</v>
      </c>
      <c r="F1615" s="897" t="s">
        <v>6997</v>
      </c>
      <c r="G1615" s="897" t="s">
        <v>6998</v>
      </c>
      <c r="H1615" s="898" t="s">
        <v>1953</v>
      </c>
      <c r="I1615" s="899"/>
      <c r="J1615" s="899"/>
    </row>
    <row r="1616" spans="1:10">
      <c r="A1616" s="896" t="s">
        <v>6999</v>
      </c>
      <c r="B1616" s="897" t="s">
        <v>7000</v>
      </c>
      <c r="C1616" s="897" t="s">
        <v>7001</v>
      </c>
      <c r="D1616" s="897" t="s">
        <v>7002</v>
      </c>
      <c r="E1616" s="897" t="s">
        <v>7003</v>
      </c>
      <c r="F1616" s="897" t="s">
        <v>497</v>
      </c>
      <c r="G1616" s="897"/>
      <c r="H1616" s="898" t="s">
        <v>1914</v>
      </c>
      <c r="I1616" s="899"/>
      <c r="J1616" s="899"/>
    </row>
    <row r="1617" spans="1:10">
      <c r="A1617" s="896" t="s">
        <v>7004</v>
      </c>
      <c r="B1617" s="897" t="s">
        <v>7005</v>
      </c>
      <c r="C1617" s="897" t="s">
        <v>7006</v>
      </c>
      <c r="D1617" s="897" t="s">
        <v>7007</v>
      </c>
      <c r="E1617" s="897" t="s">
        <v>7008</v>
      </c>
      <c r="F1617" s="897"/>
      <c r="G1617" s="897"/>
      <c r="H1617" s="898" t="s">
        <v>1953</v>
      </c>
      <c r="I1617" s="899"/>
      <c r="J1617" s="899"/>
    </row>
    <row r="1618" spans="1:10">
      <c r="A1618" s="896" t="s">
        <v>7009</v>
      </c>
      <c r="B1618" s="897" t="s">
        <v>1899</v>
      </c>
      <c r="C1618" s="897" t="s">
        <v>7010</v>
      </c>
      <c r="D1618" s="897" t="s">
        <v>7011</v>
      </c>
      <c r="E1618" s="897" t="s">
        <v>7012</v>
      </c>
      <c r="F1618" s="897" t="s">
        <v>7013</v>
      </c>
      <c r="G1618" s="897"/>
      <c r="H1618" s="898" t="s">
        <v>1953</v>
      </c>
      <c r="I1618" s="899"/>
      <c r="J1618" s="899"/>
    </row>
    <row r="1619" spans="1:10">
      <c r="A1619" s="896" t="s">
        <v>7014</v>
      </c>
      <c r="B1619" s="897" t="s">
        <v>1907</v>
      </c>
      <c r="C1619" s="897" t="s">
        <v>7015</v>
      </c>
      <c r="D1619" s="897" t="s">
        <v>7134</v>
      </c>
      <c r="E1619" s="897" t="s">
        <v>7016</v>
      </c>
      <c r="F1619" s="897"/>
      <c r="G1619" s="897"/>
      <c r="H1619" s="898" t="s">
        <v>1914</v>
      </c>
      <c r="I1619" s="899"/>
      <c r="J1619" s="899"/>
    </row>
    <row r="1620" spans="1:10">
      <c r="A1620" s="896" t="s">
        <v>7017</v>
      </c>
      <c r="B1620" s="897" t="s">
        <v>1908</v>
      </c>
      <c r="C1620" s="897" t="s">
        <v>2408</v>
      </c>
      <c r="D1620" s="897" t="s">
        <v>7018</v>
      </c>
      <c r="E1620" s="897" t="s">
        <v>7019</v>
      </c>
      <c r="F1620" s="897"/>
      <c r="G1620" s="897"/>
      <c r="H1620" s="898" t="s">
        <v>1953</v>
      </c>
      <c r="I1620" s="899"/>
      <c r="J1620" s="899"/>
    </row>
    <row r="1621" spans="1:10">
      <c r="A1621" s="896" t="s">
        <v>7020</v>
      </c>
      <c r="B1621" s="897" t="s">
        <v>7191</v>
      </c>
      <c r="C1621" s="897" t="s">
        <v>7136</v>
      </c>
      <c r="D1621" s="897" t="s">
        <v>7137</v>
      </c>
      <c r="E1621" s="897" t="s">
        <v>7138</v>
      </c>
      <c r="F1621" s="897"/>
      <c r="G1621" s="897"/>
      <c r="H1621" s="898" t="s">
        <v>1914</v>
      </c>
      <c r="I1621" s="899"/>
      <c r="J1621" s="899"/>
    </row>
    <row r="1622" spans="1:10">
      <c r="A1622" s="896" t="s">
        <v>7021</v>
      </c>
      <c r="B1622" s="897" t="s">
        <v>7192</v>
      </c>
      <c r="C1622" s="897" t="s">
        <v>7193</v>
      </c>
      <c r="D1622" s="897" t="s">
        <v>7194</v>
      </c>
      <c r="E1622" s="897" t="s">
        <v>7195</v>
      </c>
      <c r="F1622" s="897"/>
      <c r="G1622" s="897"/>
      <c r="H1622" s="898" t="s">
        <v>1953</v>
      </c>
      <c r="I1622" s="899"/>
      <c r="J1622" s="899"/>
    </row>
    <row r="1623" spans="1:10">
      <c r="A1623" s="896" t="s">
        <v>7022</v>
      </c>
      <c r="B1623" s="897" t="s">
        <v>7152</v>
      </c>
      <c r="C1623" s="897" t="s">
        <v>7196</v>
      </c>
      <c r="D1623" s="897" t="s">
        <v>7197</v>
      </c>
      <c r="E1623" s="897" t="s">
        <v>7198</v>
      </c>
      <c r="F1623" s="897"/>
      <c r="G1623" s="897"/>
      <c r="H1623" s="898" t="s">
        <v>1914</v>
      </c>
      <c r="I1623" s="899"/>
      <c r="J1623" s="899"/>
    </row>
    <row r="1624" spans="1:10">
      <c r="A1624" s="896" t="s">
        <v>7023</v>
      </c>
      <c r="B1624" s="897" t="s">
        <v>7199</v>
      </c>
      <c r="C1624" s="897" t="s">
        <v>7200</v>
      </c>
      <c r="D1624" s="897" t="s">
        <v>7201</v>
      </c>
      <c r="E1624" s="897" t="s">
        <v>7202</v>
      </c>
      <c r="F1624" s="897"/>
      <c r="G1624" s="897"/>
      <c r="H1624" s="898" t="s">
        <v>1914</v>
      </c>
      <c r="I1624" s="899"/>
      <c r="J1624" s="899"/>
    </row>
    <row r="1625" spans="1:10">
      <c r="A1625" s="896" t="s">
        <v>7024</v>
      </c>
      <c r="B1625" s="897" t="s">
        <v>7150</v>
      </c>
      <c r="C1625" s="897" t="s">
        <v>7203</v>
      </c>
      <c r="D1625" s="897" t="s">
        <v>7204</v>
      </c>
      <c r="E1625" s="897" t="s">
        <v>7205</v>
      </c>
      <c r="F1625" s="897"/>
      <c r="G1625" s="897"/>
      <c r="H1625" s="898" t="s">
        <v>1953</v>
      </c>
      <c r="I1625" s="899"/>
      <c r="J1625" s="899"/>
    </row>
    <row r="1626" spans="1:10">
      <c r="A1626" s="896" t="s">
        <v>7025</v>
      </c>
      <c r="B1626" s="897" t="s">
        <v>7151</v>
      </c>
      <c r="C1626" s="897" t="s">
        <v>7206</v>
      </c>
      <c r="D1626" s="897" t="s">
        <v>7207</v>
      </c>
      <c r="E1626" s="897" t="s">
        <v>7208</v>
      </c>
      <c r="F1626" s="897"/>
      <c r="G1626" s="897"/>
      <c r="H1626" s="898" t="s">
        <v>1953</v>
      </c>
      <c r="I1626" s="899"/>
      <c r="J1626" s="899"/>
    </row>
    <row r="1627" spans="1:10">
      <c r="A1627" s="896" t="s">
        <v>7026</v>
      </c>
      <c r="B1627" s="897" t="s">
        <v>7140</v>
      </c>
      <c r="C1627" s="897" t="s">
        <v>7209</v>
      </c>
      <c r="D1627" s="897" t="s">
        <v>7210</v>
      </c>
      <c r="E1627" s="897" t="s">
        <v>7211</v>
      </c>
      <c r="F1627" s="897"/>
      <c r="G1627" s="897"/>
      <c r="H1627" s="898" t="s">
        <v>1953</v>
      </c>
      <c r="I1627" s="899"/>
      <c r="J1627" s="899"/>
    </row>
    <row r="1628" spans="1:10">
      <c r="A1628" s="896" t="s">
        <v>7027</v>
      </c>
      <c r="B1628" s="897" t="s">
        <v>7212</v>
      </c>
      <c r="C1628" s="897" t="s">
        <v>7213</v>
      </c>
      <c r="D1628" s="897" t="s">
        <v>7214</v>
      </c>
      <c r="E1628" s="897" t="s">
        <v>7215</v>
      </c>
      <c r="F1628" s="897"/>
      <c r="G1628" s="897"/>
      <c r="H1628" s="898" t="s">
        <v>1953</v>
      </c>
      <c r="I1628" s="899"/>
      <c r="J1628" s="899"/>
    </row>
    <row r="1629" spans="1:10">
      <c r="A1629" s="896" t="s">
        <v>7028</v>
      </c>
      <c r="B1629" s="897" t="s">
        <v>7153</v>
      </c>
      <c r="C1629" s="897" t="s">
        <v>7216</v>
      </c>
      <c r="D1629" s="897" t="s">
        <v>7217</v>
      </c>
      <c r="E1629" s="897" t="s">
        <v>7218</v>
      </c>
      <c r="F1629" s="897"/>
      <c r="G1629" s="897"/>
      <c r="H1629" s="898" t="s">
        <v>1914</v>
      </c>
      <c r="I1629" s="899"/>
      <c r="J1629" s="899"/>
    </row>
    <row r="1630" spans="1:10">
      <c r="A1630" s="896" t="s">
        <v>7029</v>
      </c>
      <c r="B1630" s="897" t="s">
        <v>7145</v>
      </c>
      <c r="C1630" s="897" t="s">
        <v>2408</v>
      </c>
      <c r="D1630" s="897" t="s">
        <v>7219</v>
      </c>
      <c r="E1630" s="897" t="s">
        <v>7220</v>
      </c>
      <c r="F1630" s="897"/>
      <c r="G1630" s="897"/>
      <c r="H1630" s="898" t="s">
        <v>1953</v>
      </c>
      <c r="I1630" s="899"/>
      <c r="J1630" s="899"/>
    </row>
    <row r="1631" spans="1:10">
      <c r="A1631" s="896" t="s">
        <v>7030</v>
      </c>
      <c r="B1631" s="897" t="s">
        <v>7221</v>
      </c>
      <c r="C1631" s="897" t="s">
        <v>7222</v>
      </c>
      <c r="D1631" s="897" t="s">
        <v>7223</v>
      </c>
      <c r="E1631" s="897" t="s">
        <v>7224</v>
      </c>
      <c r="F1631" s="897"/>
      <c r="G1631" s="897"/>
      <c r="H1631" s="898" t="s">
        <v>1953</v>
      </c>
      <c r="I1631" s="899"/>
      <c r="J1631" s="899"/>
    </row>
    <row r="1632" spans="1:10">
      <c r="A1632" s="896" t="s">
        <v>7031</v>
      </c>
      <c r="B1632" s="897" t="s">
        <v>7154</v>
      </c>
      <c r="C1632" s="897" t="s">
        <v>7225</v>
      </c>
      <c r="D1632" s="897" t="s">
        <v>7226</v>
      </c>
      <c r="E1632" s="897" t="s">
        <v>7227</v>
      </c>
      <c r="F1632" s="897"/>
      <c r="G1632" s="897"/>
      <c r="H1632" s="898" t="s">
        <v>1953</v>
      </c>
      <c r="I1632" s="899"/>
      <c r="J1632" s="899"/>
    </row>
    <row r="1633" spans="1:10">
      <c r="A1633" s="896" t="s">
        <v>7032</v>
      </c>
      <c r="B1633" s="897" t="s">
        <v>7146</v>
      </c>
      <c r="C1633" s="897" t="s">
        <v>7228</v>
      </c>
      <c r="D1633" s="897" t="s">
        <v>7229</v>
      </c>
      <c r="E1633" s="897" t="s">
        <v>7230</v>
      </c>
      <c r="F1633" s="897"/>
      <c r="G1633" s="897"/>
      <c r="H1633" s="898" t="s">
        <v>1953</v>
      </c>
      <c r="I1633" s="899"/>
      <c r="J1633" s="899"/>
    </row>
    <row r="1634" spans="1:10">
      <c r="A1634" s="896" t="s">
        <v>7033</v>
      </c>
      <c r="B1634" s="897" t="s">
        <v>7231</v>
      </c>
      <c r="C1634" s="897" t="s">
        <v>7232</v>
      </c>
      <c r="D1634" s="897" t="s">
        <v>7233</v>
      </c>
      <c r="E1634" s="897" t="s">
        <v>7234</v>
      </c>
      <c r="F1634" s="897"/>
      <c r="G1634" s="897"/>
      <c r="H1634" s="898" t="s">
        <v>1953</v>
      </c>
      <c r="I1634" s="899"/>
      <c r="J1634" s="899"/>
    </row>
    <row r="1635" spans="1:10">
      <c r="A1635" s="896" t="s">
        <v>7034</v>
      </c>
      <c r="B1635" s="897" t="s">
        <v>7235</v>
      </c>
      <c r="C1635" s="897" t="s">
        <v>7236</v>
      </c>
      <c r="D1635" s="897" t="s">
        <v>7237</v>
      </c>
      <c r="E1635" s="897" t="s">
        <v>7238</v>
      </c>
      <c r="F1635" s="897"/>
      <c r="G1635" s="897"/>
      <c r="H1635" s="898" t="s">
        <v>1914</v>
      </c>
      <c r="I1635" s="899"/>
      <c r="J1635" s="899"/>
    </row>
    <row r="1636" spans="1:10">
      <c r="A1636" s="896" t="s">
        <v>7035</v>
      </c>
      <c r="B1636" s="897" t="s">
        <v>7147</v>
      </c>
      <c r="C1636" s="897" t="s">
        <v>7239</v>
      </c>
      <c r="D1636" s="897" t="s">
        <v>7233</v>
      </c>
      <c r="E1636" s="897" t="s">
        <v>7234</v>
      </c>
      <c r="F1636" s="897" t="s">
        <v>7240</v>
      </c>
      <c r="G1636" s="897"/>
      <c r="H1636" s="898" t="s">
        <v>1953</v>
      </c>
      <c r="I1636" s="899"/>
      <c r="J1636" s="899"/>
    </row>
    <row r="1637" spans="1:10">
      <c r="A1637" s="896" t="s">
        <v>7036</v>
      </c>
      <c r="B1637" s="897" t="s">
        <v>7144</v>
      </c>
      <c r="C1637" s="897" t="s">
        <v>7241</v>
      </c>
      <c r="D1637" s="897" t="s">
        <v>7242</v>
      </c>
      <c r="E1637" s="897" t="s">
        <v>7243</v>
      </c>
      <c r="F1637" s="897"/>
      <c r="G1637" s="897"/>
      <c r="H1637" s="898" t="s">
        <v>1953</v>
      </c>
      <c r="I1637" s="899"/>
      <c r="J1637" s="899"/>
    </row>
    <row r="1638" spans="1:10">
      <c r="A1638" s="896" t="s">
        <v>7037</v>
      </c>
      <c r="B1638" s="897" t="s">
        <v>330</v>
      </c>
      <c r="C1638" s="897" t="s">
        <v>7188</v>
      </c>
      <c r="D1638" s="897" t="s">
        <v>7244</v>
      </c>
      <c r="E1638" s="897" t="s">
        <v>7245</v>
      </c>
      <c r="F1638" s="897"/>
      <c r="G1638" s="897"/>
      <c r="H1638" s="898" t="s">
        <v>1953</v>
      </c>
      <c r="I1638" s="899"/>
      <c r="J1638" s="899"/>
    </row>
    <row r="1639" spans="1:10">
      <c r="A1639" s="896" t="s">
        <v>7038</v>
      </c>
      <c r="B1639" s="897" t="s">
        <v>7246</v>
      </c>
      <c r="C1639" s="897" t="s">
        <v>7247</v>
      </c>
      <c r="D1639" s="897" t="s">
        <v>7248</v>
      </c>
      <c r="E1639" s="897" t="s">
        <v>7227</v>
      </c>
      <c r="F1639" s="897"/>
      <c r="G1639" s="897"/>
      <c r="H1639" s="898" t="s">
        <v>1914</v>
      </c>
      <c r="I1639" s="899"/>
      <c r="J1639" s="899"/>
    </row>
    <row r="1640" spans="1:10">
      <c r="A1640" s="896" t="s">
        <v>7039</v>
      </c>
      <c r="B1640" s="897" t="s">
        <v>7249</v>
      </c>
      <c r="C1640" s="897" t="s">
        <v>7250</v>
      </c>
      <c r="D1640" s="897" t="s">
        <v>7251</v>
      </c>
      <c r="E1640" s="897" t="s">
        <v>7252</v>
      </c>
      <c r="F1640" s="897"/>
      <c r="G1640" s="897"/>
      <c r="H1640" s="898" t="s">
        <v>1953</v>
      </c>
      <c r="I1640" s="899"/>
      <c r="J1640" s="899"/>
    </row>
    <row r="1641" spans="1:10">
      <c r="A1641" s="896" t="s">
        <v>7040</v>
      </c>
      <c r="B1641" s="897" t="s">
        <v>7142</v>
      </c>
      <c r="C1641" s="897" t="s">
        <v>7253</v>
      </c>
      <c r="D1641" s="897" t="s">
        <v>7237</v>
      </c>
      <c r="E1641" s="897" t="s">
        <v>7238</v>
      </c>
      <c r="F1641" s="897" t="s">
        <v>7254</v>
      </c>
      <c r="G1641" s="897"/>
      <c r="H1641" s="898" t="s">
        <v>1914</v>
      </c>
      <c r="I1641" s="899"/>
      <c r="J1641" s="899"/>
    </row>
    <row r="1642" spans="1:10">
      <c r="A1642" s="896" t="s">
        <v>7041</v>
      </c>
      <c r="B1642" s="897" t="s">
        <v>7255</v>
      </c>
      <c r="C1642" s="897" t="s">
        <v>7256</v>
      </c>
      <c r="D1642" s="897" t="s">
        <v>7257</v>
      </c>
      <c r="E1642" s="897" t="s">
        <v>7258</v>
      </c>
      <c r="F1642" s="897"/>
      <c r="G1642" s="897"/>
      <c r="H1642" s="898" t="s">
        <v>1914</v>
      </c>
      <c r="I1642" s="899"/>
      <c r="J1642" s="899"/>
    </row>
    <row r="1643" spans="1:10">
      <c r="A1643" s="896" t="s">
        <v>7042</v>
      </c>
      <c r="B1643" s="897" t="s">
        <v>7259</v>
      </c>
      <c r="C1643" s="897" t="s">
        <v>7260</v>
      </c>
      <c r="D1643" s="897" t="s">
        <v>7261</v>
      </c>
      <c r="E1643" s="897" t="s">
        <v>7262</v>
      </c>
      <c r="F1643" s="897"/>
      <c r="G1643" s="897"/>
      <c r="H1643" s="898" t="s">
        <v>1953</v>
      </c>
      <c r="I1643" s="899"/>
      <c r="J1643" s="899"/>
    </row>
    <row r="1644" spans="1:10">
      <c r="A1644" s="896" t="s">
        <v>7043</v>
      </c>
      <c r="B1644" s="897" t="s">
        <v>7263</v>
      </c>
      <c r="C1644" s="897" t="s">
        <v>7264</v>
      </c>
      <c r="D1644" s="897" t="s">
        <v>7265</v>
      </c>
      <c r="E1644" s="897" t="s">
        <v>7266</v>
      </c>
      <c r="F1644" s="897"/>
      <c r="G1644" s="897"/>
      <c r="H1644" s="898" t="s">
        <v>1953</v>
      </c>
      <c r="I1644" s="899"/>
      <c r="J1644" s="899"/>
    </row>
    <row r="1645" spans="1:10">
      <c r="A1645" s="896" t="s">
        <v>7044</v>
      </c>
      <c r="B1645" s="897" t="s">
        <v>7267</v>
      </c>
      <c r="C1645" s="897" t="s">
        <v>7188</v>
      </c>
      <c r="D1645" s="897" t="s">
        <v>7268</v>
      </c>
      <c r="E1645" s="897" t="s">
        <v>7269</v>
      </c>
      <c r="F1645" s="897"/>
      <c r="G1645" s="897"/>
      <c r="H1645" s="898" t="s">
        <v>1953</v>
      </c>
      <c r="I1645" s="899"/>
      <c r="J1645" s="899"/>
    </row>
    <row r="1646" spans="1:10">
      <c r="A1646" s="896" t="s">
        <v>7045</v>
      </c>
      <c r="B1646" s="897" t="s">
        <v>7270</v>
      </c>
      <c r="C1646" s="897" t="s">
        <v>7271</v>
      </c>
      <c r="D1646" s="897" t="s">
        <v>7272</v>
      </c>
      <c r="E1646" s="897" t="s">
        <v>7273</v>
      </c>
      <c r="F1646" s="897"/>
      <c r="G1646" s="897" t="s">
        <v>7274</v>
      </c>
      <c r="H1646" s="898" t="s">
        <v>1953</v>
      </c>
      <c r="I1646" s="899"/>
      <c r="J1646" s="899"/>
    </row>
    <row r="1647" spans="1:10">
      <c r="A1647" s="896" t="s">
        <v>7046</v>
      </c>
      <c r="B1647" s="897" t="s">
        <v>7275</v>
      </c>
      <c r="C1647" s="897" t="s">
        <v>7276</v>
      </c>
      <c r="D1647" s="897" t="s">
        <v>7277</v>
      </c>
      <c r="E1647" s="897" t="s">
        <v>7278</v>
      </c>
      <c r="F1647" s="897"/>
      <c r="G1647" s="897"/>
      <c r="H1647" s="898" t="s">
        <v>1953</v>
      </c>
      <c r="I1647" s="899"/>
      <c r="J1647" s="899"/>
    </row>
    <row r="1648" spans="1:10">
      <c r="A1648" s="896" t="s">
        <v>7047</v>
      </c>
      <c r="B1648" s="897" t="s">
        <v>7279</v>
      </c>
      <c r="C1648" s="897" t="s">
        <v>7280</v>
      </c>
      <c r="D1648" s="897" t="s">
        <v>7281</v>
      </c>
      <c r="E1648" s="897" t="s">
        <v>7282</v>
      </c>
      <c r="F1648" s="897"/>
      <c r="G1648" s="897"/>
      <c r="H1648" s="898" t="s">
        <v>1914</v>
      </c>
      <c r="I1648" s="899"/>
      <c r="J1648" s="899"/>
    </row>
    <row r="1649" spans="1:10">
      <c r="A1649" s="896" t="s">
        <v>7048</v>
      </c>
      <c r="B1649" s="897" t="s">
        <v>7283</v>
      </c>
      <c r="C1649" s="897" t="s">
        <v>7284</v>
      </c>
      <c r="D1649" s="897" t="s">
        <v>7285</v>
      </c>
      <c r="E1649" s="897" t="s">
        <v>7286</v>
      </c>
      <c r="F1649" s="897"/>
      <c r="G1649" s="897"/>
      <c r="H1649" s="898" t="e">
        <v>#N/A</v>
      </c>
      <c r="I1649" s="899"/>
      <c r="J1649" s="899"/>
    </row>
    <row r="1650" spans="1:10">
      <c r="A1650" s="896" t="s">
        <v>7049</v>
      </c>
      <c r="B1650" s="897" t="s">
        <v>7287</v>
      </c>
      <c r="C1650" s="897" t="s">
        <v>7288</v>
      </c>
      <c r="D1650" s="897" t="s">
        <v>7289</v>
      </c>
      <c r="E1650" s="897" t="s">
        <v>7290</v>
      </c>
      <c r="F1650" s="897"/>
      <c r="G1650" s="897" t="s">
        <v>2072</v>
      </c>
      <c r="H1650" s="898" t="s">
        <v>1953</v>
      </c>
      <c r="I1650" s="899"/>
      <c r="J1650" s="899"/>
    </row>
    <row r="1651" spans="1:10">
      <c r="A1651" s="896" t="s">
        <v>7050</v>
      </c>
      <c r="B1651" s="897" t="s">
        <v>7291</v>
      </c>
      <c r="C1651" s="897" t="s">
        <v>7292</v>
      </c>
      <c r="D1651" s="897" t="s">
        <v>7293</v>
      </c>
      <c r="E1651" s="897" t="s">
        <v>7294</v>
      </c>
      <c r="F1651" s="897"/>
      <c r="G1651" s="897" t="s">
        <v>3275</v>
      </c>
      <c r="H1651" s="898" t="s">
        <v>1953</v>
      </c>
      <c r="I1651" s="899"/>
      <c r="J1651" s="899"/>
    </row>
    <row r="1652" spans="1:10">
      <c r="A1652" s="896" t="s">
        <v>7051</v>
      </c>
      <c r="B1652" s="897" t="s">
        <v>7295</v>
      </c>
      <c r="C1652" s="897" t="s">
        <v>7296</v>
      </c>
      <c r="D1652" s="897" t="s">
        <v>7297</v>
      </c>
      <c r="E1652" s="897" t="s">
        <v>7298</v>
      </c>
      <c r="F1652" s="897"/>
      <c r="G1652" s="897"/>
      <c r="H1652" s="898" t="s">
        <v>1914</v>
      </c>
      <c r="I1652" s="899"/>
      <c r="J1652" s="899"/>
    </row>
    <row r="1653" spans="1:10">
      <c r="A1653" s="896" t="s">
        <v>7052</v>
      </c>
      <c r="B1653" s="897" t="s">
        <v>7299</v>
      </c>
      <c r="C1653" s="897" t="s">
        <v>7300</v>
      </c>
      <c r="D1653" s="897" t="s">
        <v>7301</v>
      </c>
      <c r="E1653" s="897" t="s">
        <v>7302</v>
      </c>
      <c r="F1653" s="897"/>
      <c r="G1653" s="897"/>
      <c r="H1653" s="898" t="s">
        <v>1953</v>
      </c>
      <c r="I1653" s="899"/>
      <c r="J1653" s="899"/>
    </row>
    <row r="1654" spans="1:10">
      <c r="A1654" s="896" t="s">
        <v>7053</v>
      </c>
      <c r="B1654" s="897" t="s">
        <v>7180</v>
      </c>
      <c r="C1654" s="897" t="s">
        <v>7303</v>
      </c>
      <c r="D1654" s="897" t="s">
        <v>7304</v>
      </c>
      <c r="E1654" s="897" t="s">
        <v>7305</v>
      </c>
      <c r="F1654" s="897"/>
      <c r="G1654" s="897"/>
      <c r="H1654" s="898" t="s">
        <v>1953</v>
      </c>
      <c r="I1654" s="899"/>
      <c r="J1654" s="899"/>
    </row>
    <row r="1655" spans="1:10">
      <c r="A1655" s="896" t="s">
        <v>7054</v>
      </c>
      <c r="B1655" s="897" t="s">
        <v>7306</v>
      </c>
      <c r="C1655" s="897" t="s">
        <v>7307</v>
      </c>
      <c r="D1655" s="897" t="s">
        <v>7308</v>
      </c>
      <c r="E1655" s="897" t="s">
        <v>7309</v>
      </c>
      <c r="F1655" s="897"/>
      <c r="G1655" s="897"/>
      <c r="H1655" s="898" t="s">
        <v>1953</v>
      </c>
      <c r="I1655" s="899"/>
      <c r="J1655" s="899"/>
    </row>
    <row r="1656" spans="1:10">
      <c r="A1656" s="896" t="s">
        <v>7055</v>
      </c>
      <c r="B1656" s="897" t="s">
        <v>7310</v>
      </c>
      <c r="C1656" s="897" t="s">
        <v>7311</v>
      </c>
      <c r="D1656" s="897" t="s">
        <v>7312</v>
      </c>
      <c r="E1656" s="897" t="s">
        <v>7313</v>
      </c>
      <c r="F1656" s="897"/>
      <c r="G1656" s="897" t="s">
        <v>7314</v>
      </c>
      <c r="H1656" s="898" t="s">
        <v>1953</v>
      </c>
      <c r="I1656" s="899"/>
      <c r="J1656" s="899"/>
    </row>
    <row r="1657" spans="1:10">
      <c r="A1657" s="896" t="s">
        <v>7056</v>
      </c>
      <c r="B1657" s="897" t="s">
        <v>7315</v>
      </c>
      <c r="C1657" s="897" t="s">
        <v>7316</v>
      </c>
      <c r="D1657" s="897" t="s">
        <v>7317</v>
      </c>
      <c r="E1657" s="897" t="s">
        <v>7318</v>
      </c>
      <c r="F1657" s="897"/>
      <c r="G1657" s="897"/>
      <c r="H1657" s="898" t="s">
        <v>1914</v>
      </c>
      <c r="I1657" s="899"/>
      <c r="J1657" s="899"/>
    </row>
    <row r="1658" spans="1:10">
      <c r="A1658" s="896" t="s">
        <v>7057</v>
      </c>
      <c r="B1658" s="897" t="s">
        <v>7319</v>
      </c>
      <c r="C1658" s="897" t="s">
        <v>7307</v>
      </c>
      <c r="D1658" s="897" t="s">
        <v>7320</v>
      </c>
      <c r="E1658" s="897" t="s">
        <v>7321</v>
      </c>
      <c r="F1658" s="897"/>
      <c r="G1658" s="897"/>
      <c r="H1658" s="898" t="s">
        <v>1953</v>
      </c>
      <c r="I1658" s="899"/>
      <c r="J1658" s="899"/>
    </row>
    <row r="1659" spans="1:10">
      <c r="A1659" s="896" t="s">
        <v>7058</v>
      </c>
      <c r="B1659" s="897" t="s">
        <v>7170</v>
      </c>
      <c r="C1659" s="897" t="s">
        <v>7322</v>
      </c>
      <c r="D1659" s="897" t="s">
        <v>7323</v>
      </c>
      <c r="E1659" s="897" t="s">
        <v>7324</v>
      </c>
      <c r="F1659" s="897"/>
      <c r="G1659" s="897"/>
      <c r="H1659" s="898" t="s">
        <v>1953</v>
      </c>
      <c r="I1659" s="899"/>
      <c r="J1659" s="899"/>
    </row>
    <row r="1660" spans="1:10">
      <c r="A1660" s="896" t="s">
        <v>7059</v>
      </c>
      <c r="B1660" s="897" t="s">
        <v>7169</v>
      </c>
      <c r="C1660" s="897" t="s">
        <v>7322</v>
      </c>
      <c r="D1660" s="897" t="s">
        <v>7325</v>
      </c>
      <c r="E1660" s="897" t="s">
        <v>7326</v>
      </c>
      <c r="F1660" s="897"/>
      <c r="G1660" s="897"/>
      <c r="H1660" s="898" t="s">
        <v>1953</v>
      </c>
      <c r="I1660" s="899"/>
      <c r="J1660" s="899"/>
    </row>
    <row r="1661" spans="1:10">
      <c r="A1661" s="896" t="s">
        <v>7060</v>
      </c>
      <c r="B1661" s="897" t="s">
        <v>7327</v>
      </c>
      <c r="C1661" s="897" t="s">
        <v>7328</v>
      </c>
      <c r="D1661" s="897" t="s">
        <v>7329</v>
      </c>
      <c r="E1661" s="897" t="s">
        <v>7330</v>
      </c>
      <c r="F1661" s="897"/>
      <c r="G1661" s="897"/>
      <c r="H1661" s="898" t="s">
        <v>1953</v>
      </c>
      <c r="I1661" s="899"/>
      <c r="J1661" s="899"/>
    </row>
    <row r="1662" spans="1:10">
      <c r="A1662" s="896" t="s">
        <v>7061</v>
      </c>
      <c r="B1662" s="897" t="s">
        <v>7331</v>
      </c>
      <c r="C1662" s="897" t="s">
        <v>7332</v>
      </c>
      <c r="D1662" s="897" t="s">
        <v>7333</v>
      </c>
      <c r="E1662" s="897" t="s">
        <v>7334</v>
      </c>
      <c r="F1662" s="897"/>
      <c r="G1662" s="897" t="s">
        <v>7335</v>
      </c>
      <c r="H1662" s="898" t="s">
        <v>1953</v>
      </c>
      <c r="I1662" s="899"/>
      <c r="J1662" s="899"/>
    </row>
    <row r="1663" spans="1:10">
      <c r="A1663" s="896" t="s">
        <v>7062</v>
      </c>
      <c r="B1663" s="897" t="s">
        <v>7336</v>
      </c>
      <c r="C1663" s="897" t="s">
        <v>7337</v>
      </c>
      <c r="D1663" s="897" t="s">
        <v>7338</v>
      </c>
      <c r="E1663" s="897" t="s">
        <v>7339</v>
      </c>
      <c r="F1663" s="897"/>
      <c r="G1663" s="897"/>
      <c r="H1663" s="898" t="s">
        <v>1953</v>
      </c>
      <c r="I1663" s="899"/>
      <c r="J1663" s="899"/>
    </row>
    <row r="1664" spans="1:10">
      <c r="A1664" s="896" t="s">
        <v>7063</v>
      </c>
      <c r="B1664" s="897" t="s">
        <v>7340</v>
      </c>
      <c r="C1664" s="897" t="s">
        <v>7341</v>
      </c>
      <c r="D1664" s="897" t="s">
        <v>7342</v>
      </c>
      <c r="E1664" s="897" t="s">
        <v>7343</v>
      </c>
      <c r="F1664" s="897"/>
      <c r="G1664" s="897"/>
      <c r="H1664" s="898" t="s">
        <v>1953</v>
      </c>
      <c r="I1664" s="899"/>
      <c r="J1664" s="899"/>
    </row>
    <row r="1665" spans="1:10">
      <c r="A1665" s="896" t="s">
        <v>7064</v>
      </c>
      <c r="B1665" s="897" t="s">
        <v>7344</v>
      </c>
      <c r="C1665" s="897" t="s">
        <v>7345</v>
      </c>
      <c r="D1665" s="897" t="s">
        <v>7346</v>
      </c>
      <c r="E1665" s="897" t="s">
        <v>7347</v>
      </c>
      <c r="F1665" s="897"/>
      <c r="G1665" s="897"/>
      <c r="H1665" s="898" t="s">
        <v>1914</v>
      </c>
      <c r="I1665" s="899"/>
      <c r="J1665" s="899"/>
    </row>
    <row r="1666" spans="1:10">
      <c r="A1666" s="896" t="s">
        <v>7065</v>
      </c>
      <c r="B1666" s="897" t="s">
        <v>7348</v>
      </c>
      <c r="C1666" s="897" t="s">
        <v>7349</v>
      </c>
      <c r="D1666" s="897" t="s">
        <v>7350</v>
      </c>
      <c r="E1666" s="897" t="s">
        <v>7351</v>
      </c>
      <c r="F1666" s="897"/>
      <c r="G1666" s="897"/>
      <c r="H1666" s="898" t="s">
        <v>1953</v>
      </c>
      <c r="I1666" s="899"/>
      <c r="J1666" s="899"/>
    </row>
    <row r="1667" spans="1:10">
      <c r="A1667" s="896" t="s">
        <v>7066</v>
      </c>
      <c r="B1667" s="897" t="s">
        <v>7352</v>
      </c>
      <c r="C1667" s="897" t="s">
        <v>7353</v>
      </c>
      <c r="D1667" s="897" t="s">
        <v>7354</v>
      </c>
      <c r="E1667" s="897" t="s">
        <v>7355</v>
      </c>
      <c r="F1667" s="897"/>
      <c r="G1667" s="897"/>
      <c r="H1667" s="898" t="s">
        <v>1953</v>
      </c>
      <c r="I1667" s="899"/>
      <c r="J1667" s="899"/>
    </row>
    <row r="1668" spans="1:10">
      <c r="A1668" s="896" t="s">
        <v>7067</v>
      </c>
      <c r="B1668" s="897" t="s">
        <v>2767</v>
      </c>
      <c r="C1668" s="897" t="s">
        <v>7356</v>
      </c>
      <c r="D1668" s="897" t="s">
        <v>2769</v>
      </c>
      <c r="E1668" s="897" t="s">
        <v>7357</v>
      </c>
      <c r="F1668" s="897"/>
      <c r="G1668" s="897"/>
      <c r="H1668" s="898" t="s">
        <v>1914</v>
      </c>
      <c r="I1668" s="899"/>
      <c r="J1668" s="899"/>
    </row>
    <row r="1669" spans="1:10">
      <c r="A1669" s="896" t="s">
        <v>7068</v>
      </c>
      <c r="B1669" s="897" t="s">
        <v>7358</v>
      </c>
      <c r="C1669" s="897" t="s">
        <v>7188</v>
      </c>
      <c r="D1669" s="897" t="s">
        <v>7359</v>
      </c>
      <c r="E1669" s="897" t="s">
        <v>7360</v>
      </c>
      <c r="F1669" s="897"/>
      <c r="G1669" s="897" t="s">
        <v>7361</v>
      </c>
      <c r="H1669" s="898" t="s">
        <v>1953</v>
      </c>
      <c r="I1669" s="899"/>
      <c r="J1669" s="899"/>
    </row>
    <row r="1670" spans="1:10">
      <c r="A1670" s="896" t="s">
        <v>7069</v>
      </c>
      <c r="B1670" s="897" t="s">
        <v>7362</v>
      </c>
      <c r="C1670" s="897" t="s">
        <v>7363</v>
      </c>
      <c r="D1670" s="897" t="s">
        <v>7364</v>
      </c>
      <c r="E1670" s="897" t="s">
        <v>7365</v>
      </c>
      <c r="F1670" s="897"/>
      <c r="G1670" s="897"/>
      <c r="H1670" s="898" t="s">
        <v>1953</v>
      </c>
      <c r="I1670" s="899"/>
      <c r="J1670" s="899"/>
    </row>
    <row r="1671" spans="1:10">
      <c r="A1671" s="896" t="s">
        <v>7070</v>
      </c>
      <c r="B1671" s="897" t="s">
        <v>7366</v>
      </c>
      <c r="C1671" s="897" t="s">
        <v>7367</v>
      </c>
      <c r="D1671" s="897" t="s">
        <v>7368</v>
      </c>
      <c r="E1671" s="897" t="s">
        <v>7369</v>
      </c>
      <c r="F1671" s="897"/>
      <c r="G1671" s="897" t="s">
        <v>7370</v>
      </c>
      <c r="H1671" s="898" t="s">
        <v>1953</v>
      </c>
      <c r="I1671" s="899"/>
      <c r="J1671" s="899"/>
    </row>
    <row r="1672" spans="1:10">
      <c r="A1672" s="896" t="s">
        <v>7071</v>
      </c>
      <c r="B1672" s="897" t="s">
        <v>7371</v>
      </c>
      <c r="C1672" s="897" t="s">
        <v>7372</v>
      </c>
      <c r="D1672" s="897" t="s">
        <v>7373</v>
      </c>
      <c r="E1672" s="897" t="s">
        <v>7374</v>
      </c>
      <c r="F1672" s="897"/>
      <c r="G1672" s="897"/>
      <c r="H1672" s="898" t="s">
        <v>1953</v>
      </c>
      <c r="I1672" s="899"/>
      <c r="J1672" s="899"/>
    </row>
    <row r="1673" spans="1:10">
      <c r="A1673" s="896" t="s">
        <v>7072</v>
      </c>
      <c r="B1673" s="897" t="s">
        <v>7375</v>
      </c>
      <c r="C1673" s="897" t="s">
        <v>7376</v>
      </c>
      <c r="D1673" s="897" t="s">
        <v>7377</v>
      </c>
      <c r="E1673" s="897" t="s">
        <v>7378</v>
      </c>
      <c r="F1673" s="897"/>
      <c r="G1673" s="897" t="s">
        <v>7375</v>
      </c>
      <c r="H1673" s="898" t="s">
        <v>1953</v>
      </c>
      <c r="I1673" s="899"/>
      <c r="J1673" s="899"/>
    </row>
    <row r="1674" spans="1:10">
      <c r="A1674" s="896" t="s">
        <v>7073</v>
      </c>
      <c r="B1674" s="897" t="s">
        <v>7379</v>
      </c>
      <c r="C1674" s="897" t="s">
        <v>7380</v>
      </c>
      <c r="D1674" s="897" t="s">
        <v>7381</v>
      </c>
      <c r="E1674" s="897" t="s">
        <v>7382</v>
      </c>
      <c r="F1674" s="897"/>
      <c r="G1674" s="897"/>
      <c r="H1674" s="898" t="s">
        <v>1953</v>
      </c>
      <c r="I1674" s="899"/>
      <c r="J1674" s="899"/>
    </row>
    <row r="1675" spans="1:10">
      <c r="A1675" s="896" t="s">
        <v>7074</v>
      </c>
      <c r="B1675" s="897" t="s">
        <v>7383</v>
      </c>
      <c r="C1675" s="897" t="s">
        <v>7384</v>
      </c>
      <c r="D1675" s="897" t="s">
        <v>7385</v>
      </c>
      <c r="E1675" s="897" t="s">
        <v>7386</v>
      </c>
      <c r="F1675" s="897"/>
      <c r="G1675" s="897"/>
      <c r="H1675" s="898" t="s">
        <v>1914</v>
      </c>
      <c r="I1675" s="899"/>
      <c r="J1675" s="899"/>
    </row>
    <row r="1676" spans="1:10">
      <c r="A1676" s="896" t="s">
        <v>7075</v>
      </c>
      <c r="B1676" s="897" t="s">
        <v>7387</v>
      </c>
      <c r="C1676" s="897" t="s">
        <v>7388</v>
      </c>
      <c r="D1676" s="897" t="s">
        <v>7389</v>
      </c>
      <c r="E1676" s="897" t="s">
        <v>7390</v>
      </c>
      <c r="F1676" s="897"/>
      <c r="G1676" s="897"/>
      <c r="H1676" s="898" t="s">
        <v>1953</v>
      </c>
      <c r="I1676" s="899"/>
      <c r="J1676" s="899"/>
    </row>
    <row r="1677" spans="1:10">
      <c r="A1677" s="896" t="s">
        <v>7076</v>
      </c>
      <c r="B1677" s="897" t="s">
        <v>7391</v>
      </c>
      <c r="C1677" s="897" t="s">
        <v>7392</v>
      </c>
      <c r="D1677" s="897" t="s">
        <v>7393</v>
      </c>
      <c r="E1677" s="897" t="s">
        <v>7394</v>
      </c>
      <c r="F1677" s="897"/>
      <c r="G1677" s="897"/>
      <c r="H1677" s="898" t="s">
        <v>1953</v>
      </c>
      <c r="I1677" s="899"/>
      <c r="J1677" s="899"/>
    </row>
    <row r="1678" spans="1:10">
      <c r="A1678" s="896" t="s">
        <v>7077</v>
      </c>
      <c r="B1678" s="897" t="s">
        <v>7395</v>
      </c>
      <c r="C1678" s="897" t="s">
        <v>7396</v>
      </c>
      <c r="D1678" s="897" t="s">
        <v>7397</v>
      </c>
      <c r="E1678" s="897" t="s">
        <v>7398</v>
      </c>
      <c r="F1678" s="897"/>
      <c r="G1678" s="897"/>
      <c r="H1678" s="898" t="s">
        <v>1953</v>
      </c>
      <c r="I1678" s="899"/>
      <c r="J1678" s="899"/>
    </row>
    <row r="1679" spans="1:10">
      <c r="A1679" s="896" t="s">
        <v>7078</v>
      </c>
      <c r="B1679" s="897" t="s">
        <v>7399</v>
      </c>
      <c r="C1679" s="897" t="s">
        <v>7400</v>
      </c>
      <c r="D1679" s="897" t="s">
        <v>7401</v>
      </c>
      <c r="E1679" s="897" t="s">
        <v>7402</v>
      </c>
      <c r="F1679" s="897"/>
      <c r="G1679" s="897"/>
      <c r="H1679" s="898" t="s">
        <v>1953</v>
      </c>
      <c r="I1679" s="899"/>
      <c r="J1679" s="899"/>
    </row>
    <row r="1680" spans="1:10">
      <c r="A1680" s="896" t="s">
        <v>7079</v>
      </c>
      <c r="B1680" s="897" t="s">
        <v>7403</v>
      </c>
      <c r="C1680" s="897" t="s">
        <v>7404</v>
      </c>
      <c r="D1680" s="897" t="s">
        <v>7405</v>
      </c>
      <c r="E1680" s="897" t="s">
        <v>7406</v>
      </c>
      <c r="F1680" s="897"/>
      <c r="G1680" s="897"/>
      <c r="H1680" s="898" t="s">
        <v>1914</v>
      </c>
      <c r="I1680" s="899"/>
      <c r="J1680" s="899"/>
    </row>
    <row r="1681" spans="1:10">
      <c r="A1681" s="896" t="s">
        <v>7080</v>
      </c>
      <c r="B1681" s="897" t="s">
        <v>7407</v>
      </c>
      <c r="C1681" s="897" t="s">
        <v>7408</v>
      </c>
      <c r="D1681" s="897" t="s">
        <v>7409</v>
      </c>
      <c r="E1681" s="897" t="s">
        <v>7410</v>
      </c>
      <c r="F1681" s="897"/>
      <c r="G1681" s="897"/>
      <c r="H1681" s="898" t="s">
        <v>1953</v>
      </c>
      <c r="I1681" s="899"/>
      <c r="J1681" s="899"/>
    </row>
    <row r="1682" spans="1:10">
      <c r="A1682" s="896" t="s">
        <v>7081</v>
      </c>
      <c r="B1682" s="897" t="s">
        <v>7411</v>
      </c>
      <c r="C1682" s="897" t="s">
        <v>7412</v>
      </c>
      <c r="D1682" s="897" t="s">
        <v>7413</v>
      </c>
      <c r="E1682" s="897" t="s">
        <v>7414</v>
      </c>
      <c r="F1682" s="897"/>
      <c r="G1682" s="897"/>
      <c r="H1682" s="898" t="s">
        <v>1914</v>
      </c>
      <c r="I1682" s="899"/>
      <c r="J1682" s="899"/>
    </row>
    <row r="1683" spans="1:10">
      <c r="A1683" s="896" t="s">
        <v>7082</v>
      </c>
      <c r="B1683" s="897" t="s">
        <v>7415</v>
      </c>
      <c r="C1683" s="897" t="s">
        <v>7416</v>
      </c>
      <c r="D1683" s="897" t="s">
        <v>7417</v>
      </c>
      <c r="E1683" s="897" t="s">
        <v>7418</v>
      </c>
      <c r="F1683" s="897"/>
      <c r="G1683" s="897" t="s">
        <v>7419</v>
      </c>
      <c r="H1683" s="898" t="s">
        <v>1914</v>
      </c>
      <c r="I1683" s="899"/>
      <c r="J1683" s="899"/>
    </row>
    <row r="1684" spans="1:10">
      <c r="A1684" s="896" t="s">
        <v>7083</v>
      </c>
      <c r="B1684" s="897" t="s">
        <v>2767</v>
      </c>
      <c r="C1684" s="897" t="s">
        <v>7356</v>
      </c>
      <c r="D1684" s="897" t="s">
        <v>2769</v>
      </c>
      <c r="E1684" s="897" t="s">
        <v>7357</v>
      </c>
      <c r="F1684" s="897"/>
      <c r="G1684" s="897" t="s">
        <v>7420</v>
      </c>
      <c r="H1684" s="898" t="s">
        <v>1914</v>
      </c>
      <c r="I1684" s="899"/>
      <c r="J1684" s="899"/>
    </row>
    <row r="1685" spans="1:10">
      <c r="A1685" s="896" t="s">
        <v>7084</v>
      </c>
      <c r="B1685" s="897" t="s">
        <v>7221</v>
      </c>
      <c r="C1685" s="897" t="s">
        <v>7421</v>
      </c>
      <c r="D1685" s="897" t="s">
        <v>7422</v>
      </c>
      <c r="E1685" s="897" t="s">
        <v>7423</v>
      </c>
      <c r="F1685" s="897"/>
      <c r="G1685" s="897" t="s">
        <v>7424</v>
      </c>
      <c r="H1685" s="898" t="s">
        <v>1953</v>
      </c>
      <c r="I1685" s="899"/>
      <c r="J1685" s="899"/>
    </row>
    <row r="1686" spans="1:10">
      <c r="A1686" s="896" t="s">
        <v>7085</v>
      </c>
      <c r="B1686" s="897" t="s">
        <v>7425</v>
      </c>
      <c r="C1686" s="897" t="s">
        <v>7426</v>
      </c>
      <c r="D1686" s="897" t="s">
        <v>7427</v>
      </c>
      <c r="E1686" s="897" t="s">
        <v>7428</v>
      </c>
      <c r="F1686" s="897"/>
      <c r="G1686" s="897" t="s">
        <v>7429</v>
      </c>
      <c r="H1686" s="898" t="s">
        <v>1914</v>
      </c>
      <c r="I1686" s="899"/>
      <c r="J1686" s="899"/>
    </row>
    <row r="1687" spans="1:10">
      <c r="A1687" s="896" t="s">
        <v>7086</v>
      </c>
      <c r="B1687" s="897" t="s">
        <v>7430</v>
      </c>
      <c r="C1687" s="897" t="s">
        <v>7431</v>
      </c>
      <c r="D1687" s="897" t="s">
        <v>7432</v>
      </c>
      <c r="E1687" s="897" t="s">
        <v>7433</v>
      </c>
      <c r="F1687" s="897"/>
      <c r="G1687" s="897"/>
      <c r="H1687" s="898" t="s">
        <v>1914</v>
      </c>
      <c r="I1687" s="899"/>
      <c r="J1687" s="899"/>
    </row>
    <row r="1688" spans="1:10">
      <c r="A1688" s="896" t="s">
        <v>7087</v>
      </c>
      <c r="B1688" s="897" t="s">
        <v>7434</v>
      </c>
      <c r="C1688" s="897" t="s">
        <v>7435</v>
      </c>
      <c r="D1688" s="897" t="s">
        <v>7436</v>
      </c>
      <c r="E1688" s="897" t="s">
        <v>7437</v>
      </c>
      <c r="F1688" s="897"/>
      <c r="G1688" s="897"/>
      <c r="H1688" s="898" t="s">
        <v>1914</v>
      </c>
      <c r="I1688" s="899"/>
      <c r="J1688" s="899"/>
    </row>
    <row r="1689" spans="1:10">
      <c r="A1689" s="896" t="s">
        <v>7088</v>
      </c>
      <c r="B1689" s="897" t="s">
        <v>7438</v>
      </c>
      <c r="C1689" s="897"/>
      <c r="D1689" s="897" t="s">
        <v>7439</v>
      </c>
      <c r="E1689" s="897" t="s">
        <v>7440</v>
      </c>
      <c r="F1689" s="897"/>
      <c r="G1689" s="897" t="s">
        <v>7441</v>
      </c>
      <c r="H1689" s="898" t="s">
        <v>1953</v>
      </c>
      <c r="I1689" s="899"/>
      <c r="J1689" s="899"/>
    </row>
    <row r="1690" spans="1:10">
      <c r="A1690" s="896" t="s">
        <v>7089</v>
      </c>
      <c r="B1690" s="897" t="s">
        <v>7442</v>
      </c>
      <c r="C1690" s="897" t="s">
        <v>5855</v>
      </c>
      <c r="D1690" s="897" t="s">
        <v>7443</v>
      </c>
      <c r="E1690" s="897" t="s">
        <v>7444</v>
      </c>
      <c r="F1690" s="897"/>
      <c r="G1690" s="897"/>
      <c r="H1690" s="898" t="s">
        <v>1914</v>
      </c>
      <c r="I1690" s="899"/>
      <c r="J1690" s="899"/>
    </row>
    <row r="1691" spans="1:10">
      <c r="A1691" s="896" t="s">
        <v>7090</v>
      </c>
      <c r="B1691" s="897" t="s">
        <v>7181</v>
      </c>
      <c r="C1691" s="897" t="s">
        <v>7445</v>
      </c>
      <c r="D1691" s="897" t="s">
        <v>7446</v>
      </c>
      <c r="E1691" s="897" t="s">
        <v>7447</v>
      </c>
      <c r="F1691" s="897"/>
      <c r="G1691" s="897" t="s">
        <v>7448</v>
      </c>
      <c r="H1691" s="898" t="s">
        <v>1914</v>
      </c>
      <c r="I1691" s="899"/>
      <c r="J1691" s="899"/>
    </row>
    <row r="1692" spans="1:10">
      <c r="A1692" s="896" t="s">
        <v>7091</v>
      </c>
      <c r="B1692" s="897" t="s">
        <v>7449</v>
      </c>
      <c r="C1692" s="897" t="s">
        <v>7450</v>
      </c>
      <c r="D1692" s="897" t="s">
        <v>7451</v>
      </c>
      <c r="E1692" s="897" t="s">
        <v>7452</v>
      </c>
      <c r="F1692" s="897"/>
      <c r="G1692" s="897" t="s">
        <v>7453</v>
      </c>
      <c r="H1692" s="898" t="s">
        <v>1953</v>
      </c>
      <c r="I1692" s="899"/>
      <c r="J1692" s="899"/>
    </row>
    <row r="1693" spans="1:10">
      <c r="A1693" s="896" t="s">
        <v>7092</v>
      </c>
      <c r="B1693" s="897" t="s">
        <v>2811</v>
      </c>
      <c r="C1693" s="897" t="s">
        <v>7454</v>
      </c>
      <c r="D1693" s="897" t="s">
        <v>2813</v>
      </c>
      <c r="E1693" s="897" t="s">
        <v>7455</v>
      </c>
      <c r="F1693" s="897"/>
      <c r="G1693" s="897" t="s">
        <v>7456</v>
      </c>
      <c r="H1693" s="898" t="s">
        <v>1953</v>
      </c>
      <c r="I1693" s="899"/>
      <c r="J1693" s="899"/>
    </row>
    <row r="1694" spans="1:10">
      <c r="A1694" s="896" t="s">
        <v>7093</v>
      </c>
      <c r="B1694" s="897" t="s">
        <v>7185</v>
      </c>
      <c r="C1694" s="897" t="s">
        <v>7431</v>
      </c>
      <c r="D1694" s="897" t="s">
        <v>7432</v>
      </c>
      <c r="E1694" s="897" t="s">
        <v>7433</v>
      </c>
      <c r="F1694" s="897" t="s">
        <v>7430</v>
      </c>
      <c r="G1694" s="897"/>
      <c r="H1694" s="898" t="s">
        <v>1953</v>
      </c>
      <c r="I1694" s="899"/>
      <c r="J1694" s="899"/>
    </row>
    <row r="1695" spans="1:10">
      <c r="A1695" s="896" t="s">
        <v>7094</v>
      </c>
      <c r="B1695" s="897"/>
      <c r="C1695" s="897"/>
      <c r="D1695" s="897"/>
      <c r="E1695" s="897"/>
      <c r="F1695" s="897"/>
      <c r="G1695" s="897"/>
      <c r="H1695" s="898" t="e">
        <v>#N/A</v>
      </c>
      <c r="I1695" s="899"/>
      <c r="J1695" s="899"/>
    </row>
    <row r="1696" spans="1:10">
      <c r="A1696" s="896" t="s">
        <v>7095</v>
      </c>
      <c r="B1696" s="897"/>
      <c r="C1696" s="897"/>
      <c r="D1696" s="897"/>
      <c r="E1696" s="897"/>
      <c r="F1696" s="897"/>
      <c r="G1696" s="897"/>
      <c r="H1696" s="898" t="e">
        <v>#N/A</v>
      </c>
      <c r="I1696" s="899"/>
      <c r="J1696" s="899"/>
    </row>
    <row r="1697" spans="1:10">
      <c r="A1697" s="896" t="s">
        <v>7096</v>
      </c>
      <c r="B1697" s="897"/>
      <c r="C1697" s="897"/>
      <c r="D1697" s="897"/>
      <c r="E1697" s="897"/>
      <c r="F1697" s="897"/>
      <c r="G1697" s="897"/>
      <c r="H1697" s="898" t="e">
        <v>#N/A</v>
      </c>
      <c r="I1697" s="899"/>
      <c r="J1697" s="899"/>
    </row>
    <row r="1698" spans="1:10">
      <c r="A1698" s="896" t="s">
        <v>7097</v>
      </c>
      <c r="B1698" s="897"/>
      <c r="C1698" s="897"/>
      <c r="D1698" s="897"/>
      <c r="E1698" s="897"/>
      <c r="F1698" s="897"/>
      <c r="G1698" s="897"/>
      <c r="H1698" s="898" t="e">
        <v>#N/A</v>
      </c>
      <c r="I1698" s="899"/>
      <c r="J1698" s="899"/>
    </row>
    <row r="1699" spans="1:10">
      <c r="A1699" s="896" t="s">
        <v>7098</v>
      </c>
      <c r="B1699" s="897"/>
      <c r="C1699" s="897"/>
      <c r="D1699" s="897"/>
      <c r="E1699" s="897"/>
      <c r="F1699" s="897"/>
      <c r="G1699" s="897"/>
      <c r="H1699" s="898" t="e">
        <v>#N/A</v>
      </c>
      <c r="I1699" s="899"/>
      <c r="J1699" s="899"/>
    </row>
    <row r="1700" spans="1:10">
      <c r="A1700" s="896" t="s">
        <v>7099</v>
      </c>
      <c r="B1700" s="897"/>
      <c r="C1700" s="897"/>
      <c r="D1700" s="897"/>
      <c r="E1700" s="897"/>
      <c r="F1700" s="897"/>
      <c r="G1700" s="897"/>
      <c r="H1700" s="898" t="e">
        <v>#N/A</v>
      </c>
      <c r="I1700" s="899"/>
      <c r="J1700" s="899"/>
    </row>
    <row r="1701" spans="1:10">
      <c r="A1701" s="896" t="s">
        <v>7100</v>
      </c>
      <c r="B1701" s="897"/>
      <c r="C1701" s="897"/>
      <c r="D1701" s="897"/>
      <c r="E1701" s="897"/>
      <c r="F1701" s="897"/>
      <c r="G1701" s="897"/>
      <c r="H1701" s="898" t="e">
        <v>#N/A</v>
      </c>
      <c r="I1701" s="899"/>
      <c r="J1701" s="899"/>
    </row>
    <row r="1702" spans="1:10">
      <c r="A1702" s="896" t="s">
        <v>7101</v>
      </c>
      <c r="B1702" s="897"/>
      <c r="C1702" s="897"/>
      <c r="D1702" s="897"/>
      <c r="E1702" s="897"/>
      <c r="F1702" s="897"/>
      <c r="G1702" s="897"/>
      <c r="H1702" s="898" t="e">
        <v>#N/A</v>
      </c>
      <c r="I1702" s="899"/>
      <c r="J1702" s="899"/>
    </row>
    <row r="1703" spans="1:10">
      <c r="A1703" s="896" t="s">
        <v>7102</v>
      </c>
      <c r="B1703" s="897"/>
      <c r="C1703" s="897"/>
      <c r="D1703" s="897"/>
      <c r="E1703" s="897"/>
      <c r="F1703" s="897"/>
      <c r="G1703" s="897"/>
      <c r="H1703" s="898" t="e">
        <v>#N/A</v>
      </c>
      <c r="I1703" s="899"/>
      <c r="J1703" s="899"/>
    </row>
    <row r="1704" spans="1:10">
      <c r="A1704" s="896" t="s">
        <v>7103</v>
      </c>
      <c r="B1704" s="897"/>
      <c r="C1704" s="897"/>
      <c r="D1704" s="897"/>
      <c r="E1704" s="897"/>
      <c r="F1704" s="897"/>
      <c r="G1704" s="897"/>
      <c r="H1704" s="898" t="e">
        <v>#N/A</v>
      </c>
      <c r="I1704" s="899"/>
      <c r="J1704" s="899"/>
    </row>
    <row r="1705" spans="1:10">
      <c r="A1705" s="896" t="s">
        <v>7104</v>
      </c>
      <c r="B1705" s="897"/>
      <c r="C1705" s="897"/>
      <c r="D1705" s="897"/>
      <c r="E1705" s="897"/>
      <c r="F1705" s="897"/>
      <c r="G1705" s="897"/>
      <c r="H1705" s="898" t="e">
        <v>#N/A</v>
      </c>
      <c r="I1705" s="899"/>
      <c r="J1705" s="899"/>
    </row>
    <row r="1706" spans="1:10">
      <c r="A1706" s="896" t="s">
        <v>7105</v>
      </c>
      <c r="B1706" s="897"/>
      <c r="C1706" s="897"/>
      <c r="D1706" s="897"/>
      <c r="E1706" s="897"/>
      <c r="F1706" s="897"/>
      <c r="G1706" s="897"/>
      <c r="H1706" s="898" t="e">
        <v>#N/A</v>
      </c>
      <c r="I1706" s="899"/>
      <c r="J1706" s="899"/>
    </row>
    <row r="1707" spans="1:10">
      <c r="A1707" s="896" t="s">
        <v>7106</v>
      </c>
      <c r="B1707" s="897"/>
      <c r="C1707" s="897"/>
      <c r="D1707" s="897"/>
      <c r="E1707" s="897"/>
      <c r="F1707" s="897"/>
      <c r="G1707" s="897"/>
      <c r="H1707" s="898" t="e">
        <v>#N/A</v>
      </c>
      <c r="I1707" s="899"/>
      <c r="J1707" s="899"/>
    </row>
    <row r="1708" spans="1:10">
      <c r="A1708" s="896" t="s">
        <v>7107</v>
      </c>
      <c r="B1708" s="897"/>
      <c r="C1708" s="897"/>
      <c r="D1708" s="897"/>
      <c r="E1708" s="897"/>
      <c r="F1708" s="897"/>
      <c r="G1708" s="897"/>
      <c r="H1708" s="898" t="e">
        <v>#N/A</v>
      </c>
      <c r="I1708" s="899"/>
      <c r="J1708" s="899"/>
    </row>
    <row r="1709" spans="1:10">
      <c r="A1709" s="896" t="s">
        <v>7108</v>
      </c>
      <c r="B1709" s="897"/>
      <c r="C1709" s="897"/>
      <c r="D1709" s="897"/>
      <c r="E1709" s="897"/>
      <c r="F1709" s="897"/>
      <c r="G1709" s="897"/>
      <c r="H1709" s="898" t="e">
        <v>#N/A</v>
      </c>
      <c r="I1709" s="899"/>
      <c r="J1709" s="899"/>
    </row>
    <row r="1710" spans="1:10">
      <c r="A1710" s="896" t="s">
        <v>7109</v>
      </c>
      <c r="B1710" s="897"/>
      <c r="C1710" s="897"/>
      <c r="D1710" s="897"/>
      <c r="E1710" s="897"/>
      <c r="F1710" s="897"/>
      <c r="G1710" s="897"/>
      <c r="H1710" s="898" t="e">
        <v>#N/A</v>
      </c>
      <c r="I1710" s="899"/>
      <c r="J1710" s="899"/>
    </row>
    <row r="1711" spans="1:10">
      <c r="A1711" s="896" t="s">
        <v>7110</v>
      </c>
      <c r="B1711" s="897"/>
      <c r="C1711" s="897"/>
      <c r="D1711" s="897"/>
      <c r="E1711" s="897"/>
      <c r="F1711" s="897"/>
      <c r="G1711" s="897"/>
      <c r="H1711" s="898" t="e">
        <v>#N/A</v>
      </c>
      <c r="I1711" s="899"/>
      <c r="J1711" s="899"/>
    </row>
    <row r="1712" spans="1:10">
      <c r="A1712" s="896" t="s">
        <v>7111</v>
      </c>
      <c r="B1712" s="897"/>
      <c r="C1712" s="897"/>
      <c r="D1712" s="897"/>
      <c r="E1712" s="897"/>
      <c r="F1712" s="897"/>
      <c r="G1712" s="897"/>
      <c r="H1712" s="898" t="e">
        <v>#N/A</v>
      </c>
      <c r="I1712" s="899"/>
      <c r="J1712" s="899"/>
    </row>
    <row r="1713" spans="1:10">
      <c r="A1713" s="896" t="s">
        <v>7112</v>
      </c>
      <c r="B1713" s="897"/>
      <c r="C1713" s="897"/>
      <c r="D1713" s="897"/>
      <c r="E1713" s="897"/>
      <c r="F1713" s="897"/>
      <c r="G1713" s="897"/>
      <c r="H1713" s="898" t="e">
        <v>#N/A</v>
      </c>
      <c r="I1713" s="899"/>
      <c r="J1713" s="899"/>
    </row>
    <row r="1714" spans="1:10">
      <c r="A1714" s="896" t="s">
        <v>7113</v>
      </c>
      <c r="B1714" s="897"/>
      <c r="C1714" s="897"/>
      <c r="D1714" s="897"/>
      <c r="E1714" s="897"/>
      <c r="F1714" s="897"/>
      <c r="G1714" s="897"/>
      <c r="H1714" s="898" t="e">
        <v>#N/A</v>
      </c>
      <c r="I1714" s="899"/>
      <c r="J1714" s="899"/>
    </row>
    <row r="1715" spans="1:10">
      <c r="A1715" s="896" t="s">
        <v>7114</v>
      </c>
      <c r="B1715" s="897"/>
      <c r="C1715" s="897"/>
      <c r="D1715" s="897"/>
      <c r="E1715" s="897"/>
      <c r="F1715" s="897"/>
      <c r="G1715" s="897"/>
      <c r="H1715" s="898" t="e">
        <v>#N/A</v>
      </c>
      <c r="I1715" s="899"/>
      <c r="J1715" s="899"/>
    </row>
    <row r="1716" spans="1:10">
      <c r="A1716" s="896" t="s">
        <v>7115</v>
      </c>
      <c r="B1716" s="897"/>
      <c r="C1716" s="897"/>
      <c r="D1716" s="897"/>
      <c r="E1716" s="897"/>
      <c r="F1716" s="897"/>
      <c r="G1716" s="897"/>
      <c r="H1716" s="898" t="e">
        <v>#N/A</v>
      </c>
      <c r="I1716" s="899"/>
      <c r="J1716" s="899"/>
    </row>
    <row r="1717" spans="1:10">
      <c r="A1717" s="896" t="s">
        <v>7116</v>
      </c>
      <c r="B1717" s="897"/>
      <c r="C1717" s="897"/>
      <c r="D1717" s="897"/>
      <c r="E1717" s="897"/>
      <c r="F1717" s="897"/>
      <c r="G1717" s="897"/>
      <c r="H1717" s="898" t="e">
        <v>#N/A</v>
      </c>
      <c r="I1717" s="899"/>
      <c r="J1717" s="899"/>
    </row>
    <row r="1718" spans="1:10">
      <c r="A1718" s="896" t="s">
        <v>7117</v>
      </c>
      <c r="B1718" s="897"/>
      <c r="C1718" s="897"/>
      <c r="D1718" s="897"/>
      <c r="E1718" s="897"/>
      <c r="F1718" s="897"/>
      <c r="G1718" s="897"/>
      <c r="H1718" s="898" t="e">
        <v>#N/A</v>
      </c>
      <c r="I1718" s="899"/>
      <c r="J1718" s="899"/>
    </row>
    <row r="1719" spans="1:10">
      <c r="A1719" s="896" t="s">
        <v>7118</v>
      </c>
      <c r="B1719" s="897"/>
      <c r="C1719" s="897"/>
      <c r="D1719" s="897"/>
      <c r="E1719" s="897"/>
      <c r="F1719" s="897"/>
      <c r="G1719" s="897"/>
      <c r="H1719" s="898" t="e">
        <v>#N/A</v>
      </c>
      <c r="I1719" s="899"/>
      <c r="J1719" s="899"/>
    </row>
    <row r="1720" spans="1:10">
      <c r="A1720" s="896" t="s">
        <v>7119</v>
      </c>
      <c r="B1720" s="897"/>
      <c r="C1720" s="897"/>
      <c r="D1720" s="897"/>
      <c r="E1720" s="897"/>
      <c r="F1720" s="897"/>
      <c r="G1720" s="897"/>
      <c r="H1720" s="898" t="e">
        <v>#N/A</v>
      </c>
      <c r="I1720" s="899"/>
      <c r="J1720" s="899"/>
    </row>
    <row r="1721" spans="1:10">
      <c r="A1721" s="896" t="s">
        <v>7120</v>
      </c>
      <c r="B1721" s="897"/>
      <c r="C1721" s="897"/>
      <c r="D1721" s="897"/>
      <c r="E1721" s="897"/>
      <c r="F1721" s="897"/>
      <c r="G1721" s="897"/>
      <c r="H1721" s="898" t="e">
        <v>#N/A</v>
      </c>
      <c r="I1721" s="899"/>
      <c r="J1721" s="899"/>
    </row>
    <row r="1722" spans="1:10">
      <c r="A1722" s="896" t="s">
        <v>7121</v>
      </c>
      <c r="B1722" s="897"/>
      <c r="C1722" s="897"/>
      <c r="D1722" s="897"/>
      <c r="E1722" s="897"/>
      <c r="F1722" s="897"/>
      <c r="G1722" s="897"/>
      <c r="H1722" s="898" t="e">
        <v>#N/A</v>
      </c>
      <c r="I1722" s="899"/>
      <c r="J1722" s="899"/>
    </row>
    <row r="1723" spans="1:10">
      <c r="A1723" s="896" t="s">
        <v>7122</v>
      </c>
      <c r="B1723" s="897"/>
      <c r="C1723" s="897"/>
      <c r="D1723" s="897"/>
      <c r="E1723" s="897"/>
      <c r="F1723" s="897"/>
      <c r="G1723" s="897"/>
      <c r="H1723" s="898" t="e">
        <v>#N/A</v>
      </c>
      <c r="I1723" s="899"/>
      <c r="J1723" s="899"/>
    </row>
    <row r="1724" spans="1:10">
      <c r="A1724" s="896" t="s">
        <v>7123</v>
      </c>
      <c r="B1724" s="897"/>
      <c r="C1724" s="897"/>
      <c r="D1724" s="897"/>
      <c r="E1724" s="897"/>
      <c r="F1724" s="897"/>
      <c r="G1724" s="897"/>
      <c r="H1724" s="898" t="e">
        <v>#N/A</v>
      </c>
      <c r="I1724" s="899"/>
      <c r="J1724" s="899"/>
    </row>
    <row r="1725" spans="1:10">
      <c r="A1725" s="896" t="s">
        <v>7124</v>
      </c>
      <c r="B1725" s="897"/>
      <c r="C1725" s="897"/>
      <c r="D1725" s="897"/>
      <c r="E1725" s="897"/>
      <c r="F1725" s="897"/>
      <c r="G1725" s="897"/>
      <c r="H1725" s="898" t="e">
        <v>#N/A</v>
      </c>
      <c r="I1725" s="899"/>
      <c r="J1725" s="899"/>
    </row>
    <row r="1726" spans="1:10">
      <c r="A1726" s="896" t="s">
        <v>7125</v>
      </c>
      <c r="B1726" s="897"/>
      <c r="C1726" s="897"/>
      <c r="D1726" s="897"/>
      <c r="E1726" s="897"/>
      <c r="F1726" s="897"/>
      <c r="G1726" s="897"/>
      <c r="H1726" s="898" t="e">
        <v>#N/A</v>
      </c>
      <c r="I1726" s="899"/>
      <c r="J1726" s="899"/>
    </row>
    <row r="1727" spans="1:10">
      <c r="A1727" s="896" t="s">
        <v>7126</v>
      </c>
      <c r="B1727" s="897"/>
      <c r="C1727" s="897"/>
      <c r="D1727" s="897"/>
      <c r="E1727" s="897"/>
      <c r="F1727" s="897"/>
      <c r="G1727" s="897"/>
      <c r="H1727" s="898" t="e">
        <v>#N/A</v>
      </c>
      <c r="I1727" s="899"/>
      <c r="J1727" s="899"/>
    </row>
    <row r="1728" spans="1:10">
      <c r="A1728" s="896" t="s">
        <v>7127</v>
      </c>
      <c r="B1728" s="897"/>
      <c r="C1728" s="897"/>
      <c r="D1728" s="897"/>
      <c r="E1728" s="897"/>
      <c r="F1728" s="897"/>
      <c r="G1728" s="897"/>
      <c r="H1728" s="898" t="e">
        <v>#N/A</v>
      </c>
      <c r="I1728" s="899"/>
      <c r="J1728" s="899"/>
    </row>
    <row r="1729" spans="1:10">
      <c r="A1729" s="896" t="s">
        <v>7128</v>
      </c>
      <c r="B1729" s="897"/>
      <c r="C1729" s="897"/>
      <c r="D1729" s="897"/>
      <c r="E1729" s="897"/>
      <c r="F1729" s="897"/>
      <c r="G1729" s="897"/>
      <c r="H1729" s="898" t="e">
        <v>#N/A</v>
      </c>
      <c r="I1729" s="899"/>
      <c r="J1729" s="899"/>
    </row>
    <row r="1730" spans="1:10">
      <c r="A1730" s="896" t="s">
        <v>7129</v>
      </c>
      <c r="B1730" s="897"/>
      <c r="C1730" s="897"/>
      <c r="D1730" s="897"/>
      <c r="E1730" s="897"/>
      <c r="F1730" s="897"/>
      <c r="G1730" s="897"/>
      <c r="H1730" s="898" t="e">
        <v>#N/A</v>
      </c>
      <c r="I1730" s="899"/>
      <c r="J1730" s="899"/>
    </row>
    <row r="1731" spans="1:10">
      <c r="A1731" s="896" t="s">
        <v>7130</v>
      </c>
      <c r="B1731" s="897"/>
      <c r="C1731" s="897"/>
      <c r="D1731" s="897"/>
      <c r="E1731" s="897"/>
      <c r="F1731" s="897"/>
      <c r="G1731" s="897"/>
      <c r="H1731" s="898" t="e">
        <v>#N/A</v>
      </c>
      <c r="I1731" s="899"/>
      <c r="J1731" s="899"/>
    </row>
    <row r="1732" spans="1:10">
      <c r="A1732" s="896" t="s">
        <v>7131</v>
      </c>
      <c r="B1732" s="897"/>
      <c r="C1732" s="897"/>
      <c r="D1732" s="897"/>
      <c r="E1732" s="897"/>
      <c r="F1732" s="897"/>
      <c r="G1732" s="897"/>
      <c r="H1732" s="898" t="e">
        <v>#N/A</v>
      </c>
      <c r="I1732" s="899"/>
      <c r="J1732" s="899"/>
    </row>
    <row r="1733" spans="1:10">
      <c r="A1733" s="896" t="s">
        <v>7132</v>
      </c>
      <c r="B1733" s="897"/>
      <c r="C1733" s="897"/>
      <c r="D1733" s="897"/>
      <c r="E1733" s="897"/>
      <c r="F1733" s="897"/>
      <c r="G1733" s="897"/>
      <c r="H1733" s="898" t="e">
        <v>#N/A</v>
      </c>
      <c r="I1733" s="899"/>
      <c r="J1733" s="899"/>
    </row>
    <row r="1734" spans="1:10">
      <c r="A1734" s="896" t="s">
        <v>7133</v>
      </c>
      <c r="B1734" s="897"/>
      <c r="C1734" s="897"/>
      <c r="D1734" s="897"/>
      <c r="E1734" s="897"/>
      <c r="F1734" s="897"/>
      <c r="G1734" s="897"/>
      <c r="H1734" s="898" t="e">
        <v>#N/A</v>
      </c>
      <c r="I1734" s="899"/>
      <c r="J1734" s="899"/>
    </row>
  </sheetData>
  <conditionalFormatting sqref="B2:B1906">
    <cfRule type="duplicateValues" dxfId="86" priority="6"/>
  </conditionalFormatting>
  <conditionalFormatting sqref="B1539">
    <cfRule type="duplicateValues" dxfId="85" priority="3"/>
  </conditionalFormatting>
  <conditionalFormatting sqref="B2:H1618 A2:H2 A3:A1734 B1619:C1619 E1619:H1619 B1620:H1734 A1735:H1906">
    <cfRule type="expression" priority="4" stopIfTrue="1">
      <formula>A2=""</formula>
    </cfRule>
  </conditionalFormatting>
  <conditionalFormatting sqref="C2:C1906">
    <cfRule type="duplicateValues" dxfId="84" priority="7"/>
  </conditionalFormatting>
  <conditionalFormatting sqref="D1619">
    <cfRule type="expression" priority="1" stopIfTrue="1">
      <formula>D1619=""</formula>
    </cfRule>
  </conditionalFormatting>
  <conditionalFormatting sqref="G1550:G1552 F2:F1906">
    <cfRule type="duplicateValues" dxfId="83" priority="5"/>
  </conditionalFormatting>
  <conditionalFormatting sqref="G1587">
    <cfRule type="duplicateValues" dxfId="82" priority="2"/>
  </conditionalFormatting>
  <hyperlinks>
    <hyperlink ref="D14" r:id="rId1" xr:uid="{04FC6A85-1F4F-47EA-AF87-645C06FE1606}"/>
  </hyperlinks>
  <pageMargins left="0.7" right="0.7" top="0.75" bottom="0.75" header="0.3" footer="0.3"/>
  <pageSetup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GF682"/>
  <sheetViews>
    <sheetView zoomScale="85" zoomScaleNormal="85" workbookViewId="0">
      <pane xSplit="2" ySplit="1" topLeftCell="C205" activePane="bottomRight" state="frozen"/>
      <selection pane="topRight" activeCell="C1" sqref="C1"/>
      <selection pane="bottomLeft" activeCell="A2" sqref="A2"/>
      <selection pane="bottomRight" activeCell="N216" sqref="N216"/>
    </sheetView>
  </sheetViews>
  <sheetFormatPr defaultColWidth="9.140625" defaultRowHeight="15"/>
  <cols>
    <col min="1" max="1" width="9.140625" style="227"/>
    <col min="2" max="2" width="12.7109375" style="227" customWidth="1"/>
    <col min="3" max="5" width="10.140625" style="227" customWidth="1"/>
    <col min="6" max="14" width="9.140625" style="227" customWidth="1"/>
    <col min="15" max="15" width="10" style="227" customWidth="1"/>
    <col min="16" max="16" width="9.140625" style="227"/>
    <col min="17" max="17" width="10.5703125" style="227" customWidth="1"/>
    <col min="18" max="19" width="9.140625" style="227" customWidth="1"/>
    <col min="20" max="20" width="9.140625" style="227"/>
    <col min="21" max="24" width="11.28515625" style="227" customWidth="1"/>
    <col min="25" max="30" width="9.140625" style="227"/>
    <col min="31" max="31" width="13" style="227" customWidth="1"/>
    <col min="32" max="32" width="9.7109375" style="227" customWidth="1"/>
    <col min="33" max="37" width="9.140625" style="227" customWidth="1"/>
    <col min="38" max="38" width="11" style="227" customWidth="1"/>
    <col min="39" max="39" width="10.140625" style="227" customWidth="1"/>
    <col min="40" max="40" width="11" style="227" customWidth="1"/>
    <col min="41" max="41" width="11.5703125" style="227" customWidth="1"/>
    <col min="42" max="43" width="10.85546875" style="227" customWidth="1"/>
    <col min="44" max="47" width="9.140625" style="227" customWidth="1"/>
    <col min="48" max="48" width="9.5703125" style="227" customWidth="1"/>
    <col min="49" max="49" width="9.140625" style="227" customWidth="1"/>
    <col min="50" max="50" width="9.42578125" style="227" customWidth="1"/>
    <col min="51" max="53" width="9.140625" style="227" customWidth="1"/>
    <col min="54" max="16384" width="9.140625" style="227"/>
  </cols>
  <sheetData>
    <row r="1" spans="1:188" ht="36" customHeight="1">
      <c r="A1" s="1035"/>
      <c r="B1" s="1035"/>
      <c r="C1" s="1035"/>
      <c r="D1" s="1035"/>
      <c r="E1" s="1035"/>
      <c r="F1" s="1035"/>
      <c r="G1" s="1035"/>
      <c r="H1" s="1035"/>
      <c r="I1" s="1035"/>
      <c r="J1" s="1035"/>
      <c r="K1" s="1035"/>
      <c r="L1" s="1035"/>
      <c r="M1" s="1035"/>
      <c r="N1" s="1035"/>
      <c r="O1" s="1035"/>
      <c r="P1" s="1035"/>
      <c r="Q1" s="1035"/>
      <c r="R1" s="1035"/>
      <c r="S1" s="1035"/>
      <c r="T1" s="1035"/>
      <c r="U1" s="1035"/>
      <c r="V1" s="1035"/>
      <c r="W1" s="1035"/>
      <c r="X1" s="1035"/>
      <c r="Y1" s="1035"/>
      <c r="Z1" s="1035"/>
      <c r="AA1" s="1035"/>
      <c r="AB1" s="1035"/>
      <c r="AC1" s="1035"/>
      <c r="AD1" s="1035"/>
      <c r="AE1" s="1035"/>
      <c r="AF1" s="1035"/>
      <c r="AG1" s="1035"/>
      <c r="AH1" s="1035"/>
      <c r="AI1" s="1035"/>
      <c r="AJ1" s="1035"/>
      <c r="AK1" s="1035"/>
      <c r="AL1" s="1035"/>
      <c r="AM1" s="1035"/>
      <c r="AN1" s="1035"/>
      <c r="AO1" s="1035"/>
      <c r="AP1" s="1035"/>
      <c r="AQ1" s="1035"/>
      <c r="AR1" s="1035"/>
      <c r="AS1" s="1035"/>
      <c r="AT1" s="1035"/>
      <c r="AU1" s="1035"/>
      <c r="AV1" s="1035"/>
      <c r="AW1" s="1035"/>
      <c r="AX1" s="1035"/>
      <c r="AY1" s="1035"/>
      <c r="AZ1" s="1035"/>
      <c r="BA1" s="1035"/>
      <c r="BB1" s="1035"/>
      <c r="BC1" s="1035"/>
      <c r="BD1" s="1035"/>
      <c r="BE1" s="1035"/>
      <c r="BF1" s="1035"/>
      <c r="BG1" s="1035"/>
      <c r="BH1" s="1035"/>
      <c r="BI1" s="1035"/>
      <c r="BJ1" s="1035"/>
      <c r="BK1" s="1035"/>
      <c r="BL1" s="1035"/>
      <c r="BM1" s="1035"/>
      <c r="BN1" s="1035"/>
      <c r="BO1" s="1035"/>
      <c r="BP1" s="1035"/>
      <c r="BQ1" s="1035"/>
      <c r="BR1" s="1035"/>
      <c r="BS1" s="1035"/>
      <c r="BT1" s="1035"/>
      <c r="BU1" s="1035"/>
      <c r="BV1" s="1035"/>
      <c r="BW1" s="1035"/>
      <c r="BX1" s="1035"/>
      <c r="BY1" s="1035"/>
      <c r="BZ1" s="1035"/>
    </row>
    <row r="4" spans="1:188" ht="15.75" thickBot="1">
      <c r="CP4"/>
      <c r="CQ4"/>
      <c r="CR4"/>
    </row>
    <row r="5" spans="1:188" ht="15.75" thickBot="1">
      <c r="A5" s="1027" t="s">
        <v>819</v>
      </c>
      <c r="B5" s="1028"/>
      <c r="C5" s="1030"/>
      <c r="D5" s="1030"/>
      <c r="E5" s="1030"/>
      <c r="F5" s="1030"/>
      <c r="G5" s="1030"/>
      <c r="H5" s="1030"/>
      <c r="I5" s="1030"/>
      <c r="J5" s="1030"/>
      <c r="K5" s="1030"/>
      <c r="L5" s="1030"/>
      <c r="M5" s="1030"/>
      <c r="N5" s="1030"/>
      <c r="O5" s="1030"/>
      <c r="P5" s="1030"/>
      <c r="Q5" s="1030"/>
      <c r="R5" s="1030"/>
      <c r="S5" s="1030"/>
      <c r="T5" s="1030"/>
      <c r="U5" s="1030"/>
      <c r="V5" s="1030"/>
      <c r="W5" s="1030"/>
      <c r="X5" s="1030"/>
      <c r="Y5" s="1030"/>
      <c r="Z5" s="1028"/>
      <c r="AA5" s="1028"/>
      <c r="AB5" s="1028"/>
      <c r="AC5" s="1028"/>
      <c r="AD5" s="1028"/>
      <c r="AE5" s="1028"/>
      <c r="AF5" s="1028"/>
      <c r="AG5" s="1028"/>
      <c r="AH5" s="1028"/>
      <c r="AI5" s="1028"/>
      <c r="AJ5" s="1028"/>
      <c r="AK5" s="1028"/>
      <c r="AL5" s="1028"/>
      <c r="AM5" s="1028"/>
      <c r="AN5" s="1028"/>
      <c r="AO5" s="1028"/>
      <c r="AP5" s="1028"/>
      <c r="AQ5" s="1028"/>
      <c r="AR5" s="1028"/>
      <c r="AS5" s="1028"/>
      <c r="AT5" s="1028"/>
      <c r="AU5" s="1028"/>
      <c r="AV5" s="1028"/>
      <c r="AW5" s="1028"/>
      <c r="AX5" s="1028"/>
      <c r="AY5" s="1028"/>
      <c r="AZ5" s="1028"/>
      <c r="BA5" s="1027" t="s">
        <v>820</v>
      </c>
      <c r="BB5" s="1028"/>
      <c r="BC5" s="1028"/>
      <c r="BD5" s="1028"/>
      <c r="BE5" s="1029"/>
      <c r="BF5"/>
      <c r="BG5"/>
      <c r="BH5"/>
      <c r="BI5"/>
      <c r="BJ5"/>
      <c r="BK5"/>
      <c r="BL5"/>
      <c r="BM5"/>
      <c r="BN5"/>
      <c r="BO5"/>
      <c r="BP5"/>
      <c r="BQ5"/>
      <c r="BR5"/>
      <c r="BS5"/>
      <c r="BT5"/>
      <c r="BU5"/>
      <c r="BV5"/>
      <c r="BW5"/>
      <c r="BX5"/>
      <c r="BY5"/>
      <c r="BZ5"/>
      <c r="CA5"/>
      <c r="CB5"/>
      <c r="CC5"/>
      <c r="CD5"/>
      <c r="CE5"/>
      <c r="CF5"/>
      <c r="CG5"/>
      <c r="CH5"/>
      <c r="CI5"/>
      <c r="CJ5"/>
      <c r="CK5"/>
      <c r="CL5"/>
      <c r="CM5"/>
      <c r="CN5"/>
      <c r="CO5"/>
      <c r="CP5"/>
    </row>
    <row r="6" spans="1:188" ht="84.75" customHeight="1">
      <c r="A6" s="847"/>
      <c r="B6" s="848" t="s">
        <v>7177</v>
      </c>
      <c r="C6" s="969" t="s">
        <v>7185</v>
      </c>
      <c r="D6" s="969" t="s">
        <v>406</v>
      </c>
      <c r="E6" s="969" t="s">
        <v>731</v>
      </c>
      <c r="F6" s="969" t="s">
        <v>7143</v>
      </c>
      <c r="G6" s="969" t="s">
        <v>7144</v>
      </c>
      <c r="H6" s="969" t="s">
        <v>7145</v>
      </c>
      <c r="I6" s="969" t="s">
        <v>739</v>
      </c>
      <c r="J6" s="966" t="s">
        <v>1902</v>
      </c>
      <c r="K6" s="969" t="s">
        <v>7146</v>
      </c>
      <c r="L6" s="969" t="s">
        <v>472</v>
      </c>
      <c r="M6" s="966" t="s">
        <v>419</v>
      </c>
      <c r="N6" s="970" t="s">
        <v>7148</v>
      </c>
      <c r="O6" s="969" t="s">
        <v>1897</v>
      </c>
      <c r="P6" s="966" t="s">
        <v>7147</v>
      </c>
      <c r="Q6" s="966" t="s">
        <v>7152</v>
      </c>
      <c r="R6" s="969" t="s">
        <v>755</v>
      </c>
      <c r="S6" s="969" t="s">
        <v>818</v>
      </c>
      <c r="T6" s="970" t="s">
        <v>7149</v>
      </c>
      <c r="U6" s="969" t="s">
        <v>7150</v>
      </c>
      <c r="V6" s="966" t="s">
        <v>1908</v>
      </c>
      <c r="W6" s="966" t="s">
        <v>7151</v>
      </c>
      <c r="X6" s="969" t="s">
        <v>7142</v>
      </c>
      <c r="Y6" s="969" t="s">
        <v>2452</v>
      </c>
      <c r="Z6" s="919"/>
      <c r="AA6" s="852"/>
      <c r="AB6" s="853"/>
      <c r="AC6" s="851"/>
      <c r="AD6" s="850"/>
      <c r="AE6" s="851"/>
      <c r="AF6" s="850"/>
      <c r="AG6" s="851"/>
      <c r="AH6" s="851"/>
      <c r="AI6" s="851"/>
      <c r="AJ6" s="849"/>
      <c r="AK6" s="849"/>
      <c r="AL6" s="919"/>
      <c r="AM6" s="849"/>
      <c r="AN6" s="849"/>
      <c r="AO6" s="850"/>
      <c r="AP6" s="919"/>
      <c r="AQ6" s="919"/>
      <c r="AR6" s="853"/>
      <c r="AS6" s="853"/>
      <c r="AT6" s="919"/>
      <c r="AU6" s="919"/>
      <c r="AV6" s="849"/>
      <c r="AW6" s="849"/>
      <c r="AX6" s="850"/>
      <c r="AY6" s="850"/>
      <c r="AZ6" s="850"/>
      <c r="BA6" s="850"/>
      <c r="BB6" s="850"/>
      <c r="BC6" s="851"/>
      <c r="BD6" s="850"/>
      <c r="BE6" s="850"/>
      <c r="BF6" s="850"/>
      <c r="BG6" s="919"/>
      <c r="BH6" s="850"/>
      <c r="BI6" s="850"/>
      <c r="BJ6" s="851"/>
      <c r="BK6" s="851"/>
      <c r="BL6" s="850"/>
      <c r="BM6" s="850"/>
      <c r="BN6" s="850"/>
      <c r="BO6" s="850"/>
      <c r="BP6" s="850"/>
      <c r="BQ6" s="850"/>
      <c r="BR6" s="850"/>
      <c r="BS6" s="850"/>
      <c r="BT6" s="850"/>
      <c r="BU6" s="850"/>
      <c r="BV6" s="850"/>
      <c r="BW6" s="850"/>
      <c r="BX6" s="850"/>
      <c r="BY6" s="850"/>
      <c r="BZ6" s="850"/>
      <c r="CA6" s="850"/>
      <c r="CB6" s="852"/>
      <c r="CC6" s="852"/>
      <c r="CD6" s="852"/>
      <c r="CE6" s="852"/>
      <c r="CF6" s="851"/>
      <c r="CG6" s="852"/>
      <c r="CH6" s="852"/>
      <c r="CI6" s="851"/>
      <c r="CJ6" s="850"/>
      <c r="CK6" s="850"/>
      <c r="CL6" s="919"/>
      <c r="CM6" s="919"/>
      <c r="CN6" s="850"/>
      <c r="CO6" s="851"/>
      <c r="CP6" s="919"/>
      <c r="CQ6" s="852"/>
      <c r="CR6" s="850"/>
      <c r="CS6" s="853"/>
      <c r="CT6" s="852"/>
      <c r="CU6" s="852"/>
      <c r="CV6" s="850"/>
      <c r="CW6" s="852"/>
      <c r="CX6" s="852"/>
      <c r="CY6" s="852"/>
      <c r="CZ6" s="851"/>
      <c r="DA6" s="852"/>
      <c r="DB6" s="851"/>
      <c r="DC6" s="851"/>
      <c r="DD6" s="851"/>
      <c r="DE6" s="851"/>
      <c r="DF6" s="851"/>
      <c r="DG6" s="851"/>
      <c r="DH6" s="851"/>
      <c r="DI6" s="851"/>
      <c r="DJ6" s="849"/>
      <c r="DK6" s="850"/>
      <c r="DL6" s="850"/>
      <c r="DM6" s="850"/>
      <c r="DN6" s="850"/>
      <c r="DO6" s="850"/>
      <c r="DP6" s="850"/>
      <c r="DQ6" s="851"/>
      <c r="DR6" s="851"/>
      <c r="DS6" s="851"/>
      <c r="DT6" s="850"/>
      <c r="DU6" s="850"/>
      <c r="DV6" s="850"/>
      <c r="DW6" s="850"/>
      <c r="DX6" s="850"/>
      <c r="DY6" s="850"/>
      <c r="DZ6" s="850"/>
      <c r="EA6" s="919"/>
      <c r="EB6" s="951"/>
      <c r="EC6" s="920"/>
      <c r="ED6" s="863"/>
      <c r="EE6" s="863"/>
      <c r="EF6" s="864"/>
      <c r="EG6" s="920"/>
      <c r="EH6" s="920"/>
      <c r="EI6" s="920"/>
      <c r="EJ6" s="920"/>
      <c r="EK6" s="863"/>
      <c r="EL6" s="854"/>
      <c r="EM6" s="855"/>
      <c r="EN6" s="854"/>
      <c r="EO6" s="855"/>
      <c r="EP6" s="856"/>
      <c r="ER6" s="228"/>
      <c r="ES6" s="247"/>
      <c r="ET6" s="369"/>
      <c r="EU6" s="369"/>
      <c r="EV6" s="369"/>
      <c r="FE6"/>
      <c r="FF6"/>
      <c r="FG6"/>
      <c r="FH6"/>
      <c r="FI6"/>
      <c r="FJ6"/>
      <c r="FK6"/>
      <c r="FL6"/>
      <c r="FM6"/>
      <c r="FN6"/>
      <c r="FO6"/>
      <c r="FP6"/>
      <c r="FQ6"/>
      <c r="FR6"/>
      <c r="FS6"/>
      <c r="FT6"/>
      <c r="FU6"/>
      <c r="FV6"/>
      <c r="FW6"/>
      <c r="FX6"/>
      <c r="FY6"/>
      <c r="FZ6"/>
      <c r="GA6"/>
      <c r="GB6"/>
      <c r="GC6"/>
      <c r="GD6"/>
      <c r="GE6"/>
      <c r="GF6"/>
    </row>
    <row r="7" spans="1:188" ht="17.25">
      <c r="A7" s="860" t="s">
        <v>821</v>
      </c>
      <c r="B7" s="485">
        <v>10</v>
      </c>
      <c r="C7" s="485"/>
      <c r="D7" s="485"/>
      <c r="E7" s="485"/>
      <c r="F7" s="485"/>
      <c r="G7" s="485"/>
      <c r="H7" s="485"/>
      <c r="I7" s="485"/>
      <c r="J7" s="485"/>
      <c r="K7" s="485"/>
      <c r="L7" s="485"/>
      <c r="M7" s="485"/>
      <c r="N7" s="485"/>
      <c r="O7" s="485"/>
      <c r="P7" s="485"/>
      <c r="Q7" s="485"/>
      <c r="R7" s="485"/>
      <c r="S7" s="485"/>
      <c r="T7" s="485"/>
      <c r="U7" s="485"/>
      <c r="V7" s="485"/>
      <c r="W7" s="485"/>
      <c r="X7" s="485"/>
      <c r="Y7" s="485"/>
      <c r="Z7" s="485"/>
      <c r="AA7" s="485"/>
      <c r="AB7" s="846"/>
      <c r="AC7" s="485"/>
      <c r="AD7" s="485"/>
      <c r="AE7" s="485"/>
      <c r="AF7" s="485"/>
      <c r="AG7" s="485"/>
      <c r="AH7" s="485"/>
      <c r="AI7" s="485"/>
      <c r="AJ7" s="485"/>
      <c r="AK7" s="485"/>
      <c r="AL7" s="485"/>
      <c r="AM7" s="485"/>
      <c r="AN7" s="485"/>
      <c r="AO7" s="485"/>
      <c r="AP7" s="485"/>
      <c r="AQ7" s="485"/>
      <c r="AR7" s="846"/>
      <c r="AS7" s="846"/>
      <c r="AT7" s="485"/>
      <c r="AU7" s="485"/>
      <c r="AV7" s="485"/>
      <c r="AW7" s="485"/>
      <c r="AX7" s="485"/>
      <c r="AY7" s="485"/>
      <c r="AZ7" s="485"/>
      <c r="BA7" s="485"/>
      <c r="BB7" s="485"/>
      <c r="BC7" s="485"/>
      <c r="BD7" s="485"/>
      <c r="BE7" s="485"/>
      <c r="BF7" s="485"/>
      <c r="BG7" s="485"/>
      <c r="BH7" s="485"/>
      <c r="BI7" s="485"/>
      <c r="BJ7" s="485"/>
      <c r="BK7" s="485"/>
      <c r="BL7" s="485"/>
      <c r="BM7" s="485"/>
      <c r="BN7" s="485"/>
      <c r="BO7" s="485"/>
      <c r="BP7" s="485"/>
      <c r="BQ7" s="485"/>
      <c r="BR7" s="485"/>
      <c r="BS7" s="485"/>
      <c r="BT7" s="485"/>
      <c r="BU7" s="485"/>
      <c r="BV7" s="485"/>
      <c r="BW7" s="485"/>
      <c r="BX7" s="485"/>
      <c r="BY7" s="485"/>
      <c r="BZ7" s="485"/>
      <c r="CA7" s="485"/>
      <c r="CB7" s="485"/>
      <c r="CC7" s="485"/>
      <c r="CD7" s="485"/>
      <c r="CE7" s="485"/>
      <c r="CF7" s="485"/>
      <c r="CG7" s="485"/>
      <c r="CH7" s="485"/>
      <c r="CI7" s="485"/>
      <c r="CJ7" s="485"/>
      <c r="CK7" s="485"/>
      <c r="CL7" s="485"/>
      <c r="CM7" s="485"/>
      <c r="CN7" s="485"/>
      <c r="CO7" s="485"/>
      <c r="CP7" s="485"/>
      <c r="CQ7" s="485"/>
      <c r="CR7" s="485"/>
      <c r="CS7" s="845"/>
      <c r="CT7" s="485"/>
      <c r="CU7" s="485"/>
      <c r="CV7" s="485"/>
      <c r="CW7" s="485"/>
      <c r="CX7" s="485"/>
      <c r="CY7" s="485"/>
      <c r="CZ7" s="485"/>
      <c r="DA7" s="485"/>
      <c r="DB7" s="485"/>
      <c r="DC7" s="485"/>
      <c r="DD7" s="485"/>
      <c r="DE7" s="485"/>
      <c r="DF7" s="485"/>
      <c r="DG7" s="485"/>
      <c r="DH7" s="485"/>
      <c r="DI7" s="485"/>
      <c r="DJ7" s="485"/>
      <c r="DK7" s="485"/>
      <c r="DL7" s="485"/>
      <c r="DM7" s="485"/>
      <c r="DN7" s="485"/>
      <c r="DO7" s="485"/>
      <c r="DP7" s="485"/>
      <c r="DQ7" s="485"/>
      <c r="DR7" s="485"/>
      <c r="DS7" s="485"/>
      <c r="DT7" s="485"/>
      <c r="DU7" s="485"/>
      <c r="DV7" s="485"/>
      <c r="DW7" s="485"/>
      <c r="DX7" s="485"/>
      <c r="DY7" s="485"/>
      <c r="DZ7" s="485"/>
      <c r="EA7" s="485"/>
      <c r="EB7" s="485"/>
      <c r="EC7" s="865"/>
      <c r="ED7" s="865"/>
      <c r="EE7" s="865"/>
      <c r="EF7" s="865"/>
      <c r="EG7" s="865"/>
      <c r="EH7" s="865"/>
      <c r="EI7" s="865"/>
      <c r="EJ7" s="865"/>
      <c r="EK7" s="865"/>
      <c r="EL7" s="861"/>
      <c r="EM7" s="861"/>
      <c r="EN7" s="861"/>
      <c r="EO7" s="861"/>
      <c r="EP7" s="861"/>
      <c r="ER7" s="232" t="s">
        <v>821</v>
      </c>
      <c r="ES7" s="152"/>
      <c r="ET7" s="147"/>
      <c r="EU7" s="147"/>
      <c r="EV7" s="147"/>
    </row>
    <row r="8" spans="1:188">
      <c r="A8" s="860" t="s">
        <v>822</v>
      </c>
      <c r="B8" s="485">
        <v>11</v>
      </c>
      <c r="C8" s="485"/>
      <c r="D8" s="485"/>
      <c r="E8" s="485"/>
      <c r="F8" s="485"/>
      <c r="G8" s="485"/>
      <c r="H8" s="485"/>
      <c r="I8" s="485"/>
      <c r="J8" s="485"/>
      <c r="K8" s="485"/>
      <c r="L8" s="485"/>
      <c r="M8" s="485"/>
      <c r="N8" s="485"/>
      <c r="O8" s="485"/>
      <c r="P8" s="485"/>
      <c r="Q8" s="485"/>
      <c r="R8" s="485"/>
      <c r="S8" s="485"/>
      <c r="T8" s="485"/>
      <c r="U8" s="485"/>
      <c r="V8" s="485"/>
      <c r="W8" s="485"/>
      <c r="X8" s="485"/>
      <c r="Y8" s="485"/>
      <c r="Z8" s="485"/>
      <c r="AA8" s="485"/>
      <c r="AB8" s="846"/>
      <c r="AC8" s="485"/>
      <c r="AD8" s="485"/>
      <c r="AE8" s="485"/>
      <c r="AF8" s="485"/>
      <c r="AG8" s="485"/>
      <c r="AH8" s="485"/>
      <c r="AI8" s="485"/>
      <c r="AJ8" s="485"/>
      <c r="AK8" s="485"/>
      <c r="AL8" s="485"/>
      <c r="AM8" s="485"/>
      <c r="AN8" s="485"/>
      <c r="AO8" s="485"/>
      <c r="AP8" s="485"/>
      <c r="AQ8" s="485"/>
      <c r="AR8" s="846"/>
      <c r="AS8" s="846"/>
      <c r="AT8" s="485"/>
      <c r="AU8" s="485"/>
      <c r="AV8" s="485"/>
      <c r="AW8" s="485"/>
      <c r="AX8" s="485"/>
      <c r="AY8" s="485"/>
      <c r="AZ8" s="485"/>
      <c r="BA8" s="485"/>
      <c r="BB8" s="485"/>
      <c r="BC8" s="485"/>
      <c r="BD8" s="485"/>
      <c r="BE8" s="485"/>
      <c r="BF8" s="485"/>
      <c r="BG8" s="485"/>
      <c r="BH8" s="485"/>
      <c r="BI8" s="485"/>
      <c r="BJ8" s="485"/>
      <c r="BK8" s="485"/>
      <c r="BL8" s="485"/>
      <c r="BM8" s="485"/>
      <c r="BN8" s="485"/>
      <c r="BO8" s="485"/>
      <c r="BP8" s="485"/>
      <c r="BQ8" s="485"/>
      <c r="BR8" s="485"/>
      <c r="BS8" s="485"/>
      <c r="BT8" s="485"/>
      <c r="BU8" s="485"/>
      <c r="BV8" s="485"/>
      <c r="BW8" s="485"/>
      <c r="BX8" s="485"/>
      <c r="BY8" s="485"/>
      <c r="BZ8" s="485"/>
      <c r="CA8" s="485"/>
      <c r="CB8" s="485"/>
      <c r="CC8" s="485"/>
      <c r="CD8" s="485"/>
      <c r="CE8" s="485"/>
      <c r="CF8" s="485"/>
      <c r="CG8" s="485"/>
      <c r="CH8" s="485"/>
      <c r="CI8" s="485"/>
      <c r="CJ8" s="485"/>
      <c r="CK8" s="485"/>
      <c r="CL8" s="485"/>
      <c r="CM8" s="485"/>
      <c r="CN8" s="485"/>
      <c r="CO8" s="485"/>
      <c r="CP8" s="485"/>
      <c r="CQ8" s="485"/>
      <c r="CR8" s="485"/>
      <c r="CS8" s="846"/>
      <c r="CT8" s="485"/>
      <c r="CU8" s="485"/>
      <c r="CV8" s="485"/>
      <c r="CW8" s="485"/>
      <c r="CX8" s="485"/>
      <c r="CY8" s="485"/>
      <c r="CZ8" s="485"/>
      <c r="DA8" s="485"/>
      <c r="DB8" s="485"/>
      <c r="DC8" s="485"/>
      <c r="DD8" s="485"/>
      <c r="DE8" s="485"/>
      <c r="DF8" s="485"/>
      <c r="DG8" s="485"/>
      <c r="DH8" s="485"/>
      <c r="DI8" s="485"/>
      <c r="DJ8" s="485"/>
      <c r="DK8" s="485"/>
      <c r="DL8" s="485"/>
      <c r="DM8" s="485"/>
      <c r="DN8" s="485"/>
      <c r="DO8" s="485"/>
      <c r="DP8" s="485"/>
      <c r="DQ8" s="485"/>
      <c r="DR8" s="485"/>
      <c r="DS8" s="485"/>
      <c r="DT8" s="485"/>
      <c r="DU8" s="485"/>
      <c r="DV8" s="485"/>
      <c r="DW8" s="485"/>
      <c r="DX8" s="485"/>
      <c r="DY8" s="485"/>
      <c r="DZ8" s="485"/>
      <c r="EA8" s="485"/>
      <c r="EB8" s="485"/>
      <c r="EC8" s="865"/>
      <c r="ED8" s="865"/>
      <c r="EE8" s="865"/>
      <c r="EF8" s="865"/>
      <c r="EG8" s="865"/>
      <c r="EH8" s="865"/>
      <c r="EI8" s="865"/>
      <c r="EJ8" s="865"/>
      <c r="EK8" s="865"/>
      <c r="EL8" s="861"/>
      <c r="EM8" s="861"/>
      <c r="EN8" s="861"/>
      <c r="EO8" s="861"/>
      <c r="EP8" s="861"/>
      <c r="ER8" s="232" t="s">
        <v>822</v>
      </c>
      <c r="ES8" s="152"/>
      <c r="ET8" s="147"/>
      <c r="EU8" s="147"/>
      <c r="EV8" s="147"/>
    </row>
    <row r="9" spans="1:188">
      <c r="A9" s="860" t="s">
        <v>823</v>
      </c>
      <c r="B9" s="485">
        <v>12</v>
      </c>
      <c r="C9" s="485"/>
      <c r="D9" s="485"/>
      <c r="E9" s="485"/>
      <c r="F9" s="485"/>
      <c r="G9" s="485"/>
      <c r="H9" s="485"/>
      <c r="I9" s="485"/>
      <c r="J9" s="485"/>
      <c r="K9" s="485"/>
      <c r="L9" s="485"/>
      <c r="M9" s="485"/>
      <c r="N9" s="485"/>
      <c r="O9" s="485"/>
      <c r="P9" s="485"/>
      <c r="Q9" s="485"/>
      <c r="R9" s="485"/>
      <c r="S9" s="485"/>
      <c r="T9" s="485"/>
      <c r="U9" s="485"/>
      <c r="V9" s="485"/>
      <c r="W9" s="485"/>
      <c r="X9" s="485"/>
      <c r="Y9" s="485"/>
      <c r="Z9" s="485"/>
      <c r="AA9" s="485"/>
      <c r="AB9" s="846"/>
      <c r="AC9" s="485"/>
      <c r="AD9" s="485"/>
      <c r="AE9" s="485"/>
      <c r="AF9" s="485"/>
      <c r="AG9" s="485"/>
      <c r="AH9" s="485"/>
      <c r="AI9" s="485"/>
      <c r="AJ9" s="485"/>
      <c r="AK9" s="485"/>
      <c r="AL9" s="485"/>
      <c r="AM9" s="485"/>
      <c r="AN9" s="485"/>
      <c r="AO9" s="485"/>
      <c r="AP9" s="485"/>
      <c r="AQ9" s="485"/>
      <c r="AR9" s="846"/>
      <c r="AS9" s="846"/>
      <c r="AT9" s="485"/>
      <c r="AU9" s="485"/>
      <c r="AV9" s="485"/>
      <c r="AW9" s="485"/>
      <c r="AX9" s="485"/>
      <c r="AY9" s="485"/>
      <c r="AZ9" s="485"/>
      <c r="BA9" s="485"/>
      <c r="BB9" s="485"/>
      <c r="BC9" s="485"/>
      <c r="BD9" s="485"/>
      <c r="BE9" s="485"/>
      <c r="BF9" s="485"/>
      <c r="BG9" s="485"/>
      <c r="BH9" s="485"/>
      <c r="BI9" s="485"/>
      <c r="BJ9" s="485"/>
      <c r="BK9" s="485"/>
      <c r="BL9" s="485"/>
      <c r="BM9" s="485"/>
      <c r="BN9" s="485"/>
      <c r="BO9" s="485"/>
      <c r="BP9" s="485"/>
      <c r="BQ9" s="485"/>
      <c r="BR9" s="485"/>
      <c r="BS9" s="485"/>
      <c r="BT9" s="485"/>
      <c r="BU9" s="485"/>
      <c r="BV9" s="485"/>
      <c r="BW9" s="485"/>
      <c r="BX9" s="485"/>
      <c r="BY9" s="485"/>
      <c r="BZ9" s="485"/>
      <c r="CA9" s="485"/>
      <c r="CB9" s="485"/>
      <c r="CC9" s="485"/>
      <c r="CD9" s="485"/>
      <c r="CE9" s="485"/>
      <c r="CF9" s="485"/>
      <c r="CG9" s="485"/>
      <c r="CH9" s="485"/>
      <c r="CI9" s="485"/>
      <c r="CJ9" s="485"/>
      <c r="CK9" s="485"/>
      <c r="CL9" s="485"/>
      <c r="CM9" s="485"/>
      <c r="CN9" s="485"/>
      <c r="CO9" s="485"/>
      <c r="CP9" s="485"/>
      <c r="CQ9" s="485"/>
      <c r="CR9" s="485"/>
      <c r="CS9" s="846"/>
      <c r="CT9" s="485"/>
      <c r="CU9" s="485"/>
      <c r="CV9" s="485"/>
      <c r="CW9" s="485"/>
      <c r="CX9" s="485"/>
      <c r="CY9" s="485"/>
      <c r="CZ9" s="485"/>
      <c r="DA9" s="485"/>
      <c r="DB9" s="485"/>
      <c r="DC9" s="485"/>
      <c r="DD9" s="485"/>
      <c r="DE9" s="485"/>
      <c r="DF9" s="485"/>
      <c r="DG9" s="485"/>
      <c r="DH9" s="485"/>
      <c r="DI9" s="485"/>
      <c r="DJ9" s="485"/>
      <c r="DK9" s="485"/>
      <c r="DL9" s="485"/>
      <c r="DM9" s="485"/>
      <c r="DN9" s="485"/>
      <c r="DO9" s="485"/>
      <c r="DP9" s="485"/>
      <c r="DQ9" s="485"/>
      <c r="DR9" s="485"/>
      <c r="DS9" s="485"/>
      <c r="DT9" s="485"/>
      <c r="DU9" s="485"/>
      <c r="DV9" s="485"/>
      <c r="DW9" s="485"/>
      <c r="DX9" s="485"/>
      <c r="DY9" s="485"/>
      <c r="DZ9" s="485"/>
      <c r="EA9" s="485"/>
      <c r="EB9" s="485"/>
      <c r="EC9" s="865"/>
      <c r="ED9" s="865"/>
      <c r="EE9" s="865"/>
      <c r="EF9" s="865"/>
      <c r="EG9" s="865"/>
      <c r="EH9" s="865"/>
      <c r="EI9" s="865"/>
      <c r="EJ9" s="865"/>
      <c r="EK9" s="865"/>
      <c r="EL9" s="861"/>
      <c r="EM9" s="861"/>
      <c r="EN9" s="861"/>
      <c r="EO9" s="861"/>
      <c r="EP9" s="861"/>
      <c r="ER9" s="232" t="s">
        <v>823</v>
      </c>
      <c r="ES9" s="152"/>
      <c r="ET9" s="147"/>
      <c r="EU9" s="147"/>
      <c r="EV9" s="147"/>
    </row>
    <row r="10" spans="1:188">
      <c r="A10" s="860" t="s">
        <v>824</v>
      </c>
      <c r="B10" s="485">
        <v>13</v>
      </c>
      <c r="C10" s="485"/>
      <c r="D10" s="485"/>
      <c r="E10" s="485"/>
      <c r="F10" s="485"/>
      <c r="G10" s="485"/>
      <c r="H10" s="485"/>
      <c r="I10" s="485"/>
      <c r="J10" s="485"/>
      <c r="K10" s="485"/>
      <c r="L10" s="485"/>
      <c r="M10" s="485"/>
      <c r="N10" s="485"/>
      <c r="O10" s="485"/>
      <c r="P10" s="485"/>
      <c r="Q10" s="485"/>
      <c r="R10" s="485"/>
      <c r="S10" s="485"/>
      <c r="T10" s="485"/>
      <c r="U10" s="485"/>
      <c r="V10" s="485"/>
      <c r="W10" s="485"/>
      <c r="X10" s="485"/>
      <c r="Y10" s="485"/>
      <c r="Z10" s="485"/>
      <c r="AA10" s="485"/>
      <c r="AB10" s="846"/>
      <c r="AC10" s="485"/>
      <c r="AD10" s="485"/>
      <c r="AE10" s="485"/>
      <c r="AF10" s="485"/>
      <c r="AG10" s="485"/>
      <c r="AH10" s="485"/>
      <c r="AI10" s="485"/>
      <c r="AJ10" s="485"/>
      <c r="AK10" s="485"/>
      <c r="AL10" s="485"/>
      <c r="AM10" s="485"/>
      <c r="AN10" s="485"/>
      <c r="AO10" s="485"/>
      <c r="AP10" s="485"/>
      <c r="AQ10" s="485"/>
      <c r="AR10" s="846"/>
      <c r="AS10" s="846"/>
      <c r="AT10" s="485"/>
      <c r="AU10" s="485"/>
      <c r="AV10" s="485"/>
      <c r="AW10" s="485"/>
      <c r="AX10" s="485"/>
      <c r="AY10" s="485"/>
      <c r="AZ10" s="485"/>
      <c r="BA10" s="485"/>
      <c r="BB10" s="485"/>
      <c r="BC10" s="485"/>
      <c r="BD10" s="485"/>
      <c r="BE10" s="485"/>
      <c r="BF10" s="485"/>
      <c r="BG10" s="485"/>
      <c r="BH10" s="485"/>
      <c r="BI10" s="485"/>
      <c r="BJ10" s="485"/>
      <c r="BK10" s="485"/>
      <c r="BL10" s="485"/>
      <c r="BM10" s="485"/>
      <c r="BN10" s="485"/>
      <c r="BO10" s="485"/>
      <c r="BP10" s="485"/>
      <c r="BQ10" s="485"/>
      <c r="BR10" s="485"/>
      <c r="BS10" s="485"/>
      <c r="BT10" s="485"/>
      <c r="BU10" s="485"/>
      <c r="BV10" s="485"/>
      <c r="BW10" s="485"/>
      <c r="BX10" s="485"/>
      <c r="BY10" s="485"/>
      <c r="BZ10" s="485"/>
      <c r="CA10" s="485"/>
      <c r="CB10" s="485"/>
      <c r="CC10" s="485"/>
      <c r="CD10" s="485"/>
      <c r="CE10" s="485"/>
      <c r="CF10" s="485"/>
      <c r="CG10" s="485"/>
      <c r="CH10" s="485"/>
      <c r="CI10" s="485"/>
      <c r="CJ10" s="485"/>
      <c r="CK10" s="485"/>
      <c r="CL10" s="485"/>
      <c r="CM10" s="485"/>
      <c r="CN10" s="485"/>
      <c r="CO10" s="485"/>
      <c r="CP10" s="485"/>
      <c r="CQ10" s="485"/>
      <c r="CR10" s="485"/>
      <c r="CS10" s="846"/>
      <c r="CT10" s="485"/>
      <c r="CU10" s="485"/>
      <c r="CV10" s="485"/>
      <c r="CW10" s="485"/>
      <c r="CX10" s="485"/>
      <c r="CY10" s="485"/>
      <c r="CZ10" s="485"/>
      <c r="DA10" s="485"/>
      <c r="DB10" s="485"/>
      <c r="DC10" s="485"/>
      <c r="DD10" s="485"/>
      <c r="DE10" s="485"/>
      <c r="DF10" s="485"/>
      <c r="DG10" s="485"/>
      <c r="DH10" s="485"/>
      <c r="DI10" s="485"/>
      <c r="DJ10" s="485"/>
      <c r="DK10" s="485"/>
      <c r="DL10" s="485"/>
      <c r="DM10" s="485"/>
      <c r="DN10" s="485"/>
      <c r="DO10" s="485"/>
      <c r="DP10" s="485"/>
      <c r="DQ10" s="485"/>
      <c r="DR10" s="485"/>
      <c r="DS10" s="485"/>
      <c r="DT10" s="485"/>
      <c r="DU10" s="485"/>
      <c r="DV10" s="485"/>
      <c r="DW10" s="485"/>
      <c r="DX10" s="485"/>
      <c r="DY10" s="485"/>
      <c r="DZ10" s="485"/>
      <c r="EA10" s="485"/>
      <c r="EB10" s="485"/>
      <c r="EC10" s="865"/>
      <c r="ED10" s="865"/>
      <c r="EE10" s="865"/>
      <c r="EF10" s="865"/>
      <c r="EG10" s="865"/>
      <c r="EH10" s="865"/>
      <c r="EI10" s="865"/>
      <c r="EJ10" s="865"/>
      <c r="EK10" s="865"/>
      <c r="EL10" s="861"/>
      <c r="EM10" s="861"/>
      <c r="EN10" s="861"/>
      <c r="EO10" s="861"/>
      <c r="EP10" s="861"/>
      <c r="ER10" s="232" t="s">
        <v>824</v>
      </c>
      <c r="ES10" s="152"/>
      <c r="ET10" s="147"/>
      <c r="EU10" s="147"/>
      <c r="EV10" s="147"/>
    </row>
    <row r="11" spans="1:188">
      <c r="A11" s="860" t="s">
        <v>825</v>
      </c>
      <c r="B11" s="485">
        <v>14</v>
      </c>
      <c r="C11" s="485"/>
      <c r="D11" s="485"/>
      <c r="E11" s="485"/>
      <c r="F11" s="485"/>
      <c r="G11" s="485"/>
      <c r="H11" s="485"/>
      <c r="I11" s="485"/>
      <c r="J11" s="485"/>
      <c r="K11" s="485"/>
      <c r="L11" s="485"/>
      <c r="M11" s="485"/>
      <c r="N11" s="485"/>
      <c r="O11" s="485"/>
      <c r="P11" s="485"/>
      <c r="Q11" s="485"/>
      <c r="R11" s="485"/>
      <c r="S11" s="485"/>
      <c r="T11" s="485"/>
      <c r="U11" s="485"/>
      <c r="V11" s="485"/>
      <c r="W11" s="485"/>
      <c r="X11" s="485"/>
      <c r="Y11" s="485"/>
      <c r="Z11" s="485"/>
      <c r="AA11" s="485"/>
      <c r="AB11" s="846"/>
      <c r="AC11" s="485"/>
      <c r="AD11" s="485"/>
      <c r="AE11" s="485"/>
      <c r="AF11" s="485"/>
      <c r="AG11" s="485"/>
      <c r="AH11" s="485"/>
      <c r="AI11" s="485"/>
      <c r="AJ11" s="485"/>
      <c r="AK11" s="485"/>
      <c r="AL11" s="485"/>
      <c r="AM11" s="485"/>
      <c r="AN11" s="485"/>
      <c r="AO11" s="485"/>
      <c r="AP11" s="485"/>
      <c r="AQ11" s="485"/>
      <c r="AR11" s="846"/>
      <c r="AS11" s="846"/>
      <c r="AT11" s="485"/>
      <c r="AU11" s="485"/>
      <c r="AV11" s="485"/>
      <c r="AW11" s="485"/>
      <c r="AX11" s="485"/>
      <c r="AY11" s="485"/>
      <c r="AZ11" s="485"/>
      <c r="BA11" s="485"/>
      <c r="BB11" s="485"/>
      <c r="BC11" s="485"/>
      <c r="BD11" s="485"/>
      <c r="BE11" s="485"/>
      <c r="BF11" s="485"/>
      <c r="BG11" s="485"/>
      <c r="BH11" s="485"/>
      <c r="BI11" s="485"/>
      <c r="BJ11" s="485"/>
      <c r="BK11" s="485"/>
      <c r="BL11" s="485"/>
      <c r="BM11" s="485"/>
      <c r="BN11" s="485"/>
      <c r="BO11" s="485"/>
      <c r="BP11" s="485"/>
      <c r="BQ11" s="485"/>
      <c r="BR11" s="485"/>
      <c r="BS11" s="485"/>
      <c r="BT11" s="485"/>
      <c r="BU11" s="485"/>
      <c r="BV11" s="485"/>
      <c r="BW11" s="485"/>
      <c r="BX11" s="485"/>
      <c r="BY11" s="485"/>
      <c r="BZ11" s="485"/>
      <c r="CA11" s="485"/>
      <c r="CB11" s="485"/>
      <c r="CC11" s="485"/>
      <c r="CD11" s="485"/>
      <c r="CE11" s="485"/>
      <c r="CF11" s="485"/>
      <c r="CG11" s="485"/>
      <c r="CH11" s="485"/>
      <c r="CI11" s="485"/>
      <c r="CJ11" s="485"/>
      <c r="CK11" s="485"/>
      <c r="CL11" s="485"/>
      <c r="CM11" s="485"/>
      <c r="CN11" s="485"/>
      <c r="CO11" s="485"/>
      <c r="CP11" s="485"/>
      <c r="CQ11" s="485"/>
      <c r="CR11" s="485"/>
      <c r="CS11" s="846"/>
      <c r="CT11" s="485"/>
      <c r="CU11" s="485"/>
      <c r="CV11" s="485"/>
      <c r="CW11" s="485"/>
      <c r="CX11" s="485"/>
      <c r="CY11" s="485"/>
      <c r="CZ11" s="485"/>
      <c r="DA11" s="485"/>
      <c r="DB11" s="485"/>
      <c r="DC11" s="485"/>
      <c r="DD11" s="485"/>
      <c r="DE11" s="485"/>
      <c r="DF11" s="485"/>
      <c r="DG11" s="485"/>
      <c r="DH11" s="485"/>
      <c r="DI11" s="485"/>
      <c r="DJ11" s="485"/>
      <c r="DK11" s="485"/>
      <c r="DL11" s="485"/>
      <c r="DM11" s="485"/>
      <c r="DN11" s="485"/>
      <c r="DO11" s="485"/>
      <c r="DP11" s="485"/>
      <c r="DQ11" s="485"/>
      <c r="DR11" s="485"/>
      <c r="DS11" s="485"/>
      <c r="DT11" s="485"/>
      <c r="DU11" s="485"/>
      <c r="DV11" s="485"/>
      <c r="DW11" s="485"/>
      <c r="DX11" s="485"/>
      <c r="DY11" s="485"/>
      <c r="DZ11" s="485"/>
      <c r="EA11" s="485"/>
      <c r="EB11" s="485"/>
      <c r="EC11" s="865"/>
      <c r="ED11" s="865"/>
      <c r="EE11" s="865"/>
      <c r="EF11" s="865"/>
      <c r="EG11" s="865"/>
      <c r="EH11" s="865"/>
      <c r="EI11" s="865"/>
      <c r="EJ11" s="865"/>
      <c r="EK11" s="865"/>
      <c r="EL11" s="861"/>
      <c r="EM11" s="861"/>
      <c r="EN11" s="861"/>
      <c r="EO11" s="861"/>
      <c r="EP11" s="861"/>
      <c r="ER11" s="232" t="s">
        <v>825</v>
      </c>
      <c r="ES11" s="152"/>
      <c r="ET11" s="147"/>
      <c r="EU11" s="147"/>
      <c r="EV11" s="147"/>
    </row>
    <row r="12" spans="1:188">
      <c r="A12" s="860" t="s">
        <v>826</v>
      </c>
      <c r="B12" s="485">
        <v>15</v>
      </c>
      <c r="C12" s="485"/>
      <c r="D12" s="485"/>
      <c r="E12" s="485"/>
      <c r="F12" s="485"/>
      <c r="G12" s="485"/>
      <c r="H12" s="485"/>
      <c r="I12" s="485"/>
      <c r="J12" s="485"/>
      <c r="K12" s="485"/>
      <c r="L12" s="485"/>
      <c r="M12" s="485"/>
      <c r="N12" s="485"/>
      <c r="O12" s="485"/>
      <c r="P12" s="485"/>
      <c r="Q12" s="485"/>
      <c r="R12" s="485"/>
      <c r="S12" s="485"/>
      <c r="T12" s="485"/>
      <c r="U12" s="485"/>
      <c r="V12" s="485"/>
      <c r="W12" s="485"/>
      <c r="X12" s="485"/>
      <c r="Y12" s="485"/>
      <c r="Z12" s="485"/>
      <c r="AA12" s="485"/>
      <c r="AB12" s="846"/>
      <c r="AC12" s="485"/>
      <c r="AD12" s="485"/>
      <c r="AE12" s="485"/>
      <c r="AF12" s="485"/>
      <c r="AG12" s="485"/>
      <c r="AH12" s="485"/>
      <c r="AI12" s="485"/>
      <c r="AJ12" s="485"/>
      <c r="AK12" s="485"/>
      <c r="AL12" s="485"/>
      <c r="AM12" s="485"/>
      <c r="AN12" s="485"/>
      <c r="AO12" s="485"/>
      <c r="AP12" s="485"/>
      <c r="AQ12" s="485"/>
      <c r="AR12" s="846"/>
      <c r="AS12" s="846"/>
      <c r="AT12" s="485"/>
      <c r="AU12" s="485"/>
      <c r="AV12" s="485"/>
      <c r="AW12" s="485"/>
      <c r="AX12" s="485"/>
      <c r="AY12" s="485"/>
      <c r="AZ12" s="485"/>
      <c r="BA12" s="485"/>
      <c r="BB12" s="485"/>
      <c r="BC12" s="485"/>
      <c r="BD12" s="485"/>
      <c r="BE12" s="485"/>
      <c r="BF12" s="485"/>
      <c r="BG12" s="485"/>
      <c r="BH12" s="485"/>
      <c r="BI12" s="485"/>
      <c r="BJ12" s="485"/>
      <c r="BK12" s="485"/>
      <c r="BL12" s="485"/>
      <c r="BM12" s="485"/>
      <c r="BN12" s="485"/>
      <c r="BO12" s="485"/>
      <c r="BP12" s="485"/>
      <c r="BQ12" s="485"/>
      <c r="BR12" s="485"/>
      <c r="BS12" s="485"/>
      <c r="BT12" s="485"/>
      <c r="BU12" s="485"/>
      <c r="BV12" s="485"/>
      <c r="BW12" s="485"/>
      <c r="BX12" s="485"/>
      <c r="BY12" s="485"/>
      <c r="BZ12" s="485"/>
      <c r="CA12" s="485"/>
      <c r="CB12" s="485"/>
      <c r="CC12" s="485"/>
      <c r="CD12" s="485"/>
      <c r="CE12" s="485"/>
      <c r="CF12" s="485"/>
      <c r="CG12" s="485"/>
      <c r="CH12" s="485"/>
      <c r="CI12" s="485"/>
      <c r="CJ12" s="485"/>
      <c r="CK12" s="485"/>
      <c r="CL12" s="485"/>
      <c r="CM12" s="485"/>
      <c r="CN12" s="485"/>
      <c r="CO12" s="485"/>
      <c r="CP12" s="485"/>
      <c r="CQ12" s="485"/>
      <c r="CR12" s="485"/>
      <c r="CS12" s="846"/>
      <c r="CT12" s="485"/>
      <c r="CU12" s="485"/>
      <c r="CV12" s="485"/>
      <c r="CW12" s="485"/>
      <c r="CX12" s="485"/>
      <c r="CY12" s="485"/>
      <c r="CZ12" s="485"/>
      <c r="DA12" s="485"/>
      <c r="DB12" s="485"/>
      <c r="DC12" s="485"/>
      <c r="DD12" s="485"/>
      <c r="DE12" s="485"/>
      <c r="DF12" s="485"/>
      <c r="DG12" s="485"/>
      <c r="DH12" s="485"/>
      <c r="DI12" s="485"/>
      <c r="DJ12" s="485"/>
      <c r="DK12" s="485"/>
      <c r="DL12" s="485"/>
      <c r="DM12" s="485"/>
      <c r="DN12" s="485"/>
      <c r="DO12" s="485"/>
      <c r="DP12" s="485"/>
      <c r="DQ12" s="485"/>
      <c r="DR12" s="485"/>
      <c r="DS12" s="485"/>
      <c r="DT12" s="485"/>
      <c r="DU12" s="485"/>
      <c r="DV12" s="485"/>
      <c r="DW12" s="485"/>
      <c r="DX12" s="485"/>
      <c r="DY12" s="485"/>
      <c r="DZ12" s="485"/>
      <c r="EA12" s="485"/>
      <c r="EB12" s="485"/>
      <c r="EC12" s="865"/>
      <c r="ED12" s="865"/>
      <c r="EE12" s="865"/>
      <c r="EF12" s="865"/>
      <c r="EG12" s="865"/>
      <c r="EH12" s="865"/>
      <c r="EI12" s="865"/>
      <c r="EJ12" s="865"/>
      <c r="EK12" s="865"/>
      <c r="EL12" s="152"/>
      <c r="EM12" s="152"/>
      <c r="EN12" s="152"/>
      <c r="EO12" s="152"/>
      <c r="EP12" s="152"/>
      <c r="ER12" s="232" t="s">
        <v>826</v>
      </c>
      <c r="ES12" s="152"/>
      <c r="ET12" s="147"/>
      <c r="EU12" s="147"/>
      <c r="EV12" s="147"/>
    </row>
    <row r="13" spans="1:188">
      <c r="A13" s="860" t="s">
        <v>827</v>
      </c>
      <c r="B13" s="485">
        <v>16</v>
      </c>
      <c r="C13" s="485">
        <v>7</v>
      </c>
      <c r="D13" s="485"/>
      <c r="E13" s="485"/>
      <c r="F13" s="485"/>
      <c r="G13" s="485"/>
      <c r="H13" s="485"/>
      <c r="I13" s="485"/>
      <c r="J13" s="485"/>
      <c r="K13" s="485"/>
      <c r="L13" s="485"/>
      <c r="M13" s="485"/>
      <c r="N13" s="485"/>
      <c r="O13" s="485"/>
      <c r="P13" s="485"/>
      <c r="Q13" s="485"/>
      <c r="R13" s="485"/>
      <c r="S13" s="485"/>
      <c r="T13" s="485"/>
      <c r="U13" s="485"/>
      <c r="V13" s="485"/>
      <c r="W13" s="485"/>
      <c r="X13" s="485"/>
      <c r="Y13" s="485"/>
      <c r="Z13" s="485"/>
      <c r="AA13" s="485"/>
      <c r="AB13" s="846"/>
      <c r="AC13" s="485"/>
      <c r="AD13" s="485"/>
      <c r="AE13" s="485"/>
      <c r="AF13" s="485"/>
      <c r="AG13" s="485"/>
      <c r="AH13" s="485"/>
      <c r="AI13" s="485"/>
      <c r="AJ13" s="485"/>
      <c r="AK13" s="485"/>
      <c r="AL13" s="485"/>
      <c r="AM13" s="485"/>
      <c r="AN13" s="485"/>
      <c r="AO13" s="485"/>
      <c r="AP13" s="485"/>
      <c r="AQ13" s="485"/>
      <c r="AR13" s="846"/>
      <c r="AS13" s="846"/>
      <c r="AT13" s="485"/>
      <c r="AU13" s="485"/>
      <c r="AV13" s="485"/>
      <c r="AW13" s="485"/>
      <c r="AX13" s="485"/>
      <c r="AY13" s="485"/>
      <c r="AZ13" s="485"/>
      <c r="BA13" s="485"/>
      <c r="BB13" s="485"/>
      <c r="BC13" s="485"/>
      <c r="BD13" s="485"/>
      <c r="BE13" s="485"/>
      <c r="BF13" s="485"/>
      <c r="BG13" s="485"/>
      <c r="BH13" s="485"/>
      <c r="BI13" s="485"/>
      <c r="BJ13" s="485"/>
      <c r="BK13" s="485"/>
      <c r="BL13" s="485"/>
      <c r="BM13" s="485"/>
      <c r="BN13" s="485"/>
      <c r="BO13" s="485"/>
      <c r="BP13" s="485"/>
      <c r="BQ13" s="485"/>
      <c r="BR13" s="485"/>
      <c r="BS13" s="485"/>
      <c r="BT13" s="485"/>
      <c r="BU13" s="485"/>
      <c r="BV13" s="485"/>
      <c r="BW13" s="485"/>
      <c r="BX13" s="485"/>
      <c r="BY13" s="485"/>
      <c r="BZ13" s="485"/>
      <c r="CA13" s="485"/>
      <c r="CB13" s="485"/>
      <c r="CC13" s="485"/>
      <c r="CD13" s="485"/>
      <c r="CE13" s="485"/>
      <c r="CF13" s="485"/>
      <c r="CG13" s="485"/>
      <c r="CH13" s="485"/>
      <c r="CI13" s="485"/>
      <c r="CJ13" s="485"/>
      <c r="CK13" s="485"/>
      <c r="CL13" s="485"/>
      <c r="CM13" s="485"/>
      <c r="CN13" s="485"/>
      <c r="CO13" s="485"/>
      <c r="CP13" s="485"/>
      <c r="CQ13" s="485"/>
      <c r="CR13" s="485"/>
      <c r="CS13" s="846"/>
      <c r="CT13" s="485"/>
      <c r="CU13" s="485"/>
      <c r="CV13" s="485"/>
      <c r="CW13" s="485"/>
      <c r="CX13" s="485"/>
      <c r="CY13" s="485"/>
      <c r="CZ13" s="485"/>
      <c r="DA13" s="485"/>
      <c r="DB13" s="485"/>
      <c r="DC13" s="485"/>
      <c r="DD13" s="485"/>
      <c r="DE13" s="485"/>
      <c r="DF13" s="485"/>
      <c r="DG13" s="485"/>
      <c r="DH13" s="485"/>
      <c r="DI13" s="485"/>
      <c r="DJ13" s="485"/>
      <c r="DK13" s="485"/>
      <c r="DL13" s="485"/>
      <c r="DM13" s="485"/>
      <c r="DN13" s="485"/>
      <c r="DO13" s="485"/>
      <c r="DP13" s="485"/>
      <c r="DQ13" s="485"/>
      <c r="DR13" s="485"/>
      <c r="DS13" s="485"/>
      <c r="DT13" s="485"/>
      <c r="DU13" s="485"/>
      <c r="DV13" s="485"/>
      <c r="DW13" s="485"/>
      <c r="DX13" s="485"/>
      <c r="DY13" s="485"/>
      <c r="DZ13" s="485"/>
      <c r="EA13" s="485"/>
      <c r="EB13" s="485"/>
      <c r="EC13" s="865"/>
      <c r="ED13" s="865"/>
      <c r="EE13" s="865"/>
      <c r="EF13" s="865"/>
      <c r="EG13" s="865"/>
      <c r="EH13" s="865"/>
      <c r="EI13" s="865"/>
      <c r="EJ13" s="865"/>
      <c r="EK13" s="865"/>
      <c r="EL13" s="681"/>
      <c r="EM13" s="681"/>
      <c r="EN13" s="681"/>
      <c r="EO13" s="681"/>
      <c r="EP13" s="681"/>
      <c r="ER13" s="232" t="s">
        <v>827</v>
      </c>
      <c r="ES13" s="152"/>
      <c r="ET13" s="147"/>
      <c r="EU13" s="147"/>
      <c r="EV13" s="147"/>
    </row>
    <row r="14" spans="1:188" s="682" customFormat="1">
      <c r="A14" s="862" t="s">
        <v>821</v>
      </c>
      <c r="B14" s="485">
        <v>17</v>
      </c>
      <c r="C14" s="760"/>
      <c r="D14" s="760"/>
      <c r="E14" s="760"/>
      <c r="F14" s="760"/>
      <c r="G14" s="760"/>
      <c r="H14" s="760"/>
      <c r="I14" s="760"/>
      <c r="J14" s="760"/>
      <c r="K14" s="760"/>
      <c r="L14" s="760"/>
      <c r="M14" s="760"/>
      <c r="N14" s="760"/>
      <c r="O14" s="760"/>
      <c r="P14" s="760"/>
      <c r="Q14" s="760"/>
      <c r="R14" s="760"/>
      <c r="S14" s="760"/>
      <c r="T14" s="760"/>
      <c r="U14" s="760"/>
      <c r="V14" s="760"/>
      <c r="W14" s="760"/>
      <c r="X14" s="760"/>
      <c r="Y14" s="760"/>
      <c r="Z14" s="760"/>
      <c r="AA14" s="760"/>
      <c r="AB14" s="789"/>
      <c r="AC14" s="760"/>
      <c r="AD14" s="760"/>
      <c r="AE14" s="760"/>
      <c r="AF14" s="760"/>
      <c r="AG14" s="760"/>
      <c r="AH14" s="760"/>
      <c r="AI14" s="760"/>
      <c r="AJ14" s="760"/>
      <c r="AK14" s="760"/>
      <c r="AL14" s="760"/>
      <c r="AM14" s="760"/>
      <c r="AN14" s="760"/>
      <c r="AO14" s="760"/>
      <c r="AP14" s="760"/>
      <c r="AQ14" s="760"/>
      <c r="AR14" s="789"/>
      <c r="AS14" s="789"/>
      <c r="AT14" s="760"/>
      <c r="AU14" s="760"/>
      <c r="AV14" s="760"/>
      <c r="AW14" s="760"/>
      <c r="AX14" s="760"/>
      <c r="AY14" s="760"/>
      <c r="AZ14" s="760"/>
      <c r="BA14" s="760"/>
      <c r="BB14" s="760"/>
      <c r="BC14" s="760"/>
      <c r="BD14" s="760"/>
      <c r="BE14" s="760"/>
      <c r="BF14" s="760"/>
      <c r="BG14" s="760"/>
      <c r="BH14" s="760"/>
      <c r="BI14" s="760"/>
      <c r="BJ14" s="760"/>
      <c r="BK14" s="760"/>
      <c r="BL14" s="760"/>
      <c r="BM14" s="760"/>
      <c r="BN14" s="760"/>
      <c r="BO14" s="760"/>
      <c r="BP14" s="760"/>
      <c r="BQ14" s="760"/>
      <c r="BR14" s="760"/>
      <c r="BS14" s="760"/>
      <c r="BT14" s="760"/>
      <c r="BU14" s="760"/>
      <c r="BV14" s="760"/>
      <c r="BW14" s="760"/>
      <c r="BX14" s="760"/>
      <c r="BY14" s="760"/>
      <c r="BZ14" s="760"/>
      <c r="CA14" s="760"/>
      <c r="CB14" s="760"/>
      <c r="CC14" s="760"/>
      <c r="CD14" s="760"/>
      <c r="CE14" s="760"/>
      <c r="CF14" s="760"/>
      <c r="CG14" s="760"/>
      <c r="CH14" s="760"/>
      <c r="CI14" s="760"/>
      <c r="CJ14" s="760"/>
      <c r="CK14" s="760"/>
      <c r="CL14" s="760"/>
      <c r="CM14" s="760"/>
      <c r="CN14" s="760"/>
      <c r="CO14" s="760"/>
      <c r="CP14" s="760"/>
      <c r="CQ14" s="760"/>
      <c r="CR14" s="760"/>
      <c r="CS14" s="789"/>
      <c r="CT14" s="760"/>
      <c r="CU14" s="760"/>
      <c r="CV14" s="760"/>
      <c r="CW14" s="760"/>
      <c r="CX14" s="760"/>
      <c r="CY14" s="760"/>
      <c r="CZ14" s="760"/>
      <c r="DA14" s="760"/>
      <c r="DB14" s="760"/>
      <c r="DC14" s="760"/>
      <c r="DD14" s="760"/>
      <c r="DE14" s="760"/>
      <c r="DF14" s="760"/>
      <c r="DG14" s="760"/>
      <c r="DH14" s="760"/>
      <c r="DI14" s="760"/>
      <c r="DJ14" s="760"/>
      <c r="DK14" s="760"/>
      <c r="DL14" s="760"/>
      <c r="DM14" s="760"/>
      <c r="DN14" s="760"/>
      <c r="DO14" s="760"/>
      <c r="DP14" s="760"/>
      <c r="DQ14" s="760"/>
      <c r="DR14" s="760"/>
      <c r="DS14" s="760"/>
      <c r="DT14" s="760"/>
      <c r="DU14" s="760"/>
      <c r="DV14" s="760"/>
      <c r="DW14" s="760"/>
      <c r="DX14" s="760"/>
      <c r="DY14" s="760"/>
      <c r="DZ14" s="760"/>
      <c r="EA14" s="760"/>
      <c r="EB14" s="760"/>
      <c r="EC14" s="865"/>
      <c r="ED14" s="865"/>
      <c r="EE14" s="865"/>
      <c r="EF14" s="865"/>
      <c r="EG14" s="865"/>
      <c r="EH14" s="865"/>
      <c r="EI14" s="865"/>
      <c r="EJ14" s="865"/>
      <c r="EK14" s="865"/>
      <c r="EL14" s="861"/>
      <c r="EM14" s="861"/>
      <c r="EN14" s="861"/>
      <c r="EO14" s="861"/>
      <c r="EP14" s="861"/>
      <c r="ER14" s="680" t="s">
        <v>821</v>
      </c>
      <c r="ES14" s="681"/>
      <c r="ET14" s="683"/>
      <c r="EU14" s="683"/>
      <c r="EV14" s="683"/>
    </row>
    <row r="15" spans="1:188">
      <c r="A15" s="862" t="s">
        <v>822</v>
      </c>
      <c r="B15" s="485">
        <v>18</v>
      </c>
      <c r="C15" s="760"/>
      <c r="D15" s="760"/>
      <c r="E15" s="760"/>
      <c r="F15" s="760"/>
      <c r="G15" s="760"/>
      <c r="H15" s="760"/>
      <c r="I15" s="760"/>
      <c r="J15" s="760"/>
      <c r="K15" s="760"/>
      <c r="L15" s="760"/>
      <c r="M15" s="760"/>
      <c r="N15" s="760"/>
      <c r="O15" s="760"/>
      <c r="P15" s="760"/>
      <c r="Q15" s="760"/>
      <c r="R15" s="760"/>
      <c r="S15" s="760"/>
      <c r="T15" s="760"/>
      <c r="U15" s="760"/>
      <c r="V15" s="760"/>
      <c r="W15" s="760"/>
      <c r="X15" s="760"/>
      <c r="Y15" s="760"/>
      <c r="Z15" s="760"/>
      <c r="AA15" s="760"/>
      <c r="AB15" s="789"/>
      <c r="AC15" s="760"/>
      <c r="AD15" s="760"/>
      <c r="AE15" s="760"/>
      <c r="AF15" s="760"/>
      <c r="AG15" s="760"/>
      <c r="AH15" s="760"/>
      <c r="AI15" s="760"/>
      <c r="AJ15" s="760"/>
      <c r="AK15" s="760"/>
      <c r="AL15" s="760"/>
      <c r="AM15" s="760"/>
      <c r="AN15" s="760"/>
      <c r="AO15" s="760"/>
      <c r="AP15" s="760"/>
      <c r="AQ15" s="760"/>
      <c r="AR15" s="789"/>
      <c r="AS15" s="789"/>
      <c r="AT15" s="760"/>
      <c r="AU15" s="760"/>
      <c r="AV15" s="760"/>
      <c r="AW15" s="760"/>
      <c r="AX15" s="760"/>
      <c r="AY15" s="760"/>
      <c r="AZ15" s="760"/>
      <c r="BA15" s="760"/>
      <c r="BB15" s="760"/>
      <c r="BC15" s="760"/>
      <c r="BD15" s="760"/>
      <c r="BE15" s="760"/>
      <c r="BF15" s="760"/>
      <c r="BG15" s="760"/>
      <c r="BH15" s="760"/>
      <c r="BI15" s="760"/>
      <c r="BJ15" s="760"/>
      <c r="BK15" s="760"/>
      <c r="BL15" s="760"/>
      <c r="BM15" s="760"/>
      <c r="BN15" s="760"/>
      <c r="BO15" s="760"/>
      <c r="BP15" s="760"/>
      <c r="BQ15" s="760"/>
      <c r="BR15" s="760"/>
      <c r="BS15" s="760"/>
      <c r="BT15" s="760"/>
      <c r="BU15" s="760"/>
      <c r="BV15" s="760"/>
      <c r="BW15" s="760"/>
      <c r="BX15" s="760"/>
      <c r="BY15" s="760"/>
      <c r="BZ15" s="760"/>
      <c r="CA15" s="760"/>
      <c r="CB15" s="760"/>
      <c r="CC15" s="760"/>
      <c r="CD15" s="760"/>
      <c r="CE15" s="760"/>
      <c r="CF15" s="760"/>
      <c r="CG15" s="760"/>
      <c r="CH15" s="760"/>
      <c r="CI15" s="760"/>
      <c r="CJ15" s="760"/>
      <c r="CK15" s="760"/>
      <c r="CL15" s="760"/>
      <c r="CM15" s="760"/>
      <c r="CN15" s="760"/>
      <c r="CO15" s="760"/>
      <c r="CP15" s="760"/>
      <c r="CQ15" s="760"/>
      <c r="CR15" s="760"/>
      <c r="CS15" s="789"/>
      <c r="CT15" s="760"/>
      <c r="CU15" s="760"/>
      <c r="CV15" s="760"/>
      <c r="CW15" s="760"/>
      <c r="CX15" s="760"/>
      <c r="CY15" s="760"/>
      <c r="CZ15" s="760"/>
      <c r="DA15" s="760"/>
      <c r="DB15" s="760"/>
      <c r="DC15" s="760"/>
      <c r="DD15" s="760"/>
      <c r="DE15" s="760"/>
      <c r="DF15" s="760"/>
      <c r="DG15" s="760"/>
      <c r="DH15" s="760"/>
      <c r="DI15" s="760"/>
      <c r="DJ15" s="760"/>
      <c r="DK15" s="760"/>
      <c r="DL15" s="760"/>
      <c r="DM15" s="760"/>
      <c r="DN15" s="760"/>
      <c r="DO15" s="760"/>
      <c r="DP15" s="760"/>
      <c r="DQ15" s="760"/>
      <c r="DR15" s="760"/>
      <c r="DS15" s="760"/>
      <c r="DT15" s="760"/>
      <c r="DU15" s="760"/>
      <c r="DV15" s="760"/>
      <c r="DW15" s="760"/>
      <c r="DX15" s="760"/>
      <c r="DY15" s="760"/>
      <c r="DZ15" s="760"/>
      <c r="EA15" s="760"/>
      <c r="EB15" s="760"/>
      <c r="EC15" s="865"/>
      <c r="ED15" s="865"/>
      <c r="EE15" s="865"/>
      <c r="EF15" s="865"/>
      <c r="EG15" s="865"/>
      <c r="EH15" s="865"/>
      <c r="EI15" s="865"/>
      <c r="EJ15" s="865"/>
      <c r="EK15" s="865"/>
      <c r="EL15" s="861"/>
      <c r="EM15" s="861"/>
      <c r="EN15" s="861"/>
      <c r="EO15" s="861"/>
      <c r="EP15" s="861"/>
      <c r="ER15" s="232" t="s">
        <v>822</v>
      </c>
      <c r="ES15" s="152"/>
      <c r="ET15" s="147"/>
      <c r="EU15" s="147"/>
      <c r="EV15" s="147"/>
    </row>
    <row r="16" spans="1:188">
      <c r="A16" s="862" t="s">
        <v>823</v>
      </c>
      <c r="B16" s="485">
        <v>19</v>
      </c>
      <c r="C16" s="760"/>
      <c r="D16" s="760"/>
      <c r="E16" s="760"/>
      <c r="F16" s="760"/>
      <c r="G16" s="760"/>
      <c r="H16" s="760"/>
      <c r="I16" s="760"/>
      <c r="J16" s="760"/>
      <c r="K16" s="760"/>
      <c r="L16" s="760"/>
      <c r="M16" s="760"/>
      <c r="N16" s="760"/>
      <c r="O16" s="760"/>
      <c r="P16" s="760"/>
      <c r="Q16" s="760"/>
      <c r="R16" s="760"/>
      <c r="S16" s="760"/>
      <c r="T16" s="760"/>
      <c r="U16" s="760"/>
      <c r="V16" s="760"/>
      <c r="W16" s="760"/>
      <c r="X16" s="760"/>
      <c r="Y16" s="760"/>
      <c r="Z16" s="760"/>
      <c r="AA16" s="760"/>
      <c r="AB16" s="789"/>
      <c r="AC16" s="760"/>
      <c r="AD16" s="760"/>
      <c r="AE16" s="760"/>
      <c r="AF16" s="760"/>
      <c r="AG16" s="760"/>
      <c r="AH16" s="760"/>
      <c r="AI16" s="760"/>
      <c r="AJ16" s="760"/>
      <c r="AK16" s="760"/>
      <c r="AL16" s="760"/>
      <c r="AM16" s="760"/>
      <c r="AN16" s="760"/>
      <c r="AO16" s="760"/>
      <c r="AP16" s="760"/>
      <c r="AQ16" s="760"/>
      <c r="AR16" s="789"/>
      <c r="AS16" s="789"/>
      <c r="AT16" s="760"/>
      <c r="AU16" s="760"/>
      <c r="AV16" s="760"/>
      <c r="AW16" s="760"/>
      <c r="AX16" s="760"/>
      <c r="AY16" s="760"/>
      <c r="AZ16" s="760"/>
      <c r="BA16" s="760"/>
      <c r="BB16" s="760"/>
      <c r="BC16" s="760"/>
      <c r="BD16" s="760"/>
      <c r="BE16" s="760"/>
      <c r="BF16" s="760"/>
      <c r="BG16" s="760"/>
      <c r="BH16" s="760"/>
      <c r="BI16" s="760"/>
      <c r="BJ16" s="760"/>
      <c r="BK16" s="760"/>
      <c r="BL16" s="760"/>
      <c r="BM16" s="760"/>
      <c r="BN16" s="760"/>
      <c r="BO16" s="760"/>
      <c r="BP16" s="760"/>
      <c r="BQ16" s="760"/>
      <c r="BR16" s="760"/>
      <c r="BS16" s="760"/>
      <c r="BT16" s="760"/>
      <c r="BU16" s="760"/>
      <c r="BV16" s="760"/>
      <c r="BW16" s="760"/>
      <c r="BX16" s="760"/>
      <c r="BY16" s="760"/>
      <c r="BZ16" s="760"/>
      <c r="CA16" s="760"/>
      <c r="CB16" s="760"/>
      <c r="CC16" s="760"/>
      <c r="CD16" s="760"/>
      <c r="CE16" s="760"/>
      <c r="CF16" s="760"/>
      <c r="CG16" s="760"/>
      <c r="CH16" s="760"/>
      <c r="CI16" s="760"/>
      <c r="CJ16" s="760"/>
      <c r="CK16" s="760"/>
      <c r="CL16" s="760"/>
      <c r="CM16" s="760"/>
      <c r="CN16" s="760"/>
      <c r="CO16" s="760"/>
      <c r="CP16" s="760"/>
      <c r="CQ16" s="760"/>
      <c r="CR16" s="760"/>
      <c r="CS16" s="789"/>
      <c r="CT16" s="760"/>
      <c r="CU16" s="760"/>
      <c r="CV16" s="760"/>
      <c r="CW16" s="760"/>
      <c r="CX16" s="760"/>
      <c r="CY16" s="760"/>
      <c r="CZ16" s="760"/>
      <c r="DA16" s="760"/>
      <c r="DB16" s="760"/>
      <c r="DC16" s="760"/>
      <c r="DD16" s="760"/>
      <c r="DE16" s="760"/>
      <c r="DF16" s="760"/>
      <c r="DG16" s="760"/>
      <c r="DH16" s="760"/>
      <c r="DI16" s="760"/>
      <c r="DJ16" s="760"/>
      <c r="DK16" s="760"/>
      <c r="DL16" s="760"/>
      <c r="DM16" s="760"/>
      <c r="DN16" s="760"/>
      <c r="DO16" s="760"/>
      <c r="DP16" s="760"/>
      <c r="DQ16" s="760"/>
      <c r="DR16" s="760"/>
      <c r="DS16" s="760"/>
      <c r="DT16" s="760"/>
      <c r="DU16" s="760"/>
      <c r="DV16" s="760"/>
      <c r="DW16" s="760"/>
      <c r="DX16" s="760"/>
      <c r="DY16" s="760"/>
      <c r="DZ16" s="760"/>
      <c r="EA16" s="760"/>
      <c r="EB16" s="760"/>
      <c r="EC16" s="865"/>
      <c r="ED16" s="865"/>
      <c r="EE16" s="865"/>
      <c r="EF16" s="865"/>
      <c r="EG16" s="865"/>
      <c r="EH16" s="865"/>
      <c r="EI16" s="865"/>
      <c r="EJ16" s="865"/>
      <c r="EK16" s="865"/>
      <c r="EL16" s="861"/>
      <c r="EM16" s="861"/>
      <c r="EN16" s="861"/>
      <c r="EO16" s="861"/>
      <c r="EP16" s="861"/>
      <c r="ER16" s="232" t="s">
        <v>823</v>
      </c>
      <c r="ES16" s="152"/>
      <c r="ET16" s="147"/>
      <c r="EU16" s="147"/>
      <c r="EV16" s="147"/>
    </row>
    <row r="17" spans="1:152">
      <c r="A17" s="862" t="s">
        <v>824</v>
      </c>
      <c r="B17" s="485">
        <v>20</v>
      </c>
      <c r="C17" s="760"/>
      <c r="D17" s="760"/>
      <c r="E17" s="760"/>
      <c r="F17" s="760"/>
      <c r="G17" s="760"/>
      <c r="H17" s="760"/>
      <c r="I17" s="760"/>
      <c r="J17" s="760"/>
      <c r="K17" s="760"/>
      <c r="L17" s="760"/>
      <c r="M17" s="760"/>
      <c r="N17" s="760"/>
      <c r="O17" s="760"/>
      <c r="P17" s="760"/>
      <c r="Q17" s="760"/>
      <c r="R17" s="760"/>
      <c r="S17" s="760"/>
      <c r="T17" s="760"/>
      <c r="U17" s="760"/>
      <c r="V17" s="760"/>
      <c r="W17" s="760"/>
      <c r="X17" s="760"/>
      <c r="Y17" s="760"/>
      <c r="Z17" s="760"/>
      <c r="AA17" s="760"/>
      <c r="AB17" s="789"/>
      <c r="AC17" s="760"/>
      <c r="AD17" s="760"/>
      <c r="AE17" s="760"/>
      <c r="AF17" s="760"/>
      <c r="AG17" s="760"/>
      <c r="AH17" s="760"/>
      <c r="AI17" s="760"/>
      <c r="AJ17" s="760"/>
      <c r="AK17" s="760"/>
      <c r="AL17" s="760"/>
      <c r="AM17" s="760"/>
      <c r="AN17" s="760"/>
      <c r="AO17" s="760"/>
      <c r="AP17" s="760"/>
      <c r="AQ17" s="760"/>
      <c r="AR17" s="789"/>
      <c r="AS17" s="789"/>
      <c r="AT17" s="760"/>
      <c r="AU17" s="760"/>
      <c r="AV17" s="760"/>
      <c r="AW17" s="760"/>
      <c r="AX17" s="760"/>
      <c r="AY17" s="760"/>
      <c r="AZ17" s="760"/>
      <c r="BA17" s="760"/>
      <c r="BB17" s="760"/>
      <c r="BC17" s="760"/>
      <c r="BD17" s="760"/>
      <c r="BE17" s="760"/>
      <c r="BF17" s="760"/>
      <c r="BG17" s="760"/>
      <c r="BH17" s="760"/>
      <c r="BI17" s="760"/>
      <c r="BJ17" s="760"/>
      <c r="BK17" s="760"/>
      <c r="BL17" s="760"/>
      <c r="BM17" s="760"/>
      <c r="BN17" s="760"/>
      <c r="BO17" s="760"/>
      <c r="BP17" s="760"/>
      <c r="BQ17" s="760"/>
      <c r="BR17" s="760"/>
      <c r="BS17" s="760"/>
      <c r="BT17" s="760"/>
      <c r="BU17" s="760"/>
      <c r="BV17" s="760"/>
      <c r="BW17" s="760"/>
      <c r="BX17" s="760"/>
      <c r="BY17" s="760"/>
      <c r="BZ17" s="760"/>
      <c r="CA17" s="760"/>
      <c r="CB17" s="760"/>
      <c r="CC17" s="760"/>
      <c r="CD17" s="760"/>
      <c r="CE17" s="760"/>
      <c r="CF17" s="760"/>
      <c r="CG17" s="760"/>
      <c r="CH17" s="760"/>
      <c r="CI17" s="760"/>
      <c r="CJ17" s="760"/>
      <c r="CK17" s="760"/>
      <c r="CL17" s="760"/>
      <c r="CM17" s="760"/>
      <c r="CN17" s="760"/>
      <c r="CO17" s="760"/>
      <c r="CP17" s="760"/>
      <c r="CQ17" s="760"/>
      <c r="CR17" s="760"/>
      <c r="CS17" s="789"/>
      <c r="CT17" s="760"/>
      <c r="CU17" s="760"/>
      <c r="CV17" s="760"/>
      <c r="CW17" s="760"/>
      <c r="CX17" s="760"/>
      <c r="CY17" s="760"/>
      <c r="CZ17" s="760"/>
      <c r="DA17" s="760"/>
      <c r="DB17" s="760"/>
      <c r="DC17" s="760"/>
      <c r="DD17" s="760"/>
      <c r="DE17" s="760"/>
      <c r="DF17" s="760"/>
      <c r="DG17" s="760"/>
      <c r="DH17" s="760"/>
      <c r="DI17" s="760"/>
      <c r="DJ17" s="760"/>
      <c r="DK17" s="760"/>
      <c r="DL17" s="760"/>
      <c r="DM17" s="760"/>
      <c r="DN17" s="760"/>
      <c r="DO17" s="760"/>
      <c r="DP17" s="760"/>
      <c r="DQ17" s="760"/>
      <c r="DR17" s="760"/>
      <c r="DS17" s="760"/>
      <c r="DT17" s="760"/>
      <c r="DU17" s="760"/>
      <c r="DV17" s="760"/>
      <c r="DW17" s="760"/>
      <c r="DX17" s="760"/>
      <c r="DY17" s="760"/>
      <c r="DZ17" s="760"/>
      <c r="EA17" s="760"/>
      <c r="EB17" s="760"/>
      <c r="EC17" s="865"/>
      <c r="ED17" s="865"/>
      <c r="EE17" s="865"/>
      <c r="EF17" s="865"/>
      <c r="EG17" s="865"/>
      <c r="EH17" s="865"/>
      <c r="EI17" s="865"/>
      <c r="EJ17" s="865"/>
      <c r="EK17" s="865"/>
      <c r="EL17" s="861"/>
      <c r="EM17" s="861"/>
      <c r="EN17" s="861"/>
      <c r="EO17" s="861"/>
      <c r="EP17" s="861"/>
      <c r="ER17" s="232" t="s">
        <v>824</v>
      </c>
      <c r="ES17" s="152"/>
      <c r="ET17" s="147"/>
      <c r="EU17" s="147"/>
      <c r="EV17" s="147"/>
    </row>
    <row r="18" spans="1:152" s="576" customFormat="1">
      <c r="A18" s="862" t="s">
        <v>825</v>
      </c>
      <c r="B18" s="485">
        <v>21</v>
      </c>
      <c r="C18" s="760"/>
      <c r="D18" s="760"/>
      <c r="E18" s="760"/>
      <c r="F18" s="760"/>
      <c r="G18" s="760"/>
      <c r="H18" s="760"/>
      <c r="I18" s="760"/>
      <c r="J18" s="760"/>
      <c r="K18" s="760"/>
      <c r="L18" s="760"/>
      <c r="M18" s="760"/>
      <c r="N18" s="760"/>
      <c r="O18" s="760"/>
      <c r="P18" s="760"/>
      <c r="Q18" s="760"/>
      <c r="R18" s="760"/>
      <c r="S18" s="760"/>
      <c r="T18" s="760"/>
      <c r="U18" s="760"/>
      <c r="V18" s="760"/>
      <c r="W18" s="760"/>
      <c r="X18" s="760"/>
      <c r="Y18" s="760"/>
      <c r="Z18" s="760"/>
      <c r="AA18" s="760"/>
      <c r="AB18" s="789"/>
      <c r="AC18" s="760"/>
      <c r="AD18" s="760"/>
      <c r="AE18" s="760"/>
      <c r="AF18" s="760"/>
      <c r="AG18" s="760"/>
      <c r="AH18" s="760"/>
      <c r="AI18" s="760"/>
      <c r="AJ18" s="760"/>
      <c r="AK18" s="760"/>
      <c r="AL18" s="760"/>
      <c r="AM18" s="760"/>
      <c r="AN18" s="760"/>
      <c r="AO18" s="760"/>
      <c r="AP18" s="760"/>
      <c r="AQ18" s="760"/>
      <c r="AR18" s="789"/>
      <c r="AS18" s="789"/>
      <c r="AT18" s="760"/>
      <c r="AU18" s="760"/>
      <c r="AV18" s="760"/>
      <c r="AW18" s="760"/>
      <c r="AX18" s="760"/>
      <c r="AY18" s="760"/>
      <c r="AZ18" s="760"/>
      <c r="BA18" s="760"/>
      <c r="BB18" s="760"/>
      <c r="BC18" s="760"/>
      <c r="BD18" s="760"/>
      <c r="BE18" s="760"/>
      <c r="BF18" s="760"/>
      <c r="BG18" s="760"/>
      <c r="BH18" s="760"/>
      <c r="BI18" s="760"/>
      <c r="BJ18" s="760"/>
      <c r="BK18" s="760"/>
      <c r="BL18" s="760"/>
      <c r="BM18" s="760"/>
      <c r="BN18" s="760"/>
      <c r="BO18" s="760"/>
      <c r="BP18" s="760"/>
      <c r="BQ18" s="760"/>
      <c r="BR18" s="760"/>
      <c r="BS18" s="760"/>
      <c r="BT18" s="760"/>
      <c r="BU18" s="760"/>
      <c r="BV18" s="760"/>
      <c r="BW18" s="760"/>
      <c r="BX18" s="760"/>
      <c r="BY18" s="760"/>
      <c r="BZ18" s="760"/>
      <c r="CA18" s="760"/>
      <c r="CB18" s="760"/>
      <c r="CC18" s="760"/>
      <c r="CD18" s="760"/>
      <c r="CE18" s="760"/>
      <c r="CF18" s="760"/>
      <c r="CG18" s="760"/>
      <c r="CH18" s="760"/>
      <c r="CI18" s="760"/>
      <c r="CJ18" s="760"/>
      <c r="CK18" s="760"/>
      <c r="CL18" s="760"/>
      <c r="CM18" s="760"/>
      <c r="CN18" s="760"/>
      <c r="CO18" s="760"/>
      <c r="CP18" s="760"/>
      <c r="CQ18" s="760"/>
      <c r="CR18" s="760"/>
      <c r="CS18" s="789"/>
      <c r="CT18" s="760"/>
      <c r="CU18" s="760"/>
      <c r="CV18" s="760"/>
      <c r="CW18" s="760"/>
      <c r="CX18" s="760"/>
      <c r="CY18" s="760"/>
      <c r="CZ18" s="760"/>
      <c r="DA18" s="760"/>
      <c r="DB18" s="760"/>
      <c r="DC18" s="760"/>
      <c r="DD18" s="760"/>
      <c r="DE18" s="760"/>
      <c r="DF18" s="760"/>
      <c r="DG18" s="760"/>
      <c r="DH18" s="760"/>
      <c r="DI18" s="760"/>
      <c r="DJ18" s="760"/>
      <c r="DK18" s="760"/>
      <c r="DL18" s="760"/>
      <c r="DM18" s="760"/>
      <c r="DN18" s="760"/>
      <c r="DO18" s="760"/>
      <c r="DP18" s="760"/>
      <c r="DQ18" s="760"/>
      <c r="DR18" s="760"/>
      <c r="DS18" s="760"/>
      <c r="DT18" s="760"/>
      <c r="DU18" s="760"/>
      <c r="DV18" s="760"/>
      <c r="DW18" s="760"/>
      <c r="DX18" s="760"/>
      <c r="DY18" s="760"/>
      <c r="DZ18" s="760"/>
      <c r="EA18" s="760"/>
      <c r="EB18" s="760"/>
      <c r="EC18" s="865"/>
      <c r="ED18" s="865"/>
      <c r="EE18" s="865"/>
      <c r="EF18" s="865"/>
      <c r="EG18" s="865"/>
      <c r="EH18" s="865"/>
      <c r="EI18" s="865"/>
      <c r="EJ18" s="865"/>
      <c r="EK18" s="865"/>
      <c r="EL18" s="861"/>
      <c r="EM18" s="861"/>
      <c r="EN18" s="861"/>
      <c r="EO18" s="861"/>
      <c r="EP18" s="861"/>
      <c r="EQ18" s="227"/>
      <c r="ER18" s="574" t="s">
        <v>825</v>
      </c>
      <c r="ES18" s="575"/>
      <c r="ET18" s="577"/>
      <c r="EU18" s="577"/>
      <c r="EV18" s="577"/>
    </row>
    <row r="19" spans="1:152">
      <c r="A19" s="862" t="s">
        <v>826</v>
      </c>
      <c r="B19" s="485">
        <v>22</v>
      </c>
      <c r="C19" s="760"/>
      <c r="D19" s="760"/>
      <c r="E19" s="760"/>
      <c r="F19" s="760"/>
      <c r="G19" s="760"/>
      <c r="H19" s="760"/>
      <c r="I19" s="760"/>
      <c r="J19" s="760"/>
      <c r="K19" s="760"/>
      <c r="L19" s="760"/>
      <c r="M19" s="760"/>
      <c r="N19" s="760"/>
      <c r="O19" s="760"/>
      <c r="P19" s="760"/>
      <c r="Q19" s="760"/>
      <c r="R19" s="760"/>
      <c r="S19" s="760"/>
      <c r="T19" s="760"/>
      <c r="U19" s="760"/>
      <c r="V19" s="760"/>
      <c r="W19" s="760"/>
      <c r="X19" s="760"/>
      <c r="Y19" s="760"/>
      <c r="Z19" s="760"/>
      <c r="AA19" s="760"/>
      <c r="AB19" s="789"/>
      <c r="AC19" s="760"/>
      <c r="AD19" s="760"/>
      <c r="AE19" s="760"/>
      <c r="AF19" s="760"/>
      <c r="AG19" s="760"/>
      <c r="AH19" s="760"/>
      <c r="AI19" s="760"/>
      <c r="AJ19" s="760"/>
      <c r="AK19" s="760"/>
      <c r="AL19" s="760"/>
      <c r="AM19" s="760"/>
      <c r="AN19" s="760"/>
      <c r="AO19" s="760"/>
      <c r="AP19" s="760"/>
      <c r="AQ19" s="760"/>
      <c r="AR19" s="789"/>
      <c r="AS19" s="789"/>
      <c r="AT19" s="760"/>
      <c r="AU19" s="760"/>
      <c r="AV19" s="760"/>
      <c r="AW19" s="760"/>
      <c r="AX19" s="760"/>
      <c r="AY19" s="760"/>
      <c r="AZ19" s="760"/>
      <c r="BA19" s="760"/>
      <c r="BB19" s="760"/>
      <c r="BC19" s="760"/>
      <c r="BD19" s="760"/>
      <c r="BE19" s="760"/>
      <c r="BF19" s="760"/>
      <c r="BG19" s="760"/>
      <c r="BH19" s="760"/>
      <c r="BI19" s="760"/>
      <c r="BJ19" s="760"/>
      <c r="BK19" s="760"/>
      <c r="BL19" s="760"/>
      <c r="BM19" s="760"/>
      <c r="BN19" s="760"/>
      <c r="BO19" s="760"/>
      <c r="BP19" s="760"/>
      <c r="BQ19" s="760"/>
      <c r="BR19" s="760"/>
      <c r="BS19" s="760"/>
      <c r="BT19" s="760"/>
      <c r="BU19" s="760"/>
      <c r="BV19" s="760"/>
      <c r="BW19" s="760"/>
      <c r="BX19" s="760"/>
      <c r="BY19" s="760"/>
      <c r="BZ19" s="760"/>
      <c r="CA19" s="760"/>
      <c r="CB19" s="760"/>
      <c r="CC19" s="760"/>
      <c r="CD19" s="760"/>
      <c r="CE19" s="760"/>
      <c r="CF19" s="760"/>
      <c r="CG19" s="760"/>
      <c r="CH19" s="760"/>
      <c r="CI19" s="760"/>
      <c r="CJ19" s="760"/>
      <c r="CK19" s="760"/>
      <c r="CL19" s="760"/>
      <c r="CM19" s="760"/>
      <c r="CN19" s="760"/>
      <c r="CO19" s="760"/>
      <c r="CP19" s="760"/>
      <c r="CQ19" s="760"/>
      <c r="CR19" s="760"/>
      <c r="CS19" s="789"/>
      <c r="CT19" s="760"/>
      <c r="CU19" s="760"/>
      <c r="CV19" s="760"/>
      <c r="CW19" s="760"/>
      <c r="CX19" s="760"/>
      <c r="CY19" s="760"/>
      <c r="CZ19" s="760"/>
      <c r="DA19" s="760"/>
      <c r="DB19" s="760"/>
      <c r="DC19" s="760"/>
      <c r="DD19" s="760"/>
      <c r="DE19" s="760"/>
      <c r="DF19" s="760"/>
      <c r="DG19" s="760"/>
      <c r="DH19" s="760"/>
      <c r="DI19" s="760"/>
      <c r="DJ19" s="760"/>
      <c r="DK19" s="760"/>
      <c r="DL19" s="760"/>
      <c r="DM19" s="760"/>
      <c r="DN19" s="760"/>
      <c r="DO19" s="760"/>
      <c r="DP19" s="760"/>
      <c r="DQ19" s="760"/>
      <c r="DR19" s="760"/>
      <c r="DS19" s="760"/>
      <c r="DT19" s="760"/>
      <c r="DU19" s="760"/>
      <c r="DV19" s="760"/>
      <c r="DW19" s="760"/>
      <c r="DX19" s="760"/>
      <c r="DY19" s="760"/>
      <c r="DZ19" s="760"/>
      <c r="EA19" s="760"/>
      <c r="EB19" s="760"/>
      <c r="EC19" s="865"/>
      <c r="ED19" s="865"/>
      <c r="EE19" s="865"/>
      <c r="EF19" s="865"/>
      <c r="EG19" s="865"/>
      <c r="EH19" s="865"/>
      <c r="EI19" s="865"/>
      <c r="EJ19" s="865"/>
      <c r="EK19" s="865"/>
      <c r="EL19" s="861"/>
      <c r="EM19" s="861"/>
      <c r="EN19" s="861"/>
      <c r="EO19" s="861"/>
      <c r="EP19" s="861"/>
      <c r="ER19" s="232" t="s">
        <v>826</v>
      </c>
      <c r="ES19" s="152"/>
      <c r="ET19" s="147"/>
      <c r="EU19" s="147"/>
      <c r="EV19" s="147"/>
    </row>
    <row r="20" spans="1:152" ht="15.75" thickBot="1">
      <c r="A20" s="862" t="s">
        <v>827</v>
      </c>
      <c r="B20" s="485">
        <v>23</v>
      </c>
      <c r="C20" s="760"/>
      <c r="D20" s="760"/>
      <c r="E20" s="760"/>
      <c r="F20" s="760"/>
      <c r="G20" s="760"/>
      <c r="H20" s="760"/>
      <c r="I20" s="760"/>
      <c r="J20" s="760"/>
      <c r="K20" s="760"/>
      <c r="L20" s="760"/>
      <c r="M20" s="760"/>
      <c r="N20" s="760"/>
      <c r="O20" s="760"/>
      <c r="P20" s="760"/>
      <c r="Q20" s="760"/>
      <c r="R20" s="760"/>
      <c r="S20" s="760"/>
      <c r="T20" s="760"/>
      <c r="U20" s="760"/>
      <c r="V20" s="760"/>
      <c r="W20" s="760"/>
      <c r="X20" s="760"/>
      <c r="Y20" s="760"/>
      <c r="Z20" s="760"/>
      <c r="AA20" s="760"/>
      <c r="AB20" s="789"/>
      <c r="AC20" s="760"/>
      <c r="AD20" s="760"/>
      <c r="AE20" s="760"/>
      <c r="AF20" s="760"/>
      <c r="AG20" s="760"/>
      <c r="AH20" s="760"/>
      <c r="AI20" s="760"/>
      <c r="AJ20" s="760"/>
      <c r="AK20" s="760"/>
      <c r="AL20" s="760"/>
      <c r="AM20" s="760"/>
      <c r="AN20" s="760"/>
      <c r="AO20" s="760"/>
      <c r="AP20" s="760"/>
      <c r="AQ20" s="760"/>
      <c r="AR20" s="789"/>
      <c r="AS20" s="789"/>
      <c r="AT20" s="760"/>
      <c r="AU20" s="760"/>
      <c r="AV20" s="760"/>
      <c r="AW20" s="760"/>
      <c r="AX20" s="760"/>
      <c r="AY20" s="760"/>
      <c r="AZ20" s="760"/>
      <c r="BA20" s="760"/>
      <c r="BB20" s="760"/>
      <c r="BC20" s="760"/>
      <c r="BD20" s="760"/>
      <c r="BE20" s="760"/>
      <c r="BF20" s="760"/>
      <c r="BG20" s="760"/>
      <c r="BH20" s="760"/>
      <c r="BI20" s="760"/>
      <c r="BJ20" s="760"/>
      <c r="BK20" s="760"/>
      <c r="BL20" s="760"/>
      <c r="BM20" s="760"/>
      <c r="BN20" s="760"/>
      <c r="BO20" s="760"/>
      <c r="BP20" s="760"/>
      <c r="BQ20" s="760"/>
      <c r="BR20" s="760"/>
      <c r="BS20" s="760"/>
      <c r="BT20" s="760"/>
      <c r="BU20" s="760"/>
      <c r="BV20" s="760"/>
      <c r="BW20" s="760"/>
      <c r="BX20" s="760"/>
      <c r="BY20" s="760"/>
      <c r="BZ20" s="760"/>
      <c r="CA20" s="760"/>
      <c r="CB20" s="760"/>
      <c r="CC20" s="760"/>
      <c r="CD20" s="760"/>
      <c r="CE20" s="760"/>
      <c r="CF20" s="760"/>
      <c r="CG20" s="760"/>
      <c r="CH20" s="760"/>
      <c r="CI20" s="760"/>
      <c r="CJ20" s="760"/>
      <c r="CK20" s="760"/>
      <c r="CL20" s="760"/>
      <c r="CM20" s="760"/>
      <c r="CN20" s="760"/>
      <c r="CO20" s="760"/>
      <c r="CP20" s="760"/>
      <c r="CQ20" s="760"/>
      <c r="CR20" s="760"/>
      <c r="CS20" s="789"/>
      <c r="CT20" s="760"/>
      <c r="CU20" s="760"/>
      <c r="CV20" s="760"/>
      <c r="CW20" s="760"/>
      <c r="CX20" s="760"/>
      <c r="CY20" s="760"/>
      <c r="CZ20" s="760"/>
      <c r="DA20" s="760"/>
      <c r="DB20" s="760"/>
      <c r="DC20" s="760"/>
      <c r="DD20" s="760"/>
      <c r="DE20" s="760"/>
      <c r="DF20" s="760"/>
      <c r="DG20" s="760"/>
      <c r="DH20" s="760"/>
      <c r="DI20" s="760"/>
      <c r="DJ20" s="760"/>
      <c r="DK20" s="760"/>
      <c r="DL20" s="760"/>
      <c r="DM20" s="760"/>
      <c r="DN20" s="760"/>
      <c r="DO20" s="760"/>
      <c r="DP20" s="760"/>
      <c r="DQ20" s="760"/>
      <c r="DR20" s="760"/>
      <c r="DS20" s="760"/>
      <c r="DT20" s="760"/>
      <c r="DU20" s="760"/>
      <c r="DV20" s="760"/>
      <c r="DW20" s="760"/>
      <c r="DX20" s="760"/>
      <c r="DY20" s="760"/>
      <c r="DZ20" s="760"/>
      <c r="EA20" s="760"/>
      <c r="EB20" s="760"/>
      <c r="EC20" s="865"/>
      <c r="ED20" s="865"/>
      <c r="EE20" s="865"/>
      <c r="EF20" s="865"/>
      <c r="EG20" s="865"/>
      <c r="EH20" s="865"/>
      <c r="EI20" s="865"/>
      <c r="EJ20" s="865"/>
      <c r="EK20" s="865"/>
      <c r="EL20" s="861"/>
      <c r="EM20" s="861"/>
      <c r="EN20" s="861"/>
      <c r="EO20" s="861"/>
      <c r="EP20" s="861"/>
      <c r="ER20" s="232" t="s">
        <v>827</v>
      </c>
      <c r="ES20" s="152"/>
      <c r="ET20" s="147"/>
      <c r="EU20" s="147"/>
      <c r="EV20" s="147"/>
    </row>
    <row r="21" spans="1:152" ht="16.5" thickBot="1">
      <c r="A21" s="857" t="s">
        <v>791</v>
      </c>
      <c r="B21" s="858">
        <f>SUM(C21:EP21,ET21:EV21)</f>
        <v>7</v>
      </c>
      <c r="C21" s="859">
        <f t="shared" ref="C21:AL21" si="0">SUM(C7:C20)</f>
        <v>7</v>
      </c>
      <c r="D21" s="859">
        <f t="shared" si="0"/>
        <v>0</v>
      </c>
      <c r="E21" s="859">
        <f t="shared" ref="E21" si="1">SUM(E7:E20)</f>
        <v>0</v>
      </c>
      <c r="F21" s="859">
        <f t="shared" si="0"/>
        <v>0</v>
      </c>
      <c r="G21" s="859">
        <f t="shared" si="0"/>
        <v>0</v>
      </c>
      <c r="H21" s="859">
        <f t="shared" si="0"/>
        <v>0</v>
      </c>
      <c r="I21" s="859">
        <f t="shared" si="0"/>
        <v>0</v>
      </c>
      <c r="J21" s="859">
        <f t="shared" ref="J21" si="2">SUM(J7:J20)</f>
        <v>0</v>
      </c>
      <c r="K21" s="859">
        <f t="shared" si="0"/>
        <v>0</v>
      </c>
      <c r="L21" s="859">
        <f t="shared" si="0"/>
        <v>0</v>
      </c>
      <c r="M21" s="859">
        <f t="shared" ref="M21" si="3">SUM(M7:M20)</f>
        <v>0</v>
      </c>
      <c r="N21" s="859">
        <f t="shared" si="0"/>
        <v>0</v>
      </c>
      <c r="O21" s="859">
        <f t="shared" si="0"/>
        <v>0</v>
      </c>
      <c r="P21" s="859">
        <f t="shared" si="0"/>
        <v>0</v>
      </c>
      <c r="Q21" s="859">
        <f t="shared" si="0"/>
        <v>0</v>
      </c>
      <c r="R21" s="859">
        <f t="shared" si="0"/>
        <v>0</v>
      </c>
      <c r="S21" s="859">
        <f t="shared" si="0"/>
        <v>0</v>
      </c>
      <c r="T21" s="859">
        <f t="shared" si="0"/>
        <v>0</v>
      </c>
      <c r="U21" s="859">
        <f t="shared" si="0"/>
        <v>0</v>
      </c>
      <c r="V21" s="859">
        <f t="shared" si="0"/>
        <v>0</v>
      </c>
      <c r="W21" s="859">
        <f t="shared" si="0"/>
        <v>0</v>
      </c>
      <c r="X21" s="859">
        <f t="shared" si="0"/>
        <v>0</v>
      </c>
      <c r="Y21" s="859">
        <f t="shared" si="0"/>
        <v>0</v>
      </c>
      <c r="Z21" s="859">
        <f t="shared" si="0"/>
        <v>0</v>
      </c>
      <c r="AA21" s="859">
        <f t="shared" si="0"/>
        <v>0</v>
      </c>
      <c r="AB21" s="859">
        <f t="shared" si="0"/>
        <v>0</v>
      </c>
      <c r="AC21" s="859">
        <f t="shared" si="0"/>
        <v>0</v>
      </c>
      <c r="AD21" s="859">
        <f t="shared" si="0"/>
        <v>0</v>
      </c>
      <c r="AE21" s="859">
        <f t="shared" si="0"/>
        <v>0</v>
      </c>
      <c r="AF21" s="859">
        <f t="shared" si="0"/>
        <v>0</v>
      </c>
      <c r="AG21" s="859">
        <f t="shared" ref="AG21" si="4">SUM(AG7:AG20)</f>
        <v>0</v>
      </c>
      <c r="AH21" s="859">
        <f t="shared" si="0"/>
        <v>0</v>
      </c>
      <c r="AI21" s="859">
        <f t="shared" si="0"/>
        <v>0</v>
      </c>
      <c r="AJ21" s="859">
        <f t="shared" si="0"/>
        <v>0</v>
      </c>
      <c r="AK21" s="859">
        <f t="shared" si="0"/>
        <v>0</v>
      </c>
      <c r="AL21" s="859">
        <f t="shared" si="0"/>
        <v>0</v>
      </c>
      <c r="AM21" s="859">
        <f t="shared" ref="AM21:BS21" si="5">SUM(AM7:AM20)</f>
        <v>0</v>
      </c>
      <c r="AN21" s="859">
        <f t="shared" si="5"/>
        <v>0</v>
      </c>
      <c r="AO21" s="859">
        <f t="shared" si="5"/>
        <v>0</v>
      </c>
      <c r="AP21" s="859">
        <f t="shared" si="5"/>
        <v>0</v>
      </c>
      <c r="AQ21" s="859">
        <f t="shared" si="5"/>
        <v>0</v>
      </c>
      <c r="AR21" s="859">
        <f t="shared" si="5"/>
        <v>0</v>
      </c>
      <c r="AS21" s="859">
        <f t="shared" si="5"/>
        <v>0</v>
      </c>
      <c r="AT21" s="859">
        <f t="shared" si="5"/>
        <v>0</v>
      </c>
      <c r="AU21" s="859">
        <f t="shared" si="5"/>
        <v>0</v>
      </c>
      <c r="AV21" s="859">
        <f t="shared" si="5"/>
        <v>0</v>
      </c>
      <c r="AW21" s="859">
        <f t="shared" si="5"/>
        <v>0</v>
      </c>
      <c r="AX21" s="859">
        <f t="shared" si="5"/>
        <v>0</v>
      </c>
      <c r="AY21" s="859">
        <f t="shared" si="5"/>
        <v>0</v>
      </c>
      <c r="AZ21" s="859">
        <f t="shared" si="5"/>
        <v>0</v>
      </c>
      <c r="BA21" s="859">
        <f t="shared" si="5"/>
        <v>0</v>
      </c>
      <c r="BB21" s="859">
        <f t="shared" si="5"/>
        <v>0</v>
      </c>
      <c r="BC21" s="859">
        <f t="shared" si="5"/>
        <v>0</v>
      </c>
      <c r="BD21" s="859">
        <f t="shared" si="5"/>
        <v>0</v>
      </c>
      <c r="BE21" s="859">
        <f t="shared" si="5"/>
        <v>0</v>
      </c>
      <c r="BF21" s="859">
        <f t="shared" si="5"/>
        <v>0</v>
      </c>
      <c r="BG21" s="859">
        <f t="shared" si="5"/>
        <v>0</v>
      </c>
      <c r="BH21" s="859">
        <f t="shared" si="5"/>
        <v>0</v>
      </c>
      <c r="BI21" s="859">
        <f t="shared" si="5"/>
        <v>0</v>
      </c>
      <c r="BJ21" s="859">
        <f t="shared" ref="BJ21" si="6">SUM(BJ7:BJ20)</f>
        <v>0</v>
      </c>
      <c r="BK21" s="859">
        <f t="shared" si="5"/>
        <v>0</v>
      </c>
      <c r="BL21" s="859">
        <f t="shared" si="5"/>
        <v>0</v>
      </c>
      <c r="BM21" s="859">
        <f t="shared" si="5"/>
        <v>0</v>
      </c>
      <c r="BN21" s="859">
        <f t="shared" si="5"/>
        <v>0</v>
      </c>
      <c r="BO21" s="859">
        <f t="shared" si="5"/>
        <v>0</v>
      </c>
      <c r="BP21" s="859">
        <f t="shared" si="5"/>
        <v>0</v>
      </c>
      <c r="BQ21" s="859">
        <f t="shared" si="5"/>
        <v>0</v>
      </c>
      <c r="BR21" s="859">
        <f t="shared" si="5"/>
        <v>0</v>
      </c>
      <c r="BS21" s="859">
        <f t="shared" si="5"/>
        <v>0</v>
      </c>
      <c r="BT21" s="859">
        <f t="shared" ref="BT21:DB21" si="7">SUM(BT7:BT20)</f>
        <v>0</v>
      </c>
      <c r="BU21" s="859">
        <f t="shared" si="7"/>
        <v>0</v>
      </c>
      <c r="BV21" s="859">
        <f t="shared" si="7"/>
        <v>0</v>
      </c>
      <c r="BW21" s="859">
        <f t="shared" si="7"/>
        <v>0</v>
      </c>
      <c r="BX21" s="859">
        <f t="shared" si="7"/>
        <v>0</v>
      </c>
      <c r="BY21" s="859">
        <f t="shared" si="7"/>
        <v>0</v>
      </c>
      <c r="BZ21" s="859">
        <f t="shared" ref="BZ21" si="8">SUM(BZ7:BZ20)</f>
        <v>0</v>
      </c>
      <c r="CA21" s="859">
        <f t="shared" si="7"/>
        <v>0</v>
      </c>
      <c r="CB21" s="859">
        <f t="shared" si="7"/>
        <v>0</v>
      </c>
      <c r="CC21" s="859">
        <f t="shared" ref="CC21" si="9">SUM(CC7:CC20)</f>
        <v>0</v>
      </c>
      <c r="CD21" s="859">
        <f t="shared" si="7"/>
        <v>0</v>
      </c>
      <c r="CE21" s="859">
        <f t="shared" si="7"/>
        <v>0</v>
      </c>
      <c r="CF21" s="859">
        <f t="shared" si="7"/>
        <v>0</v>
      </c>
      <c r="CG21" s="859">
        <f t="shared" si="7"/>
        <v>0</v>
      </c>
      <c r="CH21" s="859">
        <f t="shared" si="7"/>
        <v>0</v>
      </c>
      <c r="CI21" s="859">
        <f t="shared" si="7"/>
        <v>0</v>
      </c>
      <c r="CJ21" s="859">
        <f t="shared" si="7"/>
        <v>0</v>
      </c>
      <c r="CK21" s="859">
        <f t="shared" si="7"/>
        <v>0</v>
      </c>
      <c r="CL21" s="859">
        <f t="shared" si="7"/>
        <v>0</v>
      </c>
      <c r="CM21" s="859">
        <f t="shared" si="7"/>
        <v>0</v>
      </c>
      <c r="CN21" s="859">
        <f t="shared" si="7"/>
        <v>0</v>
      </c>
      <c r="CO21" s="859">
        <f t="shared" si="7"/>
        <v>0</v>
      </c>
      <c r="CP21" s="859">
        <f t="shared" si="7"/>
        <v>0</v>
      </c>
      <c r="CQ21" s="859">
        <f t="shared" si="7"/>
        <v>0</v>
      </c>
      <c r="CR21" s="859">
        <f t="shared" si="7"/>
        <v>0</v>
      </c>
      <c r="CS21" s="859">
        <f t="shared" si="7"/>
        <v>0</v>
      </c>
      <c r="CT21" s="859">
        <f t="shared" si="7"/>
        <v>0</v>
      </c>
      <c r="CU21" s="859">
        <f t="shared" si="7"/>
        <v>0</v>
      </c>
      <c r="CV21" s="859">
        <f t="shared" si="7"/>
        <v>0</v>
      </c>
      <c r="CW21" s="859">
        <f t="shared" ref="CW21" si="10">SUM(CW7:CW20)</f>
        <v>0</v>
      </c>
      <c r="CX21" s="859">
        <f t="shared" si="7"/>
        <v>0</v>
      </c>
      <c r="CY21" s="859">
        <f t="shared" si="7"/>
        <v>0</v>
      </c>
      <c r="CZ21" s="859">
        <f t="shared" si="7"/>
        <v>0</v>
      </c>
      <c r="DA21" s="859">
        <f t="shared" si="7"/>
        <v>0</v>
      </c>
      <c r="DB21" s="859">
        <f t="shared" si="7"/>
        <v>0</v>
      </c>
      <c r="DC21" s="859">
        <f t="shared" ref="DC21:EJ21" si="11">SUM(DC7:DC20)</f>
        <v>0</v>
      </c>
      <c r="DD21" s="859">
        <f t="shared" si="11"/>
        <v>0</v>
      </c>
      <c r="DE21" s="859">
        <f t="shared" si="11"/>
        <v>0</v>
      </c>
      <c r="DF21" s="859">
        <f t="shared" si="11"/>
        <v>0</v>
      </c>
      <c r="DG21" s="859">
        <f t="shared" si="11"/>
        <v>0</v>
      </c>
      <c r="DH21" s="859">
        <f t="shared" si="11"/>
        <v>0</v>
      </c>
      <c r="DI21" s="859">
        <f t="shared" si="11"/>
        <v>0</v>
      </c>
      <c r="DJ21" s="859">
        <f t="shared" si="11"/>
        <v>0</v>
      </c>
      <c r="DK21" s="859">
        <f t="shared" si="11"/>
        <v>0</v>
      </c>
      <c r="DL21" s="859">
        <f t="shared" si="11"/>
        <v>0</v>
      </c>
      <c r="DM21" s="859">
        <f t="shared" si="11"/>
        <v>0</v>
      </c>
      <c r="DN21" s="859">
        <f t="shared" si="11"/>
        <v>0</v>
      </c>
      <c r="DO21" s="859">
        <f t="shared" si="11"/>
        <v>0</v>
      </c>
      <c r="DP21" s="859">
        <f t="shared" si="11"/>
        <v>0</v>
      </c>
      <c r="DQ21" s="859">
        <f t="shared" ref="DQ21" si="12">SUM(DQ7:DQ20)</f>
        <v>0</v>
      </c>
      <c r="DR21" s="859">
        <f t="shared" si="11"/>
        <v>0</v>
      </c>
      <c r="DS21" s="859">
        <f t="shared" si="11"/>
        <v>0</v>
      </c>
      <c r="DT21" s="859">
        <f t="shared" si="11"/>
        <v>0</v>
      </c>
      <c r="DU21" s="859">
        <f t="shared" si="11"/>
        <v>0</v>
      </c>
      <c r="DV21" s="859">
        <f t="shared" si="11"/>
        <v>0</v>
      </c>
      <c r="DW21" s="859">
        <f t="shared" ref="DW21" si="13">SUM(DW7:DW20)</f>
        <v>0</v>
      </c>
      <c r="DX21" s="859">
        <f t="shared" si="11"/>
        <v>0</v>
      </c>
      <c r="DY21" s="859">
        <f t="shared" si="11"/>
        <v>0</v>
      </c>
      <c r="DZ21" s="859">
        <f t="shared" si="11"/>
        <v>0</v>
      </c>
      <c r="EA21" s="859">
        <f t="shared" si="11"/>
        <v>0</v>
      </c>
      <c r="EB21" s="859">
        <f t="shared" si="11"/>
        <v>0</v>
      </c>
      <c r="EC21" s="859">
        <f t="shared" si="11"/>
        <v>0</v>
      </c>
      <c r="ED21" s="859">
        <f t="shared" si="11"/>
        <v>0</v>
      </c>
      <c r="EE21" s="859">
        <f t="shared" si="11"/>
        <v>0</v>
      </c>
      <c r="EF21" s="859">
        <f t="shared" si="11"/>
        <v>0</v>
      </c>
      <c r="EG21" s="859">
        <f t="shared" si="11"/>
        <v>0</v>
      </c>
      <c r="EH21" s="859">
        <f t="shared" si="11"/>
        <v>0</v>
      </c>
      <c r="EI21" s="859">
        <f t="shared" si="11"/>
        <v>0</v>
      </c>
      <c r="EJ21" s="859">
        <f t="shared" si="11"/>
        <v>0</v>
      </c>
      <c r="EK21" s="859">
        <f t="shared" ref="EK21:EO21" si="14">SUM(EK7:EK20)</f>
        <v>0</v>
      </c>
      <c r="EL21" s="859">
        <f t="shared" si="14"/>
        <v>0</v>
      </c>
      <c r="EM21" s="859">
        <f t="shared" si="14"/>
        <v>0</v>
      </c>
      <c r="EN21" s="859">
        <f t="shared" si="14"/>
        <v>0</v>
      </c>
      <c r="EO21" s="859">
        <f t="shared" si="14"/>
        <v>0</v>
      </c>
      <c r="EP21" s="859"/>
      <c r="ER21" s="175" t="s">
        <v>791</v>
      </c>
      <c r="ES21" s="176">
        <f>SUM(ET21:EV21)</f>
        <v>0</v>
      </c>
      <c r="ET21" s="147">
        <f>SUM(ET7:ET20)</f>
        <v>0</v>
      </c>
      <c r="EU21" s="147">
        <f>SUM(EU7:EU20)</f>
        <v>0</v>
      </c>
      <c r="EV21" s="147">
        <f>SUM(EV7:EV20)</f>
        <v>0</v>
      </c>
    </row>
    <row r="22" spans="1:152" ht="15.75" thickBot="1">
      <c r="A22" s="227">
        <f>B22-B21</f>
        <v>444.5</v>
      </c>
      <c r="B22" s="227">
        <v>451.5</v>
      </c>
    </row>
    <row r="23" spans="1:152" ht="15.75" thickBot="1">
      <c r="A23" s="1027" t="s">
        <v>828</v>
      </c>
      <c r="B23" s="1028"/>
      <c r="C23" s="1030"/>
      <c r="D23" s="1030"/>
      <c r="E23" s="1028"/>
      <c r="F23" s="1028"/>
      <c r="G23" s="1028"/>
      <c r="H23" s="1028"/>
      <c r="I23" s="1028"/>
      <c r="J23" s="1028"/>
      <c r="K23" s="1028"/>
      <c r="L23" s="1028"/>
      <c r="M23" s="1029"/>
      <c r="N23" s="1024" t="s">
        <v>820</v>
      </c>
      <c r="O23" s="1025"/>
      <c r="P23" s="1025"/>
      <c r="Q23" s="1025"/>
      <c r="R23" s="1026"/>
    </row>
    <row r="24" spans="1:152" ht="82.5">
      <c r="A24" s="228"/>
      <c r="B24" s="247" t="str">
        <f>B6</f>
        <v>Jan</v>
      </c>
      <c r="C24" s="966" t="s">
        <v>441</v>
      </c>
      <c r="D24" s="968" t="s">
        <v>338</v>
      </c>
      <c r="E24" s="231"/>
      <c r="F24" s="231"/>
      <c r="G24" s="231"/>
      <c r="H24" s="231"/>
      <c r="I24" s="231"/>
      <c r="J24" s="231"/>
      <c r="K24" s="231"/>
      <c r="L24" s="231"/>
      <c r="M24" s="231"/>
      <c r="N24" s="231"/>
      <c r="O24" s="231"/>
      <c r="P24" s="231"/>
      <c r="Q24" s="231"/>
      <c r="R24" s="229"/>
      <c r="T24" s="228"/>
      <c r="U24" s="247"/>
      <c r="V24" s="369"/>
      <c r="W24" s="369"/>
      <c r="X24" s="369"/>
    </row>
    <row r="25" spans="1:152">
      <c r="A25" s="232" t="s">
        <v>821</v>
      </c>
      <c r="B25" s="247">
        <f t="shared" ref="B25:B38" si="15">B7</f>
        <v>10</v>
      </c>
      <c r="C25" s="258"/>
      <c r="D25" s="152">
        <v>7</v>
      </c>
      <c r="E25" s="152"/>
      <c r="F25" s="152"/>
      <c r="G25" s="152"/>
      <c r="H25" s="234"/>
      <c r="I25" s="152"/>
      <c r="J25" s="152"/>
      <c r="K25" s="152"/>
      <c r="L25" s="152"/>
      <c r="M25" s="152"/>
      <c r="N25" s="152"/>
      <c r="O25" s="152"/>
      <c r="P25" s="152"/>
      <c r="Q25" s="152"/>
      <c r="R25" s="152"/>
      <c r="T25" s="232" t="s">
        <v>821</v>
      </c>
      <c r="U25" s="152"/>
      <c r="V25" s="147"/>
      <c r="W25" s="147"/>
      <c r="X25" s="147"/>
    </row>
    <row r="26" spans="1:152">
      <c r="A26" s="232" t="s">
        <v>822</v>
      </c>
      <c r="B26" s="247">
        <f t="shared" si="15"/>
        <v>11</v>
      </c>
      <c r="C26" s="164">
        <v>13</v>
      </c>
      <c r="D26" s="152">
        <v>8</v>
      </c>
      <c r="E26" s="152"/>
      <c r="F26" s="152"/>
      <c r="G26" s="152"/>
      <c r="H26" s="234"/>
      <c r="I26" s="152"/>
      <c r="J26" s="152"/>
      <c r="K26" s="152"/>
      <c r="L26" s="152"/>
      <c r="M26" s="152"/>
      <c r="N26" s="152"/>
      <c r="O26" s="152"/>
      <c r="P26" s="152"/>
      <c r="Q26" s="152"/>
      <c r="R26" s="152"/>
      <c r="T26" s="232" t="s">
        <v>822</v>
      </c>
      <c r="U26" s="152"/>
      <c r="V26" s="147"/>
      <c r="W26" s="147"/>
      <c r="X26" s="147"/>
    </row>
    <row r="27" spans="1:152">
      <c r="A27" s="232" t="s">
        <v>823</v>
      </c>
      <c r="B27" s="247">
        <f t="shared" si="15"/>
        <v>12</v>
      </c>
      <c r="C27" s="164">
        <v>7</v>
      </c>
      <c r="D27" s="258"/>
      <c r="E27" s="152"/>
      <c r="F27" s="152"/>
      <c r="G27" s="152"/>
      <c r="H27" s="234"/>
      <c r="I27" s="152"/>
      <c r="J27" s="152"/>
      <c r="K27" s="152"/>
      <c r="L27" s="152"/>
      <c r="M27" s="152"/>
      <c r="N27" s="152"/>
      <c r="O27" s="152"/>
      <c r="P27" s="152"/>
      <c r="Q27" s="152"/>
      <c r="R27" s="152"/>
      <c r="T27" s="232" t="s">
        <v>823</v>
      </c>
      <c r="U27" s="152"/>
      <c r="V27" s="147"/>
      <c r="W27" s="147"/>
      <c r="X27" s="147"/>
    </row>
    <row r="28" spans="1:152">
      <c r="A28" s="232" t="s">
        <v>824</v>
      </c>
      <c r="B28" s="247">
        <f t="shared" si="15"/>
        <v>13</v>
      </c>
      <c r="C28" s="164">
        <v>7</v>
      </c>
      <c r="D28" s="152">
        <v>7.5</v>
      </c>
      <c r="E28" s="152"/>
      <c r="F28" s="152"/>
      <c r="G28" s="152"/>
      <c r="H28" s="234"/>
      <c r="I28" s="152"/>
      <c r="J28" s="152"/>
      <c r="K28" s="152"/>
      <c r="L28" s="152"/>
      <c r="M28" s="152"/>
      <c r="N28" s="152"/>
      <c r="O28" s="152"/>
      <c r="P28" s="152"/>
      <c r="Q28" s="152"/>
      <c r="R28" s="152"/>
      <c r="T28" s="232" t="s">
        <v>824</v>
      </c>
      <c r="U28" s="152"/>
      <c r="V28" s="147"/>
      <c r="W28" s="147"/>
      <c r="X28" s="147"/>
    </row>
    <row r="29" spans="1:152">
      <c r="A29" s="232" t="s">
        <v>825</v>
      </c>
      <c r="B29" s="247">
        <f t="shared" si="15"/>
        <v>14</v>
      </c>
      <c r="C29" s="164">
        <v>7</v>
      </c>
      <c r="D29" s="152">
        <v>7.5</v>
      </c>
      <c r="E29" s="152"/>
      <c r="F29" s="152"/>
      <c r="G29" s="152"/>
      <c r="H29" s="234"/>
      <c r="I29" s="152"/>
      <c r="J29" s="152"/>
      <c r="K29" s="152"/>
      <c r="L29" s="152"/>
      <c r="M29" s="152"/>
      <c r="N29" s="152"/>
      <c r="O29" s="152"/>
      <c r="P29" s="152"/>
      <c r="Q29" s="152"/>
      <c r="R29" s="152"/>
      <c r="T29" s="232" t="s">
        <v>825</v>
      </c>
      <c r="U29" s="152"/>
      <c r="V29" s="147"/>
      <c r="W29" s="147"/>
      <c r="X29" s="147"/>
    </row>
    <row r="30" spans="1:152">
      <c r="A30" s="232" t="s">
        <v>826</v>
      </c>
      <c r="B30" s="247">
        <f t="shared" si="15"/>
        <v>15</v>
      </c>
      <c r="C30" s="164">
        <v>7</v>
      </c>
      <c r="D30" s="152">
        <v>7.5</v>
      </c>
      <c r="E30" s="152"/>
      <c r="F30" s="152"/>
      <c r="G30" s="152"/>
      <c r="H30" s="234"/>
      <c r="I30" s="152"/>
      <c r="J30" s="152"/>
      <c r="K30" s="152"/>
      <c r="L30" s="152"/>
      <c r="M30" s="152"/>
      <c r="N30" s="152"/>
      <c r="O30" s="152"/>
      <c r="P30" s="152"/>
      <c r="Q30" s="152"/>
      <c r="R30" s="152"/>
      <c r="T30" s="232" t="s">
        <v>826</v>
      </c>
      <c r="U30" s="152"/>
      <c r="V30" s="147"/>
      <c r="W30" s="147"/>
      <c r="X30" s="147"/>
    </row>
    <row r="31" spans="1:152">
      <c r="A31" s="232" t="s">
        <v>827</v>
      </c>
      <c r="B31" s="247">
        <f t="shared" si="15"/>
        <v>16</v>
      </c>
      <c r="C31" s="258"/>
      <c r="D31" s="152">
        <v>7</v>
      </c>
      <c r="E31" s="152"/>
      <c r="F31" s="152"/>
      <c r="G31" s="152"/>
      <c r="H31" s="152"/>
      <c r="I31" s="152"/>
      <c r="J31" s="152"/>
      <c r="K31" s="152"/>
      <c r="L31" s="152"/>
      <c r="M31" s="152"/>
      <c r="N31" s="152"/>
      <c r="O31" s="152"/>
      <c r="P31" s="152"/>
      <c r="Q31" s="152"/>
      <c r="R31" s="152"/>
      <c r="T31" s="232" t="s">
        <v>827</v>
      </c>
      <c r="U31" s="152"/>
      <c r="V31" s="147"/>
      <c r="W31" s="147"/>
      <c r="X31" s="147"/>
    </row>
    <row r="32" spans="1:152">
      <c r="A32" s="232" t="s">
        <v>821</v>
      </c>
      <c r="B32" s="247">
        <f t="shared" si="15"/>
        <v>17</v>
      </c>
      <c r="C32" s="164">
        <v>13</v>
      </c>
      <c r="D32" s="152">
        <v>6</v>
      </c>
      <c r="E32" s="152"/>
      <c r="F32" s="152"/>
      <c r="G32" s="152"/>
      <c r="H32" s="152"/>
      <c r="I32" s="152"/>
      <c r="J32" s="152"/>
      <c r="K32" s="152"/>
      <c r="L32" s="152"/>
      <c r="M32" s="152"/>
      <c r="N32" s="152"/>
      <c r="O32" s="152"/>
      <c r="P32" s="152"/>
      <c r="Q32" s="152"/>
      <c r="R32" s="152"/>
      <c r="T32" s="232" t="s">
        <v>821</v>
      </c>
      <c r="U32" s="152"/>
      <c r="V32" s="147"/>
      <c r="W32" s="147"/>
      <c r="X32" s="147"/>
    </row>
    <row r="33" spans="1:52">
      <c r="A33" s="232" t="s">
        <v>822</v>
      </c>
      <c r="B33" s="247">
        <f t="shared" si="15"/>
        <v>18</v>
      </c>
      <c r="C33" s="258"/>
      <c r="D33" s="152">
        <v>6</v>
      </c>
      <c r="E33" s="152"/>
      <c r="F33" s="152"/>
      <c r="G33" s="152"/>
      <c r="H33" s="152"/>
      <c r="I33" s="152"/>
      <c r="J33" s="152"/>
      <c r="K33" s="152"/>
      <c r="L33" s="152"/>
      <c r="M33" s="152"/>
      <c r="N33" s="152"/>
      <c r="O33" s="152"/>
      <c r="P33" s="152"/>
      <c r="Q33" s="152"/>
      <c r="R33" s="152"/>
      <c r="T33" s="232" t="s">
        <v>822</v>
      </c>
      <c r="U33" s="152"/>
      <c r="V33" s="147"/>
      <c r="W33" s="147"/>
      <c r="X33" s="147"/>
    </row>
    <row r="34" spans="1:52">
      <c r="A34" s="232" t="s">
        <v>823</v>
      </c>
      <c r="B34" s="247">
        <f t="shared" si="15"/>
        <v>19</v>
      </c>
      <c r="C34" s="164">
        <v>7</v>
      </c>
      <c r="D34" s="258"/>
      <c r="E34" s="152"/>
      <c r="F34" s="152"/>
      <c r="G34" s="152"/>
      <c r="H34" s="152"/>
      <c r="I34" s="152"/>
      <c r="J34" s="152"/>
      <c r="K34" s="152"/>
      <c r="L34" s="152"/>
      <c r="M34" s="152"/>
      <c r="N34" s="152"/>
      <c r="O34" s="152"/>
      <c r="P34" s="152"/>
      <c r="Q34" s="152"/>
      <c r="R34" s="152"/>
      <c r="T34" s="232" t="s">
        <v>823</v>
      </c>
      <c r="U34" s="152"/>
      <c r="V34" s="147"/>
      <c r="W34" s="147"/>
      <c r="X34" s="147"/>
    </row>
    <row r="35" spans="1:52">
      <c r="A35" s="232" t="s">
        <v>824</v>
      </c>
      <c r="B35" s="247">
        <f t="shared" si="15"/>
        <v>20</v>
      </c>
      <c r="C35" s="164">
        <v>7</v>
      </c>
      <c r="D35" s="258"/>
      <c r="E35" s="152"/>
      <c r="F35" s="152"/>
      <c r="G35" s="152"/>
      <c r="H35" s="152"/>
      <c r="I35" s="152"/>
      <c r="J35" s="152"/>
      <c r="K35" s="152"/>
      <c r="L35" s="152"/>
      <c r="M35" s="152"/>
      <c r="N35" s="152"/>
      <c r="O35" s="152"/>
      <c r="P35" s="152"/>
      <c r="Q35" s="152"/>
      <c r="R35" s="152"/>
      <c r="T35" s="232" t="s">
        <v>824</v>
      </c>
      <c r="U35" s="152"/>
      <c r="V35" s="147"/>
      <c r="W35" s="147"/>
      <c r="X35" s="147"/>
    </row>
    <row r="36" spans="1:52">
      <c r="A36" s="232" t="s">
        <v>825</v>
      </c>
      <c r="B36" s="247">
        <f t="shared" si="15"/>
        <v>21</v>
      </c>
      <c r="C36" s="258"/>
      <c r="D36" s="152">
        <v>7</v>
      </c>
      <c r="E36" s="152"/>
      <c r="F36" s="152"/>
      <c r="G36" s="152"/>
      <c r="H36" s="152"/>
      <c r="I36" s="152"/>
      <c r="J36" s="152"/>
      <c r="K36" s="152"/>
      <c r="L36" s="152"/>
      <c r="M36" s="152"/>
      <c r="N36" s="152"/>
      <c r="O36" s="152"/>
      <c r="P36" s="152"/>
      <c r="Q36" s="152"/>
      <c r="R36" s="152"/>
      <c r="T36" s="232" t="s">
        <v>825</v>
      </c>
      <c r="U36" s="152"/>
      <c r="V36" s="147"/>
      <c r="W36" s="147"/>
      <c r="X36" s="147"/>
    </row>
    <row r="37" spans="1:52">
      <c r="A37" s="232" t="s">
        <v>826</v>
      </c>
      <c r="B37" s="247">
        <f t="shared" si="15"/>
        <v>22</v>
      </c>
      <c r="C37" s="164">
        <v>7</v>
      </c>
      <c r="D37" s="152">
        <v>8</v>
      </c>
      <c r="E37" s="152"/>
      <c r="F37" s="152"/>
      <c r="G37" s="152"/>
      <c r="H37" s="152"/>
      <c r="I37" s="152"/>
      <c r="J37" s="152"/>
      <c r="K37" s="152"/>
      <c r="L37" s="152"/>
      <c r="M37" s="152"/>
      <c r="N37" s="152"/>
      <c r="O37" s="152"/>
      <c r="P37" s="152"/>
      <c r="Q37" s="152"/>
      <c r="R37" s="152"/>
      <c r="T37" s="232" t="s">
        <v>826</v>
      </c>
      <c r="U37" s="152"/>
      <c r="V37" s="147"/>
      <c r="W37" s="147"/>
      <c r="X37" s="147"/>
    </row>
    <row r="38" spans="1:52" ht="15.75" thickBot="1">
      <c r="A38" s="232" t="s">
        <v>827</v>
      </c>
      <c r="B38" s="247">
        <f t="shared" si="15"/>
        <v>23</v>
      </c>
      <c r="C38" s="164">
        <v>7</v>
      </c>
      <c r="D38" s="152">
        <v>7</v>
      </c>
      <c r="E38" s="152"/>
      <c r="F38" s="152"/>
      <c r="G38" s="152"/>
      <c r="H38" s="152"/>
      <c r="I38" s="152"/>
      <c r="J38" s="152"/>
      <c r="K38" s="152"/>
      <c r="L38" s="152"/>
      <c r="M38" s="152"/>
      <c r="N38" s="152"/>
      <c r="O38" s="152"/>
      <c r="P38" s="152"/>
      <c r="Q38" s="152"/>
      <c r="R38" s="152"/>
      <c r="T38" s="232" t="s">
        <v>827</v>
      </c>
      <c r="U38" s="152"/>
      <c r="V38" s="147"/>
      <c r="W38" s="147"/>
      <c r="X38" s="147"/>
    </row>
    <row r="39" spans="1:52" ht="16.5" thickBot="1">
      <c r="A39" s="175" t="s">
        <v>791</v>
      </c>
      <c r="B39" s="176">
        <f>SUM(C39:S39)+U39</f>
        <v>160.5</v>
      </c>
      <c r="C39" s="153">
        <f>SUM(C26:C38)</f>
        <v>82</v>
      </c>
      <c r="D39" s="153">
        <f>SUM(D25:D38)</f>
        <v>78.5</v>
      </c>
      <c r="E39" s="238">
        <f>SUM(E25:E38)</f>
        <v>0</v>
      </c>
      <c r="F39" s="238">
        <f t="shared" ref="F39:R39" si="16">SUM(F25:F38)</f>
        <v>0</v>
      </c>
      <c r="G39" s="238">
        <f t="shared" si="16"/>
        <v>0</v>
      </c>
      <c r="H39" s="238">
        <f>SUM(H25:H38)</f>
        <v>0</v>
      </c>
      <c r="I39" s="238">
        <f t="shared" ref="I39" si="17">SUM(I25:I38)</f>
        <v>0</v>
      </c>
      <c r="J39" s="238">
        <f>SUM(J25:J38)</f>
        <v>0</v>
      </c>
      <c r="K39" s="238">
        <f t="shared" si="16"/>
        <v>0</v>
      </c>
      <c r="L39" s="238">
        <f t="shared" si="16"/>
        <v>0</v>
      </c>
      <c r="M39" s="238">
        <f t="shared" si="16"/>
        <v>0</v>
      </c>
      <c r="N39" s="238">
        <f t="shared" si="16"/>
        <v>0</v>
      </c>
      <c r="O39" s="238">
        <f t="shared" si="16"/>
        <v>0</v>
      </c>
      <c r="P39" s="238">
        <f t="shared" si="16"/>
        <v>0</v>
      </c>
      <c r="Q39" s="238">
        <f t="shared" si="16"/>
        <v>0</v>
      </c>
      <c r="R39" s="238">
        <f t="shared" si="16"/>
        <v>0</v>
      </c>
      <c r="T39" s="175" t="s">
        <v>791</v>
      </c>
      <c r="U39" s="176">
        <f>SUM(V39:X39)</f>
        <v>0</v>
      </c>
      <c r="V39" s="147">
        <f>SUM(V25:V38)</f>
        <v>0</v>
      </c>
      <c r="W39" s="147">
        <f>SUM(W25:W38)</f>
        <v>0</v>
      </c>
      <c r="X39" s="147">
        <f>SUM(X25:X38)</f>
        <v>0</v>
      </c>
    </row>
    <row r="40" spans="1:52" ht="15.75" thickBot="1"/>
    <row r="41" spans="1:52" ht="15.75" thickBot="1">
      <c r="A41" s="1027" t="s">
        <v>831</v>
      </c>
      <c r="B41" s="1028"/>
      <c r="C41" s="1028"/>
      <c r="D41" s="1028"/>
      <c r="E41" s="1028"/>
      <c r="F41" s="1028"/>
      <c r="G41" s="1028"/>
      <c r="H41" s="1028"/>
      <c r="I41" s="1028"/>
      <c r="J41" s="1028"/>
      <c r="K41" s="1028"/>
      <c r="L41" s="1028"/>
      <c r="M41" s="1028"/>
      <c r="N41" s="1024" t="s">
        <v>820</v>
      </c>
      <c r="O41" s="1025"/>
      <c r="P41" s="1025"/>
      <c r="Q41" s="1025"/>
      <c r="R41" s="1026"/>
      <c r="S41"/>
      <c r="T41"/>
      <c r="U41"/>
      <c r="V41" s="246"/>
      <c r="W41" s="246"/>
      <c r="X41" s="246"/>
    </row>
    <row r="42" spans="1:52" ht="86.25">
      <c r="A42" s="228"/>
      <c r="B42" s="247" t="str">
        <f>B24</f>
        <v>Jan</v>
      </c>
      <c r="C42" s="632" t="s">
        <v>379</v>
      </c>
      <c r="D42" s="632" t="s">
        <v>548</v>
      </c>
      <c r="E42" s="632" t="s">
        <v>460</v>
      </c>
      <c r="F42" s="632" t="s">
        <v>832</v>
      </c>
      <c r="G42" s="632" t="s">
        <v>486</v>
      </c>
      <c r="H42" s="632" t="s">
        <v>833</v>
      </c>
      <c r="I42" s="632" t="s">
        <v>442</v>
      </c>
      <c r="J42" s="632" t="s">
        <v>395</v>
      </c>
      <c r="K42" s="632" t="s">
        <v>834</v>
      </c>
      <c r="L42" s="632" t="s">
        <v>504</v>
      </c>
      <c r="M42" s="632" t="s">
        <v>386</v>
      </c>
      <c r="N42" s="632" t="s">
        <v>835</v>
      </c>
      <c r="O42" s="632" t="s">
        <v>393</v>
      </c>
      <c r="P42" s="632" t="s">
        <v>836</v>
      </c>
      <c r="Q42" s="632" t="s">
        <v>465</v>
      </c>
      <c r="R42" s="632" t="s">
        <v>529</v>
      </c>
      <c r="S42" s="632" t="s">
        <v>237</v>
      </c>
      <c r="T42" s="632" t="s">
        <v>837</v>
      </c>
      <c r="U42" s="632" t="s">
        <v>458</v>
      </c>
      <c r="V42" s="632" t="s">
        <v>838</v>
      </c>
      <c r="W42" s="632" t="s">
        <v>235</v>
      </c>
      <c r="X42" s="632" t="s">
        <v>499</v>
      </c>
      <c r="Y42" s="632" t="s">
        <v>211</v>
      </c>
      <c r="Z42" s="632" t="s">
        <v>410</v>
      </c>
      <c r="AA42" s="632" t="s">
        <v>500</v>
      </c>
      <c r="AB42" s="632" t="s">
        <v>839</v>
      </c>
      <c r="AC42" s="632" t="s">
        <v>840</v>
      </c>
      <c r="AD42" s="632" t="s">
        <v>841</v>
      </c>
      <c r="AE42" s="632" t="s">
        <v>466</v>
      </c>
      <c r="AF42" s="632" t="s">
        <v>508</v>
      </c>
      <c r="AG42" s="632" t="s">
        <v>336</v>
      </c>
      <c r="AH42" s="632" t="s">
        <v>470</v>
      </c>
      <c r="AI42" s="632" t="s">
        <v>842</v>
      </c>
      <c r="AJ42" s="632" t="s">
        <v>843</v>
      </c>
      <c r="AK42" s="632" t="s">
        <v>844</v>
      </c>
      <c r="AL42" s="632" t="s">
        <v>845</v>
      </c>
      <c r="AM42" s="632" t="s">
        <v>846</v>
      </c>
      <c r="AN42" s="632" t="s">
        <v>537</v>
      </c>
      <c r="AO42" s="632" t="s">
        <v>473</v>
      </c>
      <c r="AP42" s="632" t="s">
        <v>234</v>
      </c>
      <c r="AQ42" s="632" t="s">
        <v>847</v>
      </c>
      <c r="AR42" s="632" t="s">
        <v>554</v>
      </c>
      <c r="AS42" s="632" t="s">
        <v>213</v>
      </c>
      <c r="AT42" s="632" t="s">
        <v>403</v>
      </c>
      <c r="AU42" s="229"/>
      <c r="AV42" s="228"/>
      <c r="AW42" s="247"/>
      <c r="AX42" s="369"/>
      <c r="AY42" s="369"/>
      <c r="AZ42" s="369"/>
    </row>
    <row r="43" spans="1:52">
      <c r="A43" s="232" t="s">
        <v>821</v>
      </c>
      <c r="B43" s="247">
        <f t="shared" ref="B43:B56" si="18">B25</f>
        <v>10</v>
      </c>
      <c r="C43" s="234"/>
      <c r="D43" s="329"/>
      <c r="E43" s="234"/>
      <c r="F43" s="234"/>
      <c r="G43" s="234"/>
      <c r="H43" s="234"/>
      <c r="I43" s="234"/>
      <c r="J43" s="234"/>
      <c r="K43" s="234"/>
      <c r="L43" s="234"/>
      <c r="M43" s="234"/>
      <c r="N43" s="234"/>
      <c r="O43" s="234"/>
      <c r="P43" s="234"/>
      <c r="Q43" s="234"/>
      <c r="R43" s="234"/>
      <c r="S43" s="234"/>
      <c r="T43" s="234"/>
      <c r="U43" s="234"/>
      <c r="V43" s="234"/>
      <c r="W43" s="329"/>
      <c r="X43" s="234"/>
      <c r="Y43" s="234"/>
      <c r="Z43" s="526"/>
      <c r="AA43" s="234"/>
      <c r="AB43" s="234"/>
      <c r="AC43" s="234"/>
      <c r="AD43" s="234"/>
      <c r="AE43" s="234"/>
      <c r="AF43" s="234"/>
      <c r="AG43" s="234"/>
      <c r="AH43" s="234"/>
      <c r="AI43" s="234"/>
      <c r="AJ43" s="234"/>
      <c r="AK43" s="234"/>
      <c r="AL43" s="234"/>
      <c r="AM43" s="234"/>
      <c r="AN43" s="234"/>
      <c r="AO43" s="234"/>
      <c r="AP43" s="234"/>
      <c r="AQ43" s="234"/>
      <c r="AR43" s="234"/>
      <c r="AS43" s="234"/>
      <c r="AT43" s="234"/>
      <c r="AU43" s="234"/>
      <c r="AV43" s="232" t="s">
        <v>821</v>
      </c>
      <c r="AW43" s="152"/>
      <c r="AX43" s="147"/>
      <c r="AY43" s="147"/>
      <c r="AZ43" s="147"/>
    </row>
    <row r="44" spans="1:52">
      <c r="A44" s="232" t="s">
        <v>822</v>
      </c>
      <c r="B44" s="247">
        <f t="shared" si="18"/>
        <v>11</v>
      </c>
      <c r="C44" s="234"/>
      <c r="D44" s="234"/>
      <c r="E44" s="234"/>
      <c r="F44" s="234"/>
      <c r="G44" s="234"/>
      <c r="H44" s="234"/>
      <c r="I44" s="234"/>
      <c r="J44" s="234"/>
      <c r="K44" s="234"/>
      <c r="L44" s="234"/>
      <c r="M44" s="234"/>
      <c r="N44" s="234"/>
      <c r="O44" s="234"/>
      <c r="P44" s="234"/>
      <c r="Q44" s="234"/>
      <c r="R44" s="234"/>
      <c r="S44" s="234"/>
      <c r="T44" s="234"/>
      <c r="U44" s="234"/>
      <c r="V44" s="234"/>
      <c r="W44" s="234"/>
      <c r="X44" s="234"/>
      <c r="Y44" s="234"/>
      <c r="Z44" s="234"/>
      <c r="AA44" s="234"/>
      <c r="AB44" s="234"/>
      <c r="AC44" s="234"/>
      <c r="AD44" s="234"/>
      <c r="AE44" s="234"/>
      <c r="AF44" s="234"/>
      <c r="AG44" s="234"/>
      <c r="AH44" s="234"/>
      <c r="AI44" s="234"/>
      <c r="AJ44" s="234"/>
      <c r="AK44" s="234"/>
      <c r="AL44" s="234"/>
      <c r="AM44" s="234"/>
      <c r="AN44" s="234"/>
      <c r="AO44" s="234"/>
      <c r="AP44" s="234"/>
      <c r="AQ44" s="234"/>
      <c r="AR44" s="234"/>
      <c r="AS44" s="234"/>
      <c r="AT44" s="234"/>
      <c r="AU44" s="234"/>
      <c r="AV44" s="232" t="s">
        <v>822</v>
      </c>
      <c r="AW44" s="152"/>
      <c r="AX44" s="147"/>
      <c r="AY44" s="147"/>
      <c r="AZ44" s="147"/>
    </row>
    <row r="45" spans="1:52">
      <c r="A45" s="232" t="s">
        <v>823</v>
      </c>
      <c r="B45" s="247">
        <f t="shared" si="18"/>
        <v>12</v>
      </c>
      <c r="C45" s="234"/>
      <c r="D45" s="234"/>
      <c r="E45" s="234"/>
      <c r="F45" s="234"/>
      <c r="G45" s="234"/>
      <c r="H45" s="234"/>
      <c r="I45" s="234"/>
      <c r="J45" s="234"/>
      <c r="K45" s="234"/>
      <c r="L45" s="234"/>
      <c r="M45" s="234"/>
      <c r="N45" s="234"/>
      <c r="O45" s="234"/>
      <c r="P45" s="234"/>
      <c r="Q45" s="234"/>
      <c r="R45" s="234"/>
      <c r="S45" s="234"/>
      <c r="T45" s="234"/>
      <c r="U45" s="234"/>
      <c r="V45" s="234"/>
      <c r="W45" s="234"/>
      <c r="X45" s="234"/>
      <c r="Y45" s="234"/>
      <c r="Z45" s="234"/>
      <c r="AA45" s="234"/>
      <c r="AB45" s="234"/>
      <c r="AC45" s="234"/>
      <c r="AD45" s="234"/>
      <c r="AE45" s="234"/>
      <c r="AF45" s="234"/>
      <c r="AG45" s="234"/>
      <c r="AH45" s="234"/>
      <c r="AI45" s="234"/>
      <c r="AJ45" s="234"/>
      <c r="AK45" s="234"/>
      <c r="AL45" s="234"/>
      <c r="AM45" s="234"/>
      <c r="AN45" s="234"/>
      <c r="AO45" s="234"/>
      <c r="AP45" s="234"/>
      <c r="AQ45" s="234"/>
      <c r="AR45" s="234"/>
      <c r="AS45" s="234"/>
      <c r="AT45" s="234"/>
      <c r="AU45" s="234"/>
      <c r="AV45" s="232" t="s">
        <v>823</v>
      </c>
      <c r="AW45" s="152"/>
      <c r="AX45" s="147"/>
      <c r="AY45" s="147"/>
      <c r="AZ45" s="147"/>
    </row>
    <row r="46" spans="1:52">
      <c r="A46" s="232" t="s">
        <v>824</v>
      </c>
      <c r="B46" s="247">
        <f t="shared" si="18"/>
        <v>13</v>
      </c>
      <c r="C46" s="234"/>
      <c r="D46" s="234"/>
      <c r="E46" s="234"/>
      <c r="F46" s="234"/>
      <c r="G46" s="234"/>
      <c r="H46" s="234"/>
      <c r="I46" s="234"/>
      <c r="J46" s="234"/>
      <c r="K46" s="234"/>
      <c r="L46" s="234"/>
      <c r="M46" s="234"/>
      <c r="N46" s="234"/>
      <c r="O46" s="234"/>
      <c r="P46" s="234"/>
      <c r="Q46" s="234"/>
      <c r="R46" s="234"/>
      <c r="S46" s="234"/>
      <c r="T46" s="234"/>
      <c r="U46" s="234"/>
      <c r="V46" s="234"/>
      <c r="W46" s="234"/>
      <c r="X46" s="234"/>
      <c r="Y46" s="234"/>
      <c r="Z46" s="234"/>
      <c r="AA46" s="234"/>
      <c r="AB46" s="234"/>
      <c r="AC46" s="234"/>
      <c r="AD46" s="234"/>
      <c r="AE46" s="234"/>
      <c r="AF46" s="234"/>
      <c r="AG46" s="234"/>
      <c r="AH46" s="234"/>
      <c r="AI46" s="234"/>
      <c r="AJ46" s="234"/>
      <c r="AK46" s="234"/>
      <c r="AL46" s="234"/>
      <c r="AM46" s="234"/>
      <c r="AN46" s="234"/>
      <c r="AO46" s="234"/>
      <c r="AP46" s="234"/>
      <c r="AQ46" s="234"/>
      <c r="AR46" s="234"/>
      <c r="AS46" s="234"/>
      <c r="AT46" s="234"/>
      <c r="AU46" s="234"/>
      <c r="AV46" s="232" t="s">
        <v>824</v>
      </c>
      <c r="AW46" s="152"/>
      <c r="AX46" s="147"/>
      <c r="AY46" s="147"/>
      <c r="AZ46" s="147"/>
    </row>
    <row r="47" spans="1:52">
      <c r="A47" s="232" t="s">
        <v>825</v>
      </c>
      <c r="B47" s="247">
        <f t="shared" si="18"/>
        <v>14</v>
      </c>
      <c r="C47" s="234"/>
      <c r="D47" s="234"/>
      <c r="E47" s="234"/>
      <c r="F47" s="234"/>
      <c r="G47" s="234"/>
      <c r="H47" s="234"/>
      <c r="I47" s="234"/>
      <c r="J47" s="234"/>
      <c r="K47" s="234"/>
      <c r="L47" s="234"/>
      <c r="M47" s="234"/>
      <c r="N47" s="234"/>
      <c r="O47" s="234"/>
      <c r="P47" s="234"/>
      <c r="Q47" s="234"/>
      <c r="R47" s="234"/>
      <c r="S47" s="234"/>
      <c r="T47" s="234"/>
      <c r="U47" s="234"/>
      <c r="V47" s="234"/>
      <c r="W47" s="234"/>
      <c r="X47" s="234"/>
      <c r="Y47" s="234"/>
      <c r="Z47" s="234"/>
      <c r="AA47" s="234"/>
      <c r="AB47" s="234"/>
      <c r="AC47" s="234"/>
      <c r="AD47" s="234"/>
      <c r="AE47" s="234"/>
      <c r="AF47" s="234"/>
      <c r="AG47" s="234"/>
      <c r="AH47" s="234"/>
      <c r="AI47" s="234"/>
      <c r="AJ47" s="234"/>
      <c r="AK47" s="234"/>
      <c r="AL47" s="234"/>
      <c r="AM47" s="234"/>
      <c r="AN47" s="234"/>
      <c r="AO47" s="234"/>
      <c r="AP47" s="234"/>
      <c r="AQ47" s="234"/>
      <c r="AR47" s="234"/>
      <c r="AS47" s="234"/>
      <c r="AT47" s="234"/>
      <c r="AU47" s="234"/>
      <c r="AV47" s="232" t="s">
        <v>825</v>
      </c>
      <c r="AW47" s="152"/>
      <c r="AX47" s="147"/>
      <c r="AY47" s="147"/>
      <c r="AZ47" s="147"/>
    </row>
    <row r="48" spans="1:52">
      <c r="A48" s="232" t="s">
        <v>826</v>
      </c>
      <c r="B48" s="247">
        <f t="shared" si="18"/>
        <v>15</v>
      </c>
      <c r="C48" s="234"/>
      <c r="D48" s="234"/>
      <c r="E48" s="234"/>
      <c r="F48" s="234"/>
      <c r="G48" s="234"/>
      <c r="H48" s="234"/>
      <c r="I48" s="234"/>
      <c r="J48" s="234"/>
      <c r="K48" s="234"/>
      <c r="L48" s="234"/>
      <c r="M48" s="234"/>
      <c r="N48" s="234"/>
      <c r="O48" s="234"/>
      <c r="P48" s="234"/>
      <c r="Q48" s="234"/>
      <c r="R48" s="234"/>
      <c r="S48" s="234"/>
      <c r="T48" s="234"/>
      <c r="U48" s="234"/>
      <c r="V48" s="234"/>
      <c r="W48" s="234"/>
      <c r="X48" s="234"/>
      <c r="Y48" s="234"/>
      <c r="Z48" s="234"/>
      <c r="AA48" s="234"/>
      <c r="AB48" s="234"/>
      <c r="AC48" s="234"/>
      <c r="AD48" s="234"/>
      <c r="AE48" s="234"/>
      <c r="AF48" s="234"/>
      <c r="AG48" s="234"/>
      <c r="AH48" s="234"/>
      <c r="AI48" s="234"/>
      <c r="AJ48" s="234"/>
      <c r="AK48" s="234"/>
      <c r="AL48" s="234"/>
      <c r="AM48" s="234"/>
      <c r="AN48" s="234"/>
      <c r="AO48" s="234"/>
      <c r="AP48" s="234"/>
      <c r="AQ48" s="234"/>
      <c r="AR48" s="234"/>
      <c r="AS48" s="234"/>
      <c r="AT48" s="234"/>
      <c r="AU48" s="234"/>
      <c r="AV48" s="232" t="s">
        <v>826</v>
      </c>
      <c r="AW48" s="152"/>
      <c r="AX48" s="147"/>
      <c r="AY48" s="147"/>
      <c r="AZ48" s="147"/>
    </row>
    <row r="49" spans="1:52">
      <c r="A49" s="232" t="s">
        <v>827</v>
      </c>
      <c r="B49" s="247">
        <f t="shared" si="18"/>
        <v>16</v>
      </c>
      <c r="C49" s="234"/>
      <c r="D49" s="234"/>
      <c r="E49" s="234"/>
      <c r="F49" s="234"/>
      <c r="G49" s="234"/>
      <c r="H49" s="234"/>
      <c r="I49" s="234"/>
      <c r="J49" s="234"/>
      <c r="K49" s="234"/>
      <c r="L49" s="234"/>
      <c r="M49" s="234"/>
      <c r="N49" s="234"/>
      <c r="O49" s="234"/>
      <c r="P49" s="234"/>
      <c r="Q49" s="234"/>
      <c r="R49" s="234"/>
      <c r="S49" s="234"/>
      <c r="T49" s="234"/>
      <c r="U49" s="234"/>
      <c r="V49" s="234"/>
      <c r="W49" s="234"/>
      <c r="X49" s="234"/>
      <c r="Y49" s="234"/>
      <c r="Z49" s="234"/>
      <c r="AA49" s="234"/>
      <c r="AB49" s="234"/>
      <c r="AC49" s="234"/>
      <c r="AD49" s="234"/>
      <c r="AE49" s="234"/>
      <c r="AF49" s="234"/>
      <c r="AG49" s="234"/>
      <c r="AH49" s="234"/>
      <c r="AI49" s="234"/>
      <c r="AJ49" s="234"/>
      <c r="AK49" s="234"/>
      <c r="AL49" s="234"/>
      <c r="AM49" s="234"/>
      <c r="AN49" s="234"/>
      <c r="AO49" s="234"/>
      <c r="AP49" s="234"/>
      <c r="AQ49" s="234"/>
      <c r="AR49" s="234"/>
      <c r="AS49" s="234"/>
      <c r="AT49" s="234"/>
      <c r="AU49" s="234"/>
      <c r="AV49" s="232" t="s">
        <v>827</v>
      </c>
      <c r="AW49" s="152"/>
      <c r="AX49" s="147"/>
      <c r="AY49" s="147"/>
      <c r="AZ49" s="147"/>
    </row>
    <row r="50" spans="1:52">
      <c r="A50" s="232" t="s">
        <v>821</v>
      </c>
      <c r="B50" s="247">
        <f t="shared" si="18"/>
        <v>17</v>
      </c>
      <c r="C50" s="604"/>
      <c r="D50" s="604"/>
      <c r="E50" s="604"/>
      <c r="F50" s="604"/>
      <c r="G50" s="604"/>
      <c r="H50" s="604"/>
      <c r="I50" s="604"/>
      <c r="J50" s="604"/>
      <c r="K50" s="604"/>
      <c r="L50" s="604"/>
      <c r="M50" s="604"/>
      <c r="N50" s="604"/>
      <c r="O50" s="604"/>
      <c r="P50" s="604"/>
      <c r="Q50" s="604"/>
      <c r="R50" s="604"/>
      <c r="S50" s="604"/>
      <c r="T50" s="604"/>
      <c r="U50" s="604"/>
      <c r="V50" s="604"/>
      <c r="W50" s="604"/>
      <c r="X50" s="604"/>
      <c r="Y50" s="604"/>
      <c r="Z50" s="604"/>
      <c r="AA50" s="604"/>
      <c r="AB50" s="604"/>
      <c r="AC50" s="604"/>
      <c r="AD50" s="604"/>
      <c r="AE50" s="604"/>
      <c r="AF50" s="604"/>
      <c r="AG50" s="604"/>
      <c r="AH50" s="604"/>
      <c r="AI50" s="604"/>
      <c r="AJ50" s="604"/>
      <c r="AK50" s="604"/>
      <c r="AL50" s="604"/>
      <c r="AM50" s="604"/>
      <c r="AN50" s="604"/>
      <c r="AO50" s="604"/>
      <c r="AP50" s="604"/>
      <c r="AQ50" s="604"/>
      <c r="AR50" s="604"/>
      <c r="AS50" s="604"/>
      <c r="AT50" s="604"/>
      <c r="AU50" s="604"/>
      <c r="AV50" s="232" t="s">
        <v>821</v>
      </c>
      <c r="AW50" s="152"/>
      <c r="AX50" s="147"/>
      <c r="AY50" s="147"/>
      <c r="AZ50" s="147"/>
    </row>
    <row r="51" spans="1:52">
      <c r="A51" s="232" t="s">
        <v>822</v>
      </c>
      <c r="B51" s="247">
        <f t="shared" si="18"/>
        <v>18</v>
      </c>
      <c r="C51" s="604"/>
      <c r="D51" s="604"/>
      <c r="E51" s="604"/>
      <c r="F51" s="604"/>
      <c r="G51" s="604"/>
      <c r="H51" s="604"/>
      <c r="I51" s="604"/>
      <c r="J51" s="604"/>
      <c r="K51" s="604"/>
      <c r="L51" s="604"/>
      <c r="M51" s="604"/>
      <c r="N51" s="604"/>
      <c r="O51" s="604"/>
      <c r="P51" s="604"/>
      <c r="Q51" s="604"/>
      <c r="R51" s="604"/>
      <c r="S51" s="604"/>
      <c r="T51" s="604"/>
      <c r="U51" s="604"/>
      <c r="V51" s="604"/>
      <c r="W51" s="604"/>
      <c r="X51" s="604"/>
      <c r="Y51" s="604"/>
      <c r="Z51" s="604"/>
      <c r="AA51" s="604"/>
      <c r="AB51" s="604"/>
      <c r="AC51" s="604"/>
      <c r="AD51" s="604"/>
      <c r="AE51" s="604"/>
      <c r="AF51" s="604"/>
      <c r="AG51" s="604"/>
      <c r="AH51" s="604"/>
      <c r="AI51" s="604"/>
      <c r="AJ51" s="604"/>
      <c r="AK51" s="604"/>
      <c r="AL51" s="604"/>
      <c r="AM51" s="604"/>
      <c r="AN51" s="604"/>
      <c r="AO51" s="604"/>
      <c r="AP51" s="604"/>
      <c r="AQ51" s="604"/>
      <c r="AR51" s="604"/>
      <c r="AS51" s="604"/>
      <c r="AT51" s="604"/>
      <c r="AU51" s="604"/>
      <c r="AV51" s="232" t="s">
        <v>822</v>
      </c>
      <c r="AW51" s="152"/>
      <c r="AX51" s="147"/>
      <c r="AY51" s="147"/>
      <c r="AZ51" s="147"/>
    </row>
    <row r="52" spans="1:52">
      <c r="A52" s="232" t="s">
        <v>823</v>
      </c>
      <c r="B52" s="247">
        <f t="shared" si="18"/>
        <v>19</v>
      </c>
      <c r="C52" s="234"/>
      <c r="D52" s="234"/>
      <c r="E52" s="234"/>
      <c r="F52" s="234"/>
      <c r="G52" s="234"/>
      <c r="H52" s="251"/>
      <c r="I52" s="251"/>
      <c r="J52" s="251"/>
      <c r="K52" s="234"/>
      <c r="L52" s="234"/>
      <c r="M52" s="251"/>
      <c r="N52" s="234"/>
      <c r="O52" s="251"/>
      <c r="P52" s="234"/>
      <c r="Q52" s="251"/>
      <c r="R52" s="234"/>
      <c r="S52" s="234"/>
      <c r="T52" s="234"/>
      <c r="U52" s="234"/>
      <c r="V52" s="234"/>
      <c r="W52" s="234"/>
      <c r="X52" s="234"/>
      <c r="Y52" s="234"/>
      <c r="Z52" s="234"/>
      <c r="AA52" s="251"/>
      <c r="AB52" s="251"/>
      <c r="AC52" s="251"/>
      <c r="AD52" s="251"/>
      <c r="AE52" s="251"/>
      <c r="AF52" s="234"/>
      <c r="AG52" s="234"/>
      <c r="AH52" s="234"/>
      <c r="AI52" s="234"/>
      <c r="AJ52" s="234"/>
      <c r="AK52" s="234"/>
      <c r="AL52" s="234"/>
      <c r="AM52" s="234"/>
      <c r="AN52" s="234"/>
      <c r="AO52" s="234"/>
      <c r="AP52" s="234"/>
      <c r="AQ52" s="234"/>
      <c r="AR52" s="234"/>
      <c r="AS52" s="234"/>
      <c r="AT52" s="234"/>
      <c r="AU52" s="234"/>
      <c r="AV52" s="232" t="s">
        <v>823</v>
      </c>
      <c r="AW52" s="152"/>
      <c r="AX52" s="147"/>
      <c r="AY52" s="147"/>
      <c r="AZ52" s="147"/>
    </row>
    <row r="53" spans="1:52">
      <c r="A53" s="232" t="s">
        <v>824</v>
      </c>
      <c r="B53" s="247">
        <f t="shared" si="18"/>
        <v>20</v>
      </c>
      <c r="C53" s="234"/>
      <c r="D53" s="234"/>
      <c r="E53" s="234"/>
      <c r="F53" s="234"/>
      <c r="G53" s="234"/>
      <c r="H53" s="152"/>
      <c r="I53" s="152"/>
      <c r="J53" s="152"/>
      <c r="K53" s="234"/>
      <c r="L53" s="234"/>
      <c r="M53" s="152"/>
      <c r="N53" s="242"/>
      <c r="O53" s="152"/>
      <c r="P53" s="234"/>
      <c r="Q53" s="152"/>
      <c r="R53" s="234"/>
      <c r="S53" s="234"/>
      <c r="T53" s="234"/>
      <c r="U53" s="234"/>
      <c r="V53" s="234"/>
      <c r="W53" s="234"/>
      <c r="X53" s="242"/>
      <c r="Y53" s="242"/>
      <c r="Z53" s="242"/>
      <c r="AA53" s="152"/>
      <c r="AB53" s="152"/>
      <c r="AC53" s="152"/>
      <c r="AD53" s="152"/>
      <c r="AE53" s="152"/>
      <c r="AF53" s="329"/>
      <c r="AG53" s="234"/>
      <c r="AH53" s="234"/>
      <c r="AI53" s="234"/>
      <c r="AJ53" s="242"/>
      <c r="AK53" s="242"/>
      <c r="AL53" s="234"/>
      <c r="AM53" s="234"/>
      <c r="AN53" s="234"/>
      <c r="AO53" s="234"/>
      <c r="AP53" s="234"/>
      <c r="AQ53" s="234"/>
      <c r="AR53" s="234"/>
      <c r="AS53" s="234"/>
      <c r="AT53" s="234"/>
      <c r="AU53" s="234"/>
      <c r="AV53" s="232" t="s">
        <v>824</v>
      </c>
      <c r="AW53" s="152"/>
      <c r="AX53" s="147"/>
      <c r="AY53" s="147"/>
      <c r="AZ53" s="147"/>
    </row>
    <row r="54" spans="1:52">
      <c r="A54" s="232" t="s">
        <v>825</v>
      </c>
      <c r="B54" s="247">
        <f t="shared" si="18"/>
        <v>21</v>
      </c>
      <c r="C54" s="234"/>
      <c r="D54" s="234"/>
      <c r="E54" s="234"/>
      <c r="F54" s="234"/>
      <c r="G54" s="234"/>
      <c r="H54" s="250"/>
      <c r="I54" s="250"/>
      <c r="J54" s="250"/>
      <c r="K54" s="234"/>
      <c r="L54" s="234"/>
      <c r="M54" s="250"/>
      <c r="N54" s="234"/>
      <c r="O54" s="250"/>
      <c r="P54" s="234"/>
      <c r="Q54" s="250"/>
      <c r="R54" s="234"/>
      <c r="S54" s="234"/>
      <c r="T54" s="234"/>
      <c r="U54" s="234"/>
      <c r="V54" s="234"/>
      <c r="W54" s="234"/>
      <c r="X54" s="234"/>
      <c r="Y54" s="234"/>
      <c r="Z54" s="234"/>
      <c r="AA54" s="250"/>
      <c r="AB54" s="250"/>
      <c r="AC54" s="250"/>
      <c r="AD54" s="250"/>
      <c r="AE54" s="250"/>
      <c r="AF54" s="234"/>
      <c r="AG54" s="234"/>
      <c r="AH54" s="234"/>
      <c r="AI54" s="234"/>
      <c r="AJ54" s="234"/>
      <c r="AK54" s="234"/>
      <c r="AL54" s="234"/>
      <c r="AM54" s="234"/>
      <c r="AN54" s="234"/>
      <c r="AO54" s="234"/>
      <c r="AP54" s="234"/>
      <c r="AQ54" s="234"/>
      <c r="AR54" s="234"/>
      <c r="AS54" s="234"/>
      <c r="AT54" s="234"/>
      <c r="AU54" s="234"/>
      <c r="AV54" s="232" t="s">
        <v>825</v>
      </c>
      <c r="AW54" s="152"/>
      <c r="AX54" s="147"/>
      <c r="AY54" s="147"/>
      <c r="AZ54" s="147"/>
    </row>
    <row r="55" spans="1:52">
      <c r="A55" s="232" t="s">
        <v>826</v>
      </c>
      <c r="B55" s="247">
        <f t="shared" si="18"/>
        <v>22</v>
      </c>
      <c r="C55" s="234"/>
      <c r="D55" s="234"/>
      <c r="E55" s="234"/>
      <c r="F55" s="234"/>
      <c r="G55" s="234"/>
      <c r="H55" s="234"/>
      <c r="I55" s="234"/>
      <c r="J55" s="234"/>
      <c r="K55" s="234"/>
      <c r="L55" s="234"/>
      <c r="M55" s="234"/>
      <c r="N55" s="234"/>
      <c r="O55" s="234"/>
      <c r="P55" s="234"/>
      <c r="Q55" s="234"/>
      <c r="R55" s="234"/>
      <c r="S55" s="234"/>
      <c r="T55" s="234"/>
      <c r="U55" s="234"/>
      <c r="V55" s="234"/>
      <c r="W55" s="234"/>
      <c r="X55" s="234"/>
      <c r="Y55" s="234"/>
      <c r="Z55" s="234"/>
      <c r="AA55" s="234"/>
      <c r="AB55" s="234"/>
      <c r="AC55" s="234"/>
      <c r="AD55" s="234"/>
      <c r="AE55" s="234"/>
      <c r="AF55" s="234"/>
      <c r="AG55" s="234"/>
      <c r="AH55" s="234"/>
      <c r="AI55" s="234"/>
      <c r="AJ55" s="234"/>
      <c r="AK55" s="234"/>
      <c r="AL55" s="234"/>
      <c r="AM55" s="234"/>
      <c r="AN55" s="234"/>
      <c r="AO55" s="234"/>
      <c r="AP55" s="234"/>
      <c r="AQ55" s="234"/>
      <c r="AR55" s="234"/>
      <c r="AS55" s="234"/>
      <c r="AT55" s="234"/>
      <c r="AU55" s="234"/>
      <c r="AV55" s="232" t="s">
        <v>826</v>
      </c>
      <c r="AW55" s="152"/>
      <c r="AX55" s="147"/>
      <c r="AY55" s="147"/>
      <c r="AZ55" s="147"/>
    </row>
    <row r="56" spans="1:52" ht="15.75" thickBot="1">
      <c r="A56" s="232" t="s">
        <v>827</v>
      </c>
      <c r="B56" s="247">
        <f t="shared" si="18"/>
        <v>23</v>
      </c>
      <c r="C56" s="234"/>
      <c r="D56" s="234"/>
      <c r="E56" s="234"/>
      <c r="F56" s="234"/>
      <c r="G56" s="234"/>
      <c r="H56" s="234"/>
      <c r="I56" s="234"/>
      <c r="J56" s="234"/>
      <c r="K56" s="234"/>
      <c r="L56" s="234"/>
      <c r="M56" s="234"/>
      <c r="N56" s="234"/>
      <c r="O56" s="234"/>
      <c r="P56" s="234"/>
      <c r="Q56" s="234"/>
      <c r="R56" s="234"/>
      <c r="S56" s="234"/>
      <c r="T56" s="234"/>
      <c r="U56" s="234"/>
      <c r="V56" s="234"/>
      <c r="W56" s="234"/>
      <c r="X56" s="234"/>
      <c r="Y56" s="234"/>
      <c r="Z56" s="234"/>
      <c r="AA56" s="234"/>
      <c r="AB56" s="234"/>
      <c r="AC56" s="234"/>
      <c r="AD56" s="234"/>
      <c r="AE56" s="234"/>
      <c r="AF56" s="234"/>
      <c r="AG56" s="234"/>
      <c r="AH56" s="234"/>
      <c r="AI56" s="234"/>
      <c r="AJ56" s="234"/>
      <c r="AK56" s="234"/>
      <c r="AL56" s="234"/>
      <c r="AM56" s="234"/>
      <c r="AN56" s="234"/>
      <c r="AO56" s="234"/>
      <c r="AP56" s="234"/>
      <c r="AQ56" s="234"/>
      <c r="AR56" s="234"/>
      <c r="AS56" s="234"/>
      <c r="AT56" s="234"/>
      <c r="AU56" s="234"/>
      <c r="AV56" s="232" t="s">
        <v>827</v>
      </c>
      <c r="AW56" s="152"/>
      <c r="AX56" s="147"/>
      <c r="AY56" s="147"/>
      <c r="AZ56" s="147"/>
    </row>
    <row r="57" spans="1:52" ht="16.5" thickBot="1">
      <c r="A57" s="175" t="s">
        <v>791</v>
      </c>
      <c r="B57" s="176">
        <f>SUM(C57:AU57)+AW57</f>
        <v>0</v>
      </c>
      <c r="C57" s="260">
        <f>SUM(C43:C56)</f>
        <v>0</v>
      </c>
      <c r="D57" s="260">
        <f>SUM(D43:D56)</f>
        <v>0</v>
      </c>
      <c r="E57" s="260">
        <f>SUM(E43:E56)</f>
        <v>0</v>
      </c>
      <c r="F57" s="260">
        <f>SUM(F43:F56)</f>
        <v>0</v>
      </c>
      <c r="G57" s="260">
        <f>SUM(G43:G56)</f>
        <v>0</v>
      </c>
      <c r="H57" s="260">
        <f t="shared" ref="H57:P57" si="19">SUM(H43:H56)</f>
        <v>0</v>
      </c>
      <c r="I57" s="260">
        <f>SUM(I43:I56)</f>
        <v>0</v>
      </c>
      <c r="J57" s="260">
        <f t="shared" si="19"/>
        <v>0</v>
      </c>
      <c r="K57" s="260">
        <f t="shared" si="19"/>
        <v>0</v>
      </c>
      <c r="L57" s="260">
        <f t="shared" si="19"/>
        <v>0</v>
      </c>
      <c r="M57" s="260">
        <f t="shared" si="19"/>
        <v>0</v>
      </c>
      <c r="N57" s="260">
        <f t="shared" si="19"/>
        <v>0</v>
      </c>
      <c r="O57" s="260">
        <f t="shared" si="19"/>
        <v>0</v>
      </c>
      <c r="P57" s="260">
        <f t="shared" si="19"/>
        <v>0</v>
      </c>
      <c r="Q57" s="260">
        <f t="shared" ref="Q57:AG57" si="20">SUM(Q43:Q56)</f>
        <v>0</v>
      </c>
      <c r="R57" s="260">
        <f t="shared" si="20"/>
        <v>0</v>
      </c>
      <c r="S57" s="260">
        <f t="shared" si="20"/>
        <v>0</v>
      </c>
      <c r="T57" s="260">
        <f t="shared" si="20"/>
        <v>0</v>
      </c>
      <c r="U57" s="260">
        <f t="shared" si="20"/>
        <v>0</v>
      </c>
      <c r="V57" s="260">
        <f t="shared" si="20"/>
        <v>0</v>
      </c>
      <c r="W57" s="260">
        <f t="shared" si="20"/>
        <v>0</v>
      </c>
      <c r="X57" s="260">
        <f t="shared" si="20"/>
        <v>0</v>
      </c>
      <c r="Y57" s="260">
        <f t="shared" si="20"/>
        <v>0</v>
      </c>
      <c r="Z57" s="260">
        <f t="shared" si="20"/>
        <v>0</v>
      </c>
      <c r="AA57" s="260">
        <f t="shared" si="20"/>
        <v>0</v>
      </c>
      <c r="AB57" s="260">
        <f t="shared" si="20"/>
        <v>0</v>
      </c>
      <c r="AC57" s="260">
        <f t="shared" si="20"/>
        <v>0</v>
      </c>
      <c r="AD57" s="260">
        <f t="shared" si="20"/>
        <v>0</v>
      </c>
      <c r="AE57" s="260">
        <f t="shared" si="20"/>
        <v>0</v>
      </c>
      <c r="AF57" s="260">
        <f t="shared" si="20"/>
        <v>0</v>
      </c>
      <c r="AG57" s="260">
        <f t="shared" si="20"/>
        <v>0</v>
      </c>
      <c r="AH57" s="260">
        <f t="shared" ref="AH57:AU57" si="21">SUM(AH43:AH56)</f>
        <v>0</v>
      </c>
      <c r="AI57" s="260">
        <f>SUM(AI43:AI56)</f>
        <v>0</v>
      </c>
      <c r="AJ57" s="260">
        <f>SUM(AJ43:AJ56)</f>
        <v>0</v>
      </c>
      <c r="AK57" s="260">
        <f>SUM(AK43:AK56)</f>
        <v>0</v>
      </c>
      <c r="AL57" s="260">
        <f t="shared" si="21"/>
        <v>0</v>
      </c>
      <c r="AM57" s="260">
        <f>SUM(AM43:AM56)</f>
        <v>0</v>
      </c>
      <c r="AN57" s="260">
        <f t="shared" si="21"/>
        <v>0</v>
      </c>
      <c r="AO57" s="260">
        <f>SUM(AO43:AO56)</f>
        <v>0</v>
      </c>
      <c r="AP57" s="260">
        <f t="shared" si="21"/>
        <v>0</v>
      </c>
      <c r="AQ57" s="260">
        <f>SUM(AQ43:AQ56)</f>
        <v>0</v>
      </c>
      <c r="AR57" s="260">
        <f t="shared" si="21"/>
        <v>0</v>
      </c>
      <c r="AS57" s="260">
        <f t="shared" si="21"/>
        <v>0</v>
      </c>
      <c r="AT57" s="260">
        <f t="shared" si="21"/>
        <v>0</v>
      </c>
      <c r="AU57" s="260">
        <f t="shared" si="21"/>
        <v>0</v>
      </c>
      <c r="AV57" s="175" t="s">
        <v>791</v>
      </c>
      <c r="AW57" s="176">
        <f>SUM(AX57:AZ57)</f>
        <v>0</v>
      </c>
      <c r="AX57" s="147">
        <f>SUM(AX43:AX56)</f>
        <v>0</v>
      </c>
      <c r="AY57" s="147">
        <f>SUM(AY43:AY56)</f>
        <v>0</v>
      </c>
      <c r="AZ57" s="147">
        <f>SUM(AZ43:AZ56)</f>
        <v>0</v>
      </c>
    </row>
    <row r="58" spans="1:52" ht="15.75" thickBot="1"/>
    <row r="59" spans="1:52" ht="15.75" thickBot="1">
      <c r="A59" s="1024" t="s">
        <v>848</v>
      </c>
      <c r="B59" s="1025"/>
      <c r="C59" s="1025"/>
      <c r="D59" s="1025"/>
      <c r="E59" s="1025"/>
      <c r="F59" s="1025"/>
      <c r="G59" s="1025"/>
      <c r="H59" s="1025"/>
      <c r="I59" s="1025"/>
      <c r="J59" s="1025"/>
      <c r="K59" s="1025"/>
      <c r="L59" s="1026"/>
      <c r="M59" s="1024" t="s">
        <v>820</v>
      </c>
      <c r="N59" s="1025"/>
      <c r="O59" s="1025"/>
      <c r="P59" s="1025"/>
      <c r="Q59" s="1026"/>
      <c r="W59" s="329"/>
      <c r="X59" s="329"/>
      <c r="Y59" s="329"/>
      <c r="Z59" s="329"/>
      <c r="AA59" s="329"/>
      <c r="AB59" s="329"/>
    </row>
    <row r="60" spans="1:52" ht="119.25">
      <c r="A60" s="228"/>
      <c r="B60" s="247" t="str">
        <f>B42</f>
        <v>Jan</v>
      </c>
      <c r="C60" s="229" t="s">
        <v>484</v>
      </c>
      <c r="D60" s="229" t="s">
        <v>581</v>
      </c>
      <c r="E60" s="245" t="s">
        <v>583</v>
      </c>
      <c r="F60" s="230" t="s">
        <v>584</v>
      </c>
      <c r="G60" s="229" t="s">
        <v>585</v>
      </c>
      <c r="H60" s="229" t="s">
        <v>239</v>
      </c>
      <c r="I60" s="247"/>
      <c r="J60" s="231" t="s">
        <v>582</v>
      </c>
      <c r="K60" s="231"/>
      <c r="L60" s="228"/>
      <c r="M60" s="247"/>
      <c r="N60" s="369"/>
      <c r="O60" s="369"/>
      <c r="P60" s="369"/>
      <c r="R60" s="329"/>
    </row>
    <row r="61" spans="1:52">
      <c r="A61" s="232" t="s">
        <v>821</v>
      </c>
      <c r="B61" s="247">
        <f t="shared" ref="B61:B74" si="22">B43</f>
        <v>10</v>
      </c>
      <c r="C61" s="234"/>
      <c r="D61" s="233"/>
      <c r="E61" s="152"/>
      <c r="F61" s="235"/>
      <c r="G61" s="234"/>
      <c r="H61" s="234"/>
      <c r="I61" s="152"/>
      <c r="J61" s="152"/>
      <c r="K61" s="152"/>
      <c r="L61" s="232" t="s">
        <v>821</v>
      </c>
      <c r="M61" s="152"/>
      <c r="N61" s="147"/>
      <c r="O61" s="147"/>
      <c r="P61" s="147"/>
      <c r="R61" s="329"/>
    </row>
    <row r="62" spans="1:52">
      <c r="A62" s="232" t="s">
        <v>822</v>
      </c>
      <c r="B62" s="247">
        <f t="shared" si="22"/>
        <v>11</v>
      </c>
      <c r="C62" s="234"/>
      <c r="D62" s="233"/>
      <c r="E62" s="152"/>
      <c r="F62" s="235"/>
      <c r="G62" s="234"/>
      <c r="H62" s="234"/>
      <c r="I62" s="152"/>
      <c r="J62" s="152"/>
      <c r="K62" s="152"/>
      <c r="L62" s="232" t="s">
        <v>822</v>
      </c>
      <c r="M62" s="152"/>
      <c r="N62" s="147"/>
      <c r="O62" s="147"/>
      <c r="P62" s="147"/>
      <c r="R62" s="329"/>
    </row>
    <row r="63" spans="1:52">
      <c r="A63" s="232" t="s">
        <v>823</v>
      </c>
      <c r="B63" s="247">
        <f t="shared" si="22"/>
        <v>12</v>
      </c>
      <c r="C63" s="464"/>
      <c r="D63" s="465"/>
      <c r="E63" s="466"/>
      <c r="F63" s="467"/>
      <c r="G63" s="464"/>
      <c r="H63" s="464"/>
      <c r="I63" s="152"/>
      <c r="J63" s="152"/>
      <c r="K63" s="152"/>
      <c r="L63" s="232" t="s">
        <v>823</v>
      </c>
      <c r="M63" s="152"/>
      <c r="N63" s="147"/>
      <c r="O63" s="147"/>
      <c r="P63" s="147"/>
      <c r="R63" s="329"/>
    </row>
    <row r="64" spans="1:52" ht="15.75">
      <c r="A64" s="232" t="s">
        <v>824</v>
      </c>
      <c r="B64" s="247">
        <f t="shared" si="22"/>
        <v>13</v>
      </c>
      <c r="C64" s="468"/>
      <c r="D64" s="465"/>
      <c r="E64" s="469"/>
      <c r="F64" s="467"/>
      <c r="G64" s="464"/>
      <c r="H64" s="464"/>
      <c r="I64" s="152"/>
      <c r="J64" s="304"/>
      <c r="K64" s="152"/>
      <c r="L64" s="232" t="s">
        <v>824</v>
      </c>
      <c r="M64" s="152"/>
      <c r="N64" s="147"/>
      <c r="O64" s="147"/>
      <c r="P64" s="147"/>
      <c r="R64" s="329"/>
    </row>
    <row r="65" spans="1:28" ht="15.75">
      <c r="A65" s="232" t="s">
        <v>825</v>
      </c>
      <c r="B65" s="247">
        <f t="shared" si="22"/>
        <v>14</v>
      </c>
      <c r="C65" s="468"/>
      <c r="D65" s="465"/>
      <c r="E65" s="470"/>
      <c r="F65" s="467"/>
      <c r="G65" s="464"/>
      <c r="H65" s="464"/>
      <c r="I65" s="152"/>
      <c r="J65" s="304"/>
      <c r="K65" s="152"/>
      <c r="L65" s="232" t="s">
        <v>825</v>
      </c>
      <c r="M65" s="152"/>
      <c r="N65" s="147"/>
      <c r="O65" s="147"/>
      <c r="P65" s="147"/>
      <c r="R65" s="329"/>
    </row>
    <row r="66" spans="1:28" ht="15.75">
      <c r="A66" s="232" t="s">
        <v>826</v>
      </c>
      <c r="B66" s="247">
        <f t="shared" si="22"/>
        <v>15</v>
      </c>
      <c r="C66" s="468"/>
      <c r="D66" s="465"/>
      <c r="E66" s="469"/>
      <c r="F66" s="467"/>
      <c r="G66" s="464"/>
      <c r="H66" s="464"/>
      <c r="I66" s="152"/>
      <c r="J66" s="304"/>
      <c r="K66" s="152"/>
      <c r="L66" s="232" t="s">
        <v>826</v>
      </c>
      <c r="M66" s="152"/>
      <c r="N66" s="147"/>
      <c r="O66" s="147"/>
      <c r="P66" s="147"/>
      <c r="R66" s="329"/>
    </row>
    <row r="67" spans="1:28" ht="15.75">
      <c r="A67" s="232" t="s">
        <v>827</v>
      </c>
      <c r="B67" s="247">
        <f t="shared" si="22"/>
        <v>16</v>
      </c>
      <c r="C67" s="468"/>
      <c r="D67" s="465"/>
      <c r="E67" s="469"/>
      <c r="F67" s="467"/>
      <c r="G67" s="464"/>
      <c r="H67" s="464"/>
      <c r="I67" s="152"/>
      <c r="J67" s="304"/>
      <c r="K67" s="152"/>
      <c r="L67" s="232" t="s">
        <v>827</v>
      </c>
      <c r="M67" s="152"/>
      <c r="N67" s="147"/>
      <c r="O67" s="147"/>
      <c r="P67" s="147"/>
      <c r="R67" s="329"/>
    </row>
    <row r="68" spans="1:28" ht="15.75">
      <c r="A68" s="232" t="s">
        <v>821</v>
      </c>
      <c r="B68" s="247">
        <f t="shared" si="22"/>
        <v>17</v>
      </c>
      <c r="C68" s="471"/>
      <c r="D68" s="465"/>
      <c r="E68" s="469"/>
      <c r="F68" s="467"/>
      <c r="G68" s="464"/>
      <c r="H68" s="464"/>
      <c r="I68" s="152"/>
      <c r="J68" s="304"/>
      <c r="K68" s="152"/>
      <c r="L68" s="232" t="s">
        <v>821</v>
      </c>
      <c r="M68" s="152"/>
      <c r="N68" s="147"/>
      <c r="O68" s="147"/>
      <c r="P68" s="147"/>
      <c r="R68" s="329"/>
    </row>
    <row r="69" spans="1:28" ht="15.75">
      <c r="A69" s="232" t="s">
        <v>822</v>
      </c>
      <c r="B69" s="247">
        <f t="shared" si="22"/>
        <v>18</v>
      </c>
      <c r="C69" s="471"/>
      <c r="D69" s="465"/>
      <c r="E69" s="469"/>
      <c r="F69" s="467"/>
      <c r="G69" s="464"/>
      <c r="H69" s="464"/>
      <c r="I69" s="152"/>
      <c r="J69" s="304"/>
      <c r="K69" s="152"/>
      <c r="L69" s="232" t="s">
        <v>822</v>
      </c>
      <c r="M69" s="152"/>
      <c r="N69" s="147"/>
      <c r="O69" s="147"/>
      <c r="P69" s="147"/>
      <c r="R69" s="329"/>
    </row>
    <row r="70" spans="1:28" ht="15.75">
      <c r="A70" s="232" t="s">
        <v>823</v>
      </c>
      <c r="B70" s="247">
        <f t="shared" si="22"/>
        <v>19</v>
      </c>
      <c r="C70" s="468"/>
      <c r="D70" s="465"/>
      <c r="E70" s="472"/>
      <c r="F70" s="467"/>
      <c r="G70" s="464"/>
      <c r="H70" s="464"/>
      <c r="I70" s="152"/>
      <c r="J70" s="413"/>
      <c r="K70" s="152"/>
      <c r="L70" s="232" t="s">
        <v>823</v>
      </c>
      <c r="M70" s="152"/>
      <c r="N70" s="147"/>
      <c r="O70" s="147"/>
      <c r="P70" s="147"/>
      <c r="R70" s="329"/>
    </row>
    <row r="71" spans="1:28" ht="15.75">
      <c r="A71" s="232" t="s">
        <v>824</v>
      </c>
      <c r="B71" s="247">
        <f t="shared" si="22"/>
        <v>20</v>
      </c>
      <c r="C71" s="468"/>
      <c r="D71" s="465"/>
      <c r="E71" s="469"/>
      <c r="F71" s="467"/>
      <c r="G71" s="464"/>
      <c r="H71" s="464"/>
      <c r="I71" s="152"/>
      <c r="J71" s="304"/>
      <c r="K71" s="152"/>
      <c r="L71" s="232" t="s">
        <v>824</v>
      </c>
      <c r="M71" s="152"/>
      <c r="N71" s="147"/>
      <c r="O71" s="147"/>
      <c r="P71" s="147"/>
      <c r="R71" s="329"/>
    </row>
    <row r="72" spans="1:28" ht="15.75">
      <c r="A72" s="232" t="s">
        <v>825</v>
      </c>
      <c r="B72" s="247">
        <f t="shared" si="22"/>
        <v>21</v>
      </c>
      <c r="C72" s="468"/>
      <c r="D72" s="465"/>
      <c r="E72" s="469"/>
      <c r="F72" s="467"/>
      <c r="G72" s="464"/>
      <c r="H72" s="464"/>
      <c r="I72" s="152"/>
      <c r="J72" s="304"/>
      <c r="K72" s="152"/>
      <c r="L72" s="232" t="s">
        <v>825</v>
      </c>
      <c r="M72" s="152"/>
      <c r="N72" s="147"/>
      <c r="O72" s="147"/>
      <c r="P72" s="147"/>
      <c r="R72" s="329"/>
    </row>
    <row r="73" spans="1:28" ht="15.75">
      <c r="A73" s="232" t="s">
        <v>826</v>
      </c>
      <c r="B73" s="247">
        <f t="shared" si="22"/>
        <v>22</v>
      </c>
      <c r="C73" s="468"/>
      <c r="D73" s="465"/>
      <c r="E73" s="469"/>
      <c r="F73" s="467"/>
      <c r="G73" s="464"/>
      <c r="H73" s="464"/>
      <c r="I73" s="152"/>
      <c r="J73" s="304"/>
      <c r="K73" s="152"/>
      <c r="L73" s="232" t="s">
        <v>826</v>
      </c>
      <c r="M73" s="152"/>
      <c r="N73" s="147"/>
      <c r="O73" s="147"/>
      <c r="P73" s="147"/>
      <c r="R73" s="329"/>
    </row>
    <row r="74" spans="1:28" ht="16.5" thickBot="1">
      <c r="A74" s="232" t="s">
        <v>827</v>
      </c>
      <c r="B74" s="247">
        <f t="shared" si="22"/>
        <v>23</v>
      </c>
      <c r="C74" s="468"/>
      <c r="D74" s="465"/>
      <c r="E74" s="469"/>
      <c r="F74" s="467"/>
      <c r="G74" s="464"/>
      <c r="H74" s="464"/>
      <c r="I74" s="152"/>
      <c r="J74" s="304"/>
      <c r="K74" s="152"/>
      <c r="L74" s="232" t="s">
        <v>827</v>
      </c>
      <c r="M74" s="152"/>
      <c r="N74" s="147"/>
      <c r="O74" s="147"/>
      <c r="P74" s="147"/>
    </row>
    <row r="75" spans="1:28" ht="16.5" thickBot="1">
      <c r="A75" s="175" t="s">
        <v>791</v>
      </c>
      <c r="B75" s="176">
        <f>SUM(C75:K75)+M75</f>
        <v>0</v>
      </c>
      <c r="C75" s="238">
        <f t="shared" ref="C75:H75" si="23">SUM(C61:C74)</f>
        <v>0</v>
      </c>
      <c r="D75" s="238">
        <f t="shared" si="23"/>
        <v>0</v>
      </c>
      <c r="E75" s="238">
        <f t="shared" si="23"/>
        <v>0</v>
      </c>
      <c r="F75" s="238">
        <f t="shared" si="23"/>
        <v>0</v>
      </c>
      <c r="G75" s="238">
        <f t="shared" si="23"/>
        <v>0</v>
      </c>
      <c r="H75" s="238">
        <f t="shared" si="23"/>
        <v>0</v>
      </c>
      <c r="I75" s="257"/>
      <c r="J75" s="238">
        <f>SUM(J61:J74)</f>
        <v>0</v>
      </c>
      <c r="K75" s="238">
        <f>SUM(K61:K74)</f>
        <v>0</v>
      </c>
      <c r="L75" s="175" t="s">
        <v>791</v>
      </c>
      <c r="M75" s="176">
        <f>SUM(N75:P75)</f>
        <v>0</v>
      </c>
      <c r="N75" s="147">
        <f>SUM(N61:N74)</f>
        <v>0</v>
      </c>
      <c r="O75" s="147">
        <f>SUM(O61:O74)</f>
        <v>0</v>
      </c>
      <c r="P75" s="147">
        <f>SUM(P61:P74)</f>
        <v>0</v>
      </c>
      <c r="R75" s="246"/>
    </row>
    <row r="76" spans="1:28" ht="15.75" thickBot="1">
      <c r="W76" s="263"/>
      <c r="X76" s="263"/>
      <c r="Y76" s="226"/>
      <c r="Z76" s="226"/>
      <c r="AA76" s="226"/>
      <c r="AB76" s="226"/>
    </row>
    <row r="77" spans="1:28" ht="15.75" thickBot="1">
      <c r="A77" s="1027" t="s">
        <v>849</v>
      </c>
      <c r="B77" s="1028"/>
      <c r="C77" s="1028"/>
      <c r="D77" s="1028"/>
      <c r="E77" s="1028"/>
      <c r="F77" s="1028"/>
      <c r="G77" s="1028"/>
      <c r="H77" s="1028"/>
      <c r="I77" s="1028"/>
      <c r="J77" s="1028"/>
      <c r="K77" s="1029"/>
      <c r="L77" s="1024" t="s">
        <v>820</v>
      </c>
      <c r="M77" s="1025"/>
      <c r="N77" s="1025"/>
      <c r="O77" s="1025"/>
      <c r="P77" s="1026"/>
      <c r="Q77"/>
      <c r="R77"/>
    </row>
    <row r="78" spans="1:28" ht="65.25">
      <c r="A78" s="228"/>
      <c r="B78" s="247" t="str">
        <f>B60</f>
        <v>Jan</v>
      </c>
      <c r="C78" s="231" t="s">
        <v>323</v>
      </c>
      <c r="D78" s="241" t="s">
        <v>850</v>
      </c>
      <c r="E78" s="231" t="s">
        <v>334</v>
      </c>
      <c r="F78" s="231" t="s">
        <v>851</v>
      </c>
      <c r="G78" s="231" t="s">
        <v>336</v>
      </c>
      <c r="H78" s="231"/>
      <c r="I78" s="231"/>
      <c r="J78" s="231"/>
      <c r="K78" s="231"/>
      <c r="L78" s="228"/>
      <c r="M78" s="247"/>
      <c r="N78" s="369"/>
      <c r="O78" s="369"/>
      <c r="P78" s="369"/>
    </row>
    <row r="79" spans="1:28">
      <c r="A79" s="232" t="s">
        <v>821</v>
      </c>
      <c r="B79" s="247">
        <f t="shared" ref="B79:B92" si="24">B61</f>
        <v>10</v>
      </c>
      <c r="C79" s="152"/>
      <c r="D79" s="385"/>
      <c r="E79" s="152"/>
      <c r="F79" s="152"/>
      <c r="G79" s="152"/>
      <c r="H79" s="152"/>
      <c r="I79" s="152"/>
      <c r="J79" s="152"/>
      <c r="K79" s="152"/>
      <c r="L79" s="232" t="s">
        <v>821</v>
      </c>
      <c r="M79" s="152"/>
      <c r="N79" s="147"/>
      <c r="O79" s="147"/>
      <c r="P79" s="147"/>
    </row>
    <row r="80" spans="1:28">
      <c r="A80" s="232" t="s">
        <v>822</v>
      </c>
      <c r="B80" s="247">
        <f t="shared" si="24"/>
        <v>11</v>
      </c>
      <c r="C80" s="152"/>
      <c r="D80" s="385"/>
      <c r="E80" s="152"/>
      <c r="F80" s="152"/>
      <c r="G80" s="152"/>
      <c r="H80" s="152"/>
      <c r="I80" s="152"/>
      <c r="J80" s="152"/>
      <c r="K80" s="152"/>
      <c r="L80" s="232" t="s">
        <v>822</v>
      </c>
      <c r="M80" s="152"/>
      <c r="N80" s="147"/>
      <c r="O80" s="147"/>
      <c r="P80" s="147"/>
    </row>
    <row r="81" spans="1:28">
      <c r="A81" s="232" t="s">
        <v>823</v>
      </c>
      <c r="B81" s="247">
        <f t="shared" si="24"/>
        <v>12</v>
      </c>
      <c r="C81" s="485"/>
      <c r="D81" s="486"/>
      <c r="E81" s="485"/>
      <c r="F81" s="485"/>
      <c r="G81" s="485"/>
      <c r="H81" s="485"/>
      <c r="I81" s="485"/>
      <c r="J81" s="152"/>
      <c r="K81" s="152"/>
      <c r="L81" s="232" t="s">
        <v>823</v>
      </c>
      <c r="M81" s="152"/>
      <c r="N81" s="147"/>
      <c r="O81" s="147"/>
      <c r="P81" s="147"/>
    </row>
    <row r="82" spans="1:28">
      <c r="A82" s="232" t="s">
        <v>824</v>
      </c>
      <c r="B82" s="247">
        <f t="shared" si="24"/>
        <v>13</v>
      </c>
      <c r="C82" s="485"/>
      <c r="D82" s="486"/>
      <c r="E82" s="485"/>
      <c r="F82" s="485"/>
      <c r="G82" s="485"/>
      <c r="H82" s="485"/>
      <c r="I82" s="485"/>
      <c r="J82" s="152"/>
      <c r="K82" s="152"/>
      <c r="L82" s="232" t="s">
        <v>824</v>
      </c>
      <c r="M82" s="152"/>
      <c r="N82" s="147"/>
      <c r="O82" s="147"/>
      <c r="P82" s="147"/>
    </row>
    <row r="83" spans="1:28">
      <c r="A83" s="232" t="s">
        <v>825</v>
      </c>
      <c r="B83" s="247">
        <f t="shared" si="24"/>
        <v>14</v>
      </c>
      <c r="C83" s="487"/>
      <c r="D83" s="486"/>
      <c r="E83" s="487"/>
      <c r="F83" s="485"/>
      <c r="G83" s="485"/>
      <c r="H83" s="485"/>
      <c r="I83" s="485"/>
      <c r="J83" s="152"/>
      <c r="K83" s="152"/>
      <c r="L83" s="232" t="s">
        <v>825</v>
      </c>
      <c r="M83" s="152"/>
      <c r="N83" s="147"/>
      <c r="O83" s="147"/>
      <c r="P83" s="147"/>
    </row>
    <row r="84" spans="1:28">
      <c r="A84" s="232" t="s">
        <v>826</v>
      </c>
      <c r="B84" s="247">
        <f t="shared" si="24"/>
        <v>15</v>
      </c>
      <c r="C84" s="485"/>
      <c r="D84" s="486"/>
      <c r="E84" s="485"/>
      <c r="F84" s="485"/>
      <c r="G84" s="485"/>
      <c r="H84" s="485"/>
      <c r="I84" s="485"/>
      <c r="J84" s="152"/>
      <c r="K84" s="152"/>
      <c r="L84" s="232" t="s">
        <v>826</v>
      </c>
      <c r="M84" s="152"/>
      <c r="N84" s="147"/>
      <c r="O84" s="147"/>
      <c r="P84" s="147"/>
    </row>
    <row r="85" spans="1:28">
      <c r="A85" s="232" t="s">
        <v>827</v>
      </c>
      <c r="B85" s="247">
        <f t="shared" si="24"/>
        <v>16</v>
      </c>
      <c r="C85" s="485"/>
      <c r="D85" s="486"/>
      <c r="E85" s="485"/>
      <c r="F85" s="485"/>
      <c r="G85" s="485"/>
      <c r="H85" s="485"/>
      <c r="I85" s="485"/>
      <c r="J85" s="152"/>
      <c r="K85" s="152"/>
      <c r="L85" s="232" t="s">
        <v>827</v>
      </c>
      <c r="M85" s="152"/>
      <c r="N85" s="147"/>
      <c r="O85" s="147"/>
      <c r="P85" s="147"/>
    </row>
    <row r="86" spans="1:28">
      <c r="A86" s="232" t="s">
        <v>821</v>
      </c>
      <c r="B86" s="247">
        <f t="shared" si="24"/>
        <v>17</v>
      </c>
      <c r="C86" s="485"/>
      <c r="D86" s="486"/>
      <c r="E86" s="485"/>
      <c r="F86" s="485"/>
      <c r="G86" s="485"/>
      <c r="H86" s="485"/>
      <c r="I86" s="485"/>
      <c r="J86" s="152"/>
      <c r="K86" s="152"/>
      <c r="L86" s="232" t="s">
        <v>821</v>
      </c>
      <c r="M86" s="152"/>
      <c r="N86" s="147"/>
      <c r="O86" s="147"/>
      <c r="P86" s="147"/>
    </row>
    <row r="87" spans="1:28">
      <c r="A87" s="232" t="s">
        <v>822</v>
      </c>
      <c r="B87" s="247">
        <f t="shared" si="24"/>
        <v>18</v>
      </c>
      <c r="C87" s="485"/>
      <c r="D87" s="485"/>
      <c r="E87" s="485"/>
      <c r="F87" s="485"/>
      <c r="G87" s="485"/>
      <c r="H87" s="485"/>
      <c r="I87" s="485"/>
      <c r="J87" s="152"/>
      <c r="K87" s="152"/>
      <c r="L87" s="232" t="s">
        <v>822</v>
      </c>
      <c r="M87" s="152"/>
      <c r="N87" s="147"/>
      <c r="O87" s="147"/>
      <c r="P87" s="147"/>
    </row>
    <row r="88" spans="1:28">
      <c r="A88" s="232" t="s">
        <v>823</v>
      </c>
      <c r="B88" s="247">
        <f t="shared" si="24"/>
        <v>19</v>
      </c>
      <c r="C88" s="488"/>
      <c r="D88" s="488"/>
      <c r="E88" s="488"/>
      <c r="F88" s="488"/>
      <c r="G88" s="488"/>
      <c r="H88" s="488"/>
      <c r="I88" s="488"/>
      <c r="J88" s="236"/>
      <c r="K88" s="236"/>
      <c r="L88" s="232" t="s">
        <v>823</v>
      </c>
      <c r="M88" s="152"/>
      <c r="N88" s="147"/>
      <c r="O88" s="147"/>
      <c r="P88" s="147"/>
    </row>
    <row r="89" spans="1:28">
      <c r="A89" s="232" t="s">
        <v>824</v>
      </c>
      <c r="B89" s="247">
        <f t="shared" si="24"/>
        <v>20</v>
      </c>
      <c r="C89" s="488"/>
      <c r="D89" s="488"/>
      <c r="E89" s="488"/>
      <c r="F89" s="488"/>
      <c r="G89" s="488"/>
      <c r="H89" s="488"/>
      <c r="I89" s="488"/>
      <c r="J89" s="236"/>
      <c r="K89" s="236"/>
      <c r="L89" s="232" t="s">
        <v>824</v>
      </c>
      <c r="M89" s="152"/>
      <c r="N89" s="147"/>
      <c r="O89" s="147"/>
      <c r="P89" s="147"/>
    </row>
    <row r="90" spans="1:28">
      <c r="A90" s="232" t="s">
        <v>825</v>
      </c>
      <c r="B90" s="247">
        <f t="shared" si="24"/>
        <v>21</v>
      </c>
      <c r="C90" s="488"/>
      <c r="D90" s="488"/>
      <c r="E90" s="488"/>
      <c r="F90" s="488"/>
      <c r="G90" s="488"/>
      <c r="H90" s="488"/>
      <c r="I90" s="488"/>
      <c r="J90" s="236"/>
      <c r="K90" s="236"/>
      <c r="L90" s="232" t="s">
        <v>825</v>
      </c>
      <c r="M90" s="152"/>
      <c r="N90" s="147"/>
      <c r="O90" s="147"/>
      <c r="P90" s="147"/>
    </row>
    <row r="91" spans="1:28">
      <c r="A91" s="232" t="s">
        <v>826</v>
      </c>
      <c r="B91" s="247">
        <f t="shared" si="24"/>
        <v>22</v>
      </c>
      <c r="C91" s="489"/>
      <c r="D91" s="489"/>
      <c r="E91" s="489"/>
      <c r="F91" s="489"/>
      <c r="G91" s="489"/>
      <c r="H91" s="489"/>
      <c r="I91" s="489"/>
      <c r="J91" s="234"/>
      <c r="K91" s="234"/>
      <c r="L91" s="232" t="s">
        <v>826</v>
      </c>
      <c r="M91" s="152"/>
      <c r="N91" s="147"/>
      <c r="O91" s="147"/>
      <c r="P91" s="147"/>
    </row>
    <row r="92" spans="1:28" ht="15.75" thickBot="1">
      <c r="A92" s="232" t="s">
        <v>827</v>
      </c>
      <c r="B92" s="247">
        <f t="shared" si="24"/>
        <v>23</v>
      </c>
      <c r="C92" s="489"/>
      <c r="D92" s="489"/>
      <c r="E92" s="489"/>
      <c r="F92" s="489"/>
      <c r="G92" s="489"/>
      <c r="H92" s="489"/>
      <c r="I92" s="489"/>
      <c r="J92" s="234"/>
      <c r="K92" s="234"/>
      <c r="L92" s="232" t="s">
        <v>827</v>
      </c>
      <c r="M92" s="152"/>
      <c r="N92" s="147"/>
      <c r="O92" s="147"/>
      <c r="P92" s="147"/>
    </row>
    <row r="93" spans="1:28" ht="16.5" thickBot="1">
      <c r="A93" s="175" t="s">
        <v>791</v>
      </c>
      <c r="B93" s="176">
        <f>SUM(C93:K93)+M93</f>
        <v>0</v>
      </c>
      <c r="C93" s="244">
        <f t="shared" ref="C93:K93" si="25">SUM(C79:C92)</f>
        <v>0</v>
      </c>
      <c r="D93" s="244">
        <f t="shared" si="25"/>
        <v>0</v>
      </c>
      <c r="E93" s="244">
        <f t="shared" si="25"/>
        <v>0</v>
      </c>
      <c r="F93" s="244">
        <f t="shared" si="25"/>
        <v>0</v>
      </c>
      <c r="G93" s="244">
        <f t="shared" si="25"/>
        <v>0</v>
      </c>
      <c r="H93" s="244">
        <f t="shared" si="25"/>
        <v>0</v>
      </c>
      <c r="I93" s="244">
        <f t="shared" si="25"/>
        <v>0</v>
      </c>
      <c r="J93" s="244">
        <f t="shared" si="25"/>
        <v>0</v>
      </c>
      <c r="K93" s="244">
        <f t="shared" si="25"/>
        <v>0</v>
      </c>
      <c r="L93" s="175" t="s">
        <v>791</v>
      </c>
      <c r="M93" s="176">
        <f>SUM(N93:P93)</f>
        <v>0</v>
      </c>
      <c r="N93" s="147">
        <f>SUM(N79:N92)</f>
        <v>0</v>
      </c>
      <c r="O93" s="147">
        <f>SUM(O79:O92)</f>
        <v>0</v>
      </c>
      <c r="P93" s="147">
        <f>SUM(P79:P92)</f>
        <v>0</v>
      </c>
      <c r="Q93" s="246"/>
      <c r="R93" s="246"/>
      <c r="S93" s="246"/>
      <c r="T93" s="246"/>
      <c r="U93" s="246"/>
      <c r="V93" s="246"/>
    </row>
    <row r="94" spans="1:28" ht="15.75" thickBot="1">
      <c r="W94" s="226"/>
      <c r="X94" s="226"/>
      <c r="Y94" s="226"/>
      <c r="Z94" s="226"/>
      <c r="AA94" s="226"/>
      <c r="AB94" s="226"/>
    </row>
    <row r="95" spans="1:28" ht="15.75" thickBot="1">
      <c r="A95" s="1027" t="s">
        <v>852</v>
      </c>
      <c r="B95" s="1028"/>
      <c r="C95" s="1028"/>
      <c r="D95" s="1028"/>
      <c r="E95" s="1028"/>
      <c r="F95" s="1028"/>
      <c r="G95" s="1028"/>
      <c r="H95" s="1028"/>
      <c r="I95" s="1028"/>
      <c r="J95" s="1028"/>
      <c r="K95" s="1029"/>
      <c r="L95" s="1024" t="s">
        <v>820</v>
      </c>
      <c r="M95" s="1025"/>
      <c r="N95" s="1025"/>
      <c r="O95" s="1025"/>
      <c r="P95" s="1026"/>
      <c r="Q95"/>
      <c r="R95"/>
    </row>
    <row r="96" spans="1:28" ht="111.75">
      <c r="A96" s="228"/>
      <c r="B96" s="247" t="str">
        <f>B78</f>
        <v>Jan</v>
      </c>
      <c r="C96" s="231" t="s">
        <v>346</v>
      </c>
      <c r="D96" s="241" t="s">
        <v>347</v>
      </c>
      <c r="E96" s="231" t="s">
        <v>348</v>
      </c>
      <c r="F96" s="231" t="s">
        <v>349</v>
      </c>
      <c r="G96" s="231"/>
      <c r="H96" s="231"/>
      <c r="I96" s="231"/>
      <c r="J96" s="231"/>
      <c r="K96" s="231"/>
      <c r="L96" s="228"/>
      <c r="M96" s="247"/>
      <c r="N96" s="369"/>
      <c r="O96" s="369"/>
      <c r="P96" s="369"/>
    </row>
    <row r="97" spans="1:28">
      <c r="A97" s="232" t="s">
        <v>821</v>
      </c>
      <c r="B97" s="247">
        <f t="shared" ref="B97:B110" si="26">B79</f>
        <v>10</v>
      </c>
      <c r="C97" s="152"/>
      <c r="D97" s="385"/>
      <c r="E97" s="152"/>
      <c r="F97" s="152"/>
      <c r="G97" s="152"/>
      <c r="H97" s="152"/>
      <c r="I97" s="152"/>
      <c r="J97" s="152"/>
      <c r="K97" s="152"/>
      <c r="L97" s="232" t="s">
        <v>821</v>
      </c>
      <c r="M97" s="152"/>
      <c r="N97" s="147"/>
      <c r="O97" s="147"/>
      <c r="P97" s="147"/>
    </row>
    <row r="98" spans="1:28">
      <c r="A98" s="232" t="s">
        <v>822</v>
      </c>
      <c r="B98" s="247">
        <f t="shared" si="26"/>
        <v>11</v>
      </c>
      <c r="C98" s="152"/>
      <c r="D98" s="385"/>
      <c r="E98" s="152"/>
      <c r="F98" s="152"/>
      <c r="G98" s="152"/>
      <c r="H98" s="152"/>
      <c r="I98" s="152"/>
      <c r="J98" s="152"/>
      <c r="K98" s="152"/>
      <c r="L98" s="232" t="s">
        <v>822</v>
      </c>
      <c r="M98" s="152"/>
      <c r="N98" s="147"/>
      <c r="O98" s="147"/>
      <c r="P98" s="147"/>
    </row>
    <row r="99" spans="1:28">
      <c r="A99" s="232" t="s">
        <v>823</v>
      </c>
      <c r="B99" s="247">
        <f t="shared" si="26"/>
        <v>12</v>
      </c>
      <c r="C99" s="485"/>
      <c r="D99" s="486"/>
      <c r="E99" s="485"/>
      <c r="F99" s="485"/>
      <c r="G99" s="485"/>
      <c r="H99" s="485"/>
      <c r="I99" s="485"/>
      <c r="J99" s="152"/>
      <c r="K99" s="152"/>
      <c r="L99" s="232" t="s">
        <v>823</v>
      </c>
      <c r="M99" s="152"/>
      <c r="N99" s="147"/>
      <c r="O99" s="147"/>
      <c r="P99" s="147"/>
    </row>
    <row r="100" spans="1:28">
      <c r="A100" s="232" t="s">
        <v>824</v>
      </c>
      <c r="B100" s="247">
        <f t="shared" si="26"/>
        <v>13</v>
      </c>
      <c r="C100" s="485"/>
      <c r="D100" s="486"/>
      <c r="E100" s="485"/>
      <c r="F100" s="485"/>
      <c r="G100" s="485"/>
      <c r="H100" s="485"/>
      <c r="I100" s="485"/>
      <c r="J100" s="152"/>
      <c r="K100" s="152"/>
      <c r="L100" s="232" t="s">
        <v>824</v>
      </c>
      <c r="M100" s="152"/>
      <c r="N100" s="147"/>
      <c r="O100" s="147"/>
      <c r="P100" s="147"/>
    </row>
    <row r="101" spans="1:28">
      <c r="A101" s="232" t="s">
        <v>825</v>
      </c>
      <c r="B101" s="247">
        <f t="shared" si="26"/>
        <v>14</v>
      </c>
      <c r="C101" s="487"/>
      <c r="D101" s="486"/>
      <c r="E101" s="487"/>
      <c r="F101" s="485"/>
      <c r="G101" s="485"/>
      <c r="H101" s="485"/>
      <c r="I101" s="485"/>
      <c r="J101" s="152"/>
      <c r="K101" s="152"/>
      <c r="L101" s="232" t="s">
        <v>825</v>
      </c>
      <c r="M101" s="152"/>
      <c r="N101" s="147"/>
      <c r="O101" s="147"/>
      <c r="P101" s="147"/>
    </row>
    <row r="102" spans="1:28">
      <c r="A102" s="232" t="s">
        <v>826</v>
      </c>
      <c r="B102" s="247">
        <f t="shared" si="26"/>
        <v>15</v>
      </c>
      <c r="C102" s="485"/>
      <c r="D102" s="486"/>
      <c r="E102" s="485"/>
      <c r="F102" s="485"/>
      <c r="G102" s="485"/>
      <c r="H102" s="485"/>
      <c r="I102" s="485"/>
      <c r="J102" s="152"/>
      <c r="K102" s="152"/>
      <c r="L102" s="232" t="s">
        <v>826</v>
      </c>
      <c r="M102" s="152"/>
      <c r="N102" s="147"/>
      <c r="O102" s="147"/>
      <c r="P102" s="147"/>
    </row>
    <row r="103" spans="1:28">
      <c r="A103" s="232" t="s">
        <v>827</v>
      </c>
      <c r="B103" s="247">
        <f t="shared" si="26"/>
        <v>16</v>
      </c>
      <c r="C103" s="485"/>
      <c r="D103" s="486"/>
      <c r="E103" s="485"/>
      <c r="F103" s="485"/>
      <c r="G103" s="485"/>
      <c r="H103" s="485"/>
      <c r="I103" s="485"/>
      <c r="J103" s="152"/>
      <c r="K103" s="152"/>
      <c r="L103" s="232" t="s">
        <v>827</v>
      </c>
      <c r="M103" s="152"/>
      <c r="N103" s="147"/>
      <c r="O103" s="147"/>
      <c r="P103" s="147"/>
    </row>
    <row r="104" spans="1:28">
      <c r="A104" s="232" t="s">
        <v>821</v>
      </c>
      <c r="B104" s="247">
        <f t="shared" si="26"/>
        <v>17</v>
      </c>
      <c r="C104" s="485"/>
      <c r="D104" s="486"/>
      <c r="E104" s="485"/>
      <c r="F104" s="485"/>
      <c r="G104" s="485"/>
      <c r="H104" s="485"/>
      <c r="I104" s="485"/>
      <c r="J104" s="152"/>
      <c r="K104" s="152"/>
      <c r="L104" s="232" t="s">
        <v>821</v>
      </c>
      <c r="M104" s="152"/>
      <c r="N104" s="147"/>
      <c r="O104" s="147"/>
      <c r="P104" s="147"/>
    </row>
    <row r="105" spans="1:28">
      <c r="A105" s="232" t="s">
        <v>822</v>
      </c>
      <c r="B105" s="247">
        <f t="shared" si="26"/>
        <v>18</v>
      </c>
      <c r="C105" s="485"/>
      <c r="D105" s="485"/>
      <c r="E105" s="485"/>
      <c r="F105" s="485"/>
      <c r="G105" s="485"/>
      <c r="H105" s="485"/>
      <c r="I105" s="485"/>
      <c r="J105" s="152"/>
      <c r="K105" s="152"/>
      <c r="L105" s="232" t="s">
        <v>822</v>
      </c>
      <c r="M105" s="152"/>
      <c r="N105" s="147"/>
      <c r="O105" s="147"/>
      <c r="P105" s="147"/>
    </row>
    <row r="106" spans="1:28">
      <c r="A106" s="232" t="s">
        <v>823</v>
      </c>
      <c r="B106" s="247">
        <f t="shared" si="26"/>
        <v>19</v>
      </c>
      <c r="C106" s="488"/>
      <c r="D106" s="488"/>
      <c r="E106" s="488"/>
      <c r="F106" s="488"/>
      <c r="G106" s="488"/>
      <c r="H106" s="488"/>
      <c r="I106" s="488"/>
      <c r="J106" s="236"/>
      <c r="K106" s="236"/>
      <c r="L106" s="232" t="s">
        <v>823</v>
      </c>
      <c r="M106" s="152"/>
      <c r="N106" s="147"/>
      <c r="O106" s="147"/>
      <c r="P106" s="147"/>
    </row>
    <row r="107" spans="1:28">
      <c r="A107" s="232" t="s">
        <v>824</v>
      </c>
      <c r="B107" s="247">
        <f t="shared" si="26"/>
        <v>20</v>
      </c>
      <c r="C107" s="488"/>
      <c r="D107" s="488"/>
      <c r="E107" s="488"/>
      <c r="F107" s="488"/>
      <c r="G107" s="488"/>
      <c r="H107" s="488"/>
      <c r="I107" s="488"/>
      <c r="J107" s="236"/>
      <c r="K107" s="236"/>
      <c r="L107" s="232" t="s">
        <v>824</v>
      </c>
      <c r="M107" s="152"/>
      <c r="N107" s="147"/>
      <c r="O107" s="147"/>
      <c r="P107" s="147"/>
    </row>
    <row r="108" spans="1:28">
      <c r="A108" s="232" t="s">
        <v>825</v>
      </c>
      <c r="B108" s="247">
        <f t="shared" si="26"/>
        <v>21</v>
      </c>
      <c r="C108" s="488"/>
      <c r="D108" s="488"/>
      <c r="E108" s="488"/>
      <c r="F108" s="488"/>
      <c r="G108" s="488"/>
      <c r="H108" s="488"/>
      <c r="I108" s="488"/>
      <c r="J108" s="236"/>
      <c r="K108" s="236"/>
      <c r="L108" s="232" t="s">
        <v>825</v>
      </c>
      <c r="M108" s="152"/>
      <c r="N108" s="147"/>
      <c r="O108" s="147"/>
      <c r="P108" s="147"/>
    </row>
    <row r="109" spans="1:28">
      <c r="A109" s="232" t="s">
        <v>826</v>
      </c>
      <c r="B109" s="247">
        <f t="shared" si="26"/>
        <v>22</v>
      </c>
      <c r="C109" s="489"/>
      <c r="D109" s="489"/>
      <c r="E109" s="489"/>
      <c r="F109" s="489"/>
      <c r="G109" s="489"/>
      <c r="H109" s="489"/>
      <c r="I109" s="489"/>
      <c r="J109" s="234"/>
      <c r="K109" s="234"/>
      <c r="L109" s="232" t="s">
        <v>826</v>
      </c>
      <c r="M109" s="152"/>
      <c r="N109" s="147"/>
      <c r="O109" s="147"/>
      <c r="P109" s="147"/>
    </row>
    <row r="110" spans="1:28" ht="15.75" thickBot="1">
      <c r="A110" s="232" t="s">
        <v>827</v>
      </c>
      <c r="B110" s="247">
        <f t="shared" si="26"/>
        <v>23</v>
      </c>
      <c r="C110" s="489"/>
      <c r="D110" s="489"/>
      <c r="E110" s="489"/>
      <c r="F110" s="489"/>
      <c r="G110" s="489"/>
      <c r="H110" s="489"/>
      <c r="I110" s="489"/>
      <c r="J110" s="234"/>
      <c r="K110" s="234"/>
      <c r="L110" s="232" t="s">
        <v>827</v>
      </c>
      <c r="M110" s="152"/>
      <c r="N110" s="147"/>
      <c r="O110" s="147"/>
      <c r="P110" s="147"/>
    </row>
    <row r="111" spans="1:28" ht="16.5" thickBot="1">
      <c r="A111" s="175" t="s">
        <v>791</v>
      </c>
      <c r="B111" s="176">
        <f>SUM(C111:K111)+M111</f>
        <v>0</v>
      </c>
      <c r="C111" s="244">
        <f t="shared" ref="C111:K111" si="27">SUM(C97:C110)</f>
        <v>0</v>
      </c>
      <c r="D111" s="244">
        <f t="shared" si="27"/>
        <v>0</v>
      </c>
      <c r="E111" s="244">
        <f t="shared" si="27"/>
        <v>0</v>
      </c>
      <c r="F111" s="244">
        <f t="shared" si="27"/>
        <v>0</v>
      </c>
      <c r="G111" s="244">
        <f t="shared" si="27"/>
        <v>0</v>
      </c>
      <c r="H111" s="244">
        <f t="shared" si="27"/>
        <v>0</v>
      </c>
      <c r="I111" s="244">
        <f t="shared" si="27"/>
        <v>0</v>
      </c>
      <c r="J111" s="244">
        <f t="shared" si="27"/>
        <v>0</v>
      </c>
      <c r="K111" s="244">
        <f t="shared" si="27"/>
        <v>0</v>
      </c>
      <c r="L111" s="175" t="s">
        <v>791</v>
      </c>
      <c r="M111" s="176">
        <f>SUM(N111:P111)</f>
        <v>0</v>
      </c>
      <c r="N111" s="147">
        <f>SUM(N97:N110)</f>
        <v>0</v>
      </c>
      <c r="O111" s="147">
        <f>SUM(O97:O110)</f>
        <v>0</v>
      </c>
      <c r="P111" s="147">
        <f>SUM(P97:P110)</f>
        <v>0</v>
      </c>
      <c r="Q111" s="246"/>
      <c r="R111" s="246"/>
      <c r="S111" s="246"/>
      <c r="T111" s="246"/>
      <c r="U111" s="246"/>
      <c r="V111" s="246"/>
    </row>
    <row r="112" spans="1:28" ht="15.75" thickBot="1">
      <c r="W112" s="226"/>
      <c r="X112" s="226"/>
      <c r="Y112" s="226"/>
      <c r="Z112" s="226"/>
      <c r="AA112" s="226"/>
      <c r="AB112" s="226"/>
    </row>
    <row r="113" spans="1:44" ht="15.75" thickBot="1">
      <c r="A113" s="1027" t="s">
        <v>853</v>
      </c>
      <c r="B113" s="1028"/>
      <c r="C113" s="1028"/>
      <c r="D113" s="1028"/>
      <c r="E113" s="1028"/>
      <c r="F113" s="1028"/>
      <c r="G113" s="1028"/>
      <c r="H113" s="1028"/>
      <c r="I113" s="1028"/>
      <c r="J113" s="1028"/>
      <c r="K113" s="1028"/>
      <c r="L113" s="1028"/>
      <c r="M113" s="1028"/>
      <c r="N113" s="1028"/>
      <c r="O113" s="1028"/>
      <c r="P113" s="1028"/>
      <c r="Q113" s="1028"/>
      <c r="R113" s="1028"/>
      <c r="S113" s="1029"/>
      <c r="T113" s="1024" t="s">
        <v>820</v>
      </c>
      <c r="U113" s="1025"/>
      <c r="V113" s="1025"/>
      <c r="W113" s="1025"/>
      <c r="X113" s="1026"/>
      <c r="Y113" s="246"/>
      <c r="Z113" s="226"/>
      <c r="AA113" s="226"/>
    </row>
    <row r="114" spans="1:44" ht="100.5">
      <c r="A114" s="228"/>
      <c r="B114" s="247" t="str">
        <f>B96</f>
        <v>Jan</v>
      </c>
      <c r="C114" s="642" t="s">
        <v>207</v>
      </c>
      <c r="D114" s="642" t="s">
        <v>833</v>
      </c>
      <c r="E114" s="642" t="s">
        <v>499</v>
      </c>
      <c r="F114" s="642" t="s">
        <v>211</v>
      </c>
      <c r="G114" s="642" t="s">
        <v>854</v>
      </c>
      <c r="H114" s="642" t="s">
        <v>215</v>
      </c>
      <c r="I114" s="921" t="s">
        <v>217</v>
      </c>
      <c r="J114" s="921" t="s">
        <v>218</v>
      </c>
      <c r="K114" s="921" t="s">
        <v>219</v>
      </c>
      <c r="L114" s="921" t="s">
        <v>220</v>
      </c>
      <c r="M114" s="921" t="s">
        <v>717</v>
      </c>
      <c r="N114" s="921" t="s">
        <v>222</v>
      </c>
      <c r="O114" s="921" t="s">
        <v>223</v>
      </c>
      <c r="P114" s="642" t="s">
        <v>224</v>
      </c>
      <c r="Q114" s="643" t="s">
        <v>225</v>
      </c>
      <c r="R114" s="836" t="s">
        <v>226</v>
      </c>
      <c r="S114" s="631" t="s">
        <v>521</v>
      </c>
      <c r="T114" s="838" t="s">
        <v>228</v>
      </c>
      <c r="U114" s="642" t="s">
        <v>229</v>
      </c>
      <c r="V114" s="642" t="s">
        <v>230</v>
      </c>
      <c r="W114" s="642" t="s">
        <v>231</v>
      </c>
      <c r="X114" s="642" t="s">
        <v>855</v>
      </c>
      <c r="Y114" s="642" t="s">
        <v>233</v>
      </c>
      <c r="Z114" s="642" t="s">
        <v>234</v>
      </c>
      <c r="AA114" s="642" t="s">
        <v>235</v>
      </c>
      <c r="AB114" s="642" t="s">
        <v>236</v>
      </c>
      <c r="AC114" s="642" t="s">
        <v>237</v>
      </c>
      <c r="AD114" s="631" t="s">
        <v>238</v>
      </c>
      <c r="AE114" s="643" t="s">
        <v>239</v>
      </c>
      <c r="AF114" s="631" t="s">
        <v>240</v>
      </c>
      <c r="AG114" s="631" t="s">
        <v>241</v>
      </c>
      <c r="AH114" s="631" t="s">
        <v>242</v>
      </c>
      <c r="AI114" s="843"/>
      <c r="AJ114" s="843"/>
      <c r="AK114" s="843"/>
      <c r="AL114" s="843"/>
      <c r="AM114" s="843"/>
      <c r="AN114" s="228"/>
      <c r="AO114" s="247"/>
      <c r="AP114" s="776" t="s">
        <v>856</v>
      </c>
      <c r="AQ114" s="369"/>
      <c r="AR114" s="369"/>
    </row>
    <row r="115" spans="1:44">
      <c r="A115" s="232" t="s">
        <v>821</v>
      </c>
      <c r="B115" s="247">
        <f t="shared" ref="B115:B128" si="28">B97</f>
        <v>10</v>
      </c>
      <c r="C115" s="253"/>
      <c r="D115" s="531"/>
      <c r="E115" s="531"/>
      <c r="F115" s="242"/>
      <c r="G115" s="242"/>
      <c r="H115" s="242"/>
      <c r="I115" s="264"/>
      <c r="J115" s="253"/>
      <c r="K115" s="253"/>
      <c r="L115" s="253"/>
      <c r="M115" s="253"/>
      <c r="N115" s="253"/>
      <c r="O115" s="253"/>
      <c r="P115" s="253"/>
      <c r="Q115" s="253"/>
      <c r="R115" s="837"/>
      <c r="S115" s="250"/>
      <c r="T115" s="839"/>
      <c r="U115" s="253"/>
      <c r="V115" s="253"/>
      <c r="W115" s="253"/>
      <c r="X115" s="253"/>
      <c r="Y115" s="242"/>
      <c r="Z115" s="253"/>
      <c r="AA115" s="242"/>
      <c r="AB115" s="528"/>
      <c r="AC115" s="242"/>
      <c r="AD115" s="264"/>
      <c r="AE115" s="152"/>
      <c r="AF115" s="152"/>
      <c r="AG115" s="152"/>
      <c r="AH115" s="152"/>
      <c r="AI115" s="329"/>
      <c r="AJ115" s="329"/>
      <c r="AK115" s="329"/>
      <c r="AL115" s="329"/>
      <c r="AM115" s="329"/>
      <c r="AN115" s="232" t="s">
        <v>821</v>
      </c>
      <c r="AO115" s="152">
        <v>9</v>
      </c>
      <c r="AP115" s="567"/>
      <c r="AQ115" s="147"/>
      <c r="AR115" s="147"/>
    </row>
    <row r="116" spans="1:44">
      <c r="A116" s="232" t="s">
        <v>822</v>
      </c>
      <c r="B116" s="247">
        <f t="shared" si="28"/>
        <v>11</v>
      </c>
      <c r="C116" s="242"/>
      <c r="D116" s="242"/>
      <c r="E116" s="242"/>
      <c r="F116" s="242"/>
      <c r="G116" s="242"/>
      <c r="H116" s="242"/>
      <c r="I116" s="152"/>
      <c r="J116" s="234"/>
      <c r="K116" s="234"/>
      <c r="L116" s="234"/>
      <c r="M116" s="234"/>
      <c r="N116" s="234"/>
      <c r="O116" s="234"/>
      <c r="P116" s="234"/>
      <c r="Q116" s="234"/>
      <c r="R116" s="604"/>
      <c r="S116" s="234"/>
      <c r="T116" s="840"/>
      <c r="U116" s="242"/>
      <c r="V116" s="242"/>
      <c r="W116" s="242"/>
      <c r="X116" s="242"/>
      <c r="Y116" s="242"/>
      <c r="Z116" s="242"/>
      <c r="AA116" s="242"/>
      <c r="AB116" s="242"/>
      <c r="AC116" s="242"/>
      <c r="AD116" s="250"/>
      <c r="AE116" s="250"/>
      <c r="AF116" s="152"/>
      <c r="AG116" s="152"/>
      <c r="AH116" s="152"/>
      <c r="AI116" s="329"/>
      <c r="AJ116" s="329"/>
      <c r="AK116" s="329"/>
      <c r="AL116" s="329"/>
      <c r="AM116" s="329"/>
      <c r="AN116" s="232" t="s">
        <v>822</v>
      </c>
      <c r="AO116" s="152">
        <v>10</v>
      </c>
      <c r="AP116" s="483">
        <v>9</v>
      </c>
      <c r="AQ116" s="147"/>
      <c r="AR116" s="147"/>
    </row>
    <row r="117" spans="1:44">
      <c r="A117" s="232" t="s">
        <v>823</v>
      </c>
      <c r="B117" s="247">
        <f t="shared" si="28"/>
        <v>12</v>
      </c>
      <c r="C117" s="242"/>
      <c r="D117" s="242"/>
      <c r="E117" s="242"/>
      <c r="F117" s="242"/>
      <c r="G117" s="242"/>
      <c r="H117" s="242"/>
      <c r="I117" s="242"/>
      <c r="J117" s="242"/>
      <c r="K117" s="242"/>
      <c r="L117" s="242"/>
      <c r="M117" s="234"/>
      <c r="N117" s="234"/>
      <c r="O117" s="234"/>
      <c r="P117" s="234"/>
      <c r="Q117" s="234"/>
      <c r="R117" s="604"/>
      <c r="S117" s="234"/>
      <c r="T117" s="841"/>
      <c r="U117" s="242"/>
      <c r="V117" s="242"/>
      <c r="W117" s="242"/>
      <c r="X117" s="242"/>
      <c r="Y117" s="242"/>
      <c r="Z117" s="242"/>
      <c r="AA117" s="242"/>
      <c r="AB117" s="242"/>
      <c r="AC117" s="242"/>
      <c r="AD117" s="234"/>
      <c r="AE117" s="234"/>
      <c r="AF117" s="329"/>
      <c r="AG117" s="152"/>
      <c r="AH117" s="152"/>
      <c r="AI117" s="329"/>
      <c r="AJ117" s="329"/>
      <c r="AK117" s="329"/>
      <c r="AL117" s="329"/>
      <c r="AM117" s="329"/>
      <c r="AN117" s="232" t="s">
        <v>823</v>
      </c>
      <c r="AO117" s="152">
        <v>11</v>
      </c>
      <c r="AP117" s="483">
        <v>8</v>
      </c>
      <c r="AQ117" s="147"/>
      <c r="AR117" s="147"/>
    </row>
    <row r="118" spans="1:44">
      <c r="A118" s="232" t="s">
        <v>824</v>
      </c>
      <c r="B118" s="247">
        <f t="shared" si="28"/>
        <v>13</v>
      </c>
      <c r="C118" s="242"/>
      <c r="D118" s="242"/>
      <c r="E118" s="242"/>
      <c r="F118" s="242"/>
      <c r="G118" s="242"/>
      <c r="H118" s="242"/>
      <c r="I118" s="242"/>
      <c r="J118" s="242"/>
      <c r="K118" s="242"/>
      <c r="L118" s="242"/>
      <c r="M118" s="234"/>
      <c r="N118" s="234"/>
      <c r="O118" s="234"/>
      <c r="P118" s="234"/>
      <c r="Q118" s="234"/>
      <c r="R118" s="604"/>
      <c r="S118" s="234"/>
      <c r="T118" s="841"/>
      <c r="U118" s="242"/>
      <c r="V118" s="242"/>
      <c r="W118" s="242"/>
      <c r="X118" s="242"/>
      <c r="Y118" s="242"/>
      <c r="Z118" s="242"/>
      <c r="AA118" s="242"/>
      <c r="AB118" s="242"/>
      <c r="AC118" s="242"/>
      <c r="AD118" s="234"/>
      <c r="AE118" s="234"/>
      <c r="AF118" s="152"/>
      <c r="AG118" s="152"/>
      <c r="AH118" s="152"/>
      <c r="AI118" s="329"/>
      <c r="AJ118" s="329"/>
      <c r="AK118" s="329"/>
      <c r="AL118" s="329"/>
      <c r="AM118" s="329"/>
      <c r="AN118" s="232" t="s">
        <v>824</v>
      </c>
      <c r="AO118" s="152">
        <v>12</v>
      </c>
      <c r="AP118" s="483"/>
      <c r="AQ118" s="147"/>
      <c r="AR118" s="147"/>
    </row>
    <row r="119" spans="1:44">
      <c r="A119" s="232" t="s">
        <v>825</v>
      </c>
      <c r="B119" s="247">
        <f t="shared" si="28"/>
        <v>14</v>
      </c>
      <c r="C119" s="242"/>
      <c r="D119" s="525"/>
      <c r="E119" s="242"/>
      <c r="F119" s="242"/>
      <c r="G119" s="242"/>
      <c r="H119" s="242"/>
      <c r="I119" s="242"/>
      <c r="J119" s="242"/>
      <c r="K119" s="242"/>
      <c r="L119" s="242"/>
      <c r="M119" s="234"/>
      <c r="N119" s="234"/>
      <c r="O119" s="234"/>
      <c r="P119" s="234"/>
      <c r="Q119" s="234"/>
      <c r="R119" s="604"/>
      <c r="S119" s="234"/>
      <c r="T119" s="841"/>
      <c r="U119" s="242"/>
      <c r="V119" s="242"/>
      <c r="W119" s="242"/>
      <c r="X119" s="242"/>
      <c r="Y119" s="242"/>
      <c r="Z119" s="242"/>
      <c r="AA119" s="242"/>
      <c r="AB119" s="525"/>
      <c r="AC119" s="242"/>
      <c r="AD119" s="234"/>
      <c r="AE119" s="234"/>
      <c r="AF119" s="152"/>
      <c r="AG119" s="152"/>
      <c r="AH119" s="152"/>
      <c r="AI119" s="329"/>
      <c r="AJ119" s="329"/>
      <c r="AK119" s="329"/>
      <c r="AL119" s="329"/>
      <c r="AM119" s="329"/>
      <c r="AN119" s="232" t="s">
        <v>825</v>
      </c>
      <c r="AO119" s="152">
        <v>13</v>
      </c>
      <c r="AP119" s="568">
        <v>8</v>
      </c>
      <c r="AQ119" s="147"/>
      <c r="AR119" s="147"/>
    </row>
    <row r="120" spans="1:44">
      <c r="A120" s="232" t="s">
        <v>826</v>
      </c>
      <c r="B120" s="247">
        <f t="shared" si="28"/>
        <v>15</v>
      </c>
      <c r="C120" s="242"/>
      <c r="D120" s="242"/>
      <c r="E120" s="242"/>
      <c r="F120" s="242"/>
      <c r="G120" s="242"/>
      <c r="H120" s="242"/>
      <c r="I120" s="242"/>
      <c r="J120" s="242"/>
      <c r="K120" s="242"/>
      <c r="L120" s="242"/>
      <c r="M120" s="234"/>
      <c r="N120" s="234"/>
      <c r="O120" s="234"/>
      <c r="P120" s="234"/>
      <c r="Q120" s="234"/>
      <c r="R120" s="604"/>
      <c r="S120" s="234"/>
      <c r="T120" s="841"/>
      <c r="U120" s="242"/>
      <c r="V120" s="242"/>
      <c r="W120" s="242"/>
      <c r="X120" s="242"/>
      <c r="Y120" s="242"/>
      <c r="Z120" s="242"/>
      <c r="AA120" s="242"/>
      <c r="AB120" s="242"/>
      <c r="AC120" s="242"/>
      <c r="AD120" s="234"/>
      <c r="AE120" s="526"/>
      <c r="AF120" s="152"/>
      <c r="AG120" s="152"/>
      <c r="AH120" s="152"/>
      <c r="AI120" s="329"/>
      <c r="AJ120" s="329"/>
      <c r="AK120" s="329"/>
      <c r="AL120" s="329"/>
      <c r="AM120" s="329"/>
      <c r="AN120" s="232" t="s">
        <v>826</v>
      </c>
      <c r="AO120" s="152">
        <v>14</v>
      </c>
      <c r="AP120" s="483">
        <v>8</v>
      </c>
      <c r="AQ120" s="147"/>
      <c r="AR120" s="147"/>
    </row>
    <row r="121" spans="1:44">
      <c r="A121" s="232" t="s">
        <v>827</v>
      </c>
      <c r="B121" s="247">
        <f t="shared" si="28"/>
        <v>16</v>
      </c>
      <c r="C121" s="242"/>
      <c r="D121" s="242"/>
      <c r="E121" s="242"/>
      <c r="F121" s="242"/>
      <c r="G121" s="242"/>
      <c r="H121" s="242"/>
      <c r="I121" s="242"/>
      <c r="J121" s="242"/>
      <c r="K121" s="242"/>
      <c r="L121" s="242"/>
      <c r="M121" s="234"/>
      <c r="N121" s="234"/>
      <c r="O121" s="234"/>
      <c r="P121" s="234"/>
      <c r="Q121" s="234"/>
      <c r="R121" s="604"/>
      <c r="S121" s="234"/>
      <c r="T121" s="841"/>
      <c r="U121" s="242"/>
      <c r="V121" s="242"/>
      <c r="W121" s="242"/>
      <c r="X121" s="242"/>
      <c r="Y121" s="242"/>
      <c r="Z121" s="242"/>
      <c r="AA121" s="242"/>
      <c r="AB121" s="242"/>
      <c r="AC121" s="242"/>
      <c r="AD121" s="234"/>
      <c r="AE121" s="234"/>
      <c r="AF121" s="152"/>
      <c r="AG121" s="152"/>
      <c r="AH121" s="152"/>
      <c r="AI121" s="329"/>
      <c r="AJ121" s="329"/>
      <c r="AK121" s="329"/>
      <c r="AL121" s="329"/>
      <c r="AM121" s="329"/>
      <c r="AN121" s="232" t="s">
        <v>827</v>
      </c>
      <c r="AO121" s="152">
        <v>15</v>
      </c>
      <c r="AP121" s="483"/>
      <c r="AQ121" s="147"/>
      <c r="AR121" s="147"/>
    </row>
    <row r="122" spans="1:44">
      <c r="A122" s="232" t="s">
        <v>821</v>
      </c>
      <c r="B122" s="247">
        <f t="shared" si="28"/>
        <v>17</v>
      </c>
      <c r="C122" s="242"/>
      <c r="D122" s="242"/>
      <c r="E122" s="242"/>
      <c r="F122" s="242"/>
      <c r="G122" s="242"/>
      <c r="H122" s="242"/>
      <c r="I122" s="242"/>
      <c r="J122" s="242"/>
      <c r="K122" s="242"/>
      <c r="L122" s="242"/>
      <c r="M122" s="234"/>
      <c r="N122" s="234"/>
      <c r="O122" s="234"/>
      <c r="P122" s="234"/>
      <c r="Q122" s="234"/>
      <c r="R122" s="604"/>
      <c r="S122" s="234"/>
      <c r="T122" s="841"/>
      <c r="U122" s="242"/>
      <c r="V122" s="242"/>
      <c r="W122" s="242"/>
      <c r="X122" s="242"/>
      <c r="Y122" s="242"/>
      <c r="Z122" s="242"/>
      <c r="AA122" s="242"/>
      <c r="AB122" s="242"/>
      <c r="AC122" s="242"/>
      <c r="AD122" s="234"/>
      <c r="AE122" s="234"/>
      <c r="AF122" s="152"/>
      <c r="AG122" s="152"/>
      <c r="AH122" s="152"/>
      <c r="AI122" s="329"/>
      <c r="AJ122" s="329"/>
      <c r="AK122" s="329"/>
      <c r="AL122" s="329"/>
      <c r="AM122" s="329"/>
      <c r="AN122" s="232" t="s">
        <v>821</v>
      </c>
      <c r="AO122" s="152">
        <v>16</v>
      </c>
      <c r="AP122" s="483">
        <v>9</v>
      </c>
      <c r="AQ122" s="147"/>
      <c r="AR122" s="147"/>
    </row>
    <row r="123" spans="1:44">
      <c r="A123" s="232" t="s">
        <v>822</v>
      </c>
      <c r="B123" s="247">
        <f t="shared" si="28"/>
        <v>18</v>
      </c>
      <c r="C123" s="242"/>
      <c r="D123" s="242"/>
      <c r="E123" s="242"/>
      <c r="F123" s="242"/>
      <c r="G123" s="242"/>
      <c r="H123" s="242"/>
      <c r="I123" s="242"/>
      <c r="J123" s="242"/>
      <c r="K123" s="242"/>
      <c r="L123" s="242"/>
      <c r="M123" s="234"/>
      <c r="N123" s="234"/>
      <c r="O123" s="234"/>
      <c r="P123" s="234"/>
      <c r="Q123" s="234"/>
      <c r="R123" s="604"/>
      <c r="S123" s="234"/>
      <c r="T123" s="841"/>
      <c r="U123" s="242"/>
      <c r="V123" s="242"/>
      <c r="W123" s="242"/>
      <c r="X123" s="242"/>
      <c r="Y123" s="242"/>
      <c r="Z123" s="242"/>
      <c r="AA123" s="242"/>
      <c r="AB123" s="242"/>
      <c r="AC123" s="242"/>
      <c r="AD123" s="234"/>
      <c r="AE123" s="234"/>
      <c r="AF123" s="152"/>
      <c r="AG123" s="152"/>
      <c r="AH123" s="152"/>
      <c r="AI123" s="329"/>
      <c r="AJ123" s="329"/>
      <c r="AK123" s="329"/>
      <c r="AL123" s="329"/>
      <c r="AM123" s="329"/>
      <c r="AN123" s="232" t="s">
        <v>822</v>
      </c>
      <c r="AO123" s="152">
        <v>17</v>
      </c>
      <c r="AP123" s="483">
        <v>8</v>
      </c>
      <c r="AQ123" s="147"/>
      <c r="AR123" s="147"/>
    </row>
    <row r="124" spans="1:44">
      <c r="A124" s="232" t="s">
        <v>823</v>
      </c>
      <c r="B124" s="247">
        <f t="shared" si="28"/>
        <v>19</v>
      </c>
      <c r="C124" s="514"/>
      <c r="D124" s="514"/>
      <c r="E124" s="242"/>
      <c r="F124" s="242"/>
      <c r="G124" s="242"/>
      <c r="H124" s="242"/>
      <c r="I124" s="242"/>
      <c r="J124" s="242"/>
      <c r="K124" s="242"/>
      <c r="L124" s="242"/>
      <c r="M124" s="515"/>
      <c r="N124" s="515"/>
      <c r="O124" s="515"/>
      <c r="P124" s="515"/>
      <c r="Q124" s="515"/>
      <c r="R124" s="604"/>
      <c r="S124" s="515"/>
      <c r="T124" s="841"/>
      <c r="U124" s="514"/>
      <c r="V124" s="514"/>
      <c r="W124" s="514"/>
      <c r="X124" s="514"/>
      <c r="Y124" s="514"/>
      <c r="Z124" s="514"/>
      <c r="AA124" s="514"/>
      <c r="AB124" s="514"/>
      <c r="AC124" s="514"/>
      <c r="AD124" s="515"/>
      <c r="AE124" s="515"/>
      <c r="AF124" s="516"/>
      <c r="AG124" s="516"/>
      <c r="AH124" s="516"/>
      <c r="AI124" s="844"/>
      <c r="AJ124" s="844"/>
      <c r="AK124" s="844"/>
      <c r="AL124" s="844"/>
      <c r="AM124" s="844"/>
      <c r="AN124" s="232" t="s">
        <v>823</v>
      </c>
      <c r="AO124" s="152">
        <v>18</v>
      </c>
      <c r="AP124" s="147"/>
      <c r="AQ124" s="147"/>
      <c r="AR124" s="147"/>
    </row>
    <row r="125" spans="1:44">
      <c r="A125" s="232" t="s">
        <v>824</v>
      </c>
      <c r="B125" s="247">
        <f t="shared" si="28"/>
        <v>20</v>
      </c>
      <c r="C125" s="514"/>
      <c r="D125" s="514"/>
      <c r="E125" s="242"/>
      <c r="F125" s="242"/>
      <c r="G125" s="242"/>
      <c r="H125" s="242"/>
      <c r="I125" s="242"/>
      <c r="J125" s="242"/>
      <c r="K125" s="242"/>
      <c r="L125" s="242"/>
      <c r="M125" s="515"/>
      <c r="N125" s="515"/>
      <c r="O125" s="515"/>
      <c r="P125" s="515"/>
      <c r="Q125" s="515"/>
      <c r="R125" s="604"/>
      <c r="S125" s="515"/>
      <c r="T125" s="841"/>
      <c r="U125" s="514"/>
      <c r="V125" s="514"/>
      <c r="W125" s="514"/>
      <c r="X125" s="514"/>
      <c r="Y125" s="514"/>
      <c r="Z125" s="514"/>
      <c r="AA125" s="514"/>
      <c r="AB125" s="514"/>
      <c r="AC125" s="514"/>
      <c r="AD125" s="515"/>
      <c r="AE125" s="515"/>
      <c r="AF125" s="516"/>
      <c r="AG125" s="516"/>
      <c r="AH125" s="516"/>
      <c r="AI125" s="844"/>
      <c r="AJ125" s="844"/>
      <c r="AK125" s="844"/>
      <c r="AL125" s="844"/>
      <c r="AM125" s="844"/>
      <c r="AN125" s="232" t="s">
        <v>824</v>
      </c>
      <c r="AO125" s="152">
        <v>19</v>
      </c>
      <c r="AP125" s="147"/>
      <c r="AQ125" s="147"/>
      <c r="AR125" s="147"/>
    </row>
    <row r="126" spans="1:44">
      <c r="A126" s="232" t="s">
        <v>825</v>
      </c>
      <c r="B126" s="247">
        <f t="shared" si="28"/>
        <v>21</v>
      </c>
      <c r="C126" s="514"/>
      <c r="D126" s="514"/>
      <c r="E126" s="514"/>
      <c r="F126" s="514"/>
      <c r="G126" s="514"/>
      <c r="H126" s="514"/>
      <c r="I126" s="516"/>
      <c r="J126" s="515"/>
      <c r="K126" s="515"/>
      <c r="L126" s="515"/>
      <c r="M126" s="515"/>
      <c r="N126" s="515"/>
      <c r="O126" s="515"/>
      <c r="P126" s="515"/>
      <c r="Q126" s="515"/>
      <c r="R126" s="604"/>
      <c r="S126" s="515"/>
      <c r="T126" s="841"/>
      <c r="U126" s="514"/>
      <c r="V126" s="514"/>
      <c r="W126" s="514"/>
      <c r="X126" s="514"/>
      <c r="Y126" s="514"/>
      <c r="Z126" s="514"/>
      <c r="AA126" s="514"/>
      <c r="AB126" s="514"/>
      <c r="AC126" s="514"/>
      <c r="AD126" s="515"/>
      <c r="AE126" s="515"/>
      <c r="AF126" s="516"/>
      <c r="AG126" s="516"/>
      <c r="AH126" s="516"/>
      <c r="AI126" s="844"/>
      <c r="AJ126" s="844"/>
      <c r="AK126" s="844"/>
      <c r="AL126" s="844"/>
      <c r="AM126" s="844"/>
      <c r="AN126" s="232" t="s">
        <v>825</v>
      </c>
      <c r="AO126" s="152">
        <v>20</v>
      </c>
      <c r="AP126" s="147"/>
      <c r="AQ126" s="147"/>
      <c r="AR126" s="147"/>
    </row>
    <row r="127" spans="1:44">
      <c r="A127" s="232" t="s">
        <v>826</v>
      </c>
      <c r="B127" s="247">
        <f t="shared" si="28"/>
        <v>22</v>
      </c>
      <c r="C127" s="514"/>
      <c r="D127" s="514"/>
      <c r="E127" s="514"/>
      <c r="F127" s="514"/>
      <c r="G127" s="514"/>
      <c r="H127" s="514"/>
      <c r="I127" s="516"/>
      <c r="J127" s="515"/>
      <c r="K127" s="515"/>
      <c r="L127" s="515"/>
      <c r="M127" s="515"/>
      <c r="N127" s="515"/>
      <c r="O127" s="515"/>
      <c r="P127" s="515"/>
      <c r="Q127" s="515"/>
      <c r="R127" s="604"/>
      <c r="S127" s="515"/>
      <c r="T127" s="841"/>
      <c r="U127" s="514"/>
      <c r="V127" s="514"/>
      <c r="W127" s="514"/>
      <c r="X127" s="514"/>
      <c r="Y127" s="514"/>
      <c r="Z127" s="514"/>
      <c r="AA127" s="514"/>
      <c r="AB127" s="514"/>
      <c r="AC127" s="514"/>
      <c r="AD127" s="515"/>
      <c r="AE127" s="515"/>
      <c r="AF127" s="516"/>
      <c r="AG127" s="516"/>
      <c r="AH127" s="516"/>
      <c r="AI127" s="844"/>
      <c r="AJ127" s="844"/>
      <c r="AK127" s="844"/>
      <c r="AL127" s="844"/>
      <c r="AM127" s="844"/>
      <c r="AN127" s="232" t="s">
        <v>826</v>
      </c>
      <c r="AO127" s="152">
        <v>21</v>
      </c>
      <c r="AP127" s="147"/>
      <c r="AQ127" s="147"/>
      <c r="AR127" s="147"/>
    </row>
    <row r="128" spans="1:44" ht="15.75" thickBot="1">
      <c r="A128" s="232" t="s">
        <v>827</v>
      </c>
      <c r="B128" s="247">
        <f t="shared" si="28"/>
        <v>23</v>
      </c>
      <c r="C128" s="514"/>
      <c r="D128" s="514"/>
      <c r="E128" s="514"/>
      <c r="F128" s="514"/>
      <c r="G128" s="514"/>
      <c r="H128" s="514"/>
      <c r="I128" s="516"/>
      <c r="J128" s="515"/>
      <c r="K128" s="515"/>
      <c r="L128" s="515"/>
      <c r="M128" s="515"/>
      <c r="N128" s="515"/>
      <c r="O128" s="515"/>
      <c r="P128" s="515"/>
      <c r="Q128" s="515"/>
      <c r="R128" s="604"/>
      <c r="S128" s="515"/>
      <c r="T128" s="841"/>
      <c r="U128" s="514"/>
      <c r="V128" s="514"/>
      <c r="W128" s="514"/>
      <c r="X128" s="514"/>
      <c r="Y128" s="514"/>
      <c r="Z128" s="514"/>
      <c r="AA128" s="514"/>
      <c r="AB128" s="514"/>
      <c r="AC128" s="514"/>
      <c r="AD128" s="515"/>
      <c r="AE128" s="515"/>
      <c r="AF128" s="516"/>
      <c r="AG128" s="516"/>
      <c r="AH128" s="516"/>
      <c r="AI128" s="844"/>
      <c r="AJ128" s="844"/>
      <c r="AK128" s="844"/>
      <c r="AL128" s="844"/>
      <c r="AM128" s="844"/>
      <c r="AN128" s="232" t="s">
        <v>827</v>
      </c>
      <c r="AO128" s="152">
        <v>22</v>
      </c>
      <c r="AP128" s="147"/>
      <c r="AQ128" s="147"/>
      <c r="AR128" s="147"/>
    </row>
    <row r="129" spans="1:44" ht="16.5" thickBot="1">
      <c r="A129" s="175" t="s">
        <v>791</v>
      </c>
      <c r="B129" s="176">
        <f>SUM(C129:AH129)</f>
        <v>0</v>
      </c>
      <c r="C129" s="238">
        <f t="shared" ref="C129:H129" si="29">SUM(C115:C128)</f>
        <v>0</v>
      </c>
      <c r="D129" s="238">
        <f t="shared" si="29"/>
        <v>0</v>
      </c>
      <c r="E129" s="238">
        <f t="shared" si="29"/>
        <v>0</v>
      </c>
      <c r="F129" s="238">
        <f t="shared" si="29"/>
        <v>0</v>
      </c>
      <c r="G129" s="238">
        <f t="shared" si="29"/>
        <v>0</v>
      </c>
      <c r="H129" s="238">
        <f t="shared" si="29"/>
        <v>0</v>
      </c>
      <c r="I129" s="238">
        <f t="shared" ref="I129:Q129" si="30">SUM(I115:I128)</f>
        <v>0</v>
      </c>
      <c r="J129" s="569">
        <f t="shared" si="30"/>
        <v>0</v>
      </c>
      <c r="K129" s="566">
        <f t="shared" si="30"/>
        <v>0</v>
      </c>
      <c r="L129" s="238">
        <f t="shared" si="30"/>
        <v>0</v>
      </c>
      <c r="M129" s="238">
        <f t="shared" si="30"/>
        <v>0</v>
      </c>
      <c r="N129" s="238">
        <f t="shared" si="30"/>
        <v>0</v>
      </c>
      <c r="O129" s="238">
        <f t="shared" si="30"/>
        <v>0</v>
      </c>
      <c r="P129" s="238">
        <f t="shared" si="30"/>
        <v>0</v>
      </c>
      <c r="Q129" s="238">
        <f t="shared" si="30"/>
        <v>0</v>
      </c>
      <c r="R129" s="569">
        <f t="shared" ref="R129:AH129" si="31">SUM(R115:R128)</f>
        <v>0</v>
      </c>
      <c r="S129" s="238">
        <f t="shared" si="31"/>
        <v>0</v>
      </c>
      <c r="T129" s="842">
        <f t="shared" si="31"/>
        <v>0</v>
      </c>
      <c r="U129" s="238">
        <f t="shared" si="31"/>
        <v>0</v>
      </c>
      <c r="V129" s="238">
        <f>SUM(V115:V128)</f>
        <v>0</v>
      </c>
      <c r="W129" s="238">
        <f>SUM(W115:W128)</f>
        <v>0</v>
      </c>
      <c r="X129" s="238">
        <f t="shared" si="31"/>
        <v>0</v>
      </c>
      <c r="Y129" s="238">
        <f t="shared" si="31"/>
        <v>0</v>
      </c>
      <c r="Z129" s="238">
        <f>SUM(Z115:Z128)</f>
        <v>0</v>
      </c>
      <c r="AA129" s="238">
        <f t="shared" si="31"/>
        <v>0</v>
      </c>
      <c r="AB129" s="238">
        <f>SUM(AB115:AB128)</f>
        <v>0</v>
      </c>
      <c r="AC129" s="238">
        <f t="shared" si="31"/>
        <v>0</v>
      </c>
      <c r="AD129" s="238">
        <f t="shared" si="31"/>
        <v>0</v>
      </c>
      <c r="AE129" s="238">
        <f t="shared" si="31"/>
        <v>0</v>
      </c>
      <c r="AF129" s="238">
        <f t="shared" si="31"/>
        <v>0</v>
      </c>
      <c r="AG129" s="238">
        <f t="shared" si="31"/>
        <v>0</v>
      </c>
      <c r="AH129" s="238">
        <f t="shared" si="31"/>
        <v>0</v>
      </c>
      <c r="AI129" s="329"/>
      <c r="AJ129" s="329"/>
      <c r="AK129" s="329"/>
      <c r="AL129" s="329"/>
      <c r="AM129" s="329"/>
      <c r="AN129" s="175" t="s">
        <v>791</v>
      </c>
      <c r="AO129" s="176">
        <f>SUM(AP129:AR129)</f>
        <v>50</v>
      </c>
      <c r="AP129" s="147">
        <f>SUM(AP115:AP128)</f>
        <v>50</v>
      </c>
      <c r="AQ129" s="147">
        <f>SUM(AQ115:AQ128)</f>
        <v>0</v>
      </c>
      <c r="AR129" s="147">
        <f>SUM(AR115:AR128)</f>
        <v>0</v>
      </c>
    </row>
    <row r="130" spans="1:44" ht="15.75" thickBot="1"/>
    <row r="131" spans="1:44" ht="15.75" thickBot="1">
      <c r="A131" s="1027" t="s">
        <v>857</v>
      </c>
      <c r="B131" s="1028"/>
      <c r="C131" s="1030"/>
      <c r="D131" s="1030"/>
      <c r="E131" s="1030"/>
      <c r="F131" s="1030"/>
      <c r="G131" s="1028"/>
      <c r="H131" s="1028"/>
      <c r="I131" s="1029"/>
      <c r="J131" s="1027" t="s">
        <v>820</v>
      </c>
      <c r="K131" s="1028"/>
      <c r="L131" s="1028"/>
      <c r="M131" s="1029"/>
      <c r="N131"/>
      <c r="O131"/>
      <c r="P131"/>
      <c r="Q131"/>
      <c r="R131"/>
      <c r="S131"/>
      <c r="T131"/>
      <c r="U131"/>
      <c r="V131"/>
      <c r="W131"/>
      <c r="X131"/>
      <c r="Y131"/>
      <c r="Z131"/>
      <c r="AA131"/>
      <c r="AB131"/>
      <c r="AC131"/>
    </row>
    <row r="132" spans="1:44" ht="92.25" customHeight="1">
      <c r="A132" s="228"/>
      <c r="B132" s="247" t="str">
        <f>B114</f>
        <v>Jan</v>
      </c>
      <c r="C132" s="969" t="s">
        <v>1894</v>
      </c>
      <c r="D132" s="969" t="s">
        <v>7154</v>
      </c>
      <c r="E132" s="969" t="s">
        <v>7155</v>
      </c>
      <c r="F132" s="970" t="s">
        <v>7156</v>
      </c>
      <c r="G132" s="631"/>
      <c r="H132" s="669"/>
      <c r="I132" s="669"/>
      <c r="J132" s="631"/>
      <c r="K132" s="669"/>
      <c r="L132" s="669"/>
      <c r="M132" s="631"/>
      <c r="N132" s="669"/>
      <c r="O132" s="228"/>
      <c r="P132" s="247"/>
      <c r="Q132" s="369"/>
      <c r="R132" s="369"/>
    </row>
    <row r="133" spans="1:44">
      <c r="A133" s="232" t="s">
        <v>821</v>
      </c>
      <c r="B133" s="247">
        <f t="shared" ref="B133:B146" si="32">B115</f>
        <v>10</v>
      </c>
      <c r="C133" s="152"/>
      <c r="D133" s="152"/>
      <c r="E133" s="152"/>
      <c r="F133" s="152"/>
      <c r="G133" s="152"/>
      <c r="H133" s="147"/>
      <c r="I133" s="147"/>
      <c r="J133" s="152"/>
      <c r="K133" s="147"/>
      <c r="L133" s="147"/>
      <c r="M133" s="152"/>
      <c r="N133" s="147"/>
      <c r="O133" s="232" t="s">
        <v>821</v>
      </c>
      <c r="P133" s="152"/>
      <c r="Q133" s="147"/>
      <c r="R133" s="147"/>
    </row>
    <row r="134" spans="1:44">
      <c r="A134" s="232" t="s">
        <v>822</v>
      </c>
      <c r="B134" s="247">
        <f t="shared" si="32"/>
        <v>11</v>
      </c>
      <c r="C134" s="152"/>
      <c r="D134" s="152"/>
      <c r="E134" s="152"/>
      <c r="F134" s="152"/>
      <c r="G134" s="152"/>
      <c r="H134" s="147"/>
      <c r="I134" s="147"/>
      <c r="J134" s="528"/>
      <c r="K134" s="147"/>
      <c r="L134" s="147"/>
      <c r="M134" s="152"/>
      <c r="N134" s="147"/>
      <c r="O134" s="232" t="s">
        <v>822</v>
      </c>
      <c r="P134" s="152"/>
      <c r="Q134" s="147"/>
      <c r="R134" s="147"/>
    </row>
    <row r="135" spans="1:44">
      <c r="A135" s="232" t="s">
        <v>823</v>
      </c>
      <c r="B135" s="247">
        <f t="shared" si="32"/>
        <v>12</v>
      </c>
      <c r="C135" s="152"/>
      <c r="D135" s="152"/>
      <c r="E135" s="152"/>
      <c r="F135" s="152"/>
      <c r="G135" s="152"/>
      <c r="H135" s="147"/>
      <c r="I135" s="147"/>
      <c r="J135" s="152"/>
      <c r="K135" s="147"/>
      <c r="L135" s="147"/>
      <c r="M135" s="152"/>
      <c r="N135" s="147"/>
      <c r="O135" s="232" t="s">
        <v>823</v>
      </c>
      <c r="P135" s="152"/>
      <c r="Q135" s="147"/>
      <c r="R135" s="147"/>
    </row>
    <row r="136" spans="1:44">
      <c r="A136" s="232" t="s">
        <v>824</v>
      </c>
      <c r="B136" s="247">
        <f t="shared" si="32"/>
        <v>13</v>
      </c>
      <c r="C136" s="152"/>
      <c r="D136" s="152"/>
      <c r="E136" s="152"/>
      <c r="F136" s="152"/>
      <c r="G136" s="152"/>
      <c r="H136" s="147"/>
      <c r="I136" s="147"/>
      <c r="J136" s="152"/>
      <c r="K136" s="147"/>
      <c r="L136" s="147"/>
      <c r="M136" s="152"/>
      <c r="N136" s="147"/>
      <c r="O136" s="232" t="s">
        <v>824</v>
      </c>
      <c r="P136" s="152"/>
      <c r="Q136" s="147"/>
      <c r="R136" s="147"/>
    </row>
    <row r="137" spans="1:44">
      <c r="A137" s="232" t="s">
        <v>825</v>
      </c>
      <c r="B137" s="247">
        <f t="shared" si="32"/>
        <v>14</v>
      </c>
      <c r="C137" s="152"/>
      <c r="D137" s="152"/>
      <c r="E137" s="152"/>
      <c r="F137" s="152"/>
      <c r="G137" s="152"/>
      <c r="H137" s="147"/>
      <c r="I137" s="147"/>
      <c r="J137" s="152"/>
      <c r="K137" s="147"/>
      <c r="L137" s="147"/>
      <c r="M137" s="152"/>
      <c r="N137" s="147"/>
      <c r="O137" s="232" t="s">
        <v>825</v>
      </c>
      <c r="P137" s="152"/>
      <c r="Q137" s="147"/>
      <c r="R137" s="147"/>
    </row>
    <row r="138" spans="1:44">
      <c r="A138" s="232" t="s">
        <v>826</v>
      </c>
      <c r="B138" s="247">
        <f t="shared" si="32"/>
        <v>15</v>
      </c>
      <c r="C138" s="152"/>
      <c r="D138" s="152"/>
      <c r="E138" s="152"/>
      <c r="F138" s="152"/>
      <c r="G138" s="152"/>
      <c r="H138" s="147"/>
      <c r="I138" s="147"/>
      <c r="J138" s="152"/>
      <c r="K138" s="147"/>
      <c r="L138" s="147"/>
      <c r="M138" s="152"/>
      <c r="N138" s="147"/>
      <c r="O138" s="232" t="s">
        <v>826</v>
      </c>
      <c r="P138" s="152"/>
      <c r="Q138" s="147"/>
      <c r="R138" s="147"/>
    </row>
    <row r="139" spans="1:44">
      <c r="A139" s="232" t="s">
        <v>827</v>
      </c>
      <c r="B139" s="247">
        <f t="shared" si="32"/>
        <v>16</v>
      </c>
      <c r="C139" s="152"/>
      <c r="D139" s="152"/>
      <c r="E139" s="152"/>
      <c r="F139" s="152"/>
      <c r="G139" s="152"/>
      <c r="H139" s="147"/>
      <c r="I139" s="147"/>
      <c r="J139" s="152"/>
      <c r="K139" s="147"/>
      <c r="L139" s="147"/>
      <c r="M139" s="152"/>
      <c r="N139" s="147"/>
      <c r="O139" s="232" t="s">
        <v>827</v>
      </c>
      <c r="P139" s="152"/>
      <c r="Q139" s="147"/>
      <c r="R139" s="147"/>
    </row>
    <row r="140" spans="1:44">
      <c r="A140" s="232" t="s">
        <v>821</v>
      </c>
      <c r="B140" s="247">
        <f t="shared" si="32"/>
        <v>17</v>
      </c>
      <c r="C140" s="164"/>
      <c r="D140" s="164"/>
      <c r="E140" s="164"/>
      <c r="F140" s="164"/>
      <c r="G140" s="152"/>
      <c r="H140" s="147"/>
      <c r="I140" s="147"/>
      <c r="J140" s="152"/>
      <c r="K140" s="147"/>
      <c r="L140" s="147"/>
      <c r="M140" s="152"/>
      <c r="N140" s="147"/>
      <c r="O140" s="232" t="s">
        <v>821</v>
      </c>
      <c r="P140" s="152"/>
      <c r="Q140" s="147"/>
      <c r="R140" s="147"/>
    </row>
    <row r="141" spans="1:44">
      <c r="A141" s="232" t="s">
        <v>822</v>
      </c>
      <c r="B141" s="247">
        <f t="shared" si="32"/>
        <v>18</v>
      </c>
      <c r="C141" s="152"/>
      <c r="D141" s="152"/>
      <c r="E141" s="152"/>
      <c r="F141" s="152"/>
      <c r="G141" s="152"/>
      <c r="H141" s="147"/>
      <c r="I141" s="147"/>
      <c r="J141" s="152"/>
      <c r="K141" s="147"/>
      <c r="L141" s="147"/>
      <c r="M141" s="152"/>
      <c r="N141" s="147"/>
      <c r="O141" s="232" t="s">
        <v>822</v>
      </c>
      <c r="P141" s="152"/>
      <c r="Q141" s="147"/>
      <c r="R141" s="147"/>
    </row>
    <row r="142" spans="1:44">
      <c r="A142" s="232" t="s">
        <v>823</v>
      </c>
      <c r="B142" s="247">
        <f t="shared" si="32"/>
        <v>19</v>
      </c>
      <c r="C142" s="152"/>
      <c r="D142" s="152"/>
      <c r="E142" s="152"/>
      <c r="F142" s="152"/>
      <c r="G142" s="152"/>
      <c r="H142" s="147"/>
      <c r="I142" s="147"/>
      <c r="J142" s="152"/>
      <c r="K142" s="147"/>
      <c r="L142" s="147"/>
      <c r="M142" s="152"/>
      <c r="N142" s="147"/>
      <c r="O142" s="232" t="s">
        <v>823</v>
      </c>
      <c r="P142" s="152"/>
      <c r="Q142" s="147"/>
      <c r="R142" s="147"/>
    </row>
    <row r="143" spans="1:44">
      <c r="A143" s="232" t="s">
        <v>824</v>
      </c>
      <c r="B143" s="247">
        <f t="shared" si="32"/>
        <v>20</v>
      </c>
      <c r="C143" s="152"/>
      <c r="D143" s="152"/>
      <c r="E143" s="152"/>
      <c r="F143" s="152"/>
      <c r="G143" s="152"/>
      <c r="H143" s="147"/>
      <c r="I143" s="147"/>
      <c r="J143" s="152"/>
      <c r="K143" s="147"/>
      <c r="L143" s="147"/>
      <c r="M143" s="152"/>
      <c r="N143" s="147"/>
      <c r="O143" s="232" t="s">
        <v>824</v>
      </c>
      <c r="P143" s="152"/>
      <c r="Q143" s="147"/>
      <c r="R143" s="147"/>
    </row>
    <row r="144" spans="1:44">
      <c r="A144" s="232" t="s">
        <v>825</v>
      </c>
      <c r="B144" s="247">
        <f t="shared" si="32"/>
        <v>21</v>
      </c>
      <c r="C144" s="152"/>
      <c r="D144" s="152"/>
      <c r="E144" s="152"/>
      <c r="F144" s="152"/>
      <c r="G144" s="152"/>
      <c r="H144" s="147"/>
      <c r="I144" s="147"/>
      <c r="J144" s="152"/>
      <c r="K144" s="147"/>
      <c r="L144" s="147"/>
      <c r="M144" s="152"/>
      <c r="N144" s="147"/>
      <c r="O144" s="232" t="s">
        <v>825</v>
      </c>
      <c r="P144" s="152"/>
      <c r="Q144" s="147"/>
      <c r="R144" s="147"/>
    </row>
    <row r="145" spans="1:28">
      <c r="A145" s="232" t="s">
        <v>826</v>
      </c>
      <c r="B145" s="247">
        <f t="shared" si="32"/>
        <v>22</v>
      </c>
      <c r="C145" s="152"/>
      <c r="D145" s="152"/>
      <c r="E145" s="152"/>
      <c r="F145" s="152"/>
      <c r="G145" s="152"/>
      <c r="H145" s="147"/>
      <c r="I145" s="147"/>
      <c r="J145" s="152"/>
      <c r="K145" s="147"/>
      <c r="L145" s="147"/>
      <c r="M145" s="152"/>
      <c r="N145" s="147"/>
      <c r="O145" s="232" t="s">
        <v>826</v>
      </c>
      <c r="P145" s="152"/>
      <c r="Q145" s="147"/>
      <c r="R145" s="147"/>
    </row>
    <row r="146" spans="1:28" ht="15.75" thickBot="1">
      <c r="A146" s="232" t="s">
        <v>827</v>
      </c>
      <c r="B146" s="247">
        <f t="shared" si="32"/>
        <v>23</v>
      </c>
      <c r="C146" s="152"/>
      <c r="D146" s="152"/>
      <c r="E146" s="152"/>
      <c r="F146" s="152"/>
      <c r="G146" s="152"/>
      <c r="H146" s="147"/>
      <c r="I146" s="147"/>
      <c r="J146" s="152"/>
      <c r="K146" s="147"/>
      <c r="L146" s="147"/>
      <c r="M146" s="152"/>
      <c r="N146" s="147"/>
      <c r="O146" s="232" t="s">
        <v>827</v>
      </c>
      <c r="P146" s="152"/>
      <c r="Q146" s="147"/>
      <c r="R146" s="147"/>
    </row>
    <row r="147" spans="1:28" ht="16.5" thickBot="1">
      <c r="A147" s="175" t="s">
        <v>791</v>
      </c>
      <c r="B147" s="176">
        <f>SUM(C147:N147)+P147</f>
        <v>0</v>
      </c>
      <c r="C147" s="152">
        <f t="shared" ref="C147:N147" si="33">SUM(C133:C146)</f>
        <v>0</v>
      </c>
      <c r="D147" s="152">
        <f>SUM(D133:D146)</f>
        <v>0</v>
      </c>
      <c r="E147" s="152">
        <f>SUM(E133:E146)</f>
        <v>0</v>
      </c>
      <c r="F147" s="152">
        <f t="shared" si="33"/>
        <v>0</v>
      </c>
      <c r="G147" s="152">
        <f>SUM(G133:G146)</f>
        <v>0</v>
      </c>
      <c r="H147" s="147">
        <f t="shared" si="33"/>
        <v>0</v>
      </c>
      <c r="I147" s="147">
        <f>SUM(I133:I146)</f>
        <v>0</v>
      </c>
      <c r="J147" s="152">
        <f t="shared" si="33"/>
        <v>0</v>
      </c>
      <c r="K147" s="147">
        <f>SUM(K133:K146)</f>
        <v>0</v>
      </c>
      <c r="L147" s="147">
        <f t="shared" si="33"/>
        <v>0</v>
      </c>
      <c r="M147" s="152">
        <f t="shared" si="33"/>
        <v>0</v>
      </c>
      <c r="N147" s="147">
        <f t="shared" si="33"/>
        <v>0</v>
      </c>
      <c r="O147" s="175" t="s">
        <v>791</v>
      </c>
      <c r="P147" s="176">
        <f>SUM(Q147:R147)</f>
        <v>0</v>
      </c>
      <c r="Q147" s="147">
        <f>SUM(Q133:Q146)</f>
        <v>0</v>
      </c>
      <c r="R147" s="147">
        <f>SUM(R133:R146)</f>
        <v>0</v>
      </c>
    </row>
    <row r="148" spans="1:28" ht="15.75" thickBot="1"/>
    <row r="149" spans="1:28" ht="15.75" thickBot="1">
      <c r="A149" s="1027" t="s">
        <v>860</v>
      </c>
      <c r="B149" s="1028"/>
      <c r="C149" s="1028"/>
      <c r="D149" s="1030"/>
      <c r="E149" s="1030"/>
      <c r="F149" s="1030"/>
      <c r="G149" s="1030"/>
      <c r="H149" s="1030"/>
      <c r="I149" s="1030"/>
      <c r="J149" s="1030"/>
      <c r="K149" s="1030"/>
      <c r="L149" s="1030"/>
      <c r="M149" s="1030"/>
      <c r="N149" s="1030"/>
      <c r="O149" s="1030"/>
      <c r="P149" s="1030"/>
      <c r="Q149" s="1030"/>
      <c r="R149" s="1031"/>
      <c r="S149" s="1024" t="s">
        <v>820</v>
      </c>
      <c r="T149" s="1025"/>
      <c r="U149" s="1025"/>
      <c r="V149" s="1025"/>
      <c r="W149" s="1026"/>
      <c r="AB149" s="226"/>
    </row>
    <row r="150" spans="1:28" ht="53.25">
      <c r="A150" s="228"/>
      <c r="B150" s="247" t="str">
        <f>B132</f>
        <v>Jan</v>
      </c>
      <c r="C150" s="249" t="s">
        <v>861</v>
      </c>
      <c r="D150" s="154" t="s">
        <v>862</v>
      </c>
      <c r="E150" s="154" t="s">
        <v>863</v>
      </c>
      <c r="F150" s="154" t="s">
        <v>864</v>
      </c>
      <c r="G150" s="154" t="s">
        <v>393</v>
      </c>
      <c r="H150" s="154"/>
      <c r="I150" s="154"/>
      <c r="J150" s="154"/>
      <c r="K150" s="154"/>
      <c r="L150" s="154"/>
      <c r="M150" s="154"/>
      <c r="N150" s="154"/>
      <c r="O150" s="154"/>
      <c r="P150" s="154"/>
      <c r="Q150" s="154"/>
      <c r="R150" s="154"/>
      <c r="S150" s="228"/>
      <c r="T150" s="247"/>
      <c r="U150" s="369"/>
      <c r="V150" s="369"/>
      <c r="W150" s="369"/>
      <c r="Z150" s="226"/>
    </row>
    <row r="151" spans="1:28">
      <c r="A151" s="232" t="s">
        <v>821</v>
      </c>
      <c r="B151" s="247">
        <f t="shared" ref="B151:B164" si="34">B133</f>
        <v>10</v>
      </c>
      <c r="C151" s="242"/>
      <c r="D151" s="152"/>
      <c r="E151" s="152"/>
      <c r="F151" s="152"/>
      <c r="G151" s="152"/>
      <c r="H151" s="152"/>
      <c r="I151" s="152"/>
      <c r="J151" s="152"/>
      <c r="K151" s="152"/>
      <c r="L151" s="152"/>
      <c r="M151" s="152"/>
      <c r="N151" s="152"/>
      <c r="O151" s="152"/>
      <c r="P151" s="152"/>
      <c r="Q151" s="152"/>
      <c r="R151" s="152"/>
      <c r="S151" s="232" t="s">
        <v>821</v>
      </c>
      <c r="T151" s="152"/>
      <c r="U151" s="147"/>
      <c r="V151" s="147"/>
      <c r="W151" s="147"/>
      <c r="Z151" s="329"/>
    </row>
    <row r="152" spans="1:28">
      <c r="A152" s="232" t="s">
        <v>822</v>
      </c>
      <c r="B152" s="247">
        <f t="shared" si="34"/>
        <v>11</v>
      </c>
      <c r="C152" s="242"/>
      <c r="D152" s="152"/>
      <c r="E152" s="152"/>
      <c r="F152" s="152"/>
      <c r="G152" s="152"/>
      <c r="H152" s="152"/>
      <c r="I152" s="152"/>
      <c r="J152" s="152"/>
      <c r="K152" s="152"/>
      <c r="L152" s="152"/>
      <c r="M152" s="152"/>
      <c r="N152" s="152"/>
      <c r="O152" s="152"/>
      <c r="P152" s="152"/>
      <c r="Q152" s="152"/>
      <c r="R152" s="152"/>
      <c r="S152" s="232" t="s">
        <v>822</v>
      </c>
      <c r="T152" s="152"/>
      <c r="U152" s="147"/>
      <c r="V152" s="147"/>
      <c r="W152" s="147"/>
      <c r="Z152" s="329"/>
    </row>
    <row r="153" spans="1:28">
      <c r="A153" s="232" t="s">
        <v>823</v>
      </c>
      <c r="B153" s="247">
        <f t="shared" si="34"/>
        <v>12</v>
      </c>
      <c r="C153" s="242"/>
      <c r="D153" s="152"/>
      <c r="E153" s="152"/>
      <c r="F153" s="152"/>
      <c r="G153" s="152"/>
      <c r="H153" s="152"/>
      <c r="I153" s="152"/>
      <c r="J153" s="152"/>
      <c r="K153" s="152"/>
      <c r="L153" s="152"/>
      <c r="M153" s="152"/>
      <c r="N153" s="152"/>
      <c r="O153" s="152"/>
      <c r="P153" s="152"/>
      <c r="Q153" s="152"/>
      <c r="R153" s="152"/>
      <c r="S153" s="232" t="s">
        <v>823</v>
      </c>
      <c r="T153" s="152"/>
      <c r="U153" s="147"/>
      <c r="V153" s="147"/>
      <c r="W153" s="147"/>
      <c r="Z153" s="329"/>
    </row>
    <row r="154" spans="1:28">
      <c r="A154" s="232" t="s">
        <v>824</v>
      </c>
      <c r="B154" s="247">
        <f t="shared" si="34"/>
        <v>13</v>
      </c>
      <c r="C154" s="242"/>
      <c r="D154" s="152"/>
      <c r="E154" s="152"/>
      <c r="F154" s="152"/>
      <c r="G154" s="152"/>
      <c r="H154" s="152"/>
      <c r="I154" s="152"/>
      <c r="J154" s="152"/>
      <c r="K154" s="152"/>
      <c r="L154" s="152"/>
      <c r="M154" s="152"/>
      <c r="N154" s="152"/>
      <c r="O154" s="152"/>
      <c r="P154" s="152"/>
      <c r="Q154" s="152"/>
      <c r="R154" s="152"/>
      <c r="S154" s="232" t="s">
        <v>824</v>
      </c>
      <c r="T154" s="152"/>
      <c r="U154" s="147"/>
      <c r="V154" s="147"/>
      <c r="W154" s="147"/>
      <c r="Z154" s="329"/>
    </row>
    <row r="155" spans="1:28">
      <c r="A155" s="232" t="s">
        <v>825</v>
      </c>
      <c r="B155" s="247">
        <f t="shared" si="34"/>
        <v>14</v>
      </c>
      <c r="C155" s="242"/>
      <c r="D155" s="152"/>
      <c r="E155" s="152"/>
      <c r="F155" s="152"/>
      <c r="G155" s="152"/>
      <c r="H155" s="152"/>
      <c r="I155" s="152"/>
      <c r="J155" s="152"/>
      <c r="K155" s="152"/>
      <c r="L155" s="152"/>
      <c r="M155" s="152"/>
      <c r="N155" s="152"/>
      <c r="O155" s="152"/>
      <c r="P155" s="152"/>
      <c r="Q155" s="152"/>
      <c r="R155" s="152"/>
      <c r="S155" s="232" t="s">
        <v>825</v>
      </c>
      <c r="T155" s="152"/>
      <c r="U155" s="147"/>
      <c r="V155" s="147"/>
      <c r="W155" s="147"/>
      <c r="Z155" s="329"/>
    </row>
    <row r="156" spans="1:28">
      <c r="A156" s="232" t="s">
        <v>826</v>
      </c>
      <c r="B156" s="247">
        <f t="shared" si="34"/>
        <v>15</v>
      </c>
      <c r="C156" s="242"/>
      <c r="D156" s="152"/>
      <c r="E156" s="152"/>
      <c r="F156" s="152"/>
      <c r="G156" s="152"/>
      <c r="H156" s="152"/>
      <c r="I156" s="152"/>
      <c r="J156" s="152"/>
      <c r="K156" s="152"/>
      <c r="L156" s="152"/>
      <c r="M156" s="152"/>
      <c r="N156" s="152"/>
      <c r="O156" s="152"/>
      <c r="P156" s="152"/>
      <c r="Q156" s="152"/>
      <c r="R156" s="152"/>
      <c r="S156" s="232" t="s">
        <v>826</v>
      </c>
      <c r="T156" s="152"/>
      <c r="U156" s="147"/>
      <c r="V156" s="147"/>
      <c r="W156" s="147"/>
      <c r="Z156" s="329"/>
    </row>
    <row r="157" spans="1:28">
      <c r="A157" s="232" t="s">
        <v>827</v>
      </c>
      <c r="B157" s="247">
        <f t="shared" si="34"/>
        <v>16</v>
      </c>
      <c r="C157" s="242"/>
      <c r="D157" s="152"/>
      <c r="E157" s="152"/>
      <c r="F157" s="152"/>
      <c r="G157" s="152"/>
      <c r="H157" s="152"/>
      <c r="I157" s="152"/>
      <c r="J157" s="152"/>
      <c r="K157" s="152"/>
      <c r="L157" s="152"/>
      <c r="M157" s="152"/>
      <c r="N157" s="152"/>
      <c r="O157" s="152"/>
      <c r="P157" s="152"/>
      <c r="Q157" s="152"/>
      <c r="R157" s="152"/>
      <c r="S157" s="232" t="s">
        <v>827</v>
      </c>
      <c r="T157" s="152"/>
      <c r="U157" s="147"/>
      <c r="V157" s="147"/>
      <c r="W157" s="147"/>
      <c r="Z157" s="329"/>
    </row>
    <row r="158" spans="1:28">
      <c r="A158" s="232" t="s">
        <v>821</v>
      </c>
      <c r="B158" s="247">
        <f t="shared" si="34"/>
        <v>17</v>
      </c>
      <c r="C158" s="242"/>
      <c r="D158" s="152"/>
      <c r="E158" s="152"/>
      <c r="F158" s="152"/>
      <c r="G158" s="152"/>
      <c r="H158" s="152"/>
      <c r="I158" s="152"/>
      <c r="J158" s="152"/>
      <c r="K158" s="152"/>
      <c r="L158" s="152"/>
      <c r="M158" s="152"/>
      <c r="N158" s="152"/>
      <c r="O158" s="152"/>
      <c r="P158" s="152"/>
      <c r="Q158" s="152"/>
      <c r="R158" s="152"/>
      <c r="S158" s="232" t="s">
        <v>821</v>
      </c>
      <c r="T158" s="152"/>
      <c r="U158" s="147"/>
      <c r="V158" s="147"/>
      <c r="W158" s="147"/>
      <c r="Z158" s="329"/>
    </row>
    <row r="159" spans="1:28">
      <c r="A159" s="232" t="s">
        <v>822</v>
      </c>
      <c r="B159" s="247">
        <f t="shared" si="34"/>
        <v>18</v>
      </c>
      <c r="C159" s="242"/>
      <c r="D159" s="152"/>
      <c r="E159" s="152"/>
      <c r="F159" s="152"/>
      <c r="G159" s="152"/>
      <c r="H159" s="152"/>
      <c r="I159" s="152"/>
      <c r="J159" s="152"/>
      <c r="K159" s="152"/>
      <c r="L159" s="152"/>
      <c r="M159" s="152"/>
      <c r="N159" s="152"/>
      <c r="O159" s="152"/>
      <c r="P159" s="152"/>
      <c r="Q159" s="152"/>
      <c r="R159" s="152"/>
      <c r="S159" s="232" t="s">
        <v>822</v>
      </c>
      <c r="T159" s="152"/>
      <c r="U159" s="147"/>
      <c r="V159" s="147"/>
      <c r="W159" s="147"/>
      <c r="Z159" s="329"/>
    </row>
    <row r="160" spans="1:28">
      <c r="A160" s="232" t="s">
        <v>823</v>
      </c>
      <c r="B160" s="247">
        <f t="shared" si="34"/>
        <v>19</v>
      </c>
      <c r="C160" s="242"/>
      <c r="D160" s="152"/>
      <c r="E160" s="152"/>
      <c r="F160" s="152"/>
      <c r="G160" s="152"/>
      <c r="H160" s="152"/>
      <c r="I160" s="152"/>
      <c r="J160" s="152"/>
      <c r="K160" s="152"/>
      <c r="L160" s="152"/>
      <c r="M160" s="152"/>
      <c r="N160" s="152"/>
      <c r="O160" s="152"/>
      <c r="P160" s="152"/>
      <c r="Q160" s="152"/>
      <c r="R160" s="152"/>
      <c r="S160" s="232" t="s">
        <v>823</v>
      </c>
      <c r="T160" s="152"/>
      <c r="U160" s="147"/>
      <c r="V160" s="147"/>
      <c r="W160" s="147"/>
      <c r="Z160" s="329"/>
    </row>
    <row r="161" spans="1:32">
      <c r="A161" s="232" t="s">
        <v>824</v>
      </c>
      <c r="B161" s="247">
        <f t="shared" si="34"/>
        <v>20</v>
      </c>
      <c r="C161" s="242"/>
      <c r="D161" s="152"/>
      <c r="E161" s="152"/>
      <c r="F161" s="152"/>
      <c r="G161" s="152"/>
      <c r="H161" s="152"/>
      <c r="I161" s="152"/>
      <c r="J161" s="152"/>
      <c r="K161" s="152"/>
      <c r="L161" s="152"/>
      <c r="M161" s="152"/>
      <c r="N161" s="152"/>
      <c r="O161" s="152"/>
      <c r="P161" s="152"/>
      <c r="Q161" s="152"/>
      <c r="R161" s="152"/>
      <c r="S161" s="232" t="s">
        <v>824</v>
      </c>
      <c r="T161" s="152"/>
      <c r="U161" s="147"/>
      <c r="V161" s="147"/>
      <c r="W161" s="147"/>
      <c r="Z161" s="329"/>
    </row>
    <row r="162" spans="1:32">
      <c r="A162" s="232" t="s">
        <v>825</v>
      </c>
      <c r="B162" s="247">
        <f t="shared" si="34"/>
        <v>21</v>
      </c>
      <c r="C162" s="242"/>
      <c r="D162" s="152"/>
      <c r="E162" s="152"/>
      <c r="F162" s="152"/>
      <c r="G162" s="152"/>
      <c r="H162" s="152"/>
      <c r="I162" s="152"/>
      <c r="J162" s="152"/>
      <c r="K162" s="152"/>
      <c r="L162" s="152"/>
      <c r="M162" s="152"/>
      <c r="N162" s="152"/>
      <c r="O162" s="152"/>
      <c r="P162" s="152"/>
      <c r="Q162" s="152"/>
      <c r="R162" s="152"/>
      <c r="S162" s="232" t="s">
        <v>825</v>
      </c>
      <c r="T162" s="152"/>
      <c r="U162" s="147"/>
      <c r="V162" s="147"/>
      <c r="W162" s="147"/>
      <c r="Z162" s="329"/>
    </row>
    <row r="163" spans="1:32">
      <c r="A163" s="232" t="s">
        <v>826</v>
      </c>
      <c r="B163" s="247">
        <f t="shared" si="34"/>
        <v>22</v>
      </c>
      <c r="C163" s="242"/>
      <c r="D163" s="152"/>
      <c r="E163" s="152"/>
      <c r="F163" s="152"/>
      <c r="G163" s="152"/>
      <c r="H163" s="152"/>
      <c r="I163" s="152"/>
      <c r="J163" s="152"/>
      <c r="K163" s="152"/>
      <c r="L163" s="152"/>
      <c r="M163" s="152"/>
      <c r="N163" s="152"/>
      <c r="O163" s="152"/>
      <c r="P163" s="152"/>
      <c r="Q163" s="152"/>
      <c r="R163" s="152"/>
      <c r="S163" s="232" t="s">
        <v>826</v>
      </c>
      <c r="T163" s="152"/>
      <c r="U163" s="147"/>
      <c r="V163" s="147"/>
      <c r="W163" s="147"/>
      <c r="Z163" s="329"/>
    </row>
    <row r="164" spans="1:32" ht="15.75" thickBot="1">
      <c r="A164" s="232" t="s">
        <v>827</v>
      </c>
      <c r="B164" s="247">
        <f t="shared" si="34"/>
        <v>23</v>
      </c>
      <c r="C164" s="242"/>
      <c r="D164" s="152"/>
      <c r="E164" s="152"/>
      <c r="F164" s="152"/>
      <c r="G164" s="152"/>
      <c r="H164" s="152"/>
      <c r="I164" s="152"/>
      <c r="J164" s="152"/>
      <c r="K164" s="152"/>
      <c r="L164" s="152"/>
      <c r="M164" s="152"/>
      <c r="N164" s="152"/>
      <c r="O164" s="152"/>
      <c r="P164" s="152"/>
      <c r="Q164" s="152"/>
      <c r="R164" s="152"/>
      <c r="S164" s="232" t="s">
        <v>827</v>
      </c>
      <c r="T164" s="152"/>
      <c r="U164" s="147"/>
      <c r="V164" s="147"/>
      <c r="W164" s="147"/>
    </row>
    <row r="165" spans="1:32" ht="16.5" thickBot="1">
      <c r="A165" s="175" t="s">
        <v>791</v>
      </c>
      <c r="B165" s="176">
        <f>SUM(C165:R165)+T165</f>
        <v>0</v>
      </c>
      <c r="C165" s="364">
        <f>SUM(C151:C164)</f>
        <v>0</v>
      </c>
      <c r="D165" s="152">
        <f t="shared" ref="D165:R165" si="35">SUM(D151:D164)</f>
        <v>0</v>
      </c>
      <c r="E165" s="152">
        <f t="shared" si="35"/>
        <v>0</v>
      </c>
      <c r="F165" s="152">
        <f t="shared" si="35"/>
        <v>0</v>
      </c>
      <c r="G165" s="152">
        <f t="shared" si="35"/>
        <v>0</v>
      </c>
      <c r="H165" s="152">
        <f t="shared" si="35"/>
        <v>0</v>
      </c>
      <c r="I165" s="152">
        <f t="shared" si="35"/>
        <v>0</v>
      </c>
      <c r="J165" s="152">
        <f t="shared" si="35"/>
        <v>0</v>
      </c>
      <c r="K165" s="152">
        <f t="shared" si="35"/>
        <v>0</v>
      </c>
      <c r="L165" s="152">
        <f t="shared" si="35"/>
        <v>0</v>
      </c>
      <c r="M165" s="152">
        <f t="shared" si="35"/>
        <v>0</v>
      </c>
      <c r="N165" s="152">
        <f t="shared" si="35"/>
        <v>0</v>
      </c>
      <c r="O165" s="152">
        <f t="shared" si="35"/>
        <v>0</v>
      </c>
      <c r="P165" s="152">
        <f t="shared" si="35"/>
        <v>0</v>
      </c>
      <c r="Q165" s="152">
        <f t="shared" si="35"/>
        <v>0</v>
      </c>
      <c r="R165" s="152">
        <f t="shared" si="35"/>
        <v>0</v>
      </c>
      <c r="S165" s="175" t="s">
        <v>791</v>
      </c>
      <c r="T165" s="176">
        <f>SUM(U165:W165)</f>
        <v>0</v>
      </c>
      <c r="U165" s="147">
        <f>SUM(U151:U164)</f>
        <v>0</v>
      </c>
      <c r="V165" s="147">
        <f>SUM(V151:V164)</f>
        <v>0</v>
      </c>
      <c r="W165" s="147">
        <f>SUM(W151:W164)</f>
        <v>0</v>
      </c>
    </row>
    <row r="166" spans="1:32" ht="15" customHeight="1" thickBot="1"/>
    <row r="167" spans="1:32" ht="15.75" thickBot="1">
      <c r="A167" s="1036" t="s">
        <v>865</v>
      </c>
      <c r="B167" s="1037"/>
      <c r="C167" s="1037"/>
      <c r="D167" s="1037"/>
      <c r="E167" s="1037"/>
      <c r="F167" s="1037"/>
      <c r="G167" s="1037"/>
      <c r="H167" s="1037"/>
      <c r="I167" s="1037"/>
      <c r="J167" s="1037"/>
      <c r="K167" s="1037"/>
      <c r="L167" s="1037"/>
      <c r="M167" s="1037"/>
      <c r="N167" s="1043"/>
      <c r="O167" s="1024" t="s">
        <v>820</v>
      </c>
      <c r="P167" s="1025"/>
      <c r="Q167" s="1025"/>
      <c r="R167" s="1025"/>
      <c r="S167" s="1026"/>
      <c r="X167"/>
      <c r="Y167"/>
      <c r="Z167"/>
      <c r="AA167"/>
      <c r="AB167"/>
    </row>
    <row r="168" spans="1:32" ht="73.5">
      <c r="A168" s="228"/>
      <c r="B168" s="247" t="str">
        <f>B150</f>
        <v>Jan</v>
      </c>
      <c r="C168" s="632" t="s">
        <v>486</v>
      </c>
      <c r="D168" s="632" t="s">
        <v>866</v>
      </c>
      <c r="E168" s="632" t="s">
        <v>867</v>
      </c>
      <c r="F168" s="632" t="s">
        <v>499</v>
      </c>
      <c r="G168" s="632" t="s">
        <v>717</v>
      </c>
      <c r="H168" s="632" t="s">
        <v>327</v>
      </c>
      <c r="I168" s="632" t="s">
        <v>634</v>
      </c>
      <c r="J168" s="632" t="s">
        <v>635</v>
      </c>
      <c r="K168" s="632" t="s">
        <v>868</v>
      </c>
      <c r="L168" s="632" t="s">
        <v>869</v>
      </c>
      <c r="M168" s="632" t="s">
        <v>354</v>
      </c>
      <c r="N168" s="632" t="s">
        <v>636</v>
      </c>
      <c r="O168" s="632" t="s">
        <v>870</v>
      </c>
      <c r="P168" s="632" t="s">
        <v>871</v>
      </c>
      <c r="Q168" s="632" t="s">
        <v>403</v>
      </c>
      <c r="R168" s="632" t="s">
        <v>872</v>
      </c>
      <c r="S168" s="632"/>
      <c r="T168" s="229"/>
      <c r="U168" s="229"/>
      <c r="V168" s="228"/>
      <c r="W168" s="247"/>
      <c r="X168" s="369"/>
      <c r="Y168" s="369"/>
      <c r="Z168" s="369"/>
      <c r="AE168"/>
      <c r="AF168"/>
    </row>
    <row r="169" spans="1:32">
      <c r="A169" s="232" t="s">
        <v>821</v>
      </c>
      <c r="B169" s="247">
        <f t="shared" ref="B169:B182" si="36">B151</f>
        <v>10</v>
      </c>
      <c r="C169" s="234"/>
      <c r="D169" s="234"/>
      <c r="E169" s="234"/>
      <c r="F169" s="234"/>
      <c r="G169" s="234"/>
      <c r="H169" s="234"/>
      <c r="I169" s="234"/>
      <c r="J169" s="234"/>
      <c r="K169" s="234"/>
      <c r="L169" s="234"/>
      <c r="M169" s="234"/>
      <c r="N169" s="234"/>
      <c r="O169" s="234"/>
      <c r="P169" s="234"/>
      <c r="Q169" s="234"/>
      <c r="R169" s="234"/>
      <c r="S169" s="234"/>
      <c r="T169" s="234"/>
      <c r="U169" s="234"/>
      <c r="V169" s="232" t="s">
        <v>821</v>
      </c>
      <c r="W169" s="152"/>
      <c r="X169" s="147"/>
      <c r="Y169" s="147"/>
      <c r="Z169" s="147"/>
      <c r="AE169"/>
      <c r="AF169"/>
    </row>
    <row r="170" spans="1:32">
      <c r="A170" s="232" t="s">
        <v>822</v>
      </c>
      <c r="B170" s="247">
        <f t="shared" si="36"/>
        <v>11</v>
      </c>
      <c r="C170" s="234"/>
      <c r="D170" s="234"/>
      <c r="E170" s="234"/>
      <c r="F170" s="234"/>
      <c r="G170" s="234"/>
      <c r="H170" s="234"/>
      <c r="I170" s="234"/>
      <c r="J170" s="234"/>
      <c r="K170" s="234"/>
      <c r="L170" s="234"/>
      <c r="M170" s="234"/>
      <c r="N170" s="234"/>
      <c r="O170" s="234"/>
      <c r="P170" s="234"/>
      <c r="Q170" s="234"/>
      <c r="R170" s="234"/>
      <c r="S170" s="234"/>
      <c r="T170" s="234"/>
      <c r="U170" s="234"/>
      <c r="V170" s="232" t="s">
        <v>822</v>
      </c>
      <c r="W170" s="152"/>
      <c r="X170" s="147"/>
      <c r="Y170" s="147"/>
      <c r="Z170" s="147"/>
      <c r="AE170"/>
      <c r="AF170"/>
    </row>
    <row r="171" spans="1:32">
      <c r="A171" s="232" t="s">
        <v>823</v>
      </c>
      <c r="B171" s="247">
        <f t="shared" si="36"/>
        <v>12</v>
      </c>
      <c r="C171" s="234"/>
      <c r="D171" s="234"/>
      <c r="E171" s="234"/>
      <c r="F171" s="234"/>
      <c r="G171" s="234"/>
      <c r="H171" s="234"/>
      <c r="I171" s="234"/>
      <c r="J171" s="234"/>
      <c r="K171" s="234"/>
      <c r="L171" s="234"/>
      <c r="M171" s="234"/>
      <c r="N171" s="233"/>
      <c r="O171" s="234"/>
      <c r="P171" s="234"/>
      <c r="Q171" s="234"/>
      <c r="R171" s="234"/>
      <c r="S171" s="234"/>
      <c r="T171" s="234"/>
      <c r="U171" s="234"/>
      <c r="V171" s="232" t="s">
        <v>823</v>
      </c>
      <c r="W171" s="152"/>
      <c r="X171" s="147"/>
      <c r="Y171" s="147"/>
      <c r="Z171" s="147"/>
      <c r="AE171"/>
      <c r="AF171"/>
    </row>
    <row r="172" spans="1:32">
      <c r="A172" s="232" t="s">
        <v>824</v>
      </c>
      <c r="B172" s="247">
        <f t="shared" si="36"/>
        <v>13</v>
      </c>
      <c r="C172" s="234"/>
      <c r="D172" s="234"/>
      <c r="E172" s="234"/>
      <c r="F172" s="234"/>
      <c r="G172" s="234"/>
      <c r="H172" s="234"/>
      <c r="I172" s="234"/>
      <c r="J172" s="234"/>
      <c r="K172" s="234"/>
      <c r="L172" s="234"/>
      <c r="M172" s="234"/>
      <c r="N172" s="233"/>
      <c r="O172" s="234"/>
      <c r="P172" s="234"/>
      <c r="Q172" s="234"/>
      <c r="R172" s="234"/>
      <c r="S172" s="234"/>
      <c r="T172" s="234"/>
      <c r="U172" s="234"/>
      <c r="V172" s="232" t="s">
        <v>824</v>
      </c>
      <c r="W172" s="152"/>
      <c r="X172" s="147"/>
      <c r="Y172" s="147"/>
      <c r="Z172" s="147"/>
      <c r="AE172"/>
      <c r="AF172"/>
    </row>
    <row r="173" spans="1:32">
      <c r="A173" s="232" t="s">
        <v>825</v>
      </c>
      <c r="B173" s="247">
        <f t="shared" si="36"/>
        <v>14</v>
      </c>
      <c r="C173" s="234"/>
      <c r="D173" s="234"/>
      <c r="E173" s="234"/>
      <c r="F173" s="234"/>
      <c r="G173" s="234"/>
      <c r="H173" s="234"/>
      <c r="I173" s="234"/>
      <c r="J173" s="234"/>
      <c r="K173" s="234"/>
      <c r="L173" s="234"/>
      <c r="M173" s="234"/>
      <c r="N173" s="233"/>
      <c r="O173" s="234"/>
      <c r="P173" s="234"/>
      <c r="Q173" s="234"/>
      <c r="R173" s="234"/>
      <c r="S173" s="234"/>
      <c r="T173" s="234"/>
      <c r="U173" s="234"/>
      <c r="V173" s="232" t="s">
        <v>825</v>
      </c>
      <c r="W173" s="152"/>
      <c r="X173" s="147"/>
      <c r="Y173" s="147"/>
      <c r="Z173" s="147"/>
      <c r="AE173"/>
      <c r="AF173"/>
    </row>
    <row r="174" spans="1:32">
      <c r="A174" s="232" t="s">
        <v>826</v>
      </c>
      <c r="B174" s="247">
        <f t="shared" si="36"/>
        <v>15</v>
      </c>
      <c r="C174" s="234"/>
      <c r="D174" s="234"/>
      <c r="E174" s="234"/>
      <c r="F174" s="234"/>
      <c r="G174" s="234"/>
      <c r="H174" s="234"/>
      <c r="I174" s="234"/>
      <c r="J174" s="234"/>
      <c r="K174" s="234"/>
      <c r="L174" s="234"/>
      <c r="M174" s="234"/>
      <c r="N174" s="233"/>
      <c r="O174" s="234"/>
      <c r="P174" s="234"/>
      <c r="Q174" s="234"/>
      <c r="R174" s="234"/>
      <c r="S174" s="234"/>
      <c r="T174" s="234"/>
      <c r="U174" s="234"/>
      <c r="V174" s="232" t="s">
        <v>826</v>
      </c>
      <c r="W174" s="152"/>
      <c r="X174" s="147"/>
      <c r="Y174" s="147"/>
      <c r="Z174" s="147"/>
      <c r="AE174"/>
      <c r="AF174"/>
    </row>
    <row r="175" spans="1:32">
      <c r="A175" s="232" t="s">
        <v>827</v>
      </c>
      <c r="B175" s="247">
        <f t="shared" si="36"/>
        <v>16</v>
      </c>
      <c r="C175" s="234"/>
      <c r="D175" s="234"/>
      <c r="E175" s="234"/>
      <c r="F175" s="234"/>
      <c r="G175" s="234"/>
      <c r="H175" s="234"/>
      <c r="I175" s="234"/>
      <c r="J175" s="234"/>
      <c r="K175" s="234"/>
      <c r="L175" s="234"/>
      <c r="M175" s="234"/>
      <c r="N175" s="233"/>
      <c r="O175" s="234"/>
      <c r="P175" s="234"/>
      <c r="Q175" s="234"/>
      <c r="R175" s="234"/>
      <c r="S175" s="234"/>
      <c r="T175" s="234"/>
      <c r="U175" s="234"/>
      <c r="V175" s="232" t="s">
        <v>827</v>
      </c>
      <c r="W175" s="152"/>
      <c r="X175" s="147"/>
      <c r="Y175" s="147"/>
      <c r="Z175" s="147"/>
      <c r="AE175"/>
      <c r="AF175"/>
    </row>
    <row r="176" spans="1:32">
      <c r="A176" s="232" t="s">
        <v>821</v>
      </c>
      <c r="B176" s="247">
        <f t="shared" si="36"/>
        <v>17</v>
      </c>
      <c r="C176" s="234"/>
      <c r="D176" s="234"/>
      <c r="E176" s="234"/>
      <c r="F176" s="234"/>
      <c r="G176" s="234"/>
      <c r="H176" s="234"/>
      <c r="I176" s="234"/>
      <c r="J176" s="234"/>
      <c r="K176" s="234"/>
      <c r="L176" s="234"/>
      <c r="M176" s="234"/>
      <c r="N176" s="233"/>
      <c r="O176" s="234"/>
      <c r="P176" s="234"/>
      <c r="Q176" s="234"/>
      <c r="R176" s="234"/>
      <c r="S176" s="234"/>
      <c r="T176" s="234"/>
      <c r="U176" s="234"/>
      <c r="V176" s="232" t="s">
        <v>821</v>
      </c>
      <c r="W176" s="152"/>
      <c r="X176" s="147"/>
      <c r="Y176" s="147"/>
      <c r="Z176" s="147"/>
      <c r="AE176"/>
      <c r="AF176"/>
    </row>
    <row r="177" spans="1:32">
      <c r="A177" s="232" t="s">
        <v>822</v>
      </c>
      <c r="B177" s="247">
        <f t="shared" si="36"/>
        <v>18</v>
      </c>
      <c r="C177" s="234"/>
      <c r="D177" s="234"/>
      <c r="E177" s="234"/>
      <c r="F177" s="234"/>
      <c r="G177" s="234"/>
      <c r="H177" s="234"/>
      <c r="I177" s="234"/>
      <c r="J177" s="234"/>
      <c r="K177" s="234"/>
      <c r="L177" s="234"/>
      <c r="M177" s="234"/>
      <c r="N177" s="233"/>
      <c r="O177" s="234"/>
      <c r="P177" s="234"/>
      <c r="Q177" s="234"/>
      <c r="R177" s="234"/>
      <c r="S177" s="234"/>
      <c r="T177" s="234"/>
      <c r="U177" s="234"/>
      <c r="V177" s="232" t="s">
        <v>822</v>
      </c>
      <c r="W177" s="152"/>
      <c r="X177" s="147"/>
      <c r="Y177" s="147"/>
      <c r="Z177" s="147"/>
      <c r="AE177"/>
      <c r="AF177"/>
    </row>
    <row r="178" spans="1:32">
      <c r="A178" s="232" t="s">
        <v>823</v>
      </c>
      <c r="B178" s="247">
        <f t="shared" si="36"/>
        <v>19</v>
      </c>
      <c r="C178" s="234"/>
      <c r="D178" s="234"/>
      <c r="E178" s="234"/>
      <c r="F178" s="234"/>
      <c r="G178" s="234"/>
      <c r="H178" s="234"/>
      <c r="I178" s="234"/>
      <c r="J178" s="234"/>
      <c r="K178" s="234"/>
      <c r="L178" s="234"/>
      <c r="M178" s="234"/>
      <c r="N178" s="233"/>
      <c r="O178" s="234"/>
      <c r="P178" s="234"/>
      <c r="Q178" s="234"/>
      <c r="R178" s="234"/>
      <c r="S178" s="234"/>
      <c r="T178" s="234"/>
      <c r="U178" s="234"/>
      <c r="V178" s="232" t="s">
        <v>823</v>
      </c>
      <c r="W178" s="152"/>
      <c r="X178" s="147"/>
      <c r="Y178" s="147"/>
      <c r="Z178" s="147"/>
      <c r="AE178"/>
      <c r="AF178"/>
    </row>
    <row r="179" spans="1:32">
      <c r="A179" s="232" t="s">
        <v>824</v>
      </c>
      <c r="B179" s="247">
        <f t="shared" si="36"/>
        <v>20</v>
      </c>
      <c r="C179" s="234"/>
      <c r="D179" s="234"/>
      <c r="E179" s="234"/>
      <c r="F179" s="234"/>
      <c r="G179" s="234"/>
      <c r="H179" s="234"/>
      <c r="I179" s="234"/>
      <c r="J179" s="234"/>
      <c r="K179" s="234"/>
      <c r="L179" s="234"/>
      <c r="M179" s="234"/>
      <c r="N179" s="233"/>
      <c r="O179" s="234"/>
      <c r="P179" s="234"/>
      <c r="Q179" s="234"/>
      <c r="R179" s="234"/>
      <c r="S179" s="234"/>
      <c r="T179" s="234"/>
      <c r="U179" s="234"/>
      <c r="V179" s="232" t="s">
        <v>824</v>
      </c>
      <c r="W179" s="152"/>
      <c r="X179" s="147"/>
      <c r="Y179" s="147"/>
      <c r="Z179" s="147"/>
      <c r="AE179"/>
      <c r="AF179"/>
    </row>
    <row r="180" spans="1:32">
      <c r="A180" s="232" t="s">
        <v>825</v>
      </c>
      <c r="B180" s="247">
        <f t="shared" si="36"/>
        <v>21</v>
      </c>
      <c r="C180" s="234"/>
      <c r="D180" s="234"/>
      <c r="E180" s="234"/>
      <c r="F180" s="234"/>
      <c r="G180" s="234"/>
      <c r="H180" s="234"/>
      <c r="I180" s="234"/>
      <c r="J180" s="234"/>
      <c r="K180" s="234"/>
      <c r="L180" s="234"/>
      <c r="M180" s="234"/>
      <c r="N180" s="233"/>
      <c r="O180" s="234"/>
      <c r="P180" s="234"/>
      <c r="Q180" s="234"/>
      <c r="R180" s="234"/>
      <c r="S180" s="234"/>
      <c r="T180" s="234"/>
      <c r="U180" s="234"/>
      <c r="V180" s="232" t="s">
        <v>825</v>
      </c>
      <c r="W180" s="152"/>
      <c r="X180" s="147"/>
      <c r="Y180" s="147"/>
      <c r="Z180" s="147"/>
      <c r="AE180"/>
      <c r="AF180"/>
    </row>
    <row r="181" spans="1:32">
      <c r="A181" s="232" t="s">
        <v>826</v>
      </c>
      <c r="B181" s="247">
        <f t="shared" si="36"/>
        <v>22</v>
      </c>
      <c r="C181" s="234"/>
      <c r="D181" s="234"/>
      <c r="E181" s="234"/>
      <c r="F181" s="234"/>
      <c r="G181" s="234"/>
      <c r="H181" s="234"/>
      <c r="I181" s="234"/>
      <c r="J181" s="234"/>
      <c r="K181" s="234"/>
      <c r="L181" s="234"/>
      <c r="M181" s="234"/>
      <c r="N181" s="233"/>
      <c r="O181" s="234"/>
      <c r="P181" s="234"/>
      <c r="Q181" s="234"/>
      <c r="R181" s="234"/>
      <c r="S181" s="234"/>
      <c r="T181" s="234"/>
      <c r="U181" s="234"/>
      <c r="V181" s="232" t="s">
        <v>826</v>
      </c>
      <c r="W181" s="152"/>
      <c r="X181" s="147"/>
      <c r="Y181" s="147"/>
      <c r="Z181" s="147"/>
      <c r="AE181"/>
      <c r="AF181"/>
    </row>
    <row r="182" spans="1:32" ht="15.75" thickBot="1">
      <c r="A182" s="232" t="s">
        <v>827</v>
      </c>
      <c r="B182" s="247">
        <f t="shared" si="36"/>
        <v>23</v>
      </c>
      <c r="C182" s="234"/>
      <c r="D182" s="234"/>
      <c r="E182" s="234"/>
      <c r="F182" s="234"/>
      <c r="G182" s="234"/>
      <c r="H182" s="234"/>
      <c r="I182" s="234"/>
      <c r="J182" s="234"/>
      <c r="K182" s="234"/>
      <c r="L182" s="234"/>
      <c r="M182" s="234"/>
      <c r="N182" s="233"/>
      <c r="O182" s="234"/>
      <c r="P182" s="234"/>
      <c r="Q182" s="234"/>
      <c r="R182" s="234"/>
      <c r="S182" s="234"/>
      <c r="T182" s="234"/>
      <c r="U182" s="234"/>
      <c r="V182" s="232" t="s">
        <v>827</v>
      </c>
      <c r="W182" s="152"/>
      <c r="X182" s="147"/>
      <c r="Y182" s="147"/>
      <c r="Z182" s="147"/>
      <c r="AE182"/>
      <c r="AF182"/>
    </row>
    <row r="183" spans="1:32" ht="16.5" thickBot="1">
      <c r="A183" s="237"/>
      <c r="B183" s="176">
        <f>SUM(C183:U183)+W183</f>
        <v>0</v>
      </c>
      <c r="C183" s="238">
        <f>SUM(C169:C182)</f>
        <v>0</v>
      </c>
      <c r="D183" s="238">
        <f t="shared" ref="D183:N183" si="37">SUM(D169:D182)</f>
        <v>0</v>
      </c>
      <c r="E183" s="238">
        <f>SUM(E169:E182)</f>
        <v>0</v>
      </c>
      <c r="F183" s="238">
        <f>SUM(F169:F182)</f>
        <v>0</v>
      </c>
      <c r="G183" s="238">
        <f t="shared" si="37"/>
        <v>0</v>
      </c>
      <c r="H183" s="238">
        <f t="shared" si="37"/>
        <v>0</v>
      </c>
      <c r="I183" s="238">
        <f t="shared" si="37"/>
        <v>0</v>
      </c>
      <c r="J183" s="238">
        <f t="shared" si="37"/>
        <v>0</v>
      </c>
      <c r="K183" s="238">
        <f>SUM(K169:K182)</f>
        <v>0</v>
      </c>
      <c r="L183" s="238">
        <f t="shared" si="37"/>
        <v>0</v>
      </c>
      <c r="M183" s="238">
        <f t="shared" si="37"/>
        <v>0</v>
      </c>
      <c r="N183" s="238">
        <f t="shared" si="37"/>
        <v>0</v>
      </c>
      <c r="O183" s="238">
        <f t="shared" ref="O183:U183" si="38">SUM(O169:O182)</f>
        <v>0</v>
      </c>
      <c r="P183" s="238">
        <f t="shared" si="38"/>
        <v>0</v>
      </c>
      <c r="Q183" s="238">
        <f t="shared" si="38"/>
        <v>0</v>
      </c>
      <c r="R183" s="238">
        <f t="shared" si="38"/>
        <v>0</v>
      </c>
      <c r="S183" s="238">
        <f t="shared" si="38"/>
        <v>0</v>
      </c>
      <c r="T183" s="238">
        <f t="shared" si="38"/>
        <v>0</v>
      </c>
      <c r="U183" s="238">
        <f t="shared" si="38"/>
        <v>0</v>
      </c>
      <c r="V183" s="175" t="s">
        <v>791</v>
      </c>
      <c r="W183" s="176">
        <f>SUM(X183:Z183)</f>
        <v>0</v>
      </c>
      <c r="X183" s="147">
        <f>SUM(X169:X182)</f>
        <v>0</v>
      </c>
      <c r="Y183" s="147">
        <f>SUM(Y169:Y182)</f>
        <v>0</v>
      </c>
      <c r="Z183" s="147">
        <f>SUM(Z169:Z182)</f>
        <v>0</v>
      </c>
    </row>
    <row r="184" spans="1:32" ht="16.5" thickBot="1">
      <c r="B184" s="358"/>
      <c r="C184" s="329"/>
      <c r="D184" s="329"/>
      <c r="E184" s="329"/>
      <c r="F184" s="329"/>
      <c r="G184" s="329"/>
      <c r="H184" s="329"/>
      <c r="I184" s="329"/>
      <c r="J184" s="329"/>
      <c r="K184" s="329"/>
      <c r="L184" s="329"/>
      <c r="M184" s="329"/>
      <c r="N184" s="329"/>
      <c r="O184" s="329"/>
      <c r="P184" s="329"/>
      <c r="Q184" s="329"/>
      <c r="R184" s="329"/>
      <c r="S184" s="329"/>
      <c r="T184" s="329"/>
      <c r="U184" s="329"/>
    </row>
    <row r="185" spans="1:32" ht="15.75" thickBot="1">
      <c r="A185" s="1036" t="s">
        <v>873</v>
      </c>
      <c r="B185" s="1037"/>
      <c r="C185" s="1037"/>
      <c r="D185" s="1037"/>
      <c r="E185" s="1037"/>
      <c r="F185" s="1037"/>
      <c r="G185" s="1037"/>
      <c r="H185" s="1037"/>
      <c r="I185" s="1037"/>
      <c r="J185" s="1037"/>
      <c r="K185" s="1037"/>
      <c r="L185" s="1037"/>
      <c r="M185" s="1037"/>
      <c r="N185" s="1037"/>
      <c r="O185" s="1037"/>
      <c r="P185" s="1037"/>
      <c r="Q185" s="1037"/>
      <c r="R185" s="1038"/>
      <c r="S185" s="1024" t="s">
        <v>820</v>
      </c>
      <c r="T185" s="1025"/>
      <c r="U185" s="1025"/>
      <c r="V185" s="1025"/>
      <c r="W185" s="1026"/>
    </row>
    <row r="186" spans="1:32">
      <c r="A186" s="228"/>
      <c r="B186" s="247" t="str">
        <f>B168</f>
        <v>Jan</v>
      </c>
      <c r="C186" s="229"/>
      <c r="D186" s="229"/>
      <c r="E186" s="229"/>
      <c r="F186" s="229"/>
      <c r="G186" s="229"/>
      <c r="H186" s="229"/>
      <c r="I186" s="229"/>
      <c r="J186" s="229"/>
      <c r="K186" s="229"/>
      <c r="L186" s="229"/>
      <c r="M186" s="229"/>
      <c r="N186" s="229"/>
      <c r="O186" s="229"/>
      <c r="P186" s="229"/>
      <c r="Q186" s="229"/>
      <c r="R186" s="229"/>
      <c r="S186" s="228"/>
      <c r="T186" s="247"/>
      <c r="U186" s="369"/>
      <c r="V186" s="369"/>
      <c r="W186" s="369"/>
    </row>
    <row r="187" spans="1:32">
      <c r="A187" s="232" t="s">
        <v>821</v>
      </c>
      <c r="B187" s="247">
        <f t="shared" ref="B187:B200" si="39">B169</f>
        <v>10</v>
      </c>
      <c r="C187" s="233"/>
      <c r="D187" s="234"/>
      <c r="E187" s="234"/>
      <c r="F187" s="234"/>
      <c r="G187" s="234"/>
      <c r="H187" s="234"/>
      <c r="I187" s="234"/>
      <c r="J187" s="234"/>
      <c r="K187" s="234"/>
      <c r="L187" s="234"/>
      <c r="M187" s="234"/>
      <c r="N187" s="234"/>
      <c r="O187" s="234"/>
      <c r="P187" s="234"/>
      <c r="Q187" s="234"/>
      <c r="R187" s="234"/>
      <c r="S187" s="232" t="s">
        <v>821</v>
      </c>
      <c r="T187" s="152"/>
      <c r="U187" s="147"/>
      <c r="V187" s="147"/>
      <c r="W187" s="147"/>
    </row>
    <row r="188" spans="1:32">
      <c r="A188" s="232" t="s">
        <v>822</v>
      </c>
      <c r="B188" s="247">
        <f t="shared" si="39"/>
        <v>11</v>
      </c>
      <c r="C188" s="233"/>
      <c r="D188" s="234"/>
      <c r="E188" s="234"/>
      <c r="F188" s="234"/>
      <c r="G188" s="234"/>
      <c r="H188" s="234"/>
      <c r="I188" s="234"/>
      <c r="J188" s="234"/>
      <c r="K188" s="234"/>
      <c r="L188" s="234"/>
      <c r="M188" s="234"/>
      <c r="N188" s="234"/>
      <c r="O188" s="234"/>
      <c r="P188" s="234"/>
      <c r="Q188" s="234"/>
      <c r="R188" s="234"/>
      <c r="S188" s="232" t="s">
        <v>822</v>
      </c>
      <c r="T188" s="152"/>
      <c r="U188" s="147"/>
      <c r="V188" s="147"/>
      <c r="W188" s="147"/>
    </row>
    <row r="189" spans="1:32">
      <c r="A189" s="232" t="s">
        <v>823</v>
      </c>
      <c r="B189" s="247">
        <f t="shared" si="39"/>
        <v>12</v>
      </c>
      <c r="C189" s="233"/>
      <c r="D189" s="234"/>
      <c r="E189" s="234"/>
      <c r="F189" s="234"/>
      <c r="G189" s="234"/>
      <c r="H189" s="234"/>
      <c r="I189" s="234"/>
      <c r="J189" s="234"/>
      <c r="K189" s="234"/>
      <c r="L189" s="234"/>
      <c r="M189" s="234"/>
      <c r="N189" s="234"/>
      <c r="O189" s="234"/>
      <c r="P189" s="234"/>
      <c r="Q189" s="234"/>
      <c r="R189" s="234"/>
      <c r="S189" s="232" t="s">
        <v>823</v>
      </c>
      <c r="T189" s="152"/>
      <c r="U189" s="147"/>
      <c r="V189" s="147"/>
      <c r="W189" s="147"/>
    </row>
    <row r="190" spans="1:32">
      <c r="A190" s="232" t="s">
        <v>824</v>
      </c>
      <c r="B190" s="247">
        <f t="shared" si="39"/>
        <v>13</v>
      </c>
      <c r="C190" s="233"/>
      <c r="D190" s="234"/>
      <c r="E190" s="234"/>
      <c r="F190" s="234"/>
      <c r="G190" s="234"/>
      <c r="H190" s="234"/>
      <c r="I190" s="234"/>
      <c r="J190" s="234"/>
      <c r="K190" s="234"/>
      <c r="L190" s="234"/>
      <c r="M190" s="234"/>
      <c r="N190" s="234"/>
      <c r="O190" s="234"/>
      <c r="P190" s="234"/>
      <c r="Q190" s="234"/>
      <c r="R190" s="234"/>
      <c r="S190" s="232" t="s">
        <v>824</v>
      </c>
      <c r="T190" s="152"/>
      <c r="U190" s="147"/>
      <c r="V190" s="147"/>
      <c r="W190" s="147"/>
    </row>
    <row r="191" spans="1:32">
      <c r="A191" s="232" t="s">
        <v>825</v>
      </c>
      <c r="B191" s="247">
        <f t="shared" si="39"/>
        <v>14</v>
      </c>
      <c r="C191" s="233"/>
      <c r="D191" s="234"/>
      <c r="E191" s="234"/>
      <c r="F191" s="234"/>
      <c r="G191" s="234"/>
      <c r="H191" s="234"/>
      <c r="I191" s="234"/>
      <c r="J191" s="234"/>
      <c r="K191" s="234"/>
      <c r="L191" s="234"/>
      <c r="M191" s="234"/>
      <c r="N191" s="234"/>
      <c r="O191" s="234"/>
      <c r="P191" s="234"/>
      <c r="Q191" s="234"/>
      <c r="R191" s="234"/>
      <c r="S191" s="232" t="s">
        <v>825</v>
      </c>
      <c r="T191" s="152"/>
      <c r="U191" s="147"/>
      <c r="V191" s="147"/>
      <c r="W191" s="147"/>
    </row>
    <row r="192" spans="1:32">
      <c r="A192" s="232" t="s">
        <v>826</v>
      </c>
      <c r="B192" s="247">
        <f t="shared" si="39"/>
        <v>15</v>
      </c>
      <c r="C192" s="233"/>
      <c r="D192" s="234"/>
      <c r="E192" s="234"/>
      <c r="F192" s="234"/>
      <c r="G192" s="234"/>
      <c r="H192" s="234"/>
      <c r="I192" s="234"/>
      <c r="J192" s="234"/>
      <c r="K192" s="234"/>
      <c r="L192" s="234"/>
      <c r="M192" s="234"/>
      <c r="N192" s="234"/>
      <c r="O192" s="234"/>
      <c r="P192" s="234"/>
      <c r="Q192" s="234"/>
      <c r="R192" s="234"/>
      <c r="S192" s="232" t="s">
        <v>826</v>
      </c>
      <c r="T192" s="152"/>
      <c r="U192" s="147"/>
      <c r="V192" s="147"/>
      <c r="W192" s="147"/>
    </row>
    <row r="193" spans="1:28">
      <c r="A193" s="232" t="s">
        <v>827</v>
      </c>
      <c r="B193" s="247">
        <f t="shared" si="39"/>
        <v>16</v>
      </c>
      <c r="C193" s="233"/>
      <c r="D193" s="234"/>
      <c r="E193" s="234"/>
      <c r="F193" s="234"/>
      <c r="G193" s="234"/>
      <c r="H193" s="234"/>
      <c r="I193" s="234"/>
      <c r="J193" s="234"/>
      <c r="K193" s="234"/>
      <c r="L193" s="234"/>
      <c r="M193" s="234"/>
      <c r="N193" s="234"/>
      <c r="O193" s="234"/>
      <c r="P193" s="234"/>
      <c r="Q193" s="234"/>
      <c r="R193" s="234"/>
      <c r="S193" s="232" t="s">
        <v>827</v>
      </c>
      <c r="T193" s="152"/>
      <c r="U193" s="147"/>
      <c r="V193" s="147"/>
      <c r="W193" s="147"/>
    </row>
    <row r="194" spans="1:28">
      <c r="A194" s="232" t="s">
        <v>821</v>
      </c>
      <c r="B194" s="247">
        <f t="shared" si="39"/>
        <v>17</v>
      </c>
      <c r="C194" s="233"/>
      <c r="D194" s="234"/>
      <c r="E194" s="234"/>
      <c r="F194" s="234"/>
      <c r="G194" s="234"/>
      <c r="H194" s="234"/>
      <c r="I194" s="234"/>
      <c r="J194" s="234"/>
      <c r="K194" s="234"/>
      <c r="L194" s="234"/>
      <c r="M194" s="234"/>
      <c r="N194" s="234"/>
      <c r="O194" s="234"/>
      <c r="P194" s="234"/>
      <c r="Q194" s="234"/>
      <c r="R194" s="234"/>
      <c r="S194" s="232" t="s">
        <v>821</v>
      </c>
      <c r="T194" s="152"/>
      <c r="U194" s="147"/>
      <c r="V194" s="147"/>
      <c r="W194" s="147"/>
    </row>
    <row r="195" spans="1:28">
      <c r="A195" s="232" t="s">
        <v>822</v>
      </c>
      <c r="B195" s="247">
        <f t="shared" si="39"/>
        <v>18</v>
      </c>
      <c r="C195" s="233"/>
      <c r="D195" s="234"/>
      <c r="E195" s="234"/>
      <c r="F195" s="234"/>
      <c r="G195" s="234"/>
      <c r="H195" s="234"/>
      <c r="I195" s="234"/>
      <c r="J195" s="234"/>
      <c r="K195" s="234"/>
      <c r="L195" s="234"/>
      <c r="M195" s="234"/>
      <c r="N195" s="234"/>
      <c r="O195" s="234"/>
      <c r="P195" s="234"/>
      <c r="Q195" s="234"/>
      <c r="R195" s="234"/>
      <c r="S195" s="232" t="s">
        <v>822</v>
      </c>
      <c r="T195" s="152"/>
      <c r="U195" s="147"/>
      <c r="V195" s="147"/>
      <c r="W195" s="147"/>
    </row>
    <row r="196" spans="1:28">
      <c r="A196" s="232" t="s">
        <v>823</v>
      </c>
      <c r="B196" s="247">
        <f t="shared" si="39"/>
        <v>19</v>
      </c>
      <c r="C196" s="233"/>
      <c r="D196" s="234"/>
      <c r="E196" s="234"/>
      <c r="F196" s="234"/>
      <c r="G196" s="234"/>
      <c r="H196" s="234"/>
      <c r="I196" s="234"/>
      <c r="J196" s="234"/>
      <c r="K196" s="234"/>
      <c r="L196" s="234"/>
      <c r="M196" s="234"/>
      <c r="N196" s="234"/>
      <c r="O196" s="234"/>
      <c r="P196" s="234"/>
      <c r="Q196" s="234"/>
      <c r="R196" s="234"/>
      <c r="S196" s="232" t="s">
        <v>823</v>
      </c>
      <c r="T196" s="152"/>
      <c r="U196" s="147"/>
      <c r="V196" s="147"/>
      <c r="W196" s="147"/>
    </row>
    <row r="197" spans="1:28">
      <c r="A197" s="232" t="s">
        <v>824</v>
      </c>
      <c r="B197" s="247">
        <f t="shared" si="39"/>
        <v>20</v>
      </c>
      <c r="C197" s="233"/>
      <c r="D197" s="234"/>
      <c r="E197" s="234"/>
      <c r="F197" s="234"/>
      <c r="G197" s="234"/>
      <c r="H197" s="234"/>
      <c r="I197" s="234"/>
      <c r="J197" s="234"/>
      <c r="K197" s="234"/>
      <c r="L197" s="234"/>
      <c r="M197" s="234"/>
      <c r="N197" s="234"/>
      <c r="O197" s="234"/>
      <c r="P197" s="234"/>
      <c r="Q197" s="234"/>
      <c r="R197" s="234"/>
      <c r="S197" s="232" t="s">
        <v>824</v>
      </c>
      <c r="T197" s="152"/>
      <c r="U197" s="147"/>
      <c r="V197" s="147"/>
      <c r="W197" s="147"/>
    </row>
    <row r="198" spans="1:28">
      <c r="A198" s="232" t="s">
        <v>825</v>
      </c>
      <c r="B198" s="247">
        <f t="shared" si="39"/>
        <v>21</v>
      </c>
      <c r="C198" s="233"/>
      <c r="D198" s="234"/>
      <c r="E198" s="234"/>
      <c r="F198" s="234"/>
      <c r="G198" s="234"/>
      <c r="H198" s="234"/>
      <c r="I198" s="234"/>
      <c r="J198" s="234"/>
      <c r="K198" s="234"/>
      <c r="L198" s="234"/>
      <c r="M198" s="234"/>
      <c r="N198" s="234"/>
      <c r="O198" s="234"/>
      <c r="P198" s="234"/>
      <c r="Q198" s="234"/>
      <c r="R198" s="234"/>
      <c r="S198" s="232" t="s">
        <v>825</v>
      </c>
      <c r="T198" s="152"/>
      <c r="U198" s="147"/>
      <c r="V198" s="147"/>
      <c r="W198" s="147"/>
    </row>
    <row r="199" spans="1:28">
      <c r="A199" s="232" t="s">
        <v>826</v>
      </c>
      <c r="B199" s="247">
        <f t="shared" si="39"/>
        <v>22</v>
      </c>
      <c r="C199" s="233"/>
      <c r="D199" s="234"/>
      <c r="E199" s="234"/>
      <c r="F199" s="234"/>
      <c r="G199" s="234"/>
      <c r="H199" s="234"/>
      <c r="I199" s="234"/>
      <c r="J199" s="234"/>
      <c r="K199" s="234"/>
      <c r="L199" s="234"/>
      <c r="M199" s="234"/>
      <c r="N199" s="234"/>
      <c r="O199" s="234"/>
      <c r="P199" s="234"/>
      <c r="Q199" s="234"/>
      <c r="R199" s="234"/>
      <c r="S199" s="232" t="s">
        <v>826</v>
      </c>
      <c r="T199" s="152"/>
      <c r="U199" s="147"/>
      <c r="V199" s="147"/>
      <c r="W199" s="147"/>
    </row>
    <row r="200" spans="1:28" ht="15.75" thickBot="1">
      <c r="A200" s="232" t="s">
        <v>827</v>
      </c>
      <c r="B200" s="247">
        <f t="shared" si="39"/>
        <v>23</v>
      </c>
      <c r="C200" s="233"/>
      <c r="D200" s="234"/>
      <c r="E200" s="234"/>
      <c r="F200" s="234"/>
      <c r="G200" s="234"/>
      <c r="H200" s="234"/>
      <c r="I200" s="234"/>
      <c r="J200" s="234"/>
      <c r="K200" s="234"/>
      <c r="L200" s="234"/>
      <c r="M200" s="234"/>
      <c r="N200" s="234"/>
      <c r="O200" s="234"/>
      <c r="P200" s="234"/>
      <c r="Q200" s="234"/>
      <c r="R200" s="234"/>
      <c r="S200" s="232" t="s">
        <v>827</v>
      </c>
      <c r="T200" s="152"/>
      <c r="U200" s="147"/>
      <c r="V200" s="147"/>
      <c r="W200" s="147"/>
    </row>
    <row r="201" spans="1:28" ht="16.5" thickBot="1">
      <c r="A201" s="237"/>
      <c r="B201" s="386">
        <f>SUM(C201:R201)+T201</f>
        <v>0</v>
      </c>
      <c r="C201" s="238">
        <f>SUM(C187:C200)</f>
        <v>0</v>
      </c>
      <c r="D201" s="238">
        <f>SUM(D187:D200)</f>
        <v>0</v>
      </c>
      <c r="E201" s="238">
        <f>SUM(E187:E200)</f>
        <v>0</v>
      </c>
      <c r="F201" s="238">
        <f>SUM(F187:F200)</f>
        <v>0</v>
      </c>
      <c r="G201" s="238">
        <f>SUM(G187:G200)</f>
        <v>0</v>
      </c>
      <c r="H201" s="238">
        <f t="shared" ref="H201:R201" si="40">SUM(H187:H200)</f>
        <v>0</v>
      </c>
      <c r="I201" s="238">
        <f t="shared" si="40"/>
        <v>0</v>
      </c>
      <c r="J201" s="238">
        <f t="shared" si="40"/>
        <v>0</v>
      </c>
      <c r="K201" s="238">
        <f t="shared" si="40"/>
        <v>0</v>
      </c>
      <c r="L201" s="238">
        <f t="shared" si="40"/>
        <v>0</v>
      </c>
      <c r="M201" s="238">
        <f t="shared" si="40"/>
        <v>0</v>
      </c>
      <c r="N201" s="238">
        <f t="shared" si="40"/>
        <v>0</v>
      </c>
      <c r="O201" s="238">
        <f t="shared" si="40"/>
        <v>0</v>
      </c>
      <c r="P201" s="238">
        <f t="shared" si="40"/>
        <v>0</v>
      </c>
      <c r="Q201" s="238">
        <f t="shared" si="40"/>
        <v>0</v>
      </c>
      <c r="R201" s="238">
        <f t="shared" si="40"/>
        <v>0</v>
      </c>
      <c r="S201" s="175" t="s">
        <v>791</v>
      </c>
      <c r="T201" s="176">
        <f>SUM(U201:W201)</f>
        <v>0</v>
      </c>
      <c r="U201" s="147">
        <f>SUM(U187:U200)</f>
        <v>0</v>
      </c>
      <c r="V201" s="147">
        <f>SUM(V187:V200)</f>
        <v>0</v>
      </c>
      <c r="W201" s="147">
        <f>SUM(W187:W200)</f>
        <v>0</v>
      </c>
    </row>
    <row r="202" spans="1:28" ht="15.75" thickBot="1">
      <c r="A202" s="329"/>
      <c r="B202" s="329"/>
      <c r="C202" s="329"/>
      <c r="D202" s="226"/>
      <c r="E202" s="226"/>
      <c r="F202" s="226"/>
      <c r="G202" s="226"/>
    </row>
    <row r="203" spans="1:28" ht="15.75" thickBot="1">
      <c r="A203" s="1027" t="s">
        <v>15</v>
      </c>
      <c r="B203" s="1028"/>
      <c r="C203" s="1028"/>
      <c r="D203" s="1028"/>
      <c r="E203" s="1028"/>
      <c r="F203" s="1028"/>
      <c r="G203" s="1028"/>
      <c r="H203" s="1028"/>
      <c r="I203" s="1028"/>
      <c r="J203" s="1028"/>
      <c r="K203" s="1028"/>
      <c r="L203" s="1028"/>
      <c r="M203" s="1029"/>
      <c r="N203" s="1024" t="s">
        <v>820</v>
      </c>
      <c r="O203" s="1025"/>
      <c r="P203" s="1025"/>
      <c r="Q203" s="1025"/>
      <c r="R203" s="1026"/>
      <c r="W203" s="226"/>
      <c r="X203" s="226"/>
      <c r="Y203" s="226"/>
      <c r="Z203" s="226"/>
      <c r="AA203" s="226"/>
      <c r="AB203" s="226"/>
    </row>
    <row r="204" spans="1:28" ht="38.25">
      <c r="A204" s="228"/>
      <c r="B204" s="247" t="str">
        <f>B186</f>
        <v>Jan</v>
      </c>
      <c r="C204" s="229" t="s">
        <v>874</v>
      </c>
      <c r="D204" s="229" t="s">
        <v>523</v>
      </c>
      <c r="E204" s="229" t="s">
        <v>548</v>
      </c>
      <c r="F204" s="229" t="s">
        <v>875</v>
      </c>
      <c r="G204" s="229" t="s">
        <v>500</v>
      </c>
      <c r="H204" s="226"/>
      <c r="I204" s="231"/>
      <c r="J204" s="231"/>
      <c r="K204" s="231"/>
      <c r="L204" s="267"/>
      <c r="M204" s="360"/>
      <c r="N204" s="228"/>
      <c r="O204" s="247"/>
      <c r="P204" s="369"/>
      <c r="Q204" s="369"/>
      <c r="R204" s="369"/>
      <c r="S204" s="247" t="s">
        <v>876</v>
      </c>
      <c r="T204" s="229" t="s">
        <v>874</v>
      </c>
      <c r="U204" s="226"/>
      <c r="V204" s="226"/>
      <c r="W204" s="226"/>
      <c r="X204" s="226"/>
      <c r="Y204" s="226"/>
    </row>
    <row r="205" spans="1:28">
      <c r="A205" s="232" t="s">
        <v>821</v>
      </c>
      <c r="B205" s="247">
        <f t="shared" ref="B205:B218" si="41">B187</f>
        <v>10</v>
      </c>
      <c r="C205" s="234"/>
      <c r="D205" s="234"/>
      <c r="E205" s="234"/>
      <c r="F205" s="234"/>
      <c r="G205" s="242"/>
      <c r="H205" s="152"/>
      <c r="I205" s="264"/>
      <c r="J205" s="264"/>
      <c r="K205" s="253"/>
      <c r="L205" s="234"/>
      <c r="M205" s="259"/>
      <c r="N205" s="232" t="s">
        <v>821</v>
      </c>
      <c r="O205" s="152"/>
      <c r="P205" s="147"/>
      <c r="Q205" s="147"/>
      <c r="R205" s="147"/>
      <c r="S205" s="247">
        <v>23</v>
      </c>
      <c r="T205" s="234"/>
      <c r="U205" s="329"/>
      <c r="V205" s="329"/>
      <c r="W205" s="329"/>
      <c r="X205" s="329"/>
      <c r="Y205" s="329"/>
    </row>
    <row r="206" spans="1:28">
      <c r="A206" s="232" t="s">
        <v>822</v>
      </c>
      <c r="B206" s="247">
        <f t="shared" si="41"/>
        <v>11</v>
      </c>
      <c r="C206" s="234"/>
      <c r="D206" s="234"/>
      <c r="E206" s="234"/>
      <c r="F206" s="234"/>
      <c r="G206" s="242"/>
      <c r="H206" s="152"/>
      <c r="I206" s="152"/>
      <c r="J206" s="152"/>
      <c r="K206" s="233"/>
      <c r="L206" s="234"/>
      <c r="M206" s="242"/>
      <c r="N206" s="232" t="s">
        <v>822</v>
      </c>
      <c r="O206" s="152"/>
      <c r="P206" s="147"/>
      <c r="Q206" s="147"/>
      <c r="R206" s="147"/>
      <c r="S206" s="247">
        <v>24</v>
      </c>
      <c r="T206" s="234"/>
      <c r="U206" s="329"/>
      <c r="V206" s="329"/>
      <c r="W206" s="329"/>
      <c r="X206" s="329"/>
      <c r="Y206" s="329"/>
    </row>
    <row r="207" spans="1:28">
      <c r="A207" s="232" t="s">
        <v>823</v>
      </c>
      <c r="B207" s="247">
        <f t="shared" si="41"/>
        <v>12</v>
      </c>
      <c r="C207" s="242">
        <v>4</v>
      </c>
      <c r="D207" s="234"/>
      <c r="E207" s="234"/>
      <c r="F207" s="234"/>
      <c r="G207" s="242"/>
      <c r="H207" s="152"/>
      <c r="I207" s="152"/>
      <c r="J207" s="152"/>
      <c r="K207" s="233"/>
      <c r="L207" s="234"/>
      <c r="M207" s="242"/>
      <c r="N207" s="232" t="s">
        <v>823</v>
      </c>
      <c r="O207" s="152"/>
      <c r="P207" s="147"/>
      <c r="Q207" s="147"/>
      <c r="R207" s="147"/>
      <c r="S207" s="247">
        <v>25</v>
      </c>
      <c r="T207" s="242"/>
      <c r="U207" s="329"/>
      <c r="V207" s="329"/>
      <c r="W207" s="329"/>
      <c r="X207" s="329"/>
      <c r="Y207" s="329"/>
    </row>
    <row r="208" spans="1:28">
      <c r="A208" s="232" t="s">
        <v>824</v>
      </c>
      <c r="B208" s="247">
        <f t="shared" si="41"/>
        <v>13</v>
      </c>
      <c r="C208" s="242">
        <v>4</v>
      </c>
      <c r="D208" s="234"/>
      <c r="E208" s="234"/>
      <c r="F208" s="234"/>
      <c r="G208" s="242"/>
      <c r="H208" s="152"/>
      <c r="I208" s="152"/>
      <c r="J208" s="152"/>
      <c r="K208" s="233"/>
      <c r="L208" s="234"/>
      <c r="M208" s="242"/>
      <c r="N208" s="232" t="s">
        <v>824</v>
      </c>
      <c r="O208" s="152"/>
      <c r="P208" s="147"/>
      <c r="Q208" s="147"/>
      <c r="R208" s="147"/>
      <c r="S208" s="247">
        <v>26</v>
      </c>
      <c r="T208" s="242"/>
      <c r="U208" s="329"/>
      <c r="V208" s="329"/>
      <c r="W208" s="329"/>
      <c r="X208" s="329"/>
      <c r="Y208" s="329"/>
    </row>
    <row r="209" spans="1:25">
      <c r="A209" s="232" t="s">
        <v>825</v>
      </c>
      <c r="B209" s="247">
        <f t="shared" si="41"/>
        <v>14</v>
      </c>
      <c r="C209" s="242"/>
      <c r="D209" s="234"/>
      <c r="E209" s="234"/>
      <c r="F209" s="234"/>
      <c r="G209" s="242"/>
      <c r="H209" s="152"/>
      <c r="I209" s="152"/>
      <c r="J209" s="152"/>
      <c r="K209" s="233"/>
      <c r="L209" s="234"/>
      <c r="M209" s="242"/>
      <c r="N209" s="232" t="s">
        <v>825</v>
      </c>
      <c r="O209" s="152"/>
      <c r="P209" s="147"/>
      <c r="Q209" s="147"/>
      <c r="R209" s="147"/>
      <c r="S209" s="247">
        <v>27</v>
      </c>
      <c r="T209" s="242"/>
      <c r="U209" s="329"/>
      <c r="V209" s="329"/>
      <c r="W209" s="329"/>
      <c r="X209" s="329"/>
      <c r="Y209" s="329"/>
    </row>
    <row r="210" spans="1:25">
      <c r="A210" s="232" t="s">
        <v>826</v>
      </c>
      <c r="B210" s="247">
        <f t="shared" si="41"/>
        <v>15</v>
      </c>
      <c r="C210" s="242">
        <v>4</v>
      </c>
      <c r="D210" s="234"/>
      <c r="E210" s="234"/>
      <c r="F210" s="234"/>
      <c r="G210" s="242"/>
      <c r="H210" s="152"/>
      <c r="I210" s="152"/>
      <c r="J210" s="152"/>
      <c r="K210" s="233"/>
      <c r="L210" s="234"/>
      <c r="M210" s="242"/>
      <c r="N210" s="232" t="s">
        <v>826</v>
      </c>
      <c r="O210" s="152"/>
      <c r="P210" s="147"/>
      <c r="Q210" s="147"/>
      <c r="R210" s="147"/>
      <c r="S210" s="247">
        <v>28</v>
      </c>
      <c r="T210" s="242"/>
      <c r="U210" s="329"/>
      <c r="V210" s="329"/>
      <c r="W210" s="329"/>
      <c r="X210" s="329"/>
      <c r="Y210" s="329"/>
    </row>
    <row r="211" spans="1:25">
      <c r="A211" s="232" t="s">
        <v>827</v>
      </c>
      <c r="B211" s="247">
        <f t="shared" si="41"/>
        <v>16</v>
      </c>
      <c r="C211" s="242">
        <v>4</v>
      </c>
      <c r="D211" s="234"/>
      <c r="E211" s="234"/>
      <c r="F211" s="234"/>
      <c r="G211" s="242"/>
      <c r="H211" s="152"/>
      <c r="I211" s="152"/>
      <c r="J211" s="152"/>
      <c r="K211" s="233"/>
      <c r="L211" s="234"/>
      <c r="M211" s="242"/>
      <c r="N211" s="232" t="s">
        <v>827</v>
      </c>
      <c r="O211" s="152"/>
      <c r="P211" s="147"/>
      <c r="Q211" s="147"/>
      <c r="R211" s="147"/>
      <c r="S211" s="247">
        <v>29</v>
      </c>
      <c r="T211" s="242"/>
      <c r="U211" s="329"/>
      <c r="V211" s="329"/>
      <c r="W211" s="329"/>
      <c r="X211" s="329"/>
      <c r="Y211" s="329"/>
    </row>
    <row r="212" spans="1:25">
      <c r="A212" s="232" t="s">
        <v>821</v>
      </c>
      <c r="B212" s="247">
        <f t="shared" si="41"/>
        <v>17</v>
      </c>
      <c r="C212" s="242"/>
      <c r="D212" s="234"/>
      <c r="E212" s="234"/>
      <c r="F212" s="234"/>
      <c r="G212" s="242"/>
      <c r="H212" s="152"/>
      <c r="I212" s="258"/>
      <c r="J212" s="152"/>
      <c r="K212" s="233"/>
      <c r="L212" s="234"/>
      <c r="M212" s="242"/>
      <c r="N212" s="232" t="s">
        <v>821</v>
      </c>
      <c r="O212" s="152"/>
      <c r="P212" s="147"/>
      <c r="Q212" s="147"/>
      <c r="R212" s="147"/>
      <c r="S212" s="247">
        <v>30</v>
      </c>
      <c r="T212" s="242"/>
      <c r="U212" s="329"/>
      <c r="V212" s="329"/>
      <c r="W212" s="329"/>
      <c r="X212" s="329"/>
      <c r="Y212" s="329"/>
    </row>
    <row r="213" spans="1:25">
      <c r="A213" s="232" t="s">
        <v>822</v>
      </c>
      <c r="B213" s="247">
        <f t="shared" si="41"/>
        <v>18</v>
      </c>
      <c r="C213" s="564"/>
      <c r="D213" s="234"/>
      <c r="E213" s="234"/>
      <c r="F213" s="234"/>
      <c r="G213" s="242"/>
      <c r="H213" s="152"/>
      <c r="I213" s="258"/>
      <c r="J213" s="152"/>
      <c r="K213" s="233"/>
      <c r="L213" s="234"/>
      <c r="M213" s="242"/>
      <c r="N213" s="232" t="s">
        <v>822</v>
      </c>
      <c r="O213" s="152"/>
      <c r="P213" s="147"/>
      <c r="Q213" s="147"/>
      <c r="R213" s="147"/>
      <c r="S213" s="247">
        <v>31</v>
      </c>
      <c r="T213" s="564"/>
      <c r="U213" s="329"/>
      <c r="V213" s="329"/>
      <c r="W213" s="329"/>
      <c r="X213" s="329"/>
      <c r="Y213" s="329"/>
    </row>
    <row r="214" spans="1:25">
      <c r="A214" s="232" t="s">
        <v>823</v>
      </c>
      <c r="B214" s="247">
        <f t="shared" si="41"/>
        <v>19</v>
      </c>
      <c r="C214" s="234">
        <v>4</v>
      </c>
      <c r="D214" s="234"/>
      <c r="E214" s="234"/>
      <c r="F214" s="234"/>
      <c r="G214" s="242"/>
      <c r="H214" s="152"/>
      <c r="I214" s="152"/>
      <c r="J214" s="152"/>
      <c r="K214" s="233"/>
      <c r="L214" s="234"/>
      <c r="M214" s="242"/>
      <c r="N214" s="232" t="s">
        <v>823</v>
      </c>
      <c r="O214" s="152"/>
      <c r="P214" s="147"/>
      <c r="Q214" s="147"/>
      <c r="R214" s="147"/>
      <c r="S214" s="247">
        <v>1</v>
      </c>
      <c r="T214" s="234"/>
      <c r="U214" s="329"/>
      <c r="V214" s="329"/>
      <c r="W214" s="329"/>
      <c r="X214" s="329"/>
      <c r="Y214" s="329"/>
    </row>
    <row r="215" spans="1:25">
      <c r="A215" s="232" t="s">
        <v>824</v>
      </c>
      <c r="B215" s="247">
        <f t="shared" si="41"/>
        <v>20</v>
      </c>
      <c r="C215" s="565">
        <v>4</v>
      </c>
      <c r="D215" s="234"/>
      <c r="E215" s="234"/>
      <c r="F215" s="234"/>
      <c r="G215" s="242"/>
      <c r="H215" s="152"/>
      <c r="I215" s="152"/>
      <c r="J215" s="152"/>
      <c r="K215" s="233"/>
      <c r="L215" s="234"/>
      <c r="M215" s="242"/>
      <c r="N215" s="232" t="s">
        <v>824</v>
      </c>
      <c r="O215" s="152"/>
      <c r="P215" s="147"/>
      <c r="Q215" s="147"/>
      <c r="R215" s="147"/>
      <c r="S215" s="247">
        <v>2</v>
      </c>
      <c r="T215" s="565"/>
      <c r="U215" s="329"/>
      <c r="V215" s="329"/>
      <c r="W215" s="329"/>
      <c r="X215" s="329"/>
      <c r="Y215" s="329"/>
    </row>
    <row r="216" spans="1:25">
      <c r="A216" s="232" t="s">
        <v>825</v>
      </c>
      <c r="B216" s="247">
        <f t="shared" si="41"/>
        <v>21</v>
      </c>
      <c r="C216" s="234"/>
      <c r="D216" s="234"/>
      <c r="E216" s="234"/>
      <c r="F216" s="234"/>
      <c r="G216" s="242"/>
      <c r="H216" s="258"/>
      <c r="I216" s="258"/>
      <c r="J216" s="152"/>
      <c r="K216" s="233"/>
      <c r="L216" s="234"/>
      <c r="M216" s="242"/>
      <c r="N216" s="232" t="s">
        <v>825</v>
      </c>
      <c r="O216" s="152"/>
      <c r="P216" s="147"/>
      <c r="Q216" s="147"/>
      <c r="R216" s="147"/>
      <c r="S216" s="247">
        <v>3</v>
      </c>
      <c r="T216" s="234"/>
      <c r="U216" s="329"/>
      <c r="V216" s="329"/>
      <c r="W216" s="329"/>
      <c r="X216" s="329"/>
      <c r="Y216" s="329"/>
    </row>
    <row r="217" spans="1:25">
      <c r="A217" s="232" t="s">
        <v>826</v>
      </c>
      <c r="B217" s="247">
        <f t="shared" si="41"/>
        <v>22</v>
      </c>
      <c r="C217" s="234">
        <v>4</v>
      </c>
      <c r="D217" s="234"/>
      <c r="E217" s="234"/>
      <c r="F217" s="234"/>
      <c r="G217" s="242"/>
      <c r="H217" s="258"/>
      <c r="I217" s="152"/>
      <c r="J217" s="152"/>
      <c r="K217" s="233"/>
      <c r="L217" s="234"/>
      <c r="M217" s="242"/>
      <c r="N217" s="232" t="s">
        <v>826</v>
      </c>
      <c r="O217" s="152"/>
      <c r="P217" s="147"/>
      <c r="Q217" s="147"/>
      <c r="R217" s="147"/>
      <c r="S217" s="247">
        <v>4</v>
      </c>
      <c r="T217" s="234"/>
      <c r="U217" s="329"/>
      <c r="V217" s="329"/>
      <c r="W217" s="329"/>
      <c r="X217" s="329"/>
      <c r="Y217" s="329"/>
    </row>
    <row r="218" spans="1:25" ht="15.75" thickBot="1">
      <c r="A218" s="232" t="s">
        <v>827</v>
      </c>
      <c r="B218" s="247">
        <f t="shared" si="41"/>
        <v>23</v>
      </c>
      <c r="C218" s="234">
        <v>4</v>
      </c>
      <c r="D218" s="234"/>
      <c r="E218" s="234"/>
      <c r="F218" s="234"/>
      <c r="G218" s="329"/>
      <c r="H218" s="152"/>
      <c r="I218" s="152"/>
      <c r="J218" s="152"/>
      <c r="K218" s="233"/>
      <c r="L218" s="234"/>
      <c r="M218" s="242"/>
      <c r="N218" s="232" t="s">
        <v>827</v>
      </c>
      <c r="O218" s="152"/>
      <c r="P218" s="147"/>
      <c r="Q218" s="147"/>
      <c r="R218" s="147"/>
      <c r="S218" s="247">
        <v>5</v>
      </c>
      <c r="T218" s="234"/>
    </row>
    <row r="219" spans="1:25" ht="16.5" thickBot="1">
      <c r="A219" s="175" t="s">
        <v>791</v>
      </c>
      <c r="B219" s="176">
        <f>SUM(C219:M219)+O219</f>
        <v>32</v>
      </c>
      <c r="C219" s="238">
        <f>SUM(C205:C218)</f>
        <v>32</v>
      </c>
      <c r="D219" s="238">
        <f t="shared" ref="D219:K219" si="42">SUM(D205:D218)</f>
        <v>0</v>
      </c>
      <c r="E219" s="238">
        <f t="shared" si="42"/>
        <v>0</v>
      </c>
      <c r="F219" s="238">
        <f t="shared" si="42"/>
        <v>0</v>
      </c>
      <c r="G219" s="238">
        <f t="shared" si="42"/>
        <v>0</v>
      </c>
      <c r="H219" s="238">
        <f t="shared" si="42"/>
        <v>0</v>
      </c>
      <c r="I219" s="238">
        <f t="shared" si="42"/>
        <v>0</v>
      </c>
      <c r="J219" s="238">
        <f t="shared" si="42"/>
        <v>0</v>
      </c>
      <c r="K219" s="238">
        <f t="shared" si="42"/>
        <v>0</v>
      </c>
      <c r="L219" s="238"/>
      <c r="M219" s="261">
        <f>SUM(M205:M218)</f>
        <v>0</v>
      </c>
      <c r="N219" s="175" t="s">
        <v>791</v>
      </c>
      <c r="O219" s="176">
        <f>SUM(P219:R219)</f>
        <v>0</v>
      </c>
      <c r="P219" s="147">
        <f>SUM(P205:P218)</f>
        <v>0</v>
      </c>
      <c r="Q219" s="147">
        <f>SUM(Q205:Q218)</f>
        <v>0</v>
      </c>
      <c r="R219" s="147">
        <f>SUM(R205:R218)</f>
        <v>0</v>
      </c>
      <c r="T219" s="153">
        <f>SUM(T205:T218)</f>
        <v>0</v>
      </c>
    </row>
    <row r="220" spans="1:25" ht="15.75" thickBot="1"/>
    <row r="221" spans="1:25" ht="15.75" thickBot="1">
      <c r="A221" s="1027" t="s">
        <v>877</v>
      </c>
      <c r="B221" s="1028"/>
      <c r="C221" s="1028"/>
      <c r="D221" s="1028"/>
      <c r="E221" s="1028"/>
      <c r="F221" s="1028"/>
      <c r="G221" s="1028"/>
      <c r="H221" s="1028"/>
      <c r="I221" s="1028"/>
      <c r="J221" s="1028"/>
      <c r="K221" s="1028"/>
      <c r="L221" s="1029"/>
      <c r="M221" s="1024" t="s">
        <v>820</v>
      </c>
      <c r="N221" s="1025"/>
      <c r="O221" s="1025"/>
      <c r="P221" s="1025"/>
      <c r="Q221" s="1026"/>
    </row>
    <row r="222" spans="1:25" ht="27.75">
      <c r="A222" s="228"/>
      <c r="B222" s="247" t="str">
        <f>B204</f>
        <v>Jan</v>
      </c>
      <c r="C222" s="229" t="s">
        <v>878</v>
      </c>
      <c r="D222" s="229"/>
      <c r="E222" s="229"/>
      <c r="F222" s="229"/>
      <c r="G222" s="226"/>
      <c r="H222" s="231"/>
      <c r="I222" s="231"/>
      <c r="J222" s="231"/>
      <c r="K222" s="267"/>
      <c r="L222" s="231"/>
      <c r="M222" s="228"/>
      <c r="N222" s="247"/>
      <c r="O222" s="369"/>
      <c r="P222" s="369"/>
      <c r="Q222" s="369"/>
    </row>
    <row r="223" spans="1:25">
      <c r="A223" s="232" t="s">
        <v>821</v>
      </c>
      <c r="B223" s="247">
        <f t="shared" ref="B223:B236" si="43">B205</f>
        <v>10</v>
      </c>
      <c r="C223" s="234"/>
      <c r="D223" s="234"/>
      <c r="E223" s="234"/>
      <c r="F223" s="242"/>
      <c r="G223" s="152"/>
      <c r="H223" s="264"/>
      <c r="I223" s="264"/>
      <c r="J223" s="253"/>
      <c r="K223" s="242"/>
      <c r="L223" s="152"/>
      <c r="M223" s="232" t="s">
        <v>821</v>
      </c>
      <c r="N223" s="152"/>
      <c r="O223" s="147"/>
      <c r="P223" s="147"/>
      <c r="Q223" s="147"/>
    </row>
    <row r="224" spans="1:25">
      <c r="A224" s="232" t="s">
        <v>822</v>
      </c>
      <c r="B224" s="247">
        <f t="shared" si="43"/>
        <v>11</v>
      </c>
      <c r="C224" s="234"/>
      <c r="D224" s="234"/>
      <c r="E224" s="234"/>
      <c r="F224" s="242"/>
      <c r="G224" s="152"/>
      <c r="H224" s="152"/>
      <c r="I224" s="152"/>
      <c r="J224" s="233"/>
      <c r="K224" s="242"/>
      <c r="L224" s="152"/>
      <c r="M224" s="232" t="s">
        <v>822</v>
      </c>
      <c r="N224" s="152"/>
      <c r="O224" s="147"/>
      <c r="P224" s="147"/>
      <c r="Q224" s="147"/>
    </row>
    <row r="225" spans="1:83">
      <c r="A225" s="232" t="s">
        <v>823</v>
      </c>
      <c r="B225" s="247">
        <f t="shared" si="43"/>
        <v>12</v>
      </c>
      <c r="C225" s="234"/>
      <c r="D225" s="234"/>
      <c r="E225" s="234"/>
      <c r="F225" s="242"/>
      <c r="G225" s="152"/>
      <c r="H225" s="152"/>
      <c r="I225" s="152"/>
      <c r="J225" s="233"/>
      <c r="K225" s="242"/>
      <c r="L225" s="152"/>
      <c r="M225" s="232" t="s">
        <v>823</v>
      </c>
      <c r="N225" s="152"/>
      <c r="O225" s="147"/>
      <c r="P225" s="147"/>
      <c r="Q225" s="147"/>
    </row>
    <row r="226" spans="1:83">
      <c r="A226" s="232" t="s">
        <v>824</v>
      </c>
      <c r="B226" s="247">
        <f t="shared" si="43"/>
        <v>13</v>
      </c>
      <c r="C226" s="234"/>
      <c r="D226" s="234"/>
      <c r="E226" s="234"/>
      <c r="F226" s="242"/>
      <c r="G226" s="152"/>
      <c r="H226" s="152"/>
      <c r="I226" s="152"/>
      <c r="J226" s="233"/>
      <c r="K226" s="242"/>
      <c r="L226" s="152"/>
      <c r="M226" s="232" t="s">
        <v>824</v>
      </c>
      <c r="N226" s="152"/>
      <c r="O226" s="147"/>
      <c r="P226" s="147"/>
      <c r="Q226" s="147"/>
    </row>
    <row r="227" spans="1:83">
      <c r="A227" s="232" t="s">
        <v>825</v>
      </c>
      <c r="B227" s="247">
        <f t="shared" si="43"/>
        <v>14</v>
      </c>
      <c r="C227" s="234"/>
      <c r="D227" s="234"/>
      <c r="E227" s="234"/>
      <c r="F227" s="242"/>
      <c r="G227" s="152"/>
      <c r="H227" s="152"/>
      <c r="I227" s="152"/>
      <c r="J227" s="233"/>
      <c r="K227" s="242"/>
      <c r="L227" s="152"/>
      <c r="M227" s="232" t="s">
        <v>825</v>
      </c>
      <c r="N227" s="152"/>
      <c r="O227" s="147"/>
      <c r="P227" s="147"/>
      <c r="Q227" s="147"/>
    </row>
    <row r="228" spans="1:83">
      <c r="A228" s="232" t="s">
        <v>826</v>
      </c>
      <c r="B228" s="247">
        <f t="shared" si="43"/>
        <v>15</v>
      </c>
      <c r="C228" s="234"/>
      <c r="D228" s="234"/>
      <c r="E228" s="234"/>
      <c r="F228" s="242"/>
      <c r="G228" s="152"/>
      <c r="H228" s="152"/>
      <c r="I228" s="152"/>
      <c r="J228" s="233"/>
      <c r="K228" s="242"/>
      <c r="L228" s="152"/>
      <c r="M228" s="232" t="s">
        <v>826</v>
      </c>
      <c r="N228" s="152"/>
      <c r="O228" s="147"/>
      <c r="P228" s="147"/>
      <c r="Q228" s="147"/>
    </row>
    <row r="229" spans="1:83">
      <c r="A229" s="232" t="s">
        <v>827</v>
      </c>
      <c r="B229" s="247">
        <f t="shared" si="43"/>
        <v>16</v>
      </c>
      <c r="C229" s="234"/>
      <c r="D229" s="234"/>
      <c r="E229" s="234"/>
      <c r="F229" s="242"/>
      <c r="G229" s="152"/>
      <c r="H229" s="152"/>
      <c r="I229" s="152"/>
      <c r="J229" s="233"/>
      <c r="K229" s="242"/>
      <c r="L229" s="152"/>
      <c r="M229" s="232" t="s">
        <v>827</v>
      </c>
      <c r="N229" s="152"/>
      <c r="O229" s="147"/>
      <c r="P229" s="147"/>
      <c r="Q229" s="147"/>
    </row>
    <row r="230" spans="1:83">
      <c r="A230" s="232" t="s">
        <v>821</v>
      </c>
      <c r="B230" s="247">
        <f t="shared" si="43"/>
        <v>17</v>
      </c>
      <c r="C230" s="234"/>
      <c r="D230" s="234"/>
      <c r="E230" s="234"/>
      <c r="F230" s="242"/>
      <c r="G230" s="152"/>
      <c r="H230" s="258"/>
      <c r="I230" s="152"/>
      <c r="J230" s="233"/>
      <c r="K230" s="242"/>
      <c r="L230" s="152"/>
      <c r="M230" s="232" t="s">
        <v>821</v>
      </c>
      <c r="N230" s="152"/>
      <c r="O230" s="147"/>
      <c r="P230" s="147"/>
      <c r="Q230" s="147"/>
    </row>
    <row r="231" spans="1:83">
      <c r="A231" s="232" t="s">
        <v>822</v>
      </c>
      <c r="B231" s="247">
        <f t="shared" si="43"/>
        <v>18</v>
      </c>
      <c r="C231" s="234"/>
      <c r="D231" s="234"/>
      <c r="E231" s="234"/>
      <c r="F231" s="242"/>
      <c r="G231" s="152"/>
      <c r="H231" s="258"/>
      <c r="I231" s="152"/>
      <c r="J231" s="233"/>
      <c r="K231" s="242"/>
      <c r="L231" s="152"/>
      <c r="M231" s="232" t="s">
        <v>822</v>
      </c>
      <c r="N231" s="152"/>
      <c r="O231" s="147"/>
      <c r="P231" s="147"/>
      <c r="Q231" s="147"/>
    </row>
    <row r="232" spans="1:83">
      <c r="A232" s="232" t="s">
        <v>823</v>
      </c>
      <c r="B232" s="247">
        <f t="shared" si="43"/>
        <v>19</v>
      </c>
      <c r="C232" s="234"/>
      <c r="D232" s="234"/>
      <c r="E232" s="234"/>
      <c r="F232" s="242"/>
      <c r="G232" s="152"/>
      <c r="H232" s="152"/>
      <c r="I232" s="152"/>
      <c r="J232" s="233"/>
      <c r="K232" s="242"/>
      <c r="L232" s="152"/>
      <c r="M232" s="232" t="s">
        <v>823</v>
      </c>
      <c r="N232" s="152"/>
      <c r="O232" s="147"/>
      <c r="P232" s="147"/>
      <c r="Q232" s="147"/>
    </row>
    <row r="233" spans="1:83">
      <c r="A233" s="232" t="s">
        <v>824</v>
      </c>
      <c r="B233" s="247">
        <f t="shared" si="43"/>
        <v>20</v>
      </c>
      <c r="C233" s="234"/>
      <c r="D233" s="234"/>
      <c r="E233" s="234"/>
      <c r="F233" s="242"/>
      <c r="G233" s="152"/>
      <c r="H233" s="152"/>
      <c r="I233" s="152"/>
      <c r="J233" s="233"/>
      <c r="K233" s="242"/>
      <c r="L233" s="152"/>
      <c r="M233" s="232" t="s">
        <v>824</v>
      </c>
      <c r="N233" s="152"/>
      <c r="O233" s="147"/>
      <c r="P233" s="147"/>
      <c r="Q233" s="147"/>
    </row>
    <row r="234" spans="1:83">
      <c r="A234" s="232" t="s">
        <v>825</v>
      </c>
      <c r="B234" s="247">
        <f t="shared" si="43"/>
        <v>21</v>
      </c>
      <c r="C234" s="234"/>
      <c r="D234" s="233"/>
      <c r="E234" s="234"/>
      <c r="F234" s="242"/>
      <c r="G234" s="258"/>
      <c r="H234" s="258"/>
      <c r="I234" s="152"/>
      <c r="J234" s="233"/>
      <c r="K234" s="242"/>
      <c r="L234" s="152"/>
      <c r="M234" s="232" t="s">
        <v>825</v>
      </c>
      <c r="N234" s="152"/>
      <c r="O234" s="147"/>
      <c r="P234" s="147"/>
      <c r="Q234" s="147"/>
    </row>
    <row r="235" spans="1:83">
      <c r="A235" s="232" t="s">
        <v>826</v>
      </c>
      <c r="B235" s="247">
        <f t="shared" si="43"/>
        <v>22</v>
      </c>
      <c r="C235" s="234"/>
      <c r="D235" s="234"/>
      <c r="E235" s="234"/>
      <c r="F235" s="242"/>
      <c r="G235" s="258"/>
      <c r="H235" s="152"/>
      <c r="I235" s="152"/>
      <c r="J235" s="233"/>
      <c r="K235" s="242"/>
      <c r="L235" s="152"/>
      <c r="M235" s="232" t="s">
        <v>826</v>
      </c>
      <c r="N235" s="152"/>
      <c r="O235" s="147"/>
      <c r="P235" s="147"/>
      <c r="Q235" s="147"/>
    </row>
    <row r="236" spans="1:83" ht="15.75" thickBot="1">
      <c r="A236" s="232" t="s">
        <v>827</v>
      </c>
      <c r="B236" s="247">
        <f t="shared" si="43"/>
        <v>23</v>
      </c>
      <c r="C236" s="234"/>
      <c r="D236" s="234"/>
      <c r="E236" s="234"/>
      <c r="F236" s="329"/>
      <c r="G236" s="152"/>
      <c r="H236" s="152"/>
      <c r="I236" s="152"/>
      <c r="J236" s="233"/>
      <c r="K236" s="242"/>
      <c r="L236" s="152"/>
      <c r="M236" s="232" t="s">
        <v>827</v>
      </c>
      <c r="N236" s="152"/>
      <c r="O236" s="147"/>
      <c r="P236" s="147"/>
      <c r="Q236" s="147"/>
    </row>
    <row r="237" spans="1:83" ht="16.5" thickBot="1">
      <c r="A237" s="175" t="s">
        <v>791</v>
      </c>
      <c r="B237" s="176">
        <f>SUM(C237:L237)+N237</f>
        <v>0</v>
      </c>
      <c r="C237" s="238">
        <f t="shared" ref="C237:K237" si="44">SUM(C223:C236)</f>
        <v>0</v>
      </c>
      <c r="D237" s="238">
        <f t="shared" si="44"/>
        <v>0</v>
      </c>
      <c r="E237" s="238">
        <f t="shared" si="44"/>
        <v>0</v>
      </c>
      <c r="F237" s="238">
        <f t="shared" si="44"/>
        <v>0</v>
      </c>
      <c r="G237" s="238">
        <f t="shared" si="44"/>
        <v>0</v>
      </c>
      <c r="H237" s="238">
        <f t="shared" si="44"/>
        <v>0</v>
      </c>
      <c r="I237" s="238">
        <f t="shared" si="44"/>
        <v>0</v>
      </c>
      <c r="J237" s="238">
        <f t="shared" si="44"/>
        <v>0</v>
      </c>
      <c r="K237" s="238">
        <f t="shared" si="44"/>
        <v>0</v>
      </c>
      <c r="L237" s="152">
        <f>SUM(L223:L236)</f>
        <v>0</v>
      </c>
      <c r="M237" s="175" t="s">
        <v>791</v>
      </c>
      <c r="N237" s="176">
        <f>SUM(O237:Q237)</f>
        <v>0</v>
      </c>
      <c r="O237" s="147">
        <f>SUM(O223:O236)</f>
        <v>0</v>
      </c>
      <c r="P237" s="147">
        <f>SUM(P223:P236)</f>
        <v>0</v>
      </c>
      <c r="Q237" s="147">
        <f>SUM(Q223:Q236)</f>
        <v>0</v>
      </c>
    </row>
    <row r="238" spans="1:83" ht="15.75" thickBot="1">
      <c r="V238"/>
      <c r="W238"/>
      <c r="X238"/>
      <c r="Y238"/>
      <c r="Z238"/>
      <c r="AA238"/>
      <c r="AB238"/>
    </row>
    <row r="239" spans="1:83" ht="15.75" thickBot="1">
      <c r="A239" s="1027" t="s">
        <v>879</v>
      </c>
      <c r="B239" s="1028"/>
      <c r="C239" s="1028"/>
      <c r="D239" s="1028"/>
      <c r="E239" s="1028"/>
      <c r="F239" s="1028"/>
      <c r="G239" s="1028"/>
      <c r="H239" s="1028"/>
      <c r="I239" s="1028"/>
      <c r="J239" s="1028"/>
      <c r="K239" s="1028"/>
      <c r="L239" s="1028"/>
      <c r="M239" s="1028"/>
      <c r="N239" s="1028"/>
      <c r="O239" s="1028"/>
      <c r="P239" s="1028"/>
      <c r="Q239" s="1028"/>
      <c r="R239" s="1028"/>
      <c r="S239" s="1028"/>
      <c r="T239" s="1028"/>
      <c r="U239" s="1024" t="s">
        <v>820</v>
      </c>
      <c r="V239" s="1025"/>
      <c r="W239" s="1025"/>
      <c r="X239" s="1025"/>
      <c r="Y239" s="1026"/>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row>
    <row r="240" spans="1:83" ht="110.25">
      <c r="A240" s="228"/>
      <c r="B240" s="247" t="str">
        <f>B222</f>
        <v>Jan</v>
      </c>
      <c r="C240" s="632" t="s">
        <v>324</v>
      </c>
      <c r="D240" s="632" t="s">
        <v>378</v>
      </c>
      <c r="E240" s="632" t="s">
        <v>379</v>
      </c>
      <c r="F240" s="631" t="s">
        <v>210</v>
      </c>
      <c r="G240" s="631" t="s">
        <v>380</v>
      </c>
      <c r="H240" s="631" t="s">
        <v>339</v>
      </c>
      <c r="I240" s="631" t="s">
        <v>323</v>
      </c>
      <c r="J240" s="632" t="s">
        <v>245</v>
      </c>
      <c r="K240" s="632" t="s">
        <v>221</v>
      </c>
      <c r="L240" s="632" t="s">
        <v>381</v>
      </c>
      <c r="M240" s="632" t="s">
        <v>382</v>
      </c>
      <c r="N240" s="632" t="s">
        <v>383</v>
      </c>
      <c r="O240" s="632" t="s">
        <v>384</v>
      </c>
      <c r="P240" s="632" t="s">
        <v>385</v>
      </c>
      <c r="Q240" s="632" t="s">
        <v>333</v>
      </c>
      <c r="R240" s="632" t="s">
        <v>386</v>
      </c>
      <c r="S240" s="632" t="s">
        <v>387</v>
      </c>
      <c r="T240" s="632" t="s">
        <v>388</v>
      </c>
      <c r="U240" s="632" t="s">
        <v>329</v>
      </c>
      <c r="V240" s="632" t="s">
        <v>246</v>
      </c>
      <c r="W240" s="632" t="s">
        <v>389</v>
      </c>
      <c r="X240" s="632" t="s">
        <v>390</v>
      </c>
      <c r="Y240" s="833" t="s">
        <v>880</v>
      </c>
      <c r="Z240" s="835" t="s">
        <v>881</v>
      </c>
      <c r="AA240" s="632" t="s">
        <v>393</v>
      </c>
      <c r="AB240" s="632" t="s">
        <v>394</v>
      </c>
      <c r="AC240" s="632" t="s">
        <v>249</v>
      </c>
      <c r="AD240" s="632" t="s">
        <v>338</v>
      </c>
      <c r="AE240" s="632" t="s">
        <v>21</v>
      </c>
      <c r="AF240" s="632" t="s">
        <v>395</v>
      </c>
      <c r="AG240" s="632" t="s">
        <v>396</v>
      </c>
      <c r="AH240" s="632" t="s">
        <v>237</v>
      </c>
      <c r="AI240" s="632" t="s">
        <v>397</v>
      </c>
      <c r="AJ240" s="632" t="s">
        <v>254</v>
      </c>
      <c r="AK240" s="632" t="s">
        <v>398</v>
      </c>
      <c r="AL240" s="632" t="s">
        <v>399</v>
      </c>
      <c r="AM240" s="632" t="s">
        <v>400</v>
      </c>
      <c r="AN240" s="632" t="s">
        <v>401</v>
      </c>
      <c r="AO240" s="632" t="s">
        <v>402</v>
      </c>
      <c r="AP240" s="633" t="s">
        <v>403</v>
      </c>
      <c r="AQ240" s="267"/>
      <c r="AR240" s="267"/>
      <c r="AS240" s="267"/>
      <c r="AT240" s="228"/>
      <c r="AU240" s="247"/>
      <c r="AV240" s="369"/>
      <c r="AW240" s="369"/>
      <c r="AX240" s="369"/>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row>
    <row r="241" spans="1:83">
      <c r="A241" s="232" t="s">
        <v>821</v>
      </c>
      <c r="B241" s="247">
        <f t="shared" ref="B241:B254" si="45">B223</f>
        <v>10</v>
      </c>
      <c r="C241" s="234"/>
      <c r="D241" s="234"/>
      <c r="E241" s="234"/>
      <c r="F241" s="234"/>
      <c r="G241" s="234"/>
      <c r="H241" s="234"/>
      <c r="I241" s="234"/>
      <c r="J241" s="234"/>
      <c r="K241" s="234"/>
      <c r="L241" s="234"/>
      <c r="M241" s="234"/>
      <c r="N241" s="234"/>
      <c r="O241" s="234"/>
      <c r="P241" s="234"/>
      <c r="Q241" s="234"/>
      <c r="R241" s="234"/>
      <c r="S241" s="234"/>
      <c r="T241" s="234"/>
      <c r="U241" s="234"/>
      <c r="V241" s="234"/>
      <c r="W241" s="234"/>
      <c r="X241" s="234"/>
      <c r="Y241" s="760"/>
      <c r="Z241" s="604"/>
      <c r="AA241" s="234"/>
      <c r="AB241" s="234"/>
      <c r="AC241" s="234"/>
      <c r="AD241" s="234"/>
      <c r="AE241" s="234"/>
      <c r="AF241" s="234"/>
      <c r="AG241" s="234"/>
      <c r="AH241" s="234"/>
      <c r="AI241" s="234"/>
      <c r="AJ241" s="234"/>
      <c r="AK241" s="234"/>
      <c r="AL241" s="234"/>
      <c r="AM241" s="234"/>
      <c r="AN241" s="234"/>
      <c r="AO241" s="234"/>
      <c r="AP241" s="235"/>
      <c r="AQ241" s="826"/>
      <c r="AR241" s="826"/>
      <c r="AS241" s="826"/>
      <c r="AT241" s="232" t="s">
        <v>821</v>
      </c>
      <c r="AU241" s="152"/>
      <c r="AV241" s="147"/>
      <c r="AW241" s="147"/>
      <c r="AX241" s="147"/>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row>
    <row r="242" spans="1:83">
      <c r="A242" s="232" t="s">
        <v>822</v>
      </c>
      <c r="B242" s="247">
        <f t="shared" si="45"/>
        <v>11</v>
      </c>
      <c r="C242" s="234"/>
      <c r="D242" s="234"/>
      <c r="E242" s="234"/>
      <c r="F242" s="234"/>
      <c r="G242" s="234"/>
      <c r="H242" s="234"/>
      <c r="I242" s="234"/>
      <c r="J242" s="234"/>
      <c r="K242" s="234"/>
      <c r="L242" s="234"/>
      <c r="M242" s="234"/>
      <c r="N242" s="234"/>
      <c r="O242" s="234"/>
      <c r="P242" s="234"/>
      <c r="Q242" s="234"/>
      <c r="R242" s="234"/>
      <c r="S242" s="234"/>
      <c r="T242" s="234"/>
      <c r="U242" s="234"/>
      <c r="V242" s="234"/>
      <c r="W242" s="234"/>
      <c r="X242" s="234"/>
      <c r="Y242" s="760"/>
      <c r="Z242" s="604"/>
      <c r="AA242" s="234"/>
      <c r="AB242" s="234"/>
      <c r="AC242" s="234"/>
      <c r="AD242" s="234"/>
      <c r="AE242" s="234"/>
      <c r="AF242" s="234"/>
      <c r="AG242" s="234"/>
      <c r="AH242" s="234"/>
      <c r="AI242" s="234"/>
      <c r="AJ242" s="234"/>
      <c r="AK242" s="234"/>
      <c r="AL242" s="234"/>
      <c r="AM242" s="234"/>
      <c r="AN242" s="234"/>
      <c r="AO242" s="234"/>
      <c r="AP242" s="235"/>
      <c r="AQ242" s="826"/>
      <c r="AR242" s="826"/>
      <c r="AS242" s="826"/>
      <c r="AT242" s="232" t="s">
        <v>822</v>
      </c>
      <c r="AU242" s="152"/>
      <c r="AV242" s="147"/>
      <c r="AW242" s="147"/>
      <c r="AX242" s="147"/>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row>
    <row r="243" spans="1:83">
      <c r="A243" s="232" t="s">
        <v>823</v>
      </c>
      <c r="B243" s="247">
        <f t="shared" si="45"/>
        <v>12</v>
      </c>
      <c r="C243" s="234"/>
      <c r="D243" s="234"/>
      <c r="E243" s="234"/>
      <c r="F243" s="234"/>
      <c r="G243" s="234"/>
      <c r="H243" s="234"/>
      <c r="I243" s="234"/>
      <c r="J243" s="234"/>
      <c r="K243" s="234"/>
      <c r="L243" s="234"/>
      <c r="M243" s="234"/>
      <c r="N243" s="234"/>
      <c r="O243" s="234"/>
      <c r="P243" s="234"/>
      <c r="Q243" s="234"/>
      <c r="R243" s="234"/>
      <c r="S243" s="234"/>
      <c r="T243" s="234"/>
      <c r="U243" s="234"/>
      <c r="V243" s="234"/>
      <c r="W243" s="234"/>
      <c r="X243" s="234"/>
      <c r="Y243" s="762"/>
      <c r="Z243" s="604"/>
      <c r="AA243" s="234"/>
      <c r="AB243" s="234"/>
      <c r="AC243" s="234"/>
      <c r="AD243" s="234"/>
      <c r="AE243" s="234"/>
      <c r="AF243" s="234"/>
      <c r="AG243" s="234"/>
      <c r="AH243" s="234"/>
      <c r="AI243" s="234"/>
      <c r="AJ243" s="234"/>
      <c r="AK243" s="234"/>
      <c r="AL243" s="234"/>
      <c r="AM243" s="234"/>
      <c r="AN243" s="234"/>
      <c r="AO243" s="234"/>
      <c r="AP243" s="235"/>
      <c r="AQ243" s="826"/>
      <c r="AR243" s="826"/>
      <c r="AS243" s="826"/>
      <c r="AT243" s="232" t="s">
        <v>823</v>
      </c>
      <c r="AU243" s="152"/>
      <c r="AV243" s="147"/>
      <c r="AW243" s="147"/>
      <c r="AX243" s="147"/>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row>
    <row r="244" spans="1:83">
      <c r="A244" s="232" t="s">
        <v>824</v>
      </c>
      <c r="B244" s="247">
        <f t="shared" si="45"/>
        <v>13</v>
      </c>
      <c r="C244" s="234"/>
      <c r="D244" s="234"/>
      <c r="E244" s="234"/>
      <c r="F244" s="234"/>
      <c r="G244" s="234"/>
      <c r="H244" s="234"/>
      <c r="I244" s="234"/>
      <c r="J244" s="234"/>
      <c r="K244" s="234"/>
      <c r="L244" s="234"/>
      <c r="M244" s="234"/>
      <c r="N244" s="234"/>
      <c r="O244" s="234"/>
      <c r="P244" s="234"/>
      <c r="Q244" s="234"/>
      <c r="R244" s="234"/>
      <c r="S244" s="234"/>
      <c r="T244" s="234"/>
      <c r="U244" s="234"/>
      <c r="V244" s="234"/>
      <c r="W244" s="234"/>
      <c r="X244" s="234"/>
      <c r="Y244" s="760"/>
      <c r="Z244" s="604"/>
      <c r="AA244" s="234"/>
      <c r="AB244" s="234"/>
      <c r="AC244" s="234"/>
      <c r="AD244" s="234"/>
      <c r="AE244" s="234"/>
      <c r="AF244" s="234"/>
      <c r="AG244" s="234"/>
      <c r="AH244" s="234"/>
      <c r="AI244" s="234"/>
      <c r="AJ244" s="234"/>
      <c r="AK244" s="234"/>
      <c r="AL244" s="234"/>
      <c r="AM244" s="234"/>
      <c r="AN244" s="234"/>
      <c r="AO244" s="234"/>
      <c r="AP244" s="235"/>
      <c r="AQ244" s="826"/>
      <c r="AR244" s="826"/>
      <c r="AS244" s="826"/>
      <c r="AT244" s="232" t="s">
        <v>824</v>
      </c>
      <c r="AU244" s="152"/>
      <c r="AV244" s="147"/>
      <c r="AW244" s="147"/>
      <c r="AX244" s="147"/>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row>
    <row r="245" spans="1:83">
      <c r="A245" s="232" t="s">
        <v>825</v>
      </c>
      <c r="B245" s="247">
        <f t="shared" si="45"/>
        <v>14</v>
      </c>
      <c r="C245" s="234"/>
      <c r="D245" s="234"/>
      <c r="E245" s="234"/>
      <c r="F245" s="234"/>
      <c r="G245" s="234"/>
      <c r="H245" s="234"/>
      <c r="I245" s="234"/>
      <c r="J245" s="234"/>
      <c r="K245" s="234"/>
      <c r="L245" s="234"/>
      <c r="M245" s="234"/>
      <c r="N245" s="234"/>
      <c r="O245" s="234"/>
      <c r="P245" s="234"/>
      <c r="Q245" s="234"/>
      <c r="R245" s="234"/>
      <c r="S245" s="234"/>
      <c r="T245" s="234"/>
      <c r="U245" s="234"/>
      <c r="V245" s="234"/>
      <c r="W245" s="234"/>
      <c r="X245" s="234"/>
      <c r="Y245" s="760"/>
      <c r="Z245" s="604"/>
      <c r="AA245" s="234"/>
      <c r="AB245" s="234"/>
      <c r="AC245" s="234"/>
      <c r="AD245" s="234"/>
      <c r="AE245" s="234"/>
      <c r="AF245" s="234"/>
      <c r="AG245" s="234"/>
      <c r="AH245" s="234"/>
      <c r="AI245" s="234"/>
      <c r="AJ245" s="234"/>
      <c r="AK245" s="234"/>
      <c r="AL245" s="234"/>
      <c r="AM245" s="234"/>
      <c r="AN245" s="234"/>
      <c r="AO245" s="234"/>
      <c r="AP245" s="235"/>
      <c r="AQ245" s="826"/>
      <c r="AR245" s="826"/>
      <c r="AS245" s="826"/>
      <c r="AT245" s="232" t="s">
        <v>825</v>
      </c>
      <c r="AU245" s="152"/>
      <c r="AV245" s="147"/>
      <c r="AW245" s="147"/>
      <c r="AX245" s="147"/>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row>
    <row r="246" spans="1:83">
      <c r="A246" s="232" t="s">
        <v>826</v>
      </c>
      <c r="B246" s="247">
        <f t="shared" si="45"/>
        <v>15</v>
      </c>
      <c r="C246" s="234"/>
      <c r="D246" s="234"/>
      <c r="E246" s="234"/>
      <c r="F246" s="234"/>
      <c r="G246" s="234"/>
      <c r="H246" s="234"/>
      <c r="I246" s="234"/>
      <c r="J246" s="234"/>
      <c r="K246" s="234"/>
      <c r="L246" s="234"/>
      <c r="M246" s="234"/>
      <c r="N246" s="234"/>
      <c r="O246" s="234"/>
      <c r="P246" s="234"/>
      <c r="Q246" s="234"/>
      <c r="R246" s="234"/>
      <c r="S246" s="234"/>
      <c r="T246" s="234"/>
      <c r="U246" s="234"/>
      <c r="V246" s="234"/>
      <c r="W246" s="234"/>
      <c r="X246" s="234"/>
      <c r="Y246" s="760"/>
      <c r="Z246" s="604"/>
      <c r="AA246" s="234"/>
      <c r="AB246" s="234"/>
      <c r="AC246" s="234"/>
      <c r="AD246" s="234"/>
      <c r="AE246" s="234"/>
      <c r="AF246" s="234"/>
      <c r="AG246" s="234"/>
      <c r="AH246" s="234"/>
      <c r="AI246" s="234"/>
      <c r="AJ246" s="234"/>
      <c r="AK246" s="234"/>
      <c r="AL246" s="234"/>
      <c r="AM246" s="234"/>
      <c r="AN246" s="234"/>
      <c r="AO246" s="234"/>
      <c r="AP246" s="235"/>
      <c r="AQ246" s="826"/>
      <c r="AR246" s="826"/>
      <c r="AS246" s="826"/>
      <c r="AT246" s="232" t="s">
        <v>826</v>
      </c>
      <c r="AU246" s="152"/>
      <c r="AV246" s="147"/>
      <c r="AW246" s="147"/>
      <c r="AX246" s="147"/>
    </row>
    <row r="247" spans="1:83">
      <c r="A247" s="232" t="s">
        <v>827</v>
      </c>
      <c r="B247" s="247">
        <f t="shared" si="45"/>
        <v>16</v>
      </c>
      <c r="C247" s="234"/>
      <c r="D247" s="234"/>
      <c r="E247" s="234"/>
      <c r="F247" s="234"/>
      <c r="G247" s="234"/>
      <c r="H247" s="234"/>
      <c r="I247" s="234"/>
      <c r="J247" s="234"/>
      <c r="K247" s="234"/>
      <c r="L247" s="234"/>
      <c r="M247" s="234"/>
      <c r="N247" s="234"/>
      <c r="O247" s="234"/>
      <c r="P247" s="234"/>
      <c r="Q247" s="234"/>
      <c r="R247" s="234"/>
      <c r="S247" s="234"/>
      <c r="T247" s="234"/>
      <c r="U247" s="234"/>
      <c r="V247" s="234"/>
      <c r="W247" s="234"/>
      <c r="X247" s="234"/>
      <c r="Y247" s="760"/>
      <c r="Z247" s="604"/>
      <c r="AA247" s="234"/>
      <c r="AB247" s="234"/>
      <c r="AC247" s="234"/>
      <c r="AD247" s="234"/>
      <c r="AE247" s="234"/>
      <c r="AF247" s="234"/>
      <c r="AG247" s="234"/>
      <c r="AH247" s="234"/>
      <c r="AI247" s="234"/>
      <c r="AJ247" s="234"/>
      <c r="AK247" s="234"/>
      <c r="AL247" s="234"/>
      <c r="AM247" s="234"/>
      <c r="AN247" s="234"/>
      <c r="AO247" s="234"/>
      <c r="AP247" s="235"/>
      <c r="AQ247" s="826"/>
      <c r="AR247" s="826"/>
      <c r="AS247" s="826"/>
      <c r="AT247" s="232" t="s">
        <v>827</v>
      </c>
      <c r="AU247" s="152"/>
      <c r="AV247" s="147"/>
      <c r="AW247" s="147"/>
      <c r="AX247" s="147"/>
    </row>
    <row r="248" spans="1:83">
      <c r="A248" s="232" t="s">
        <v>821</v>
      </c>
      <c r="B248" s="247">
        <f t="shared" si="45"/>
        <v>17</v>
      </c>
      <c r="C248" s="234"/>
      <c r="D248" s="234"/>
      <c r="E248" s="234"/>
      <c r="F248" s="234"/>
      <c r="G248" s="234"/>
      <c r="H248" s="234"/>
      <c r="I248" s="234"/>
      <c r="J248" s="234"/>
      <c r="K248" s="234"/>
      <c r="L248" s="234"/>
      <c r="M248" s="234"/>
      <c r="N248" s="234"/>
      <c r="O248" s="234"/>
      <c r="P248" s="234"/>
      <c r="Q248" s="234"/>
      <c r="R248" s="234"/>
      <c r="S248" s="234"/>
      <c r="T248" s="234"/>
      <c r="U248" s="234"/>
      <c r="V248" s="234"/>
      <c r="W248" s="234"/>
      <c r="X248" s="234"/>
      <c r="Y248" s="760"/>
      <c r="Z248" s="604"/>
      <c r="AA248" s="234"/>
      <c r="AB248" s="234"/>
      <c r="AC248" s="234"/>
      <c r="AD248" s="234"/>
      <c r="AE248" s="234"/>
      <c r="AF248" s="234"/>
      <c r="AG248" s="234"/>
      <c r="AH248" s="234"/>
      <c r="AI248" s="234"/>
      <c r="AJ248" s="234"/>
      <c r="AK248" s="234"/>
      <c r="AL248" s="234"/>
      <c r="AM248" s="234"/>
      <c r="AN248" s="234"/>
      <c r="AO248" s="234"/>
      <c r="AP248" s="235"/>
      <c r="AQ248" s="826"/>
      <c r="AR248" s="826"/>
      <c r="AS248" s="826"/>
      <c r="AT248" s="232" t="s">
        <v>821</v>
      </c>
      <c r="AU248" s="152"/>
      <c r="AV248" s="147"/>
      <c r="AW248" s="147"/>
      <c r="AX248" s="147"/>
    </row>
    <row r="249" spans="1:83">
      <c r="A249" s="232" t="s">
        <v>822</v>
      </c>
      <c r="B249" s="247">
        <f t="shared" si="45"/>
        <v>18</v>
      </c>
      <c r="C249" s="233"/>
      <c r="D249" s="233"/>
      <c r="E249" s="233"/>
      <c r="F249" s="234"/>
      <c r="G249" s="234"/>
      <c r="H249" s="234"/>
      <c r="I249" s="234"/>
      <c r="J249" s="234"/>
      <c r="K249" s="234"/>
      <c r="L249" s="234"/>
      <c r="M249" s="234"/>
      <c r="N249" s="234"/>
      <c r="O249" s="234"/>
      <c r="P249" s="234"/>
      <c r="Q249" s="234"/>
      <c r="R249" s="234"/>
      <c r="S249" s="234"/>
      <c r="T249" s="234"/>
      <c r="U249" s="234"/>
      <c r="V249" s="234"/>
      <c r="W249" s="234"/>
      <c r="X249" s="234"/>
      <c r="Y249" s="760"/>
      <c r="Z249" s="604"/>
      <c r="AA249" s="234"/>
      <c r="AB249" s="234"/>
      <c r="AC249" s="234"/>
      <c r="AD249" s="234"/>
      <c r="AE249" s="234"/>
      <c r="AF249" s="234"/>
      <c r="AG249" s="234"/>
      <c r="AH249" s="234"/>
      <c r="AI249" s="234"/>
      <c r="AJ249" s="234"/>
      <c r="AK249" s="234"/>
      <c r="AL249" s="234"/>
      <c r="AM249" s="234"/>
      <c r="AN249" s="234"/>
      <c r="AO249" s="234"/>
      <c r="AP249" s="235"/>
      <c r="AQ249" s="826"/>
      <c r="AR249" s="826"/>
      <c r="AS249" s="826"/>
      <c r="AT249" s="232" t="s">
        <v>822</v>
      </c>
      <c r="AU249" s="152"/>
      <c r="AV249" s="147"/>
      <c r="AW249" s="147"/>
      <c r="AX249" s="147"/>
    </row>
    <row r="250" spans="1:83" s="765" customFormat="1">
      <c r="A250" s="759" t="s">
        <v>823</v>
      </c>
      <c r="B250" s="247">
        <f t="shared" si="45"/>
        <v>19</v>
      </c>
      <c r="C250" s="761"/>
      <c r="D250" s="761"/>
      <c r="E250" s="761"/>
      <c r="F250" s="762"/>
      <c r="G250" s="762"/>
      <c r="H250" s="762"/>
      <c r="I250" s="762"/>
      <c r="J250" s="762"/>
      <c r="K250" s="762"/>
      <c r="L250" s="762"/>
      <c r="M250" s="762"/>
      <c r="N250" s="762"/>
      <c r="O250" s="762"/>
      <c r="P250" s="762"/>
      <c r="Q250" s="762"/>
      <c r="R250" s="762"/>
      <c r="S250" s="762"/>
      <c r="T250" s="762"/>
      <c r="U250" s="762"/>
      <c r="V250" s="234"/>
      <c r="W250" s="762"/>
      <c r="X250" s="762"/>
      <c r="Y250" s="760"/>
      <c r="Z250" s="604"/>
      <c r="AA250" s="762"/>
      <c r="AB250" s="762"/>
      <c r="AC250" s="762"/>
      <c r="AD250" s="762"/>
      <c r="AE250" s="762"/>
      <c r="AF250" s="762"/>
      <c r="AG250" s="762"/>
      <c r="AH250" s="762"/>
      <c r="AI250" s="762"/>
      <c r="AJ250" s="762"/>
      <c r="AK250" s="762"/>
      <c r="AL250" s="762"/>
      <c r="AM250" s="762"/>
      <c r="AN250" s="762"/>
      <c r="AO250" s="762"/>
      <c r="AP250" s="763"/>
      <c r="AQ250" s="827"/>
      <c r="AR250" s="827"/>
      <c r="AS250" s="827"/>
      <c r="AT250" s="759" t="s">
        <v>823</v>
      </c>
      <c r="AU250" s="760"/>
      <c r="AV250" s="764"/>
      <c r="AW250" s="764"/>
      <c r="AX250" s="764"/>
    </row>
    <row r="251" spans="1:83">
      <c r="A251" s="232" t="s">
        <v>824</v>
      </c>
      <c r="B251" s="247">
        <f t="shared" si="45"/>
        <v>20</v>
      </c>
      <c r="C251" s="233"/>
      <c r="D251" s="233"/>
      <c r="E251" s="233"/>
      <c r="F251" s="234"/>
      <c r="G251" s="234"/>
      <c r="H251" s="234"/>
      <c r="I251" s="234"/>
      <c r="J251" s="234"/>
      <c r="K251" s="234"/>
      <c r="L251" s="234"/>
      <c r="M251" s="234"/>
      <c r="N251" s="234"/>
      <c r="O251" s="234"/>
      <c r="P251" s="234"/>
      <c r="Q251" s="234"/>
      <c r="R251" s="234"/>
      <c r="S251" s="234"/>
      <c r="T251" s="234"/>
      <c r="U251" s="234"/>
      <c r="V251" s="234"/>
      <c r="W251" s="234"/>
      <c r="X251" s="234"/>
      <c r="Y251" s="760"/>
      <c r="Z251" s="604"/>
      <c r="AA251" s="234"/>
      <c r="AB251" s="234"/>
      <c r="AC251" s="234"/>
      <c r="AD251" s="234"/>
      <c r="AE251" s="234"/>
      <c r="AF251" s="234"/>
      <c r="AG251" s="234"/>
      <c r="AH251" s="234"/>
      <c r="AI251" s="234"/>
      <c r="AJ251" s="234"/>
      <c r="AK251" s="234"/>
      <c r="AL251" s="234"/>
      <c r="AM251" s="234"/>
      <c r="AN251" s="234"/>
      <c r="AO251" s="234"/>
      <c r="AP251" s="235"/>
      <c r="AQ251" s="826"/>
      <c r="AR251" s="826"/>
      <c r="AS251" s="826"/>
      <c r="AT251" s="232" t="s">
        <v>824</v>
      </c>
      <c r="AU251" s="152"/>
      <c r="AV251" s="147"/>
      <c r="AW251" s="147"/>
      <c r="AX251" s="147"/>
    </row>
    <row r="252" spans="1:83">
      <c r="A252" s="232" t="s">
        <v>825</v>
      </c>
      <c r="B252" s="247">
        <f t="shared" si="45"/>
        <v>21</v>
      </c>
      <c r="C252" s="233"/>
      <c r="D252" s="233"/>
      <c r="E252" s="233"/>
      <c r="F252" s="234"/>
      <c r="G252" s="234"/>
      <c r="H252" s="234"/>
      <c r="I252" s="234"/>
      <c r="J252" s="234"/>
      <c r="K252" s="234"/>
      <c r="L252" s="234"/>
      <c r="M252" s="234"/>
      <c r="N252" s="234"/>
      <c r="O252" s="234"/>
      <c r="P252" s="234"/>
      <c r="Q252" s="234"/>
      <c r="R252" s="234"/>
      <c r="S252" s="234"/>
      <c r="T252" s="234"/>
      <c r="U252" s="234"/>
      <c r="V252" s="234"/>
      <c r="W252" s="234"/>
      <c r="X252" s="234"/>
      <c r="Y252" s="760"/>
      <c r="Z252" s="604"/>
      <c r="AA252" s="234"/>
      <c r="AB252" s="234"/>
      <c r="AC252" s="262"/>
      <c r="AD252" s="234"/>
      <c r="AE252" s="234"/>
      <c r="AF252" s="234"/>
      <c r="AG252" s="234"/>
      <c r="AH252" s="234"/>
      <c r="AI252" s="234"/>
      <c r="AJ252" s="234"/>
      <c r="AK252" s="234"/>
      <c r="AL252" s="234"/>
      <c r="AM252" s="234"/>
      <c r="AN252" s="262"/>
      <c r="AO252" s="262"/>
      <c r="AP252" s="235"/>
      <c r="AQ252" s="826"/>
      <c r="AR252" s="826"/>
      <c r="AS252" s="826"/>
      <c r="AT252" s="232" t="s">
        <v>825</v>
      </c>
      <c r="AU252" s="152"/>
      <c r="AV252" s="147"/>
      <c r="AW252" s="147"/>
      <c r="AX252" s="147"/>
    </row>
    <row r="253" spans="1:83">
      <c r="A253" s="232" t="s">
        <v>826</v>
      </c>
      <c r="B253" s="247">
        <f t="shared" si="45"/>
        <v>22</v>
      </c>
      <c r="C253" s="233"/>
      <c r="D253" s="233"/>
      <c r="E253" s="233"/>
      <c r="F253" s="234"/>
      <c r="G253" s="234"/>
      <c r="H253" s="234"/>
      <c r="I253" s="234"/>
      <c r="J253" s="234"/>
      <c r="K253" s="234"/>
      <c r="L253" s="234"/>
      <c r="M253" s="234"/>
      <c r="N253" s="234"/>
      <c r="O253" s="234"/>
      <c r="P253" s="234"/>
      <c r="Q253" s="234"/>
      <c r="R253" s="234"/>
      <c r="S253" s="234"/>
      <c r="T253" s="234"/>
      <c r="U253" s="234"/>
      <c r="V253" s="234"/>
      <c r="W253" s="234"/>
      <c r="X253" s="234"/>
      <c r="Y253" s="760"/>
      <c r="Z253" s="604"/>
      <c r="AA253" s="234"/>
      <c r="AB253" s="234"/>
      <c r="AC253" s="234"/>
      <c r="AD253" s="234"/>
      <c r="AE253" s="234"/>
      <c r="AF253" s="234"/>
      <c r="AG253" s="234"/>
      <c r="AH253" s="234"/>
      <c r="AI253" s="234"/>
      <c r="AJ253" s="234"/>
      <c r="AK253" s="234"/>
      <c r="AL253" s="234"/>
      <c r="AM253" s="234"/>
      <c r="AN253" s="234"/>
      <c r="AO253" s="234"/>
      <c r="AP253" s="235"/>
      <c r="AQ253" s="826"/>
      <c r="AR253" s="826"/>
      <c r="AS253" s="826"/>
      <c r="AT253" s="232" t="s">
        <v>826</v>
      </c>
      <c r="AU253" s="152"/>
      <c r="AV253" s="147"/>
      <c r="AW253" s="147"/>
      <c r="AX253" s="147"/>
    </row>
    <row r="254" spans="1:83" ht="15.75" thickBot="1">
      <c r="A254" s="232" t="s">
        <v>827</v>
      </c>
      <c r="B254" s="247">
        <f t="shared" si="45"/>
        <v>23</v>
      </c>
      <c r="C254" s="233"/>
      <c r="D254" s="233"/>
      <c r="E254" s="233"/>
      <c r="F254" s="234"/>
      <c r="G254" s="234"/>
      <c r="H254" s="234"/>
      <c r="I254" s="234"/>
      <c r="J254" s="234"/>
      <c r="K254" s="234"/>
      <c r="L254" s="234"/>
      <c r="M254" s="234"/>
      <c r="N254" s="234"/>
      <c r="O254" s="234"/>
      <c r="P254" s="234"/>
      <c r="Q254" s="234"/>
      <c r="R254" s="234"/>
      <c r="S254" s="234"/>
      <c r="T254" s="234"/>
      <c r="U254" s="234"/>
      <c r="V254" s="234"/>
      <c r="W254" s="234"/>
      <c r="X254" s="234"/>
      <c r="Y254" s="760"/>
      <c r="Z254" s="604"/>
      <c r="AA254" s="234"/>
      <c r="AB254" s="234"/>
      <c r="AC254" s="234"/>
      <c r="AD254" s="234"/>
      <c r="AE254" s="234"/>
      <c r="AF254" s="234"/>
      <c r="AG254" s="234"/>
      <c r="AH254" s="234"/>
      <c r="AI254" s="234"/>
      <c r="AJ254" s="234"/>
      <c r="AK254" s="234"/>
      <c r="AL254" s="234"/>
      <c r="AM254" s="234"/>
      <c r="AN254" s="234"/>
      <c r="AO254" s="234"/>
      <c r="AP254" s="235"/>
      <c r="AQ254" s="826"/>
      <c r="AR254" s="826"/>
      <c r="AS254" s="826"/>
      <c r="AT254" s="232" t="s">
        <v>827</v>
      </c>
      <c r="AU254" s="152"/>
      <c r="AV254" s="147"/>
      <c r="AW254" s="147"/>
      <c r="AX254" s="147"/>
    </row>
    <row r="255" spans="1:83" ht="16.5" thickBot="1">
      <c r="A255" s="175" t="s">
        <v>791</v>
      </c>
      <c r="B255" s="176">
        <f>SUM(C241:AP254)+AU255</f>
        <v>0</v>
      </c>
      <c r="C255" s="238">
        <f t="shared" ref="C255:AP255" si="46">SUM(C241:C254)</f>
        <v>0</v>
      </c>
      <c r="D255" s="238">
        <f>SUM(D241:D254)</f>
        <v>0</v>
      </c>
      <c r="E255" s="238">
        <f t="shared" si="46"/>
        <v>0</v>
      </c>
      <c r="F255" s="238">
        <f t="shared" si="46"/>
        <v>0</v>
      </c>
      <c r="G255" s="238">
        <f>SUM(G241:G254)</f>
        <v>0</v>
      </c>
      <c r="H255" s="238">
        <f>SUM(H241:H254)</f>
        <v>0</v>
      </c>
      <c r="I255" s="238">
        <f>SUM(I241:I254)</f>
        <v>0</v>
      </c>
      <c r="J255" s="238">
        <f>SUM(J241:J254)</f>
        <v>0</v>
      </c>
      <c r="K255" s="238">
        <f t="shared" ref="K255" si="47">SUM(K241:K254)</f>
        <v>0</v>
      </c>
      <c r="L255" s="238">
        <f>SUM(L241:L254)</f>
        <v>0</v>
      </c>
      <c r="M255" s="238">
        <f t="shared" si="46"/>
        <v>0</v>
      </c>
      <c r="N255" s="238">
        <f t="shared" si="46"/>
        <v>0</v>
      </c>
      <c r="O255" s="238">
        <f t="shared" si="46"/>
        <v>0</v>
      </c>
      <c r="P255" s="238">
        <f t="shared" si="46"/>
        <v>0</v>
      </c>
      <c r="Q255" s="238">
        <f>SUM(Q241:Q254)</f>
        <v>0</v>
      </c>
      <c r="R255" s="238">
        <f t="shared" si="46"/>
        <v>0</v>
      </c>
      <c r="S255" s="238">
        <f t="shared" si="46"/>
        <v>0</v>
      </c>
      <c r="T255" s="238">
        <f t="shared" si="46"/>
        <v>0</v>
      </c>
      <c r="U255" s="238">
        <f>SUM(U241:U254)</f>
        <v>0</v>
      </c>
      <c r="V255" s="238">
        <f>SUM(V241:V254)</f>
        <v>0</v>
      </c>
      <c r="W255" s="238">
        <f>SUM(W241:W254)</f>
        <v>0</v>
      </c>
      <c r="X255" s="238">
        <f>SUM(X241:X254)</f>
        <v>0</v>
      </c>
      <c r="Y255" s="834">
        <f t="shared" si="46"/>
        <v>0</v>
      </c>
      <c r="Z255" s="569">
        <f t="shared" si="46"/>
        <v>0</v>
      </c>
      <c r="AA255" s="238">
        <f t="shared" si="46"/>
        <v>0</v>
      </c>
      <c r="AB255" s="238">
        <f>SUM(AB241:AB254)</f>
        <v>0</v>
      </c>
      <c r="AC255" s="238">
        <f t="shared" si="46"/>
        <v>0</v>
      </c>
      <c r="AD255" s="238">
        <f t="shared" si="46"/>
        <v>0</v>
      </c>
      <c r="AE255" s="238">
        <f t="shared" si="46"/>
        <v>0</v>
      </c>
      <c r="AF255" s="238">
        <f t="shared" si="46"/>
        <v>0</v>
      </c>
      <c r="AG255" s="238">
        <f>SUM(AG241:AG254)</f>
        <v>0</v>
      </c>
      <c r="AH255" s="238">
        <f t="shared" si="46"/>
        <v>0</v>
      </c>
      <c r="AI255" s="238">
        <f>SUM(AI241:AI254)</f>
        <v>0</v>
      </c>
      <c r="AJ255" s="238">
        <f>SUM(AJ241:AJ254)</f>
        <v>0</v>
      </c>
      <c r="AK255" s="238">
        <f>SUM(AK241:AK254)</f>
        <v>0</v>
      </c>
      <c r="AL255" s="238">
        <f t="shared" si="46"/>
        <v>0</v>
      </c>
      <c r="AM255" s="238">
        <f>SUM(AM241:AM254)</f>
        <v>0</v>
      </c>
      <c r="AN255" s="238">
        <f t="shared" si="46"/>
        <v>0</v>
      </c>
      <c r="AO255" s="238">
        <f t="shared" si="46"/>
        <v>0</v>
      </c>
      <c r="AP255" s="238">
        <f t="shared" si="46"/>
        <v>0</v>
      </c>
      <c r="AQ255" s="329"/>
      <c r="AR255" s="329"/>
      <c r="AS255" s="329"/>
      <c r="AT255" s="175" t="s">
        <v>791</v>
      </c>
      <c r="AU255" s="176">
        <f>SUM(AV255:AX255)</f>
        <v>0</v>
      </c>
      <c r="AV255" s="147">
        <f>SUM(AV241:AV254)</f>
        <v>0</v>
      </c>
      <c r="AW255" s="147">
        <f>SUM(AW241:AW254)</f>
        <v>0</v>
      </c>
      <c r="AX255" s="147">
        <f>SUM(AX241:AX254)</f>
        <v>0</v>
      </c>
    </row>
    <row r="256" spans="1:83" ht="15.75" thickBot="1"/>
    <row r="257" spans="1:84" ht="15.75" thickBot="1">
      <c r="A257" s="1027" t="s">
        <v>882</v>
      </c>
      <c r="B257" s="1028"/>
      <c r="C257" s="1028"/>
      <c r="D257" s="1028"/>
      <c r="E257" s="1028"/>
      <c r="F257" s="1028"/>
      <c r="G257" s="1028"/>
      <c r="H257" s="1028"/>
      <c r="I257" s="1028"/>
      <c r="J257" s="1028"/>
      <c r="K257" s="1028"/>
      <c r="L257" s="1028"/>
      <c r="M257" s="1028"/>
      <c r="N257" s="1028"/>
      <c r="O257" s="1028"/>
      <c r="P257" s="1028"/>
      <c r="Q257" s="1028"/>
      <c r="R257" s="1028"/>
      <c r="S257" s="1028"/>
      <c r="T257" s="1028"/>
      <c r="U257" s="1028"/>
      <c r="V257" s="1028"/>
      <c r="W257" s="1028"/>
      <c r="X257" s="1030"/>
      <c r="Y257" s="1030"/>
      <c r="Z257" s="1030"/>
      <c r="AA257" s="1030"/>
      <c r="AB257" s="1030"/>
      <c r="AC257" s="1030"/>
      <c r="AD257" s="1028"/>
      <c r="AE257" s="1028"/>
      <c r="AF257" s="1028"/>
      <c r="AG257" s="1028"/>
      <c r="AH257" s="1028"/>
      <c r="AI257" s="1028"/>
      <c r="AJ257" s="1028"/>
      <c r="AK257" s="1028"/>
      <c r="AL257" s="1028"/>
      <c r="AM257" s="1028"/>
      <c r="AN257" s="1027" t="s">
        <v>820</v>
      </c>
      <c r="AO257" s="1028"/>
      <c r="AP257" s="1028"/>
      <c r="AQ257" s="1028"/>
      <c r="AR257" s="1029"/>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row>
    <row r="258" spans="1:84" ht="105">
      <c r="A258" s="228"/>
      <c r="B258" s="247" t="str">
        <f>B240</f>
        <v>Jan</v>
      </c>
      <c r="C258" s="633" t="s">
        <v>7181</v>
      </c>
      <c r="D258" s="633" t="s">
        <v>7180</v>
      </c>
      <c r="E258" s="633" t="s">
        <v>1902</v>
      </c>
      <c r="F258" s="633" t="s">
        <v>472</v>
      </c>
      <c r="G258" s="633" t="s">
        <v>7152</v>
      </c>
      <c r="H258" s="633" t="s">
        <v>7153</v>
      </c>
      <c r="I258" s="633"/>
      <c r="J258" s="921"/>
      <c r="K258" s="921"/>
      <c r="L258" s="633"/>
      <c r="M258" s="633"/>
      <c r="N258" s="632"/>
      <c r="O258" s="632"/>
      <c r="P258" s="632"/>
      <c r="Q258" s="632"/>
      <c r="R258" s="635"/>
      <c r="S258" s="632"/>
      <c r="T258" s="921"/>
      <c r="U258" s="632"/>
      <c r="V258" s="633"/>
      <c r="W258" s="642"/>
      <c r="X258" s="966"/>
      <c r="Y258" s="966"/>
      <c r="Z258" s="969"/>
      <c r="AA258" s="966"/>
      <c r="AB258" s="969"/>
      <c r="AC258" s="966"/>
      <c r="AD258" s="631"/>
      <c r="AE258" s="633"/>
      <c r="AF258" s="633"/>
      <c r="AG258" s="633"/>
      <c r="AH258" s="633"/>
      <c r="AI258" s="633"/>
      <c r="AJ258" s="633"/>
      <c r="AK258" s="633"/>
      <c r="AL258" s="633"/>
      <c r="AM258" s="633"/>
      <c r="AN258" s="633"/>
      <c r="AO258" s="633"/>
      <c r="AP258" s="633"/>
      <c r="AQ258" s="633"/>
      <c r="AR258" s="921"/>
      <c r="AS258" s="921"/>
      <c r="AT258" s="633"/>
      <c r="AU258" s="921"/>
      <c r="AV258" s="633"/>
      <c r="AW258" s="633"/>
      <c r="AX258" s="921"/>
      <c r="AY258" s="921"/>
      <c r="AZ258" s="921"/>
      <c r="BA258" s="921"/>
      <c r="BB258" s="921"/>
      <c r="BC258" s="921"/>
      <c r="BD258" s="633"/>
      <c r="BE258" s="633"/>
      <c r="BF258" s="921"/>
      <c r="BG258" s="633"/>
      <c r="BH258" s="633"/>
      <c r="BI258" s="633"/>
      <c r="BJ258" s="633"/>
      <c r="BK258" s="633"/>
      <c r="BL258" s="921"/>
      <c r="BM258" s="633"/>
      <c r="BN258" s="229"/>
      <c r="BO258" s="228"/>
      <c r="BP258" s="247"/>
      <c r="BQ258" s="369"/>
      <c r="BR258" s="369"/>
      <c r="BS258" s="369"/>
    </row>
    <row r="259" spans="1:84">
      <c r="A259" s="232" t="s">
        <v>821</v>
      </c>
      <c r="B259" s="247">
        <f t="shared" ref="B259:B272" si="48">B241</f>
        <v>10</v>
      </c>
      <c r="C259" s="152"/>
      <c r="D259" s="152"/>
      <c r="E259" s="152"/>
      <c r="F259" s="152"/>
      <c r="G259" s="152"/>
      <c r="H259" s="152"/>
      <c r="I259" s="152"/>
      <c r="J259" s="164"/>
      <c r="K259" s="164"/>
      <c r="L259" s="152"/>
      <c r="M259" s="152"/>
      <c r="N259" s="152"/>
      <c r="O259" s="152"/>
      <c r="P259" s="152"/>
      <c r="Q259" s="152"/>
      <c r="R259" s="152"/>
      <c r="S259" s="152"/>
      <c r="T259" s="152"/>
      <c r="U259" s="152"/>
      <c r="V259" s="152"/>
      <c r="W259" s="152"/>
      <c r="X259" s="152"/>
      <c r="Y259" s="152"/>
      <c r="Z259" s="152"/>
      <c r="AA259" s="152"/>
      <c r="AB259" s="152"/>
      <c r="AC259" s="152"/>
      <c r="AD259" s="152"/>
      <c r="AE259" s="152"/>
      <c r="AF259" s="152"/>
      <c r="AG259" s="152"/>
      <c r="AH259" s="152"/>
      <c r="AI259" s="152"/>
      <c r="AJ259" s="152"/>
      <c r="AK259" s="152"/>
      <c r="AL259" s="152"/>
      <c r="AM259" s="152"/>
      <c r="AN259" s="152"/>
      <c r="AO259" s="152"/>
      <c r="AP259" s="152"/>
      <c r="AQ259" s="152"/>
      <c r="AR259" s="152"/>
      <c r="AS259" s="152"/>
      <c r="AT259" s="235"/>
      <c r="AU259" s="164"/>
      <c r="AV259" s="235"/>
      <c r="AW259" s="235"/>
      <c r="AX259" s="905"/>
      <c r="AY259" s="164"/>
      <c r="AZ259" s="164"/>
      <c r="BA259" s="164"/>
      <c r="BB259" s="164"/>
      <c r="BC259" s="164"/>
      <c r="BD259" s="235"/>
      <c r="BE259" s="235"/>
      <c r="BF259" s="164"/>
      <c r="BG259" s="235"/>
      <c r="BH259" s="235"/>
      <c r="BI259" s="235"/>
      <c r="BJ259" s="235"/>
      <c r="BK259" s="235"/>
      <c r="BL259" s="164"/>
      <c r="BM259" s="235"/>
      <c r="BN259" s="234"/>
      <c r="BO259" s="232" t="s">
        <v>821</v>
      </c>
      <c r="BP259" s="152"/>
      <c r="BQ259" s="147"/>
      <c r="BR259" s="147"/>
      <c r="BS259" s="147"/>
    </row>
    <row r="260" spans="1:84">
      <c r="A260" s="232" t="s">
        <v>822</v>
      </c>
      <c r="B260" s="247">
        <f t="shared" si="48"/>
        <v>11</v>
      </c>
      <c r="C260" s="152"/>
      <c r="D260" s="152"/>
      <c r="E260" s="152"/>
      <c r="F260" s="152"/>
      <c r="G260" s="152"/>
      <c r="H260" s="152"/>
      <c r="I260" s="152"/>
      <c r="J260" s="164"/>
      <c r="K260" s="164"/>
      <c r="L260" s="152"/>
      <c r="M260" s="152"/>
      <c r="N260" s="152"/>
      <c r="O260" s="152"/>
      <c r="P260" s="152"/>
      <c r="Q260" s="152"/>
      <c r="R260" s="152"/>
      <c r="S260" s="152"/>
      <c r="T260" s="152"/>
      <c r="U260" s="152"/>
      <c r="V260" s="152"/>
      <c r="W260" s="152"/>
      <c r="X260" s="152"/>
      <c r="Y260" s="152"/>
      <c r="Z260" s="152"/>
      <c r="AA260" s="152"/>
      <c r="AB260" s="152"/>
      <c r="AC260" s="152"/>
      <c r="AD260" s="152"/>
      <c r="AE260" s="152"/>
      <c r="AF260" s="152"/>
      <c r="AG260" s="152"/>
      <c r="AH260" s="152"/>
      <c r="AI260" s="152"/>
      <c r="AJ260" s="152"/>
      <c r="AK260" s="152"/>
      <c r="AL260" s="152"/>
      <c r="AM260" s="152"/>
      <c r="AN260" s="152"/>
      <c r="AO260" s="152"/>
      <c r="AP260" s="152"/>
      <c r="AQ260" s="152"/>
      <c r="AR260" s="152"/>
      <c r="AS260" s="152"/>
      <c r="AT260" s="235"/>
      <c r="AU260" s="164"/>
      <c r="AV260" s="235"/>
      <c r="AW260" s="235"/>
      <c r="AX260" s="164"/>
      <c r="AY260" s="164"/>
      <c r="AZ260" s="164"/>
      <c r="BA260" s="164"/>
      <c r="BB260" s="164"/>
      <c r="BC260" s="164"/>
      <c r="BD260" s="235"/>
      <c r="BE260" s="235"/>
      <c r="BF260" s="164"/>
      <c r="BG260" s="235"/>
      <c r="BH260" s="235"/>
      <c r="BI260" s="235"/>
      <c r="BJ260" s="235"/>
      <c r="BK260" s="235"/>
      <c r="BL260" s="164"/>
      <c r="BM260" s="235"/>
      <c r="BN260" s="234"/>
      <c r="BO260" s="232" t="s">
        <v>822</v>
      </c>
      <c r="BP260" s="152"/>
      <c r="BQ260" s="147"/>
      <c r="BR260" s="147"/>
      <c r="BS260" s="147"/>
    </row>
    <row r="261" spans="1:84">
      <c r="A261" s="232" t="s">
        <v>823</v>
      </c>
      <c r="B261" s="247">
        <f t="shared" si="48"/>
        <v>12</v>
      </c>
      <c r="C261" s="235"/>
      <c r="D261" s="235"/>
      <c r="E261" s="235"/>
      <c r="F261" s="235"/>
      <c r="G261" s="235"/>
      <c r="H261" s="235"/>
      <c r="I261" s="235"/>
      <c r="J261" s="164"/>
      <c r="K261" s="164"/>
      <c r="L261" s="235"/>
      <c r="M261" s="235"/>
      <c r="N261" s="234"/>
      <c r="O261" s="234"/>
      <c r="P261" s="234"/>
      <c r="Q261" s="234"/>
      <c r="R261" s="521"/>
      <c r="S261" s="234"/>
      <c r="T261" s="152"/>
      <c r="U261" s="234"/>
      <c r="V261" s="235"/>
      <c r="W261" s="235"/>
      <c r="X261" s="235"/>
      <c r="Y261" s="152"/>
      <c r="Z261" s="235"/>
      <c r="AA261" s="152"/>
      <c r="AB261" s="152"/>
      <c r="AC261" s="152"/>
      <c r="AD261" s="152"/>
      <c r="AE261" s="235"/>
      <c r="AF261" s="235"/>
      <c r="AG261" s="235"/>
      <c r="AH261" s="235"/>
      <c r="AI261" s="235"/>
      <c r="AJ261" s="235"/>
      <c r="AK261" s="235"/>
      <c r="AL261" s="235"/>
      <c r="AM261" s="235"/>
      <c r="AN261" s="235"/>
      <c r="AO261" s="235"/>
      <c r="AP261" s="235"/>
      <c r="AQ261" s="235"/>
      <c r="AR261" s="164"/>
      <c r="AS261" s="164"/>
      <c r="AT261" s="235"/>
      <c r="AU261" s="164"/>
      <c r="AV261" s="235"/>
      <c r="AW261" s="235"/>
      <c r="AX261" s="164"/>
      <c r="AY261" s="164"/>
      <c r="AZ261" s="164"/>
      <c r="BA261" s="164"/>
      <c r="BB261" s="164"/>
      <c r="BC261" s="164"/>
      <c r="BD261" s="235"/>
      <c r="BE261" s="235"/>
      <c r="BF261" s="164"/>
      <c r="BG261" s="235"/>
      <c r="BH261" s="235"/>
      <c r="BI261" s="235"/>
      <c r="BJ261" s="235"/>
      <c r="BK261" s="235"/>
      <c r="BL261" s="164"/>
      <c r="BM261" s="235"/>
      <c r="BN261" s="234"/>
      <c r="BO261" s="232" t="s">
        <v>823</v>
      </c>
      <c r="BP261" s="152"/>
      <c r="BQ261" s="147"/>
      <c r="BR261" s="147"/>
      <c r="BS261" s="147"/>
    </row>
    <row r="262" spans="1:84">
      <c r="A262" s="232" t="s">
        <v>824</v>
      </c>
      <c r="B262" s="247">
        <f t="shared" si="48"/>
        <v>13</v>
      </c>
      <c r="C262" s="235">
        <v>6.5</v>
      </c>
      <c r="D262" s="235"/>
      <c r="E262" s="235"/>
      <c r="F262" s="235"/>
      <c r="G262" s="235"/>
      <c r="H262" s="235"/>
      <c r="I262" s="235"/>
      <c r="J262" s="164"/>
      <c r="K262" s="164"/>
      <c r="L262" s="235"/>
      <c r="M262" s="235"/>
      <c r="N262" s="234"/>
      <c r="O262" s="234"/>
      <c r="P262" s="234"/>
      <c r="Q262" s="234"/>
      <c r="R262" s="521"/>
      <c r="S262" s="234"/>
      <c r="T262" s="152"/>
      <c r="U262" s="234"/>
      <c r="V262" s="235"/>
      <c r="W262" s="235"/>
      <c r="X262" s="235"/>
      <c r="Y262" s="152"/>
      <c r="Z262" s="235"/>
      <c r="AA262" s="152"/>
      <c r="AB262" s="152"/>
      <c r="AC262" s="152"/>
      <c r="AD262" s="152"/>
      <c r="AE262" s="235"/>
      <c r="AF262" s="235"/>
      <c r="AG262" s="235"/>
      <c r="AH262" s="235"/>
      <c r="AI262" s="235"/>
      <c r="AJ262" s="235"/>
      <c r="AK262" s="235"/>
      <c r="AL262" s="235"/>
      <c r="AM262" s="235"/>
      <c r="AN262" s="235"/>
      <c r="AO262" s="235"/>
      <c r="AP262" s="235"/>
      <c r="AQ262" s="235"/>
      <c r="AR262" s="164"/>
      <c r="AS262" s="164"/>
      <c r="AT262" s="235"/>
      <c r="AU262" s="164"/>
      <c r="AV262" s="235"/>
      <c r="AW262" s="235"/>
      <c r="AX262" s="164"/>
      <c r="AY262" s="164"/>
      <c r="AZ262" s="164"/>
      <c r="BA262" s="164"/>
      <c r="BB262" s="164"/>
      <c r="BC262" s="164"/>
      <c r="BD262" s="235"/>
      <c r="BE262" s="235"/>
      <c r="BF262" s="164"/>
      <c r="BG262" s="235"/>
      <c r="BH262" s="235"/>
      <c r="BI262" s="235"/>
      <c r="BJ262" s="235"/>
      <c r="BK262" s="235"/>
      <c r="BL262" s="164"/>
      <c r="BM262" s="235"/>
      <c r="BN262" s="234"/>
      <c r="BO262" s="232" t="s">
        <v>824</v>
      </c>
      <c r="BP262" s="152"/>
      <c r="BQ262" s="147"/>
      <c r="BR262" s="147"/>
      <c r="BS262" s="147"/>
    </row>
    <row r="263" spans="1:84">
      <c r="A263" s="232" t="s">
        <v>825</v>
      </c>
      <c r="B263" s="247">
        <f t="shared" si="48"/>
        <v>14</v>
      </c>
      <c r="C263" s="568"/>
      <c r="D263" s="568"/>
      <c r="E263" s="568"/>
      <c r="F263" s="568"/>
      <c r="G263" s="568"/>
      <c r="H263" s="568"/>
      <c r="I263" s="568"/>
      <c r="J263" s="561"/>
      <c r="K263" s="561"/>
      <c r="L263" s="568"/>
      <c r="M263" s="568"/>
      <c r="N263" s="604"/>
      <c r="O263" s="604"/>
      <c r="P263" s="604"/>
      <c r="Q263" s="604"/>
      <c r="R263" s="604"/>
      <c r="S263" s="604"/>
      <c r="T263" s="568"/>
      <c r="U263" s="604"/>
      <c r="V263" s="568"/>
      <c r="W263" s="568"/>
      <c r="X263" s="568"/>
      <c r="Y263" s="483"/>
      <c r="Z263" s="568"/>
      <c r="AA263" s="483"/>
      <c r="AB263" s="483"/>
      <c r="AC263" s="483"/>
      <c r="AD263" s="483"/>
      <c r="AE263" s="568"/>
      <c r="AF263" s="568"/>
      <c r="AG263" s="568"/>
      <c r="AH263" s="568"/>
      <c r="AI263" s="568"/>
      <c r="AJ263" s="568"/>
      <c r="AK263" s="568"/>
      <c r="AL263" s="568"/>
      <c r="AM263" s="568"/>
      <c r="AN263" s="568"/>
      <c r="AO263" s="568"/>
      <c r="AP263" s="568"/>
      <c r="AQ263" s="568"/>
      <c r="AR263" s="561"/>
      <c r="AS263" s="561"/>
      <c r="AT263" s="568"/>
      <c r="AU263" s="561"/>
      <c r="AV263" s="568"/>
      <c r="AW263" s="568"/>
      <c r="AX263" s="561"/>
      <c r="AY263" s="561"/>
      <c r="AZ263" s="561"/>
      <c r="BA263" s="561"/>
      <c r="BB263" s="561"/>
      <c r="BC263" s="561"/>
      <c r="BD263" s="568"/>
      <c r="BE263" s="568"/>
      <c r="BF263" s="561"/>
      <c r="BG263" s="568"/>
      <c r="BH263" s="568"/>
      <c r="BI263" s="568"/>
      <c r="BJ263" s="568"/>
      <c r="BK263" s="605"/>
      <c r="BL263" s="561"/>
      <c r="BM263" s="568"/>
      <c r="BN263" s="605"/>
      <c r="BO263" s="232" t="s">
        <v>825</v>
      </c>
      <c r="BP263" s="152"/>
      <c r="BQ263" s="147"/>
      <c r="BR263" s="147"/>
      <c r="BS263" s="147"/>
    </row>
    <row r="264" spans="1:84">
      <c r="A264" s="232" t="s">
        <v>826</v>
      </c>
      <c r="B264" s="247">
        <f t="shared" si="48"/>
        <v>15</v>
      </c>
      <c r="C264" s="568">
        <v>7.5</v>
      </c>
      <c r="D264" s="568">
        <v>6.5</v>
      </c>
      <c r="E264" s="568"/>
      <c r="F264" s="568"/>
      <c r="G264" s="568"/>
      <c r="H264" s="568"/>
      <c r="I264" s="568"/>
      <c r="J264" s="561"/>
      <c r="K264" s="561"/>
      <c r="L264" s="568"/>
      <c r="M264" s="568"/>
      <c r="N264" s="604"/>
      <c r="O264" s="604"/>
      <c r="P264" s="604"/>
      <c r="Q264" s="604"/>
      <c r="R264" s="604"/>
      <c r="S264" s="604"/>
      <c r="T264" s="483"/>
      <c r="U264" s="604"/>
      <c r="V264" s="568"/>
      <c r="W264" s="568"/>
      <c r="X264" s="568"/>
      <c r="Y264" s="483"/>
      <c r="Z264" s="568"/>
      <c r="AA264" s="483"/>
      <c r="AB264" s="483"/>
      <c r="AC264" s="483"/>
      <c r="AD264" s="483"/>
      <c r="AE264" s="568"/>
      <c r="AF264" s="568"/>
      <c r="AG264" s="568"/>
      <c r="AH264" s="568"/>
      <c r="AI264" s="568"/>
      <c r="AJ264" s="568"/>
      <c r="AK264" s="568"/>
      <c r="AL264" s="568"/>
      <c r="AM264" s="568"/>
      <c r="AN264" s="568"/>
      <c r="AO264" s="568"/>
      <c r="AP264" s="568"/>
      <c r="AQ264" s="568"/>
      <c r="AR264" s="561"/>
      <c r="AS264" s="561"/>
      <c r="AT264" s="568"/>
      <c r="AU264" s="561"/>
      <c r="AV264" s="568"/>
      <c r="AW264" s="568"/>
      <c r="AX264" s="561"/>
      <c r="AY264" s="561"/>
      <c r="AZ264" s="561"/>
      <c r="BA264" s="561"/>
      <c r="BB264" s="561"/>
      <c r="BC264" s="561"/>
      <c r="BD264" s="568"/>
      <c r="BE264" s="568"/>
      <c r="BF264" s="561"/>
      <c r="BG264" s="568"/>
      <c r="BH264" s="568"/>
      <c r="BI264" s="568"/>
      <c r="BJ264" s="568"/>
      <c r="BK264" s="568"/>
      <c r="BL264" s="561"/>
      <c r="BM264" s="568"/>
      <c r="BN264" s="604"/>
      <c r="BO264" s="232" t="s">
        <v>826</v>
      </c>
      <c r="BP264" s="152"/>
      <c r="BQ264" s="147"/>
      <c r="BR264" s="147"/>
      <c r="BS264" s="147"/>
    </row>
    <row r="265" spans="1:84">
      <c r="A265" s="232" t="s">
        <v>827</v>
      </c>
      <c r="B265" s="247">
        <f t="shared" si="48"/>
        <v>16</v>
      </c>
      <c r="C265" s="568"/>
      <c r="D265" s="568"/>
      <c r="E265" s="568"/>
      <c r="F265" s="568"/>
      <c r="G265" s="568"/>
      <c r="H265" s="568"/>
      <c r="I265" s="568"/>
      <c r="J265" s="561"/>
      <c r="K265" s="561"/>
      <c r="L265" s="568"/>
      <c r="M265" s="568"/>
      <c r="N265" s="604"/>
      <c r="O265" s="604"/>
      <c r="P265" s="604"/>
      <c r="Q265" s="604"/>
      <c r="R265" s="604"/>
      <c r="S265" s="604"/>
      <c r="T265" s="483"/>
      <c r="U265" s="604"/>
      <c r="V265" s="568"/>
      <c r="W265" s="568"/>
      <c r="X265" s="568"/>
      <c r="Y265" s="483"/>
      <c r="Z265" s="568"/>
      <c r="AA265" s="483"/>
      <c r="AB265" s="483"/>
      <c r="AC265" s="483"/>
      <c r="AD265" s="483"/>
      <c r="AE265" s="568"/>
      <c r="AF265" s="568"/>
      <c r="AG265" s="568"/>
      <c r="AH265" s="568"/>
      <c r="AI265" s="568"/>
      <c r="AJ265" s="568"/>
      <c r="AK265" s="568"/>
      <c r="AL265" s="568"/>
      <c r="AM265" s="568"/>
      <c r="AN265" s="568"/>
      <c r="AO265" s="568"/>
      <c r="AP265" s="568"/>
      <c r="AQ265" s="568"/>
      <c r="AR265" s="561"/>
      <c r="AS265" s="561"/>
      <c r="AT265" s="568"/>
      <c r="AU265" s="561"/>
      <c r="AV265" s="568"/>
      <c r="AW265" s="568"/>
      <c r="AX265" s="561"/>
      <c r="AY265" s="561"/>
      <c r="AZ265" s="561"/>
      <c r="BA265" s="561"/>
      <c r="BB265" s="561"/>
      <c r="BC265" s="561"/>
      <c r="BD265" s="568"/>
      <c r="BE265" s="568"/>
      <c r="BF265" s="561"/>
      <c r="BG265" s="568"/>
      <c r="BH265" s="568"/>
      <c r="BI265" s="568"/>
      <c r="BJ265" s="568"/>
      <c r="BK265" s="568"/>
      <c r="BL265" s="561"/>
      <c r="BM265" s="568"/>
      <c r="BN265" s="604"/>
      <c r="BO265" s="232" t="s">
        <v>827</v>
      </c>
      <c r="BP265" s="152"/>
      <c r="BQ265" s="147"/>
      <c r="BR265" s="147"/>
      <c r="BS265" s="147"/>
    </row>
    <row r="266" spans="1:84">
      <c r="A266" s="232" t="s">
        <v>821</v>
      </c>
      <c r="B266" s="247">
        <f t="shared" si="48"/>
        <v>17</v>
      </c>
      <c r="C266" s="568"/>
      <c r="D266" s="568"/>
      <c r="E266" s="568"/>
      <c r="F266" s="568"/>
      <c r="G266" s="568"/>
      <c r="H266" s="568"/>
      <c r="I266" s="568"/>
      <c r="J266" s="561"/>
      <c r="K266" s="561"/>
      <c r="L266" s="568"/>
      <c r="M266" s="568"/>
      <c r="N266" s="604"/>
      <c r="O266" s="604"/>
      <c r="P266" s="604"/>
      <c r="Q266" s="604"/>
      <c r="R266" s="604"/>
      <c r="S266" s="604"/>
      <c r="T266" s="483"/>
      <c r="U266" s="604"/>
      <c r="V266" s="568"/>
      <c r="W266" s="568"/>
      <c r="X266" s="568"/>
      <c r="Y266" s="483"/>
      <c r="Z266" s="568"/>
      <c r="AA266" s="483"/>
      <c r="AB266" s="483"/>
      <c r="AC266" s="483"/>
      <c r="AD266" s="483"/>
      <c r="AE266" s="568"/>
      <c r="AF266" s="568"/>
      <c r="AG266" s="568"/>
      <c r="AH266" s="568"/>
      <c r="AI266" s="568"/>
      <c r="AJ266" s="568"/>
      <c r="AK266" s="568"/>
      <c r="AL266" s="568"/>
      <c r="AM266" s="568"/>
      <c r="AN266" s="568"/>
      <c r="AO266" s="568"/>
      <c r="AP266" s="568"/>
      <c r="AQ266" s="568"/>
      <c r="AR266" s="561"/>
      <c r="AS266" s="561"/>
      <c r="AT266" s="568"/>
      <c r="AU266" s="561"/>
      <c r="AV266" s="568"/>
      <c r="AW266" s="568"/>
      <c r="AX266" s="561"/>
      <c r="AY266" s="561"/>
      <c r="AZ266" s="561"/>
      <c r="BA266" s="561"/>
      <c r="BB266" s="561"/>
      <c r="BC266" s="561"/>
      <c r="BD266" s="568"/>
      <c r="BE266" s="568"/>
      <c r="BF266" s="561"/>
      <c r="BG266" s="568"/>
      <c r="BH266" s="568"/>
      <c r="BI266" s="568"/>
      <c r="BJ266" s="568"/>
      <c r="BK266" s="568"/>
      <c r="BL266" s="561"/>
      <c r="BM266" s="568"/>
      <c r="BN266" s="604"/>
      <c r="BO266" s="232" t="s">
        <v>821</v>
      </c>
      <c r="BP266" s="152"/>
      <c r="BQ266" s="147"/>
      <c r="BR266" s="147"/>
      <c r="BS266" s="147"/>
    </row>
    <row r="267" spans="1:84">
      <c r="A267" s="232" t="s">
        <v>822</v>
      </c>
      <c r="B267" s="247">
        <f t="shared" si="48"/>
        <v>18</v>
      </c>
      <c r="C267" s="568"/>
      <c r="D267" s="568"/>
      <c r="E267" s="568"/>
      <c r="F267" s="568"/>
      <c r="G267" s="568"/>
      <c r="H267" s="568"/>
      <c r="I267" s="568"/>
      <c r="J267" s="561"/>
      <c r="K267" s="561"/>
      <c r="L267" s="568"/>
      <c r="M267" s="568"/>
      <c r="N267" s="604"/>
      <c r="O267" s="604"/>
      <c r="P267" s="604"/>
      <c r="Q267" s="604"/>
      <c r="R267" s="604"/>
      <c r="S267" s="604"/>
      <c r="T267" s="483"/>
      <c r="U267" s="604"/>
      <c r="V267" s="568"/>
      <c r="W267" s="568"/>
      <c r="X267" s="568"/>
      <c r="Y267" s="483"/>
      <c r="Z267" s="568"/>
      <c r="AA267" s="483"/>
      <c r="AB267" s="483"/>
      <c r="AC267" s="483"/>
      <c r="AD267" s="483"/>
      <c r="AE267" s="568"/>
      <c r="AF267" s="568"/>
      <c r="AG267" s="568"/>
      <c r="AH267" s="568"/>
      <c r="AI267" s="568"/>
      <c r="AJ267" s="568"/>
      <c r="AK267" s="568"/>
      <c r="AL267" s="568"/>
      <c r="AM267" s="568"/>
      <c r="AN267" s="568"/>
      <c r="AO267" s="568"/>
      <c r="AP267" s="568"/>
      <c r="AQ267" s="568"/>
      <c r="AR267" s="561"/>
      <c r="AS267" s="561"/>
      <c r="AT267" s="568"/>
      <c r="AU267" s="561"/>
      <c r="AV267" s="568"/>
      <c r="AW267" s="568"/>
      <c r="AX267" s="561"/>
      <c r="AY267" s="561"/>
      <c r="AZ267" s="561"/>
      <c r="BA267" s="561"/>
      <c r="BB267" s="561"/>
      <c r="BC267" s="561"/>
      <c r="BD267" s="568"/>
      <c r="BE267" s="568"/>
      <c r="BF267" s="561"/>
      <c r="BG267" s="568"/>
      <c r="BH267" s="568"/>
      <c r="BI267" s="568"/>
      <c r="BJ267" s="568"/>
      <c r="BK267" s="568"/>
      <c r="BL267" s="561"/>
      <c r="BM267" s="568"/>
      <c r="BN267" s="606"/>
      <c r="BO267" s="232" t="s">
        <v>822</v>
      </c>
      <c r="BP267" s="152"/>
      <c r="BQ267" s="147"/>
      <c r="BR267" s="147"/>
      <c r="BS267" s="147"/>
    </row>
    <row r="268" spans="1:84">
      <c r="A268" s="232" t="s">
        <v>823</v>
      </c>
      <c r="B268" s="247">
        <f t="shared" si="48"/>
        <v>19</v>
      </c>
      <c r="C268" s="568"/>
      <c r="D268" s="568"/>
      <c r="E268" s="568"/>
      <c r="F268" s="568"/>
      <c r="G268" s="568"/>
      <c r="H268" s="568"/>
      <c r="I268" s="568"/>
      <c r="J268" s="561"/>
      <c r="K268" s="561"/>
      <c r="L268" s="568"/>
      <c r="M268" s="568"/>
      <c r="N268" s="604"/>
      <c r="O268" s="604"/>
      <c r="P268" s="604"/>
      <c r="Q268" s="604"/>
      <c r="R268" s="604"/>
      <c r="S268" s="604"/>
      <c r="T268" s="483"/>
      <c r="U268" s="604"/>
      <c r="V268" s="568"/>
      <c r="W268" s="568"/>
      <c r="X268" s="568"/>
      <c r="Y268" s="483"/>
      <c r="Z268" s="568"/>
      <c r="AA268" s="483"/>
      <c r="AB268" s="483"/>
      <c r="AC268" s="483"/>
      <c r="AD268" s="483"/>
      <c r="AE268" s="568"/>
      <c r="AF268" s="568"/>
      <c r="AG268" s="568"/>
      <c r="AH268" s="568"/>
      <c r="AI268" s="568"/>
      <c r="AJ268" s="568"/>
      <c r="AK268" s="568"/>
      <c r="AL268" s="568"/>
      <c r="AM268" s="568"/>
      <c r="AN268" s="568"/>
      <c r="AO268" s="568"/>
      <c r="AP268" s="568"/>
      <c r="AQ268" s="568"/>
      <c r="AR268" s="561"/>
      <c r="AS268" s="561"/>
      <c r="AT268" s="568"/>
      <c r="AU268" s="561"/>
      <c r="AV268" s="568"/>
      <c r="AW268" s="568"/>
      <c r="AX268" s="561"/>
      <c r="AY268" s="561"/>
      <c r="AZ268" s="561"/>
      <c r="BA268" s="561"/>
      <c r="BB268" s="561"/>
      <c r="BC268" s="561"/>
      <c r="BD268" s="568"/>
      <c r="BE268" s="568"/>
      <c r="BF268" s="561"/>
      <c r="BG268" s="568"/>
      <c r="BH268" s="568"/>
      <c r="BI268" s="568"/>
      <c r="BJ268" s="568"/>
      <c r="BK268" s="568"/>
      <c r="BL268" s="561"/>
      <c r="BM268" s="568"/>
      <c r="BN268" s="606"/>
      <c r="BO268" s="232" t="s">
        <v>823</v>
      </c>
      <c r="BP268" s="152"/>
      <c r="BQ268" s="147"/>
      <c r="BR268" s="147"/>
      <c r="BS268" s="147"/>
    </row>
    <row r="269" spans="1:84">
      <c r="A269" s="232" t="s">
        <v>824</v>
      </c>
      <c r="B269" s="247">
        <f t="shared" si="48"/>
        <v>20</v>
      </c>
      <c r="C269" s="568"/>
      <c r="D269" s="568"/>
      <c r="E269" s="568"/>
      <c r="F269" s="568"/>
      <c r="G269" s="568"/>
      <c r="H269" s="568"/>
      <c r="I269" s="568"/>
      <c r="J269" s="561"/>
      <c r="K269" s="561"/>
      <c r="L269" s="568"/>
      <c r="M269" s="568"/>
      <c r="N269" s="604"/>
      <c r="O269" s="604"/>
      <c r="P269" s="604"/>
      <c r="Q269" s="604"/>
      <c r="R269" s="604"/>
      <c r="S269" s="604"/>
      <c r="T269" s="483"/>
      <c r="U269" s="604"/>
      <c r="V269" s="568"/>
      <c r="W269" s="568"/>
      <c r="X269" s="568"/>
      <c r="Y269" s="483"/>
      <c r="Z269" s="568"/>
      <c r="AA269" s="483"/>
      <c r="AB269" s="483"/>
      <c r="AC269" s="483"/>
      <c r="AD269" s="483"/>
      <c r="AE269" s="568"/>
      <c r="AF269" s="568"/>
      <c r="AG269" s="568"/>
      <c r="AH269" s="568"/>
      <c r="AI269" s="568"/>
      <c r="AJ269" s="568"/>
      <c r="AK269" s="568"/>
      <c r="AL269" s="568"/>
      <c r="AM269" s="568"/>
      <c r="AN269" s="568"/>
      <c r="AO269" s="568"/>
      <c r="AP269" s="568"/>
      <c r="AQ269" s="568"/>
      <c r="AR269" s="561"/>
      <c r="AS269" s="561"/>
      <c r="AT269" s="568"/>
      <c r="AU269" s="561"/>
      <c r="AV269" s="568"/>
      <c r="AW269" s="568"/>
      <c r="AX269" s="561"/>
      <c r="AY269" s="561"/>
      <c r="AZ269" s="561"/>
      <c r="BA269" s="561"/>
      <c r="BB269" s="561"/>
      <c r="BC269" s="561"/>
      <c r="BD269" s="568"/>
      <c r="BE269" s="568"/>
      <c r="BF269" s="561"/>
      <c r="BG269" s="568"/>
      <c r="BH269" s="568"/>
      <c r="BI269" s="568"/>
      <c r="BJ269" s="568"/>
      <c r="BK269" s="568"/>
      <c r="BL269" s="561"/>
      <c r="BM269" s="568"/>
      <c r="BN269" s="606"/>
      <c r="BO269" s="232" t="s">
        <v>824</v>
      </c>
      <c r="BP269" s="152"/>
      <c r="BQ269" s="147"/>
      <c r="BR269" s="147"/>
      <c r="BS269" s="147"/>
    </row>
    <row r="270" spans="1:84">
      <c r="A270" s="232" t="s">
        <v>825</v>
      </c>
      <c r="B270" s="247">
        <f t="shared" si="48"/>
        <v>21</v>
      </c>
      <c r="C270" s="568"/>
      <c r="D270" s="568"/>
      <c r="E270" s="568"/>
      <c r="F270" s="568"/>
      <c r="G270" s="568"/>
      <c r="H270" s="568"/>
      <c r="I270" s="568"/>
      <c r="J270" s="561"/>
      <c r="K270" s="561"/>
      <c r="L270" s="568"/>
      <c r="M270" s="568"/>
      <c r="N270" s="604"/>
      <c r="O270" s="604"/>
      <c r="P270" s="604"/>
      <c r="Q270" s="604"/>
      <c r="R270" s="604"/>
      <c r="S270" s="604"/>
      <c r="T270" s="483"/>
      <c r="U270" s="604"/>
      <c r="V270" s="568"/>
      <c r="W270" s="568"/>
      <c r="X270" s="568"/>
      <c r="Y270" s="483"/>
      <c r="Z270" s="568"/>
      <c r="AA270" s="483"/>
      <c r="AB270" s="483"/>
      <c r="AC270" s="483"/>
      <c r="AD270" s="483"/>
      <c r="AE270" s="568"/>
      <c r="AF270" s="568"/>
      <c r="AG270" s="568"/>
      <c r="AH270" s="568"/>
      <c r="AI270" s="568"/>
      <c r="AJ270" s="568"/>
      <c r="AK270" s="568"/>
      <c r="AL270" s="568"/>
      <c r="AM270" s="568"/>
      <c r="AN270" s="568"/>
      <c r="AO270" s="568"/>
      <c r="AP270" s="568"/>
      <c r="AQ270" s="568"/>
      <c r="AR270" s="561"/>
      <c r="AS270" s="561"/>
      <c r="AT270" s="568"/>
      <c r="AU270" s="561"/>
      <c r="AV270" s="568"/>
      <c r="AW270" s="568"/>
      <c r="AX270" s="561"/>
      <c r="AY270" s="561"/>
      <c r="AZ270" s="561"/>
      <c r="BA270" s="561"/>
      <c r="BB270" s="561"/>
      <c r="BC270" s="561"/>
      <c r="BD270" s="568"/>
      <c r="BE270" s="568"/>
      <c r="BF270" s="561"/>
      <c r="BG270" s="568"/>
      <c r="BH270" s="568"/>
      <c r="BI270" s="568"/>
      <c r="BJ270" s="568"/>
      <c r="BK270" s="568"/>
      <c r="BL270" s="561"/>
      <c r="BM270" s="568"/>
      <c r="BN270" s="606"/>
      <c r="BO270" s="232" t="s">
        <v>825</v>
      </c>
      <c r="BP270" s="152"/>
      <c r="BQ270" s="147"/>
      <c r="BR270" s="147"/>
      <c r="BS270" s="147"/>
    </row>
    <row r="271" spans="1:84">
      <c r="A271" s="232" t="s">
        <v>826</v>
      </c>
      <c r="B271" s="247">
        <f t="shared" si="48"/>
        <v>22</v>
      </c>
      <c r="C271" s="568"/>
      <c r="D271" s="568"/>
      <c r="E271" s="568"/>
      <c r="F271" s="568"/>
      <c r="G271" s="568"/>
      <c r="H271" s="568"/>
      <c r="I271" s="568"/>
      <c r="J271" s="561"/>
      <c r="K271" s="561"/>
      <c r="L271" s="568"/>
      <c r="M271" s="568"/>
      <c r="N271" s="604"/>
      <c r="O271" s="604"/>
      <c r="P271" s="604"/>
      <c r="Q271" s="604"/>
      <c r="R271" s="604"/>
      <c r="S271" s="604"/>
      <c r="T271" s="483"/>
      <c r="U271" s="604"/>
      <c r="V271" s="568"/>
      <c r="W271" s="568"/>
      <c r="X271" s="568"/>
      <c r="Y271" s="483"/>
      <c r="Z271" s="568"/>
      <c r="AA271" s="604"/>
      <c r="AB271" s="604"/>
      <c r="AC271" s="604"/>
      <c r="AD271" s="604"/>
      <c r="AE271" s="568"/>
      <c r="AF271" s="568"/>
      <c r="AG271" s="568"/>
      <c r="AH271" s="568"/>
      <c r="AI271" s="568"/>
      <c r="AJ271" s="568"/>
      <c r="AK271" s="568"/>
      <c r="AL271" s="568"/>
      <c r="AM271" s="568"/>
      <c r="AN271" s="568"/>
      <c r="AO271" s="568"/>
      <c r="AP271" s="568"/>
      <c r="AQ271" s="568"/>
      <c r="AR271" s="561"/>
      <c r="AS271" s="561"/>
      <c r="AT271" s="568"/>
      <c r="AU271" s="561"/>
      <c r="AV271" s="568"/>
      <c r="AW271" s="568"/>
      <c r="AX271" s="561"/>
      <c r="AY271" s="561"/>
      <c r="AZ271" s="561"/>
      <c r="BA271" s="561"/>
      <c r="BB271" s="561"/>
      <c r="BC271" s="561"/>
      <c r="BD271" s="568"/>
      <c r="BE271" s="568"/>
      <c r="BF271" s="561"/>
      <c r="BG271" s="568"/>
      <c r="BH271" s="568"/>
      <c r="BI271" s="568"/>
      <c r="BJ271" s="568"/>
      <c r="BK271" s="568"/>
      <c r="BL271" s="561"/>
      <c r="BM271" s="568"/>
      <c r="BN271" s="606"/>
      <c r="BO271" s="232" t="s">
        <v>826</v>
      </c>
      <c r="BP271" s="152"/>
      <c r="BQ271" s="147"/>
      <c r="BR271" s="147"/>
      <c r="BS271" s="147"/>
    </row>
    <row r="272" spans="1:84" ht="15.75" thickBot="1">
      <c r="A272" s="232" t="s">
        <v>827</v>
      </c>
      <c r="B272" s="247">
        <f t="shared" si="48"/>
        <v>23</v>
      </c>
      <c r="C272" s="568"/>
      <c r="D272" s="568"/>
      <c r="E272" s="568"/>
      <c r="F272" s="568"/>
      <c r="G272" s="568"/>
      <c r="H272" s="568"/>
      <c r="I272" s="568"/>
      <c r="J272" s="568"/>
      <c r="K272" s="568"/>
      <c r="L272" s="568"/>
      <c r="M272" s="568"/>
      <c r="N272" s="568"/>
      <c r="O272" s="568"/>
      <c r="P272" s="568"/>
      <c r="Q272" s="568"/>
      <c r="R272" s="568"/>
      <c r="S272" s="568"/>
      <c r="T272" s="568"/>
      <c r="U272" s="568"/>
      <c r="V272" s="568"/>
      <c r="W272" s="568"/>
      <c r="X272" s="568"/>
      <c r="Y272" s="568"/>
      <c r="Z272" s="568"/>
      <c r="AA272" s="568"/>
      <c r="AB272" s="568"/>
      <c r="AC272" s="568"/>
      <c r="AD272" s="568"/>
      <c r="AE272" s="568"/>
      <c r="AF272" s="568"/>
      <c r="AG272" s="568"/>
      <c r="AH272" s="568"/>
      <c r="AI272" s="568"/>
      <c r="AJ272" s="568"/>
      <c r="AK272" s="568"/>
      <c r="AL272" s="568"/>
      <c r="AM272" s="568"/>
      <c r="AN272" s="568"/>
      <c r="AO272" s="568"/>
      <c r="AP272" s="568"/>
      <c r="AQ272" s="568"/>
      <c r="AR272" s="568"/>
      <c r="AS272" s="568"/>
      <c r="AT272" s="568"/>
      <c r="AU272" s="568"/>
      <c r="AV272" s="568"/>
      <c r="AW272" s="568"/>
      <c r="AX272" s="568"/>
      <c r="AY272" s="568"/>
      <c r="AZ272" s="568"/>
      <c r="BA272" s="568"/>
      <c r="BB272" s="568"/>
      <c r="BC272" s="568"/>
      <c r="BD272" s="568"/>
      <c r="BE272" s="568"/>
      <c r="BF272" s="568"/>
      <c r="BG272" s="568"/>
      <c r="BH272" s="568"/>
      <c r="BI272" s="568"/>
      <c r="BJ272" s="568"/>
      <c r="BK272" s="568"/>
      <c r="BL272" s="568"/>
      <c r="BM272" s="568"/>
      <c r="BN272" s="606"/>
      <c r="BO272" s="232" t="s">
        <v>827</v>
      </c>
      <c r="BP272" s="152"/>
      <c r="BQ272" s="147"/>
      <c r="BR272" s="147"/>
      <c r="BS272" s="147"/>
    </row>
    <row r="273" spans="1:72" ht="16.5" thickBot="1">
      <c r="A273" s="175" t="s">
        <v>791</v>
      </c>
      <c r="B273" s="238">
        <f>SUM(C273:BN273)+BP273</f>
        <v>20.5</v>
      </c>
      <c r="C273" s="238">
        <f t="shared" ref="C273:BM273" si="49">SUM(C259:C272)</f>
        <v>14</v>
      </c>
      <c r="D273" s="238">
        <f t="shared" si="49"/>
        <v>6.5</v>
      </c>
      <c r="E273" s="238">
        <f t="shared" ref="E273" si="50">SUM(E259:E272)</f>
        <v>0</v>
      </c>
      <c r="F273" s="238">
        <f t="shared" si="49"/>
        <v>0</v>
      </c>
      <c r="G273" s="238">
        <f t="shared" si="49"/>
        <v>0</v>
      </c>
      <c r="H273" s="238">
        <f t="shared" si="49"/>
        <v>0</v>
      </c>
      <c r="I273" s="238">
        <f t="shared" si="49"/>
        <v>0</v>
      </c>
      <c r="J273" s="238">
        <f t="shared" si="49"/>
        <v>0</v>
      </c>
      <c r="K273" s="238">
        <f t="shared" si="49"/>
        <v>0</v>
      </c>
      <c r="L273" s="238">
        <f t="shared" si="49"/>
        <v>0</v>
      </c>
      <c r="M273" s="238">
        <f t="shared" si="49"/>
        <v>0</v>
      </c>
      <c r="N273" s="238">
        <f t="shared" si="49"/>
        <v>0</v>
      </c>
      <c r="O273" s="238">
        <f t="shared" si="49"/>
        <v>0</v>
      </c>
      <c r="P273" s="238">
        <f t="shared" si="49"/>
        <v>0</v>
      </c>
      <c r="Q273" s="238">
        <f t="shared" si="49"/>
        <v>0</v>
      </c>
      <c r="R273" s="238">
        <f t="shared" si="49"/>
        <v>0</v>
      </c>
      <c r="S273" s="238">
        <f t="shared" si="49"/>
        <v>0</v>
      </c>
      <c r="T273" s="238">
        <f t="shared" si="49"/>
        <v>0</v>
      </c>
      <c r="U273" s="238">
        <f t="shared" si="49"/>
        <v>0</v>
      </c>
      <c r="V273" s="238">
        <f t="shared" si="49"/>
        <v>0</v>
      </c>
      <c r="W273" s="238">
        <f t="shared" ref="W273" si="51">SUM(W259:W272)</f>
        <v>0</v>
      </c>
      <c r="X273" s="238">
        <f t="shared" si="49"/>
        <v>0</v>
      </c>
      <c r="Y273" s="238">
        <f t="shared" si="49"/>
        <v>0</v>
      </c>
      <c r="Z273" s="238">
        <f t="shared" si="49"/>
        <v>0</v>
      </c>
      <c r="AA273" s="238">
        <f t="shared" si="49"/>
        <v>0</v>
      </c>
      <c r="AB273" s="238">
        <f t="shared" si="49"/>
        <v>0</v>
      </c>
      <c r="AC273" s="238">
        <f t="shared" si="49"/>
        <v>0</v>
      </c>
      <c r="AD273" s="238">
        <f t="shared" si="49"/>
        <v>0</v>
      </c>
      <c r="AE273" s="238">
        <f t="shared" si="49"/>
        <v>0</v>
      </c>
      <c r="AF273" s="238">
        <f t="shared" si="49"/>
        <v>0</v>
      </c>
      <c r="AG273" s="238">
        <f t="shared" si="49"/>
        <v>0</v>
      </c>
      <c r="AH273" s="238">
        <f t="shared" si="49"/>
        <v>0</v>
      </c>
      <c r="AI273" s="238">
        <f t="shared" si="49"/>
        <v>0</v>
      </c>
      <c r="AJ273" s="238">
        <f t="shared" si="49"/>
        <v>0</v>
      </c>
      <c r="AK273" s="238">
        <f t="shared" si="49"/>
        <v>0</v>
      </c>
      <c r="AL273" s="238">
        <f t="shared" si="49"/>
        <v>0</v>
      </c>
      <c r="AM273" s="238">
        <f t="shared" si="49"/>
        <v>0</v>
      </c>
      <c r="AN273" s="238">
        <f t="shared" si="49"/>
        <v>0</v>
      </c>
      <c r="AO273" s="238">
        <f t="shared" si="49"/>
        <v>0</v>
      </c>
      <c r="AP273" s="238">
        <f t="shared" si="49"/>
        <v>0</v>
      </c>
      <c r="AQ273" s="238">
        <f t="shared" si="49"/>
        <v>0</v>
      </c>
      <c r="AR273" s="238">
        <f t="shared" si="49"/>
        <v>0</v>
      </c>
      <c r="AS273" s="238">
        <f t="shared" si="49"/>
        <v>0</v>
      </c>
      <c r="AT273" s="238">
        <f t="shared" si="49"/>
        <v>0</v>
      </c>
      <c r="AU273" s="238">
        <f t="shared" si="49"/>
        <v>0</v>
      </c>
      <c r="AV273" s="238">
        <f t="shared" si="49"/>
        <v>0</v>
      </c>
      <c r="AW273" s="238">
        <f t="shared" si="49"/>
        <v>0</v>
      </c>
      <c r="AX273" s="238">
        <f t="shared" si="49"/>
        <v>0</v>
      </c>
      <c r="AY273" s="238">
        <f t="shared" si="49"/>
        <v>0</v>
      </c>
      <c r="AZ273" s="238">
        <f t="shared" si="49"/>
        <v>0</v>
      </c>
      <c r="BA273" s="238">
        <f t="shared" si="49"/>
        <v>0</v>
      </c>
      <c r="BB273" s="238">
        <f t="shared" ref="BB273" si="52">SUM(BB259:BB272)</f>
        <v>0</v>
      </c>
      <c r="BC273" s="238">
        <f t="shared" si="49"/>
        <v>0</v>
      </c>
      <c r="BD273" s="238">
        <f t="shared" si="49"/>
        <v>0</v>
      </c>
      <c r="BE273" s="238">
        <f t="shared" si="49"/>
        <v>0</v>
      </c>
      <c r="BF273" s="238">
        <f t="shared" si="49"/>
        <v>0</v>
      </c>
      <c r="BG273" s="238">
        <f t="shared" si="49"/>
        <v>0</v>
      </c>
      <c r="BH273" s="238">
        <f t="shared" si="49"/>
        <v>0</v>
      </c>
      <c r="BI273" s="238">
        <f t="shared" si="49"/>
        <v>0</v>
      </c>
      <c r="BJ273" s="238">
        <f t="shared" si="49"/>
        <v>0</v>
      </c>
      <c r="BK273" s="238">
        <f t="shared" si="49"/>
        <v>0</v>
      </c>
      <c r="BL273" s="238">
        <f t="shared" si="49"/>
        <v>0</v>
      </c>
      <c r="BM273" s="238">
        <f t="shared" si="49"/>
        <v>0</v>
      </c>
      <c r="BN273" s="238">
        <f t="shared" ref="BN273" si="53">SUM(BN259:BN272)</f>
        <v>0</v>
      </c>
      <c r="BO273" s="175" t="s">
        <v>791</v>
      </c>
      <c r="BP273" s="176">
        <f>SUM(BQ273:BS273)</f>
        <v>0</v>
      </c>
      <c r="BQ273" s="147">
        <f>SUM(BQ259:BQ272)</f>
        <v>0</v>
      </c>
      <c r="BR273" s="147">
        <f>SUM(BR259:BR272)</f>
        <v>0</v>
      </c>
      <c r="BS273" s="147">
        <f>SUM(BS259:BS272)</f>
        <v>0</v>
      </c>
    </row>
    <row r="274" spans="1:72" ht="16.5" thickBot="1">
      <c r="A274" s="368"/>
      <c r="B274" s="358"/>
      <c r="C274" s="329"/>
      <c r="D274" s="329"/>
      <c r="E274" s="329"/>
      <c r="F274" s="329"/>
      <c r="G274" s="329"/>
      <c r="H274" s="329"/>
      <c r="I274" s="329"/>
      <c r="J274" s="329"/>
      <c r="K274" s="329"/>
      <c r="L274" s="329"/>
      <c r="M274" s="329"/>
      <c r="N274" s="329"/>
      <c r="O274" s="329"/>
      <c r="P274" s="329"/>
      <c r="Q274" s="329"/>
      <c r="R274" s="329"/>
      <c r="S274" s="329"/>
      <c r="T274" s="329"/>
      <c r="U274" s="329"/>
      <c r="V274" s="329"/>
      <c r="W274" s="329"/>
      <c r="X274" s="329"/>
      <c r="Y274" s="329"/>
      <c r="Z274" s="329"/>
      <c r="AA274" s="329"/>
      <c r="AB274" s="329"/>
      <c r="AC274" s="329"/>
      <c r="AD274" s="329"/>
      <c r="AE274" s="329"/>
      <c r="AF274" s="329"/>
      <c r="AG274" s="329"/>
      <c r="AH274" s="65"/>
      <c r="AI274" s="65"/>
      <c r="AJ274" s="329"/>
      <c r="AK274" s="65"/>
      <c r="AL274" s="329"/>
      <c r="AM274" s="329"/>
      <c r="AN274" s="329"/>
      <c r="AO274" s="329"/>
      <c r="AP274" s="65"/>
      <c r="AQ274" s="65"/>
      <c r="AR274" s="329"/>
      <c r="AS274" s="329"/>
      <c r="AT274" s="329"/>
      <c r="AU274" s="329"/>
      <c r="AV274" s="329"/>
      <c r="AW274" s="329"/>
      <c r="AX274" s="329"/>
      <c r="AY274" s="329"/>
      <c r="AZ274" s="329"/>
      <c r="BA274" s="329"/>
      <c r="BB274" s="329"/>
      <c r="BC274" s="329"/>
      <c r="BD274" s="329"/>
      <c r="BE274" s="329"/>
      <c r="BF274" s="329"/>
      <c r="BG274" s="329"/>
      <c r="BH274" s="329"/>
      <c r="BI274" s="329"/>
      <c r="BJ274" s="329"/>
      <c r="BK274" s="329"/>
      <c r="BL274" s="329"/>
      <c r="BM274" s="329"/>
      <c r="BN274" s="329"/>
      <c r="BO274" s="329"/>
      <c r="BP274" s="329"/>
      <c r="BQ274" s="329"/>
      <c r="BR274" s="329"/>
      <c r="BT274" s="329"/>
    </row>
    <row r="275" spans="1:72" ht="15.75" thickBot="1">
      <c r="A275" s="1024" t="s">
        <v>435</v>
      </c>
      <c r="B275" s="1025"/>
      <c r="C275" s="1025"/>
      <c r="D275" s="1025"/>
      <c r="E275" s="1025"/>
      <c r="F275" s="1025"/>
      <c r="G275" s="1025"/>
      <c r="H275" s="1025"/>
      <c r="I275" s="1025"/>
      <c r="J275" s="1025"/>
      <c r="K275" s="1026"/>
      <c r="L275" s="1024" t="s">
        <v>820</v>
      </c>
      <c r="M275" s="1025"/>
      <c r="N275" s="1025"/>
      <c r="O275" s="1025"/>
      <c r="P275" s="1026"/>
    </row>
    <row r="276" spans="1:72" ht="53.25">
      <c r="A276" s="228"/>
      <c r="B276" s="247" t="str">
        <f>B258</f>
        <v>Jan</v>
      </c>
      <c r="C276" s="229" t="s">
        <v>386</v>
      </c>
      <c r="D276" s="229" t="s">
        <v>436</v>
      </c>
      <c r="E276" s="229" t="s">
        <v>393</v>
      </c>
      <c r="F276" s="229" t="s">
        <v>437</v>
      </c>
      <c r="G276" s="229" t="s">
        <v>431</v>
      </c>
      <c r="H276" s="229"/>
      <c r="I276" s="229"/>
      <c r="J276" s="229"/>
      <c r="K276" s="229"/>
      <c r="L276" s="230"/>
      <c r="M276" s="228"/>
      <c r="N276" s="247"/>
      <c r="O276" s="369"/>
      <c r="P276" s="369"/>
      <c r="Q276" s="369"/>
    </row>
    <row r="277" spans="1:72">
      <c r="A277" s="232" t="s">
        <v>821</v>
      </c>
      <c r="B277" s="247">
        <f t="shared" ref="B277:B290" si="54">B259</f>
        <v>10</v>
      </c>
      <c r="C277" s="234"/>
      <c r="D277" s="234"/>
      <c r="E277" s="234"/>
      <c r="F277" s="234"/>
      <c r="G277" s="234"/>
      <c r="H277" s="234"/>
      <c r="I277" s="234"/>
      <c r="J277" s="234"/>
      <c r="K277" s="234"/>
      <c r="L277" s="235"/>
      <c r="M277" s="232" t="s">
        <v>821</v>
      </c>
      <c r="N277" s="152"/>
      <c r="O277" s="147"/>
      <c r="P277" s="147"/>
      <c r="Q277" s="147"/>
    </row>
    <row r="278" spans="1:72">
      <c r="A278" s="232" t="s">
        <v>822</v>
      </c>
      <c r="B278" s="247">
        <f t="shared" si="54"/>
        <v>11</v>
      </c>
      <c r="C278" s="234"/>
      <c r="D278" s="234"/>
      <c r="E278" s="234"/>
      <c r="F278" s="234"/>
      <c r="G278" s="234"/>
      <c r="H278" s="234"/>
      <c r="I278" s="234"/>
      <c r="J278" s="234"/>
      <c r="K278" s="234"/>
      <c r="L278" s="235"/>
      <c r="M278" s="232" t="s">
        <v>822</v>
      </c>
      <c r="N278" s="152"/>
      <c r="O278" s="147"/>
      <c r="P278" s="147"/>
      <c r="Q278" s="147"/>
    </row>
    <row r="279" spans="1:72">
      <c r="A279" s="232" t="s">
        <v>823</v>
      </c>
      <c r="B279" s="247">
        <f t="shared" si="54"/>
        <v>12</v>
      </c>
      <c r="C279" s="234"/>
      <c r="D279" s="234"/>
      <c r="E279" s="234"/>
      <c r="F279" s="234"/>
      <c r="G279" s="234"/>
      <c r="H279" s="234"/>
      <c r="I279" s="234"/>
      <c r="J279" s="234"/>
      <c r="K279" s="234"/>
      <c r="L279" s="235"/>
      <c r="M279" s="232" t="s">
        <v>823</v>
      </c>
      <c r="N279" s="152"/>
      <c r="O279" s="147"/>
      <c r="P279" s="147"/>
      <c r="Q279" s="147"/>
    </row>
    <row r="280" spans="1:72">
      <c r="A280" s="232" t="s">
        <v>824</v>
      </c>
      <c r="B280" s="247">
        <f t="shared" si="54"/>
        <v>13</v>
      </c>
      <c r="C280" s="234"/>
      <c r="D280" s="234"/>
      <c r="E280" s="234"/>
      <c r="F280" s="234"/>
      <c r="G280" s="234"/>
      <c r="H280" s="234"/>
      <c r="I280" s="234"/>
      <c r="J280" s="234"/>
      <c r="K280" s="234"/>
      <c r="L280" s="235"/>
      <c r="M280" s="232" t="s">
        <v>824</v>
      </c>
      <c r="N280" s="152"/>
      <c r="O280" s="147"/>
      <c r="P280" s="147"/>
      <c r="Q280" s="147"/>
    </row>
    <row r="281" spans="1:72">
      <c r="A281" s="232" t="s">
        <v>825</v>
      </c>
      <c r="B281" s="247">
        <f t="shared" si="54"/>
        <v>14</v>
      </c>
      <c r="C281" s="234"/>
      <c r="D281" s="234"/>
      <c r="E281" s="234"/>
      <c r="F281" s="234"/>
      <c r="G281" s="234"/>
      <c r="H281" s="234"/>
      <c r="I281" s="234"/>
      <c r="J281" s="234"/>
      <c r="K281" s="234"/>
      <c r="L281" s="235"/>
      <c r="M281" s="232" t="s">
        <v>825</v>
      </c>
      <c r="N281" s="152"/>
      <c r="O281" s="147"/>
      <c r="P281" s="147"/>
      <c r="Q281" s="147"/>
    </row>
    <row r="282" spans="1:72">
      <c r="A282" s="232" t="s">
        <v>826</v>
      </c>
      <c r="B282" s="247">
        <f t="shared" si="54"/>
        <v>15</v>
      </c>
      <c r="C282" s="234"/>
      <c r="D282" s="234"/>
      <c r="E282" s="234"/>
      <c r="F282" s="234"/>
      <c r="G282" s="234"/>
      <c r="H282" s="234"/>
      <c r="I282" s="234"/>
      <c r="J282" s="234"/>
      <c r="K282" s="234"/>
      <c r="L282" s="235"/>
      <c r="M282" s="232" t="s">
        <v>826</v>
      </c>
      <c r="N282" s="152"/>
      <c r="O282" s="147"/>
      <c r="P282" s="147"/>
      <c r="Q282" s="147"/>
    </row>
    <row r="283" spans="1:72">
      <c r="A283" s="232" t="s">
        <v>827</v>
      </c>
      <c r="B283" s="247">
        <f t="shared" si="54"/>
        <v>16</v>
      </c>
      <c r="C283" s="234"/>
      <c r="D283" s="234"/>
      <c r="E283" s="234"/>
      <c r="F283" s="234"/>
      <c r="G283" s="234"/>
      <c r="H283" s="234"/>
      <c r="I283" s="234"/>
      <c r="J283" s="234"/>
      <c r="K283" s="234"/>
      <c r="L283" s="235"/>
      <c r="M283" s="232" t="s">
        <v>827</v>
      </c>
      <c r="N283" s="152"/>
      <c r="O283" s="147"/>
      <c r="P283" s="147"/>
      <c r="Q283" s="147"/>
    </row>
    <row r="284" spans="1:72">
      <c r="A284" s="232" t="s">
        <v>821</v>
      </c>
      <c r="B284" s="247">
        <f t="shared" si="54"/>
        <v>17</v>
      </c>
      <c r="C284" s="234"/>
      <c r="D284" s="234"/>
      <c r="E284" s="234"/>
      <c r="F284" s="234"/>
      <c r="G284" s="234"/>
      <c r="H284" s="234"/>
      <c r="I284" s="234"/>
      <c r="J284" s="234"/>
      <c r="K284" s="234"/>
      <c r="L284" s="235"/>
      <c r="M284" s="232" t="s">
        <v>821</v>
      </c>
      <c r="N284" s="152"/>
      <c r="O284" s="147"/>
      <c r="P284" s="147"/>
      <c r="Q284" s="147"/>
    </row>
    <row r="285" spans="1:72">
      <c r="A285" s="232" t="s">
        <v>822</v>
      </c>
      <c r="B285" s="247">
        <f t="shared" si="54"/>
        <v>18</v>
      </c>
      <c r="C285" s="234"/>
      <c r="D285" s="234"/>
      <c r="E285" s="234"/>
      <c r="F285" s="234"/>
      <c r="G285" s="234"/>
      <c r="H285" s="234"/>
      <c r="I285" s="234"/>
      <c r="J285" s="234"/>
      <c r="K285" s="234"/>
      <c r="L285" s="235"/>
      <c r="M285" s="232" t="s">
        <v>822</v>
      </c>
      <c r="N285" s="152"/>
      <c r="O285" s="147"/>
      <c r="P285" s="147"/>
      <c r="Q285" s="147"/>
    </row>
    <row r="286" spans="1:72">
      <c r="A286" s="232" t="s">
        <v>823</v>
      </c>
      <c r="B286" s="247">
        <f t="shared" si="54"/>
        <v>19</v>
      </c>
      <c r="C286" s="234"/>
      <c r="D286" s="234"/>
      <c r="E286" s="234"/>
      <c r="F286" s="234"/>
      <c r="G286" s="234"/>
      <c r="H286" s="234"/>
      <c r="I286" s="234"/>
      <c r="J286" s="234"/>
      <c r="K286" s="234"/>
      <c r="L286" s="235"/>
      <c r="M286" s="232" t="s">
        <v>823</v>
      </c>
      <c r="N286" s="152"/>
      <c r="O286" s="147"/>
      <c r="P286" s="147"/>
      <c r="Q286" s="147"/>
    </row>
    <row r="287" spans="1:72">
      <c r="A287" s="232" t="s">
        <v>824</v>
      </c>
      <c r="B287" s="247">
        <f t="shared" si="54"/>
        <v>20</v>
      </c>
      <c r="C287" s="234"/>
      <c r="D287" s="234"/>
      <c r="E287" s="234"/>
      <c r="F287" s="234"/>
      <c r="G287" s="234"/>
      <c r="H287" s="234"/>
      <c r="I287" s="234"/>
      <c r="J287" s="234"/>
      <c r="K287" s="234"/>
      <c r="L287" s="235"/>
      <c r="M287" s="232" t="s">
        <v>824</v>
      </c>
      <c r="N287" s="152"/>
      <c r="O287" s="147"/>
      <c r="P287" s="147"/>
      <c r="Q287" s="147"/>
    </row>
    <row r="288" spans="1:72">
      <c r="A288" s="232" t="s">
        <v>825</v>
      </c>
      <c r="B288" s="247">
        <f t="shared" si="54"/>
        <v>21</v>
      </c>
      <c r="C288" s="234"/>
      <c r="D288" s="234"/>
      <c r="E288" s="234"/>
      <c r="F288" s="234"/>
      <c r="G288" s="234"/>
      <c r="H288" s="234"/>
      <c r="I288" s="234"/>
      <c r="J288" s="234"/>
      <c r="K288" s="234"/>
      <c r="L288" s="235"/>
      <c r="M288" s="232" t="s">
        <v>825</v>
      </c>
      <c r="N288" s="152"/>
      <c r="O288" s="147"/>
      <c r="P288" s="147"/>
      <c r="Q288" s="147"/>
    </row>
    <row r="289" spans="1:28">
      <c r="A289" s="232" t="s">
        <v>826</v>
      </c>
      <c r="B289" s="247">
        <f t="shared" si="54"/>
        <v>22</v>
      </c>
      <c r="C289" s="234"/>
      <c r="D289" s="234"/>
      <c r="E289" s="234"/>
      <c r="F289" s="234"/>
      <c r="G289" s="234"/>
      <c r="H289" s="234"/>
      <c r="I289" s="234"/>
      <c r="J289" s="234"/>
      <c r="K289" s="234"/>
      <c r="L289" s="235"/>
      <c r="M289" s="232" t="s">
        <v>826</v>
      </c>
      <c r="N289" s="152"/>
      <c r="O289" s="147"/>
      <c r="P289" s="147"/>
      <c r="Q289" s="147"/>
    </row>
    <row r="290" spans="1:28" ht="15.75" thickBot="1">
      <c r="A290" s="232" t="s">
        <v>827</v>
      </c>
      <c r="B290" s="247">
        <f t="shared" si="54"/>
        <v>23</v>
      </c>
      <c r="C290" s="234"/>
      <c r="D290" s="234"/>
      <c r="E290" s="234"/>
      <c r="F290" s="234"/>
      <c r="G290" s="234"/>
      <c r="H290" s="234"/>
      <c r="I290" s="234"/>
      <c r="J290" s="234"/>
      <c r="K290" s="234"/>
      <c r="L290" s="235"/>
      <c r="M290" s="232" t="s">
        <v>827</v>
      </c>
      <c r="N290" s="152"/>
      <c r="O290" s="147"/>
      <c r="P290" s="147"/>
      <c r="Q290" s="147"/>
    </row>
    <row r="291" spans="1:28" ht="16.5" thickBot="1">
      <c r="A291" s="175" t="s">
        <v>791</v>
      </c>
      <c r="B291" s="176">
        <f>SUM(C291:L291)+N291</f>
        <v>0</v>
      </c>
      <c r="C291" s="238">
        <f t="shared" ref="C291:L291" si="55">SUM(C277:C290)</f>
        <v>0</v>
      </c>
      <c r="D291" s="238">
        <f t="shared" ref="D291" si="56">SUM(D277:D290)</f>
        <v>0</v>
      </c>
      <c r="E291" s="238">
        <f t="shared" si="55"/>
        <v>0</v>
      </c>
      <c r="F291" s="238">
        <f t="shared" si="55"/>
        <v>0</v>
      </c>
      <c r="G291" s="238">
        <f t="shared" si="55"/>
        <v>0</v>
      </c>
      <c r="H291" s="238">
        <f t="shared" si="55"/>
        <v>0</v>
      </c>
      <c r="I291" s="238">
        <f t="shared" si="55"/>
        <v>0</v>
      </c>
      <c r="J291" s="238">
        <f t="shared" si="55"/>
        <v>0</v>
      </c>
      <c r="K291" s="238">
        <f t="shared" si="55"/>
        <v>0</v>
      </c>
      <c r="L291" s="238">
        <f t="shared" si="55"/>
        <v>0</v>
      </c>
      <c r="M291" s="175" t="s">
        <v>791</v>
      </c>
      <c r="N291" s="176">
        <f>SUM(O291:Q291)</f>
        <v>0</v>
      </c>
      <c r="O291" s="147">
        <f>SUM(O277:O290)</f>
        <v>0</v>
      </c>
      <c r="P291" s="147">
        <f>SUM(P277:P290)</f>
        <v>0</v>
      </c>
      <c r="Q291" s="147">
        <f>SUM(Q277:Q290)</f>
        <v>0</v>
      </c>
    </row>
    <row r="292" spans="1:28" ht="18" customHeight="1" thickBot="1"/>
    <row r="293" spans="1:28" ht="15.75" thickBot="1">
      <c r="A293" s="1027" t="s">
        <v>883</v>
      </c>
      <c r="B293" s="1028"/>
      <c r="C293" s="1028"/>
      <c r="D293" s="1028"/>
      <c r="E293" s="1028"/>
      <c r="F293" s="1028"/>
      <c r="G293" s="1028"/>
      <c r="H293" s="1028"/>
      <c r="I293" s="1028"/>
      <c r="J293" s="1028"/>
      <c r="K293" s="1028"/>
      <c r="L293" s="1028"/>
      <c r="M293" s="1029"/>
      <c r="N293" s="1024" t="s">
        <v>820</v>
      </c>
      <c r="O293" s="1025"/>
      <c r="P293" s="1025"/>
      <c r="Q293" s="1025"/>
      <c r="R293" s="1026"/>
      <c r="W293" s="226"/>
      <c r="X293" s="226"/>
      <c r="Y293" s="226"/>
      <c r="Z293" s="226"/>
      <c r="AA293" s="226"/>
      <c r="AB293" s="226"/>
    </row>
    <row r="294" spans="1:28" ht="45">
      <c r="A294" s="228"/>
      <c r="B294" s="247" t="str">
        <f>B276</f>
        <v>Jan</v>
      </c>
      <c r="C294" s="229" t="s">
        <v>884</v>
      </c>
      <c r="D294" s="229"/>
      <c r="E294" s="229"/>
      <c r="F294" s="229"/>
      <c r="G294" s="229"/>
      <c r="H294" s="226"/>
      <c r="I294" s="231"/>
      <c r="J294" s="231"/>
      <c r="K294" s="231"/>
      <c r="L294" s="267"/>
      <c r="M294" s="360"/>
      <c r="N294" s="228"/>
      <c r="O294" s="247" t="s">
        <v>885</v>
      </c>
      <c r="P294" s="369"/>
      <c r="Q294" s="369"/>
      <c r="R294" s="369"/>
    </row>
    <row r="295" spans="1:28">
      <c r="A295" s="232" t="s">
        <v>821</v>
      </c>
      <c r="B295" s="247">
        <f t="shared" ref="B295:B308" si="57">B277</f>
        <v>10</v>
      </c>
      <c r="C295" s="234"/>
      <c r="D295" s="234"/>
      <c r="E295" s="234"/>
      <c r="F295" s="234"/>
      <c r="G295" s="242"/>
      <c r="H295" s="152"/>
      <c r="I295" s="264"/>
      <c r="J295" s="264"/>
      <c r="K295" s="253"/>
      <c r="L295" s="234"/>
      <c r="M295" s="259"/>
      <c r="N295" s="232" t="s">
        <v>821</v>
      </c>
      <c r="O295" s="152">
        <v>31</v>
      </c>
      <c r="P295" s="147"/>
      <c r="Q295" s="147"/>
      <c r="R295" s="147"/>
    </row>
    <row r="296" spans="1:28">
      <c r="A296" s="232" t="s">
        <v>822</v>
      </c>
      <c r="B296" s="247">
        <f t="shared" si="57"/>
        <v>11</v>
      </c>
      <c r="C296" s="234"/>
      <c r="D296" s="234"/>
      <c r="E296" s="234"/>
      <c r="F296" s="234"/>
      <c r="G296" s="242"/>
      <c r="H296" s="152"/>
      <c r="I296" s="152"/>
      <c r="J296" s="152"/>
      <c r="K296" s="233"/>
      <c r="L296" s="234"/>
      <c r="M296" s="242"/>
      <c r="N296" s="232" t="s">
        <v>822</v>
      </c>
      <c r="O296" s="152">
        <v>1</v>
      </c>
      <c r="P296" s="147"/>
      <c r="Q296" s="147"/>
      <c r="R296" s="147"/>
    </row>
    <row r="297" spans="1:28">
      <c r="A297" s="232" t="s">
        <v>823</v>
      </c>
      <c r="B297" s="247">
        <f t="shared" si="57"/>
        <v>12</v>
      </c>
      <c r="C297" s="234">
        <v>8</v>
      </c>
      <c r="D297" s="234"/>
      <c r="E297" s="234"/>
      <c r="F297" s="234"/>
      <c r="G297" s="242"/>
      <c r="H297" s="152"/>
      <c r="I297" s="152"/>
      <c r="J297" s="152"/>
      <c r="K297" s="233"/>
      <c r="L297" s="234"/>
      <c r="M297" s="242"/>
      <c r="N297" s="232" t="s">
        <v>823</v>
      </c>
      <c r="O297" s="152">
        <v>2</v>
      </c>
      <c r="P297" s="147"/>
      <c r="Q297" s="147"/>
      <c r="R297" s="147"/>
    </row>
    <row r="298" spans="1:28">
      <c r="A298" s="232" t="s">
        <v>824</v>
      </c>
      <c r="B298" s="247">
        <f t="shared" si="57"/>
        <v>13</v>
      </c>
      <c r="C298" s="234">
        <v>8</v>
      </c>
      <c r="D298" s="234"/>
      <c r="E298" s="234"/>
      <c r="F298" s="234"/>
      <c r="G298" s="242"/>
      <c r="H298" s="152"/>
      <c r="I298" s="152"/>
      <c r="J298" s="152"/>
      <c r="K298" s="233"/>
      <c r="L298" s="234"/>
      <c r="M298" s="242"/>
      <c r="N298" s="232" t="s">
        <v>824</v>
      </c>
      <c r="O298" s="152">
        <v>3</v>
      </c>
      <c r="P298" s="147"/>
      <c r="Q298" s="147"/>
      <c r="R298" s="147"/>
    </row>
    <row r="299" spans="1:28">
      <c r="A299" s="232" t="s">
        <v>825</v>
      </c>
      <c r="B299" s="247">
        <f t="shared" si="57"/>
        <v>14</v>
      </c>
      <c r="C299" s="234">
        <v>8</v>
      </c>
      <c r="D299" s="234"/>
      <c r="E299" s="234"/>
      <c r="F299" s="234"/>
      <c r="G299" s="242"/>
      <c r="H299" s="152"/>
      <c r="I299" s="152"/>
      <c r="J299" s="152"/>
      <c r="K299" s="233"/>
      <c r="L299" s="234"/>
      <c r="M299" s="242"/>
      <c r="N299" s="232" t="s">
        <v>825</v>
      </c>
      <c r="O299" s="152">
        <v>4</v>
      </c>
      <c r="P299" s="147"/>
      <c r="Q299" s="147"/>
      <c r="R299" s="147"/>
    </row>
    <row r="300" spans="1:28">
      <c r="A300" s="232" t="s">
        <v>826</v>
      </c>
      <c r="B300" s="247">
        <f t="shared" si="57"/>
        <v>15</v>
      </c>
      <c r="C300" s="234">
        <v>8</v>
      </c>
      <c r="D300" s="234"/>
      <c r="E300" s="234"/>
      <c r="F300" s="234"/>
      <c r="G300" s="242"/>
      <c r="H300" s="152"/>
      <c r="I300" s="152"/>
      <c r="J300" s="152"/>
      <c r="K300" s="233"/>
      <c r="L300" s="234"/>
      <c r="M300" s="242"/>
      <c r="N300" s="232" t="s">
        <v>826</v>
      </c>
      <c r="O300" s="152">
        <v>5</v>
      </c>
      <c r="P300" s="147"/>
      <c r="Q300" s="147"/>
      <c r="R300" s="147"/>
    </row>
    <row r="301" spans="1:28">
      <c r="A301" s="232" t="s">
        <v>827</v>
      </c>
      <c r="B301" s="247">
        <f t="shared" si="57"/>
        <v>16</v>
      </c>
      <c r="C301" s="234">
        <v>8</v>
      </c>
      <c r="D301" s="234"/>
      <c r="E301" s="234"/>
      <c r="F301" s="234"/>
      <c r="G301" s="242"/>
      <c r="H301" s="152"/>
      <c r="I301" s="152"/>
      <c r="J301" s="152"/>
      <c r="K301" s="233"/>
      <c r="L301" s="234"/>
      <c r="M301" s="242"/>
      <c r="N301" s="232" t="s">
        <v>827</v>
      </c>
      <c r="O301" s="152">
        <v>6</v>
      </c>
      <c r="P301" s="147"/>
      <c r="Q301" s="147"/>
      <c r="R301" s="147"/>
    </row>
    <row r="302" spans="1:28">
      <c r="A302" s="232" t="s">
        <v>821</v>
      </c>
      <c r="B302" s="247">
        <f t="shared" si="57"/>
        <v>17</v>
      </c>
      <c r="C302" s="234"/>
      <c r="D302" s="234"/>
      <c r="E302" s="234"/>
      <c r="F302" s="234"/>
      <c r="G302" s="242"/>
      <c r="H302" s="152"/>
      <c r="I302" s="258"/>
      <c r="J302" s="152"/>
      <c r="K302" s="233"/>
      <c r="L302" s="234"/>
      <c r="M302" s="242"/>
      <c r="N302" s="232" t="s">
        <v>821</v>
      </c>
      <c r="O302" s="152">
        <v>7</v>
      </c>
      <c r="P302" s="147"/>
      <c r="Q302" s="147"/>
      <c r="R302" s="147"/>
    </row>
    <row r="303" spans="1:28">
      <c r="A303" s="232" t="s">
        <v>822</v>
      </c>
      <c r="B303" s="247">
        <f t="shared" si="57"/>
        <v>18</v>
      </c>
      <c r="C303" s="233"/>
      <c r="D303" s="234"/>
      <c r="E303" s="234"/>
      <c r="F303" s="234"/>
      <c r="G303" s="242"/>
      <c r="H303" s="152"/>
      <c r="I303" s="258"/>
      <c r="J303" s="152"/>
      <c r="K303" s="233"/>
      <c r="L303" s="234"/>
      <c r="M303" s="242"/>
      <c r="N303" s="232" t="s">
        <v>822</v>
      </c>
      <c r="O303" s="152">
        <v>8</v>
      </c>
      <c r="P303" s="147"/>
      <c r="Q303" s="147"/>
      <c r="R303" s="147"/>
    </row>
    <row r="304" spans="1:28">
      <c r="A304" s="232" t="s">
        <v>823</v>
      </c>
      <c r="B304" s="247">
        <f t="shared" si="57"/>
        <v>19</v>
      </c>
      <c r="C304" s="234">
        <v>8</v>
      </c>
      <c r="D304" s="234"/>
      <c r="E304" s="234"/>
      <c r="F304" s="234"/>
      <c r="G304" s="242"/>
      <c r="H304" s="152"/>
      <c r="I304" s="152"/>
      <c r="J304" s="152"/>
      <c r="K304" s="233"/>
      <c r="L304" s="234"/>
      <c r="M304" s="242"/>
      <c r="N304" s="232" t="s">
        <v>823</v>
      </c>
      <c r="O304" s="152">
        <v>9</v>
      </c>
      <c r="P304" s="147"/>
      <c r="Q304" s="147"/>
      <c r="R304" s="147"/>
    </row>
    <row r="305" spans="1:28">
      <c r="A305" s="232" t="s">
        <v>824</v>
      </c>
      <c r="B305" s="247">
        <f t="shared" si="57"/>
        <v>20</v>
      </c>
      <c r="C305" s="234">
        <v>8</v>
      </c>
      <c r="D305" s="234"/>
      <c r="E305" s="234"/>
      <c r="F305" s="234"/>
      <c r="G305" s="242"/>
      <c r="H305" s="152"/>
      <c r="I305" s="152"/>
      <c r="J305" s="152"/>
      <c r="K305" s="233"/>
      <c r="L305" s="234"/>
      <c r="M305" s="242"/>
      <c r="N305" s="232" t="s">
        <v>824</v>
      </c>
      <c r="O305" s="152">
        <v>10</v>
      </c>
      <c r="P305" s="147"/>
      <c r="Q305" s="147"/>
      <c r="R305" s="147"/>
    </row>
    <row r="306" spans="1:28">
      <c r="A306" s="232" t="s">
        <v>825</v>
      </c>
      <c r="B306" s="247">
        <f t="shared" si="57"/>
        <v>21</v>
      </c>
      <c r="C306" s="234">
        <v>8</v>
      </c>
      <c r="D306" s="234"/>
      <c r="E306" s="234"/>
      <c r="F306" s="234"/>
      <c r="G306" s="242"/>
      <c r="H306" s="258"/>
      <c r="I306" s="258"/>
      <c r="J306" s="152"/>
      <c r="K306" s="233"/>
      <c r="L306" s="234"/>
      <c r="M306" s="242"/>
      <c r="N306" s="232" t="s">
        <v>825</v>
      </c>
      <c r="O306" s="152">
        <v>11</v>
      </c>
      <c r="P306" s="147"/>
      <c r="Q306" s="147"/>
      <c r="R306" s="147"/>
    </row>
    <row r="307" spans="1:28">
      <c r="A307" s="232" t="s">
        <v>826</v>
      </c>
      <c r="B307" s="247">
        <f t="shared" si="57"/>
        <v>22</v>
      </c>
      <c r="C307" s="234">
        <v>8</v>
      </c>
      <c r="D307" s="234"/>
      <c r="E307" s="234"/>
      <c r="F307" s="234"/>
      <c r="G307" s="242"/>
      <c r="H307" s="258"/>
      <c r="I307" s="152"/>
      <c r="J307" s="152"/>
      <c r="K307" s="233"/>
      <c r="L307" s="234"/>
      <c r="M307" s="242"/>
      <c r="N307" s="232" t="s">
        <v>826</v>
      </c>
      <c r="O307" s="152">
        <v>12</v>
      </c>
      <c r="P307" s="147"/>
      <c r="Q307" s="147"/>
      <c r="R307" s="147"/>
    </row>
    <row r="308" spans="1:28" ht="15.75" thickBot="1">
      <c r="A308" s="232" t="s">
        <v>827</v>
      </c>
      <c r="B308" s="247">
        <f t="shared" si="57"/>
        <v>23</v>
      </c>
      <c r="C308" s="234">
        <v>8</v>
      </c>
      <c r="D308" s="234"/>
      <c r="E308" s="234"/>
      <c r="F308" s="234"/>
      <c r="G308" s="329"/>
      <c r="H308" s="152"/>
      <c r="I308" s="152"/>
      <c r="J308" s="152"/>
      <c r="K308" s="233"/>
      <c r="L308" s="234"/>
      <c r="M308" s="242"/>
      <c r="N308" s="232" t="s">
        <v>827</v>
      </c>
      <c r="O308" s="152">
        <v>13</v>
      </c>
      <c r="P308" s="147"/>
      <c r="Q308" s="147"/>
      <c r="R308" s="147"/>
    </row>
    <row r="309" spans="1:28" ht="16.5" thickBot="1">
      <c r="A309" s="175" t="s">
        <v>791</v>
      </c>
      <c r="B309" s="176">
        <f>SUM(C309:M309)+O309</f>
        <v>80</v>
      </c>
      <c r="C309" s="238">
        <f t="shared" ref="C309:K309" si="58">SUM(C295:C308)</f>
        <v>80</v>
      </c>
      <c r="D309" s="238">
        <f t="shared" si="58"/>
        <v>0</v>
      </c>
      <c r="E309" s="238">
        <f t="shared" si="58"/>
        <v>0</v>
      </c>
      <c r="F309" s="238">
        <f t="shared" si="58"/>
        <v>0</v>
      </c>
      <c r="G309" s="238">
        <f t="shared" si="58"/>
        <v>0</v>
      </c>
      <c r="H309" s="238">
        <f t="shared" si="58"/>
        <v>0</v>
      </c>
      <c r="I309" s="238">
        <f t="shared" si="58"/>
        <v>0</v>
      </c>
      <c r="J309" s="238">
        <f t="shared" si="58"/>
        <v>0</v>
      </c>
      <c r="K309" s="238">
        <f t="shared" si="58"/>
        <v>0</v>
      </c>
      <c r="L309" s="238"/>
      <c r="M309" s="261">
        <f>SUM(M295:M308)</f>
        <v>0</v>
      </c>
      <c r="N309" s="175" t="s">
        <v>791</v>
      </c>
      <c r="O309" s="176">
        <f>SUM(P309:R309)</f>
        <v>0</v>
      </c>
      <c r="P309" s="147">
        <f>SUM(P295:P308)</f>
        <v>0</v>
      </c>
      <c r="Q309" s="147">
        <f>SUM(Q295:Q308)</f>
        <v>0</v>
      </c>
      <c r="R309" s="147">
        <f>SUM(R295:R308)</f>
        <v>0</v>
      </c>
    </row>
    <row r="310" spans="1:28" ht="15.75" thickBot="1"/>
    <row r="311" spans="1:28" ht="15.75" thickBot="1">
      <c r="A311" s="1027" t="s">
        <v>886</v>
      </c>
      <c r="B311" s="1028"/>
      <c r="C311" s="1028"/>
      <c r="D311" s="1028"/>
      <c r="E311" s="1028"/>
      <c r="F311" s="1028"/>
      <c r="G311" s="1028"/>
      <c r="H311" s="1028"/>
      <c r="I311" s="1028"/>
      <c r="J311" s="1028"/>
      <c r="K311" s="1028"/>
      <c r="L311" s="1028"/>
      <c r="M311" s="1029"/>
      <c r="N311" s="1024" t="s">
        <v>820</v>
      </c>
      <c r="O311" s="1025"/>
      <c r="P311" s="1025"/>
      <c r="Q311" s="1025"/>
      <c r="R311" s="1026"/>
      <c r="W311" s="226"/>
      <c r="X311" s="226"/>
      <c r="Y311" s="226"/>
      <c r="Z311" s="226"/>
      <c r="AA311" s="226"/>
      <c r="AB311" s="226"/>
    </row>
    <row r="312" spans="1:28" ht="38.25">
      <c r="A312" s="228"/>
      <c r="B312" s="247" t="str">
        <f t="shared" ref="B312:B326" si="59">B204</f>
        <v>Jan</v>
      </c>
      <c r="C312" s="229" t="s">
        <v>874</v>
      </c>
      <c r="D312" s="229" t="s">
        <v>523</v>
      </c>
      <c r="E312" s="229" t="s">
        <v>548</v>
      </c>
      <c r="F312" s="229"/>
      <c r="G312" s="229"/>
      <c r="H312" s="226"/>
      <c r="I312" s="231"/>
      <c r="J312" s="231"/>
      <c r="K312" s="231"/>
      <c r="L312" s="267"/>
      <c r="M312" s="360"/>
      <c r="N312" s="228"/>
      <c r="O312" s="247"/>
      <c r="P312" s="369"/>
      <c r="Q312" s="369"/>
      <c r="R312" s="369"/>
      <c r="W312" s="226"/>
      <c r="X312" s="226"/>
      <c r="Y312" s="226"/>
      <c r="Z312" s="226"/>
      <c r="AA312" s="226"/>
      <c r="AB312" s="226"/>
    </row>
    <row r="313" spans="1:28">
      <c r="A313" s="232" t="s">
        <v>821</v>
      </c>
      <c r="B313" s="247">
        <f t="shared" si="59"/>
        <v>10</v>
      </c>
      <c r="C313" s="234"/>
      <c r="D313" s="234"/>
      <c r="E313" s="234"/>
      <c r="F313" s="234"/>
      <c r="G313" s="242"/>
      <c r="H313" s="152"/>
      <c r="I313" s="264"/>
      <c r="J313" s="264"/>
      <c r="K313" s="253"/>
      <c r="L313" s="234"/>
      <c r="M313" s="259"/>
      <c r="N313" s="232" t="s">
        <v>821</v>
      </c>
      <c r="O313" s="152"/>
      <c r="P313" s="147"/>
      <c r="Q313" s="147"/>
      <c r="R313" s="147"/>
      <c r="W313" s="329"/>
      <c r="X313" s="329"/>
      <c r="Y313" s="329"/>
      <c r="Z313" s="329"/>
      <c r="AA313" s="329"/>
      <c r="AB313" s="329"/>
    </row>
    <row r="314" spans="1:28">
      <c r="A314" s="232" t="s">
        <v>822</v>
      </c>
      <c r="B314" s="247">
        <f t="shared" si="59"/>
        <v>11</v>
      </c>
      <c r="C314" s="234"/>
      <c r="D314" s="234"/>
      <c r="E314" s="234"/>
      <c r="F314" s="234"/>
      <c r="G314" s="242"/>
      <c r="H314" s="152"/>
      <c r="I314" s="152"/>
      <c r="J314" s="152"/>
      <c r="K314" s="233"/>
      <c r="L314" s="234"/>
      <c r="M314" s="242"/>
      <c r="N314" s="232" t="s">
        <v>822</v>
      </c>
      <c r="O314" s="152"/>
      <c r="P314" s="147"/>
      <c r="Q314" s="147"/>
      <c r="R314" s="147"/>
      <c r="W314" s="329"/>
      <c r="X314" s="329"/>
      <c r="Y314" s="329"/>
      <c r="Z314" s="329"/>
      <c r="AA314" s="329"/>
      <c r="AB314" s="329"/>
    </row>
    <row r="315" spans="1:28">
      <c r="A315" s="232" t="s">
        <v>823</v>
      </c>
      <c r="B315" s="247">
        <f t="shared" si="59"/>
        <v>12</v>
      </c>
      <c r="C315" s="234"/>
      <c r="D315" s="234"/>
      <c r="E315" s="234"/>
      <c r="F315" s="234"/>
      <c r="G315" s="242"/>
      <c r="H315" s="152"/>
      <c r="I315" s="152"/>
      <c r="J315" s="152"/>
      <c r="K315" s="233"/>
      <c r="L315" s="234"/>
      <c r="M315" s="242"/>
      <c r="N315" s="232" t="s">
        <v>823</v>
      </c>
      <c r="O315" s="152"/>
      <c r="P315" s="147"/>
      <c r="Q315" s="147"/>
      <c r="R315" s="147"/>
      <c r="W315" s="329"/>
      <c r="X315" s="329"/>
      <c r="Y315" s="329"/>
      <c r="Z315" s="329"/>
      <c r="AA315" s="329"/>
      <c r="AB315" s="329"/>
    </row>
    <row r="316" spans="1:28">
      <c r="A316" s="232" t="s">
        <v>824</v>
      </c>
      <c r="B316" s="247">
        <f t="shared" si="59"/>
        <v>13</v>
      </c>
      <c r="C316" s="234"/>
      <c r="D316" s="234"/>
      <c r="E316" s="234"/>
      <c r="F316" s="234"/>
      <c r="G316" s="242"/>
      <c r="H316" s="152"/>
      <c r="I316" s="152"/>
      <c r="J316" s="152"/>
      <c r="K316" s="233"/>
      <c r="L316" s="234"/>
      <c r="M316" s="242"/>
      <c r="N316" s="232" t="s">
        <v>824</v>
      </c>
      <c r="O316" s="152"/>
      <c r="P316" s="147"/>
      <c r="Q316" s="147"/>
      <c r="R316" s="147"/>
      <c r="W316" s="329"/>
      <c r="X316" s="329"/>
      <c r="Y316" s="329"/>
      <c r="Z316" s="329"/>
      <c r="AA316" s="329"/>
      <c r="AB316" s="329"/>
    </row>
    <row r="317" spans="1:28">
      <c r="A317" s="232" t="s">
        <v>825</v>
      </c>
      <c r="B317" s="247">
        <f t="shared" si="59"/>
        <v>14</v>
      </c>
      <c r="C317" s="234"/>
      <c r="D317" s="234"/>
      <c r="E317" s="234"/>
      <c r="F317" s="234"/>
      <c r="G317" s="242"/>
      <c r="H317" s="152"/>
      <c r="I317" s="152"/>
      <c r="J317" s="152"/>
      <c r="K317" s="233"/>
      <c r="L317" s="234"/>
      <c r="M317" s="242"/>
      <c r="N317" s="232" t="s">
        <v>825</v>
      </c>
      <c r="O317" s="152"/>
      <c r="P317" s="147"/>
      <c r="Q317" s="147"/>
      <c r="R317" s="147"/>
      <c r="W317" s="329"/>
      <c r="X317" s="329"/>
      <c r="Y317" s="329"/>
      <c r="Z317" s="329"/>
      <c r="AA317" s="329"/>
      <c r="AB317" s="329"/>
    </row>
    <row r="318" spans="1:28">
      <c r="A318" s="232" t="s">
        <v>826</v>
      </c>
      <c r="B318" s="247">
        <f t="shared" si="59"/>
        <v>15</v>
      </c>
      <c r="C318" s="234"/>
      <c r="D318" s="234"/>
      <c r="E318" s="234"/>
      <c r="F318" s="234"/>
      <c r="G318" s="242"/>
      <c r="H318" s="152"/>
      <c r="I318" s="152"/>
      <c r="J318" s="152"/>
      <c r="K318" s="233"/>
      <c r="L318" s="234"/>
      <c r="M318" s="242"/>
      <c r="N318" s="232" t="s">
        <v>826</v>
      </c>
      <c r="O318" s="152"/>
      <c r="P318" s="147"/>
      <c r="Q318" s="147"/>
      <c r="R318" s="147"/>
      <c r="W318" s="329"/>
      <c r="X318" s="329"/>
      <c r="Y318" s="329"/>
      <c r="Z318" s="329"/>
      <c r="AA318" s="329"/>
      <c r="AB318" s="329"/>
    </row>
    <row r="319" spans="1:28">
      <c r="A319" s="232" t="s">
        <v>827</v>
      </c>
      <c r="B319" s="247">
        <f t="shared" si="59"/>
        <v>16</v>
      </c>
      <c r="C319" s="234"/>
      <c r="D319" s="234"/>
      <c r="E319" s="234"/>
      <c r="F319" s="234"/>
      <c r="G319" s="242"/>
      <c r="H319" s="152"/>
      <c r="I319" s="152"/>
      <c r="J319" s="152"/>
      <c r="K319" s="233"/>
      <c r="L319" s="234"/>
      <c r="M319" s="242"/>
      <c r="N319" s="232" t="s">
        <v>827</v>
      </c>
      <c r="O319" s="152"/>
      <c r="P319" s="147"/>
      <c r="Q319" s="147"/>
      <c r="R319" s="147"/>
      <c r="W319" s="329"/>
      <c r="X319" s="329"/>
      <c r="Y319" s="329"/>
      <c r="Z319" s="329"/>
      <c r="AA319" s="329"/>
      <c r="AB319" s="329"/>
    </row>
    <row r="320" spans="1:28">
      <c r="A320" s="232" t="s">
        <v>821</v>
      </c>
      <c r="B320" s="247">
        <f t="shared" si="59"/>
        <v>17</v>
      </c>
      <c r="C320" s="234"/>
      <c r="D320" s="234"/>
      <c r="E320" s="234"/>
      <c r="F320" s="234"/>
      <c r="G320" s="242"/>
      <c r="H320" s="152"/>
      <c r="I320" s="258"/>
      <c r="J320" s="152"/>
      <c r="K320" s="233"/>
      <c r="L320" s="234"/>
      <c r="M320" s="242"/>
      <c r="N320" s="232" t="s">
        <v>821</v>
      </c>
      <c r="O320" s="152"/>
      <c r="P320" s="147"/>
      <c r="Q320" s="147"/>
      <c r="R320" s="147"/>
      <c r="W320" s="329"/>
      <c r="X320" s="329"/>
      <c r="Y320" s="329"/>
      <c r="Z320" s="329"/>
      <c r="AA320" s="329"/>
      <c r="AB320" s="329"/>
    </row>
    <row r="321" spans="1:28">
      <c r="A321" s="232" t="s">
        <v>822</v>
      </c>
      <c r="B321" s="247">
        <f t="shared" si="59"/>
        <v>18</v>
      </c>
      <c r="C321" s="233"/>
      <c r="D321" s="234"/>
      <c r="E321" s="234"/>
      <c r="F321" s="234"/>
      <c r="G321" s="242"/>
      <c r="H321" s="152"/>
      <c r="I321" s="258"/>
      <c r="J321" s="152"/>
      <c r="K321" s="233"/>
      <c r="L321" s="234"/>
      <c r="M321" s="242"/>
      <c r="N321" s="232" t="s">
        <v>822</v>
      </c>
      <c r="O321" s="152"/>
      <c r="P321" s="147"/>
      <c r="Q321" s="147"/>
      <c r="R321" s="147"/>
      <c r="W321" s="329"/>
      <c r="X321" s="329"/>
      <c r="Y321" s="329"/>
      <c r="Z321" s="329"/>
      <c r="AA321" s="329"/>
      <c r="AB321" s="329"/>
    </row>
    <row r="322" spans="1:28">
      <c r="A322" s="232" t="s">
        <v>823</v>
      </c>
      <c r="B322" s="247">
        <f t="shared" si="59"/>
        <v>19</v>
      </c>
      <c r="C322" s="234"/>
      <c r="D322" s="234"/>
      <c r="E322" s="234"/>
      <c r="F322" s="234"/>
      <c r="G322" s="242"/>
      <c r="H322" s="152"/>
      <c r="I322" s="152"/>
      <c r="J322" s="152"/>
      <c r="K322" s="233"/>
      <c r="L322" s="234"/>
      <c r="M322" s="242"/>
      <c r="N322" s="232" t="s">
        <v>823</v>
      </c>
      <c r="O322" s="152"/>
      <c r="P322" s="147"/>
      <c r="Q322" s="147"/>
      <c r="R322" s="147"/>
      <c r="W322" s="329"/>
      <c r="X322" s="329"/>
      <c r="Y322" s="329"/>
      <c r="Z322" s="329"/>
      <c r="AA322" s="329"/>
      <c r="AB322" s="329"/>
    </row>
    <row r="323" spans="1:28">
      <c r="A323" s="232" t="s">
        <v>824</v>
      </c>
      <c r="B323" s="247">
        <f t="shared" si="59"/>
        <v>20</v>
      </c>
      <c r="C323" s="234"/>
      <c r="D323" s="234"/>
      <c r="E323" s="234"/>
      <c r="F323" s="234"/>
      <c r="G323" s="242"/>
      <c r="H323" s="152"/>
      <c r="I323" s="152"/>
      <c r="J323" s="152"/>
      <c r="K323" s="233"/>
      <c r="L323" s="234"/>
      <c r="M323" s="242"/>
      <c r="N323" s="232" t="s">
        <v>824</v>
      </c>
      <c r="O323" s="152"/>
      <c r="P323" s="147"/>
      <c r="Q323" s="147"/>
      <c r="R323" s="147"/>
      <c r="W323" s="329"/>
      <c r="X323" s="329"/>
      <c r="Y323" s="329"/>
      <c r="Z323" s="329"/>
      <c r="AA323" s="329"/>
      <c r="AB323" s="329"/>
    </row>
    <row r="324" spans="1:28">
      <c r="A324" s="232" t="s">
        <v>825</v>
      </c>
      <c r="B324" s="247">
        <f t="shared" si="59"/>
        <v>21</v>
      </c>
      <c r="C324" s="234"/>
      <c r="D324" s="234"/>
      <c r="E324" s="234"/>
      <c r="F324" s="234"/>
      <c r="G324" s="242"/>
      <c r="H324" s="258"/>
      <c r="I324" s="258"/>
      <c r="J324" s="152"/>
      <c r="K324" s="233"/>
      <c r="L324" s="234"/>
      <c r="M324" s="242"/>
      <c r="N324" s="232" t="s">
        <v>825</v>
      </c>
      <c r="O324" s="152"/>
      <c r="P324" s="147"/>
      <c r="Q324" s="147"/>
      <c r="R324" s="147"/>
      <c r="W324" s="329"/>
      <c r="X324" s="329"/>
      <c r="Y324" s="329"/>
      <c r="Z324" s="329"/>
      <c r="AA324" s="329"/>
      <c r="AB324" s="329"/>
    </row>
    <row r="325" spans="1:28">
      <c r="A325" s="232" t="s">
        <v>826</v>
      </c>
      <c r="B325" s="247">
        <f t="shared" si="59"/>
        <v>22</v>
      </c>
      <c r="C325" s="234"/>
      <c r="D325" s="234"/>
      <c r="E325" s="234"/>
      <c r="F325" s="234"/>
      <c r="G325" s="242"/>
      <c r="H325" s="258"/>
      <c r="I325" s="152"/>
      <c r="J325" s="152"/>
      <c r="K325" s="233"/>
      <c r="L325" s="234"/>
      <c r="M325" s="242"/>
      <c r="N325" s="232" t="s">
        <v>826</v>
      </c>
      <c r="O325" s="152"/>
      <c r="P325" s="147"/>
      <c r="Q325" s="147"/>
      <c r="R325" s="147"/>
      <c r="W325" s="329"/>
      <c r="X325" s="329"/>
      <c r="Y325" s="329"/>
      <c r="Z325" s="329"/>
      <c r="AA325" s="329"/>
      <c r="AB325" s="329"/>
    </row>
    <row r="326" spans="1:28" ht="15.75" thickBot="1">
      <c r="A326" s="232" t="s">
        <v>827</v>
      </c>
      <c r="B326" s="247">
        <f t="shared" si="59"/>
        <v>23</v>
      </c>
      <c r="C326" s="234"/>
      <c r="D326" s="234"/>
      <c r="E326" s="234"/>
      <c r="F326" s="234"/>
      <c r="G326" s="329"/>
      <c r="H326" s="152"/>
      <c r="I326" s="152"/>
      <c r="J326" s="152"/>
      <c r="K326" s="233"/>
      <c r="L326" s="234"/>
      <c r="M326" s="242"/>
      <c r="N326" s="232" t="s">
        <v>827</v>
      </c>
      <c r="O326" s="152"/>
      <c r="P326" s="147"/>
      <c r="Q326" s="147"/>
      <c r="R326" s="147"/>
    </row>
    <row r="327" spans="1:28" ht="16.5" thickBot="1">
      <c r="A327" s="175" t="s">
        <v>791</v>
      </c>
      <c r="B327" s="176">
        <f>SUM(C327:M327)+O327</f>
        <v>0</v>
      </c>
      <c r="C327" s="238">
        <f>SUM(C313:C326)</f>
        <v>0</v>
      </c>
      <c r="D327" s="238">
        <f t="shared" ref="D327:K327" si="60">SUM(D313:D326)</f>
        <v>0</v>
      </c>
      <c r="E327" s="238">
        <f t="shared" si="60"/>
        <v>0</v>
      </c>
      <c r="F327" s="238">
        <f t="shared" si="60"/>
        <v>0</v>
      </c>
      <c r="G327" s="238">
        <f t="shared" si="60"/>
        <v>0</v>
      </c>
      <c r="H327" s="238">
        <f t="shared" si="60"/>
        <v>0</v>
      </c>
      <c r="I327" s="238">
        <f t="shared" si="60"/>
        <v>0</v>
      </c>
      <c r="J327" s="238">
        <f t="shared" si="60"/>
        <v>0</v>
      </c>
      <c r="K327" s="238">
        <f t="shared" si="60"/>
        <v>0</v>
      </c>
      <c r="L327" s="238"/>
      <c r="M327" s="261">
        <f>SUM(M313:M326)</f>
        <v>0</v>
      </c>
      <c r="N327" s="175" t="s">
        <v>791</v>
      </c>
      <c r="O327" s="176">
        <f>SUM(P327:R327)</f>
        <v>0</v>
      </c>
      <c r="P327" s="147">
        <f>SUM(P313:P326)</f>
        <v>0</v>
      </c>
      <c r="Q327" s="147">
        <f>SUM(Q313:Q326)</f>
        <v>0</v>
      </c>
      <c r="R327" s="147">
        <f>SUM(R313:R326)</f>
        <v>0</v>
      </c>
    </row>
    <row r="328" spans="1:28" ht="15.75" thickBot="1"/>
    <row r="329" spans="1:28" ht="15.75" thickBot="1">
      <c r="A329" s="1027" t="s">
        <v>342</v>
      </c>
      <c r="B329" s="1028"/>
      <c r="C329" s="1028"/>
      <c r="D329" s="1028"/>
      <c r="E329" s="1028"/>
      <c r="F329" s="1028"/>
      <c r="G329" s="1028"/>
      <c r="H329" s="1028"/>
      <c r="I329" s="1028"/>
      <c r="J329" s="1028"/>
      <c r="K329" s="1028"/>
      <c r="L329" s="1028"/>
      <c r="M329" s="1029"/>
      <c r="N329" s="1024" t="s">
        <v>820</v>
      </c>
      <c r="O329" s="1025"/>
      <c r="P329" s="1025"/>
      <c r="Q329" s="1025"/>
      <c r="R329" s="1026"/>
      <c r="W329" s="226"/>
      <c r="X329" s="226"/>
      <c r="Y329" s="226"/>
      <c r="Z329" s="226"/>
      <c r="AA329" s="226"/>
      <c r="AB329" s="226"/>
    </row>
    <row r="330" spans="1:28" ht="33.75">
      <c r="A330" s="228"/>
      <c r="B330" s="247" t="str">
        <f>B312</f>
        <v>Jan</v>
      </c>
      <c r="C330" s="229" t="s">
        <v>887</v>
      </c>
      <c r="D330" s="229"/>
      <c r="E330" s="229"/>
      <c r="F330" s="229"/>
      <c r="G330" s="229"/>
      <c r="H330" s="226"/>
      <c r="I330" s="231"/>
      <c r="J330" s="231"/>
      <c r="K330" s="231"/>
      <c r="L330" s="267"/>
      <c r="M330" s="360"/>
      <c r="N330" s="228"/>
      <c r="O330" s="247"/>
      <c r="P330" s="369"/>
      <c r="Q330" s="369"/>
      <c r="R330" s="369"/>
      <c r="W330" s="226"/>
      <c r="X330" s="226"/>
      <c r="Y330" s="226"/>
      <c r="Z330" s="226"/>
      <c r="AA330" s="226"/>
      <c r="AB330" s="226"/>
    </row>
    <row r="331" spans="1:28">
      <c r="A331" s="232" t="s">
        <v>821</v>
      </c>
      <c r="B331" s="247">
        <f t="shared" ref="B331:B344" si="61">B313</f>
        <v>10</v>
      </c>
      <c r="C331" s="234"/>
      <c r="D331" s="234"/>
      <c r="E331" s="234"/>
      <c r="F331" s="234"/>
      <c r="G331" s="242"/>
      <c r="H331" s="152"/>
      <c r="I331" s="264"/>
      <c r="J331" s="264"/>
      <c r="K331" s="253"/>
      <c r="L331" s="234"/>
      <c r="M331" s="259"/>
      <c r="N331" s="232" t="s">
        <v>821</v>
      </c>
      <c r="O331" s="152"/>
      <c r="P331" s="147"/>
      <c r="Q331" s="147"/>
      <c r="R331" s="147"/>
      <c r="W331" s="329"/>
      <c r="X331" s="329"/>
      <c r="Y331" s="329"/>
      <c r="Z331" s="329"/>
      <c r="AA331" s="329"/>
      <c r="AB331" s="329"/>
    </row>
    <row r="332" spans="1:28">
      <c r="A332" s="232" t="s">
        <v>822</v>
      </c>
      <c r="B332" s="247">
        <f t="shared" si="61"/>
        <v>11</v>
      </c>
      <c r="C332" s="234"/>
      <c r="D332" s="234"/>
      <c r="E332" s="234"/>
      <c r="F332" s="234"/>
      <c r="G332" s="242"/>
      <c r="H332" s="152"/>
      <c r="I332" s="152"/>
      <c r="J332" s="152"/>
      <c r="K332" s="233"/>
      <c r="L332" s="234"/>
      <c r="M332" s="242"/>
      <c r="N332" s="232" t="s">
        <v>822</v>
      </c>
      <c r="O332" s="152"/>
      <c r="P332" s="147"/>
      <c r="Q332" s="147"/>
      <c r="R332" s="147"/>
      <c r="W332" s="329"/>
      <c r="X332" s="329"/>
      <c r="Y332" s="329"/>
      <c r="Z332" s="329"/>
      <c r="AA332" s="329"/>
      <c r="AB332" s="329"/>
    </row>
    <row r="333" spans="1:28">
      <c r="A333" s="232" t="s">
        <v>823</v>
      </c>
      <c r="B333" s="247">
        <f t="shared" si="61"/>
        <v>12</v>
      </c>
      <c r="C333" s="234"/>
      <c r="D333" s="234"/>
      <c r="E333" s="234"/>
      <c r="F333" s="234"/>
      <c r="G333" s="242"/>
      <c r="H333" s="152"/>
      <c r="I333" s="152"/>
      <c r="J333" s="152"/>
      <c r="K333" s="233"/>
      <c r="L333" s="234"/>
      <c r="M333" s="242"/>
      <c r="N333" s="232" t="s">
        <v>823</v>
      </c>
      <c r="O333" s="152"/>
      <c r="P333" s="147"/>
      <c r="Q333" s="147"/>
      <c r="R333" s="147"/>
      <c r="W333" s="329"/>
      <c r="X333" s="329"/>
      <c r="Y333" s="329"/>
      <c r="Z333" s="329"/>
      <c r="AA333" s="329"/>
      <c r="AB333" s="329"/>
    </row>
    <row r="334" spans="1:28">
      <c r="A334" s="232" t="s">
        <v>824</v>
      </c>
      <c r="B334" s="247">
        <f t="shared" si="61"/>
        <v>13</v>
      </c>
      <c r="C334" s="234"/>
      <c r="D334" s="234"/>
      <c r="E334" s="234"/>
      <c r="F334" s="234"/>
      <c r="G334" s="242"/>
      <c r="H334" s="152"/>
      <c r="I334" s="152"/>
      <c r="J334" s="152"/>
      <c r="K334" s="233"/>
      <c r="L334" s="234"/>
      <c r="M334" s="242"/>
      <c r="N334" s="232" t="s">
        <v>824</v>
      </c>
      <c r="O334" s="152"/>
      <c r="P334" s="147"/>
      <c r="Q334" s="147"/>
      <c r="R334" s="147"/>
      <c r="W334" s="329"/>
      <c r="X334" s="329"/>
      <c r="Y334" s="329"/>
      <c r="Z334" s="329"/>
      <c r="AA334" s="329"/>
      <c r="AB334" s="329"/>
    </row>
    <row r="335" spans="1:28">
      <c r="A335" s="232" t="s">
        <v>825</v>
      </c>
      <c r="B335" s="247">
        <f t="shared" si="61"/>
        <v>14</v>
      </c>
      <c r="C335" s="234"/>
      <c r="D335" s="234"/>
      <c r="E335" s="234"/>
      <c r="F335" s="234"/>
      <c r="G335" s="242"/>
      <c r="H335" s="152"/>
      <c r="I335" s="152"/>
      <c r="J335" s="152"/>
      <c r="K335" s="233"/>
      <c r="L335" s="234"/>
      <c r="M335" s="242"/>
      <c r="N335" s="232" t="s">
        <v>825</v>
      </c>
      <c r="O335" s="152"/>
      <c r="P335" s="147"/>
      <c r="Q335" s="147"/>
      <c r="R335" s="147"/>
      <c r="W335" s="329"/>
      <c r="X335" s="329"/>
      <c r="Y335" s="329"/>
      <c r="Z335" s="329"/>
      <c r="AA335" s="329"/>
      <c r="AB335" s="329"/>
    </row>
    <row r="336" spans="1:28">
      <c r="A336" s="232" t="s">
        <v>826</v>
      </c>
      <c r="B336" s="247">
        <f t="shared" si="61"/>
        <v>15</v>
      </c>
      <c r="C336" s="234"/>
      <c r="D336" s="234"/>
      <c r="E336" s="234"/>
      <c r="F336" s="234"/>
      <c r="G336" s="242"/>
      <c r="H336" s="152"/>
      <c r="I336" s="152"/>
      <c r="J336" s="152"/>
      <c r="K336" s="233"/>
      <c r="L336" s="234"/>
      <c r="M336" s="242"/>
      <c r="N336" s="232" t="s">
        <v>826</v>
      </c>
      <c r="O336" s="152"/>
      <c r="P336" s="147"/>
      <c r="Q336" s="147"/>
      <c r="R336" s="147"/>
      <c r="W336" s="329"/>
      <c r="X336" s="329"/>
      <c r="Y336" s="329"/>
      <c r="Z336" s="329"/>
      <c r="AA336" s="329"/>
      <c r="AB336" s="329"/>
    </row>
    <row r="337" spans="1:28">
      <c r="A337" s="232" t="s">
        <v>827</v>
      </c>
      <c r="B337" s="247">
        <f t="shared" si="61"/>
        <v>16</v>
      </c>
      <c r="C337" s="234"/>
      <c r="D337" s="234"/>
      <c r="E337" s="234"/>
      <c r="F337" s="234"/>
      <c r="G337" s="242"/>
      <c r="H337" s="152"/>
      <c r="I337" s="152"/>
      <c r="J337" s="152"/>
      <c r="K337" s="233"/>
      <c r="L337" s="234"/>
      <c r="M337" s="242"/>
      <c r="N337" s="232" t="s">
        <v>827</v>
      </c>
      <c r="O337" s="152"/>
      <c r="P337" s="147"/>
      <c r="Q337" s="147"/>
      <c r="R337" s="147"/>
      <c r="W337" s="329"/>
      <c r="X337" s="329"/>
      <c r="Y337" s="329"/>
      <c r="Z337" s="329"/>
      <c r="AA337" s="329"/>
      <c r="AB337" s="329"/>
    </row>
    <row r="338" spans="1:28">
      <c r="A338" s="232" t="s">
        <v>821</v>
      </c>
      <c r="B338" s="247">
        <f t="shared" si="61"/>
        <v>17</v>
      </c>
      <c r="C338" s="234"/>
      <c r="D338" s="234"/>
      <c r="E338" s="234"/>
      <c r="F338" s="234"/>
      <c r="G338" s="242"/>
      <c r="H338" s="152"/>
      <c r="I338" s="258"/>
      <c r="J338" s="152"/>
      <c r="K338" s="233"/>
      <c r="L338" s="234"/>
      <c r="M338" s="242"/>
      <c r="N338" s="232" t="s">
        <v>821</v>
      </c>
      <c r="O338" s="152"/>
      <c r="P338" s="147"/>
      <c r="Q338" s="147"/>
      <c r="R338" s="147"/>
      <c r="W338" s="329"/>
      <c r="X338" s="329"/>
      <c r="Y338" s="329"/>
      <c r="Z338" s="329"/>
      <c r="AA338" s="329"/>
      <c r="AB338" s="329"/>
    </row>
    <row r="339" spans="1:28">
      <c r="A339" s="232" t="s">
        <v>822</v>
      </c>
      <c r="B339" s="247">
        <f t="shared" si="61"/>
        <v>18</v>
      </c>
      <c r="C339" s="233"/>
      <c r="D339" s="234"/>
      <c r="E339" s="234"/>
      <c r="F339" s="234"/>
      <c r="G339" s="242"/>
      <c r="H339" s="152"/>
      <c r="I339" s="258"/>
      <c r="J339" s="152"/>
      <c r="K339" s="233"/>
      <c r="L339" s="234"/>
      <c r="M339" s="242"/>
      <c r="N339" s="232" t="s">
        <v>822</v>
      </c>
      <c r="O339" s="152"/>
      <c r="P339" s="147"/>
      <c r="Q339" s="147"/>
      <c r="R339" s="147"/>
      <c r="W339" s="329"/>
      <c r="X339" s="329"/>
      <c r="Y339" s="329"/>
      <c r="Z339" s="329"/>
      <c r="AA339" s="329"/>
      <c r="AB339" s="329"/>
    </row>
    <row r="340" spans="1:28">
      <c r="A340" s="232" t="s">
        <v>823</v>
      </c>
      <c r="B340" s="247">
        <f t="shared" si="61"/>
        <v>19</v>
      </c>
      <c r="C340" s="234"/>
      <c r="D340" s="234"/>
      <c r="E340" s="234"/>
      <c r="F340" s="234"/>
      <c r="G340" s="242"/>
      <c r="H340" s="152"/>
      <c r="I340" s="152"/>
      <c r="J340" s="152"/>
      <c r="K340" s="233"/>
      <c r="L340" s="234"/>
      <c r="M340" s="242"/>
      <c r="N340" s="232" t="s">
        <v>823</v>
      </c>
      <c r="O340" s="152"/>
      <c r="P340" s="147"/>
      <c r="Q340" s="147"/>
      <c r="R340" s="147"/>
      <c r="W340" s="329"/>
      <c r="X340" s="329"/>
      <c r="Y340" s="329"/>
      <c r="Z340" s="329"/>
      <c r="AA340" s="329"/>
      <c r="AB340" s="329"/>
    </row>
    <row r="341" spans="1:28">
      <c r="A341" s="232" t="s">
        <v>824</v>
      </c>
      <c r="B341" s="247">
        <f t="shared" si="61"/>
        <v>20</v>
      </c>
      <c r="C341" s="234"/>
      <c r="D341" s="234"/>
      <c r="E341" s="234"/>
      <c r="F341" s="234"/>
      <c r="G341" s="242"/>
      <c r="H341" s="152"/>
      <c r="I341" s="152"/>
      <c r="J341" s="152"/>
      <c r="K341" s="233"/>
      <c r="L341" s="234"/>
      <c r="M341" s="242"/>
      <c r="N341" s="232" t="s">
        <v>824</v>
      </c>
      <c r="O341" s="152"/>
      <c r="P341" s="147"/>
      <c r="Q341" s="147"/>
      <c r="R341" s="147"/>
      <c r="W341" s="329"/>
      <c r="X341" s="329"/>
      <c r="Y341" s="329"/>
      <c r="Z341" s="329"/>
      <c r="AA341" s="329"/>
      <c r="AB341" s="329"/>
    </row>
    <row r="342" spans="1:28">
      <c r="A342" s="232" t="s">
        <v>825</v>
      </c>
      <c r="B342" s="247">
        <f t="shared" si="61"/>
        <v>21</v>
      </c>
      <c r="C342" s="234"/>
      <c r="D342" s="234"/>
      <c r="E342" s="234"/>
      <c r="F342" s="234"/>
      <c r="G342" s="242"/>
      <c r="H342" s="258"/>
      <c r="I342" s="258"/>
      <c r="J342" s="152"/>
      <c r="K342" s="233"/>
      <c r="L342" s="234"/>
      <c r="M342" s="242"/>
      <c r="N342" s="232" t="s">
        <v>825</v>
      </c>
      <c r="O342" s="152"/>
      <c r="P342" s="147"/>
      <c r="Q342" s="147"/>
      <c r="R342" s="147"/>
      <c r="W342" s="329"/>
      <c r="X342" s="329"/>
      <c r="Y342" s="329"/>
      <c r="Z342" s="329"/>
      <c r="AA342" s="329"/>
      <c r="AB342" s="329"/>
    </row>
    <row r="343" spans="1:28">
      <c r="A343" s="232" t="s">
        <v>826</v>
      </c>
      <c r="B343" s="247">
        <f t="shared" si="61"/>
        <v>22</v>
      </c>
      <c r="C343" s="234"/>
      <c r="D343" s="234"/>
      <c r="E343" s="234"/>
      <c r="F343" s="234"/>
      <c r="G343" s="242"/>
      <c r="H343" s="258"/>
      <c r="I343" s="152"/>
      <c r="J343" s="152"/>
      <c r="K343" s="233"/>
      <c r="L343" s="234"/>
      <c r="M343" s="242"/>
      <c r="N343" s="232" t="s">
        <v>826</v>
      </c>
      <c r="O343" s="152"/>
      <c r="P343" s="147"/>
      <c r="Q343" s="147"/>
      <c r="R343" s="147"/>
      <c r="W343" s="329"/>
      <c r="X343" s="329"/>
      <c r="Y343" s="329"/>
      <c r="Z343" s="329"/>
      <c r="AA343" s="329"/>
      <c r="AB343" s="329"/>
    </row>
    <row r="344" spans="1:28" ht="15.75" thickBot="1">
      <c r="A344" s="232" t="s">
        <v>827</v>
      </c>
      <c r="B344" s="247">
        <f t="shared" si="61"/>
        <v>23</v>
      </c>
      <c r="C344" s="234"/>
      <c r="D344" s="234"/>
      <c r="E344" s="234"/>
      <c r="F344" s="234"/>
      <c r="G344" s="329"/>
      <c r="H344" s="152"/>
      <c r="I344" s="152"/>
      <c r="J344" s="152"/>
      <c r="K344" s="233"/>
      <c r="L344" s="234"/>
      <c r="M344" s="242"/>
      <c r="N344" s="232" t="s">
        <v>827</v>
      </c>
      <c r="O344" s="152"/>
      <c r="P344" s="147"/>
      <c r="Q344" s="147"/>
      <c r="R344" s="147"/>
    </row>
    <row r="345" spans="1:28" ht="16.5" thickBot="1">
      <c r="A345" s="175" t="s">
        <v>791</v>
      </c>
      <c r="B345" s="176">
        <f>SUM(C345:M345)+O345</f>
        <v>0</v>
      </c>
      <c r="C345" s="238">
        <f>SUM(C331:C344)</f>
        <v>0</v>
      </c>
      <c r="D345" s="238">
        <f t="shared" ref="D345:K345" si="62">SUM(D331:D344)</f>
        <v>0</v>
      </c>
      <c r="E345" s="238">
        <f t="shared" si="62"/>
        <v>0</v>
      </c>
      <c r="F345" s="238">
        <f t="shared" si="62"/>
        <v>0</v>
      </c>
      <c r="G345" s="238">
        <f t="shared" si="62"/>
        <v>0</v>
      </c>
      <c r="H345" s="238">
        <f t="shared" si="62"/>
        <v>0</v>
      </c>
      <c r="I345" s="238">
        <f t="shared" si="62"/>
        <v>0</v>
      </c>
      <c r="J345" s="238">
        <f t="shared" si="62"/>
        <v>0</v>
      </c>
      <c r="K345" s="238">
        <f t="shared" si="62"/>
        <v>0</v>
      </c>
      <c r="L345" s="238"/>
      <c r="M345" s="261">
        <f>SUM(M331:M344)</f>
        <v>0</v>
      </c>
      <c r="N345" s="175" t="s">
        <v>791</v>
      </c>
      <c r="O345" s="176">
        <f>SUM(P345:R345)</f>
        <v>0</v>
      </c>
      <c r="P345" s="147">
        <f>SUM(P331:P344)</f>
        <v>0</v>
      </c>
      <c r="Q345" s="147">
        <f>SUM(Q331:Q344)</f>
        <v>0</v>
      </c>
      <c r="R345" s="147">
        <f>SUM(R331:R344)</f>
        <v>0</v>
      </c>
    </row>
    <row r="346" spans="1:28" ht="16.5" thickBot="1">
      <c r="A346" s="368"/>
      <c r="B346" s="358"/>
      <c r="C346" s="329"/>
      <c r="D346" s="329"/>
      <c r="E346" s="329"/>
      <c r="F346" s="329"/>
      <c r="G346" s="329"/>
      <c r="H346" s="329"/>
      <c r="I346" s="329"/>
      <c r="J346" s="329"/>
      <c r="K346" s="329"/>
      <c r="L346" s="329"/>
      <c r="M346" s="329"/>
      <c r="N346" s="559"/>
      <c r="O346" s="358"/>
      <c r="P346" s="406"/>
      <c r="Q346" s="406"/>
      <c r="R346" s="406"/>
    </row>
    <row r="347" spans="1:28" ht="25.5" customHeight="1" thickBot="1">
      <c r="A347" s="1027" t="s">
        <v>888</v>
      </c>
      <c r="B347" s="1028"/>
      <c r="C347" s="1028"/>
      <c r="D347" s="1028"/>
      <c r="E347" s="1028"/>
      <c r="F347" s="1028"/>
      <c r="G347" s="1028"/>
      <c r="H347" s="1028"/>
      <c r="I347" s="1028"/>
      <c r="J347" s="1028"/>
      <c r="K347" s="1028"/>
      <c r="L347" s="1024" t="s">
        <v>820</v>
      </c>
      <c r="M347" s="1025"/>
      <c r="N347" s="1025"/>
      <c r="O347" s="1025"/>
      <c r="P347" s="1026"/>
    </row>
    <row r="348" spans="1:28" ht="102.75">
      <c r="A348" s="228"/>
      <c r="B348" s="247" t="s">
        <v>889</v>
      </c>
      <c r="C348" s="632" t="s">
        <v>324</v>
      </c>
      <c r="D348" s="215" t="s">
        <v>325</v>
      </c>
      <c r="E348" s="215" t="s">
        <v>221</v>
      </c>
      <c r="F348" s="215" t="s">
        <v>890</v>
      </c>
      <c r="G348" s="215" t="s">
        <v>326</v>
      </c>
      <c r="H348" s="215" t="s">
        <v>327</v>
      </c>
      <c r="I348" s="215" t="s">
        <v>328</v>
      </c>
      <c r="J348" s="215" t="s">
        <v>891</v>
      </c>
      <c r="K348" s="632" t="s">
        <v>329</v>
      </c>
      <c r="L348" s="632" t="s">
        <v>330</v>
      </c>
      <c r="M348" s="632" t="s">
        <v>237</v>
      </c>
      <c r="N348" s="632"/>
      <c r="O348" s="686"/>
      <c r="P348" s="247"/>
      <c r="Q348" s="369"/>
      <c r="R348" s="369"/>
      <c r="S348" s="369"/>
    </row>
    <row r="349" spans="1:28">
      <c r="A349" s="232" t="s">
        <v>821</v>
      </c>
      <c r="B349" s="152">
        <v>17</v>
      </c>
      <c r="C349" s="234"/>
      <c r="D349" s="234"/>
      <c r="E349" s="234"/>
      <c r="F349" s="234"/>
      <c r="G349" s="234"/>
      <c r="H349" s="234"/>
      <c r="I349" s="234"/>
      <c r="J349" s="234"/>
      <c r="K349" s="234"/>
      <c r="L349" s="234"/>
      <c r="M349" s="234"/>
      <c r="N349" s="234"/>
      <c r="O349" s="232" t="s">
        <v>821</v>
      </c>
      <c r="P349" s="152"/>
      <c r="Q349" s="147"/>
      <c r="R349" s="147"/>
      <c r="S349" s="147"/>
    </row>
    <row r="350" spans="1:28">
      <c r="A350" s="232" t="s">
        <v>822</v>
      </c>
      <c r="B350" s="152">
        <v>18</v>
      </c>
      <c r="C350" s="234"/>
      <c r="D350" s="234"/>
      <c r="E350" s="234"/>
      <c r="F350" s="234"/>
      <c r="G350" s="234"/>
      <c r="H350" s="234"/>
      <c r="I350" s="234"/>
      <c r="J350" s="234"/>
      <c r="K350" s="234"/>
      <c r="L350" s="234"/>
      <c r="M350" s="234"/>
      <c r="N350" s="234"/>
      <c r="O350" s="232" t="s">
        <v>822</v>
      </c>
      <c r="P350" s="152"/>
      <c r="Q350" s="147"/>
      <c r="R350" s="147"/>
      <c r="S350" s="147"/>
    </row>
    <row r="351" spans="1:28">
      <c r="A351" s="232" t="s">
        <v>823</v>
      </c>
      <c r="B351" s="152">
        <v>19</v>
      </c>
      <c r="C351" s="234"/>
      <c r="D351" s="234"/>
      <c r="E351" s="234"/>
      <c r="F351" s="234"/>
      <c r="G351" s="234"/>
      <c r="H351" s="234"/>
      <c r="I351" s="234"/>
      <c r="J351" s="234"/>
      <c r="K351" s="234"/>
      <c r="L351" s="234"/>
      <c r="M351" s="234"/>
      <c r="N351" s="234"/>
      <c r="O351" s="232" t="s">
        <v>823</v>
      </c>
      <c r="P351" s="152"/>
      <c r="Q351" s="147"/>
      <c r="R351" s="147"/>
      <c r="S351" s="147"/>
    </row>
    <row r="352" spans="1:28">
      <c r="A352" s="232" t="s">
        <v>824</v>
      </c>
      <c r="B352" s="152">
        <v>20</v>
      </c>
      <c r="C352" s="234"/>
      <c r="D352" s="234"/>
      <c r="E352" s="234"/>
      <c r="F352" s="234"/>
      <c r="G352" s="234"/>
      <c r="H352" s="234"/>
      <c r="I352" s="234"/>
      <c r="J352" s="234"/>
      <c r="K352" s="234"/>
      <c r="L352" s="234"/>
      <c r="M352" s="234"/>
      <c r="N352" s="234"/>
      <c r="O352" s="232" t="s">
        <v>824</v>
      </c>
      <c r="P352" s="152"/>
      <c r="Q352" s="147"/>
      <c r="R352" s="147"/>
      <c r="S352" s="147"/>
    </row>
    <row r="353" spans="1:24">
      <c r="A353" s="232" t="s">
        <v>825</v>
      </c>
      <c r="B353" s="152">
        <v>21</v>
      </c>
      <c r="C353" s="234"/>
      <c r="D353" s="234"/>
      <c r="E353" s="234"/>
      <c r="F353" s="234"/>
      <c r="G353" s="234"/>
      <c r="H353" s="234"/>
      <c r="I353" s="234"/>
      <c r="J353" s="234"/>
      <c r="K353" s="234"/>
      <c r="L353" s="234"/>
      <c r="M353" s="234"/>
      <c r="N353" s="234"/>
      <c r="O353" s="232" t="s">
        <v>825</v>
      </c>
      <c r="P353" s="152"/>
      <c r="Q353" s="147"/>
      <c r="R353" s="147"/>
      <c r="S353" s="147"/>
    </row>
    <row r="354" spans="1:24">
      <c r="A354" s="232" t="s">
        <v>826</v>
      </c>
      <c r="B354" s="152">
        <v>22</v>
      </c>
      <c r="C354" s="234"/>
      <c r="D354" s="234"/>
      <c r="E354" s="234"/>
      <c r="F354" s="234"/>
      <c r="G354" s="234"/>
      <c r="H354" s="234"/>
      <c r="I354" s="234"/>
      <c r="J354" s="234"/>
      <c r="K354" s="234"/>
      <c r="L354" s="234"/>
      <c r="M354" s="234"/>
      <c r="N354" s="234"/>
      <c r="O354" s="232" t="s">
        <v>826</v>
      </c>
      <c r="P354" s="152"/>
      <c r="Q354" s="147"/>
      <c r="R354" s="147"/>
      <c r="S354" s="147"/>
    </row>
    <row r="355" spans="1:24">
      <c r="A355" s="232" t="s">
        <v>827</v>
      </c>
      <c r="B355" s="152">
        <v>23</v>
      </c>
      <c r="C355" s="234"/>
      <c r="D355" s="234"/>
      <c r="E355" s="234"/>
      <c r="F355" s="234"/>
      <c r="G355" s="234"/>
      <c r="H355" s="234"/>
      <c r="I355" s="234"/>
      <c r="J355" s="234"/>
      <c r="K355" s="234"/>
      <c r="L355" s="234"/>
      <c r="M355" s="234"/>
      <c r="N355" s="234"/>
      <c r="O355" s="232" t="s">
        <v>827</v>
      </c>
      <c r="P355" s="152"/>
      <c r="Q355" s="147"/>
      <c r="R355" s="147"/>
      <c r="S355" s="147"/>
    </row>
    <row r="356" spans="1:24">
      <c r="A356" s="232" t="s">
        <v>821</v>
      </c>
      <c r="B356" s="152">
        <v>24</v>
      </c>
      <c r="C356" s="234"/>
      <c r="D356" s="234"/>
      <c r="E356" s="234"/>
      <c r="F356" s="234"/>
      <c r="G356" s="234"/>
      <c r="H356" s="234"/>
      <c r="I356" s="234"/>
      <c r="J356" s="234"/>
      <c r="K356" s="234"/>
      <c r="L356" s="234"/>
      <c r="M356" s="234"/>
      <c r="N356" s="234"/>
      <c r="O356" s="232" t="s">
        <v>821</v>
      </c>
      <c r="P356" s="152"/>
      <c r="Q356" s="147"/>
      <c r="R356" s="147"/>
      <c r="S356" s="147"/>
    </row>
    <row r="357" spans="1:24">
      <c r="A357" s="232" t="s">
        <v>822</v>
      </c>
      <c r="B357" s="152">
        <v>25</v>
      </c>
      <c r="C357" s="233"/>
      <c r="D357" s="233"/>
      <c r="E357" s="233"/>
      <c r="F357" s="233"/>
      <c r="G357" s="233"/>
      <c r="H357" s="233"/>
      <c r="I357" s="233"/>
      <c r="J357" s="233"/>
      <c r="K357" s="234"/>
      <c r="L357" s="234"/>
      <c r="M357" s="234"/>
      <c r="N357" s="234"/>
      <c r="O357" s="232" t="s">
        <v>822</v>
      </c>
      <c r="P357" s="152"/>
      <c r="Q357" s="147"/>
      <c r="R357" s="147"/>
      <c r="S357" s="147"/>
    </row>
    <row r="358" spans="1:24">
      <c r="A358" s="232" t="s">
        <v>823</v>
      </c>
      <c r="B358" s="152">
        <v>26</v>
      </c>
      <c r="C358" s="233"/>
      <c r="D358" s="233"/>
      <c r="E358" s="233"/>
      <c r="F358" s="234"/>
      <c r="G358" s="233"/>
      <c r="H358" s="233"/>
      <c r="I358" s="233"/>
      <c r="J358" s="233"/>
      <c r="K358" s="234"/>
      <c r="L358" s="234"/>
      <c r="M358" s="234"/>
      <c r="N358" s="234"/>
      <c r="O358" s="232" t="s">
        <v>823</v>
      </c>
      <c r="P358" s="152"/>
      <c r="Q358" s="147"/>
      <c r="R358" s="147"/>
      <c r="S358" s="147"/>
    </row>
    <row r="359" spans="1:24">
      <c r="A359" s="232" t="s">
        <v>824</v>
      </c>
      <c r="B359" s="152">
        <v>27</v>
      </c>
      <c r="C359" s="233"/>
      <c r="D359" s="233"/>
      <c r="E359" s="233"/>
      <c r="F359" s="234"/>
      <c r="G359" s="233"/>
      <c r="H359" s="233"/>
      <c r="I359" s="233"/>
      <c r="J359" s="233"/>
      <c r="K359" s="234"/>
      <c r="L359" s="234"/>
      <c r="M359" s="234"/>
      <c r="N359" s="234"/>
      <c r="O359" s="232" t="s">
        <v>824</v>
      </c>
      <c r="P359" s="152"/>
      <c r="Q359" s="147"/>
      <c r="R359" s="147"/>
      <c r="S359" s="147"/>
    </row>
    <row r="360" spans="1:24">
      <c r="A360" s="232" t="s">
        <v>825</v>
      </c>
      <c r="B360" s="152">
        <v>28</v>
      </c>
      <c r="C360" s="233"/>
      <c r="D360" s="233"/>
      <c r="E360" s="233"/>
      <c r="F360" s="234"/>
      <c r="G360" s="233"/>
      <c r="H360" s="233"/>
      <c r="I360" s="233"/>
      <c r="J360" s="233"/>
      <c r="K360" s="234"/>
      <c r="L360" s="234"/>
      <c r="M360" s="234"/>
      <c r="N360" s="234"/>
      <c r="O360" s="232" t="s">
        <v>825</v>
      </c>
      <c r="P360" s="152"/>
      <c r="Q360" s="147"/>
      <c r="R360" s="147"/>
      <c r="S360" s="147"/>
    </row>
    <row r="361" spans="1:24">
      <c r="A361" s="232" t="s">
        <v>826</v>
      </c>
      <c r="B361" s="152">
        <v>29</v>
      </c>
      <c r="C361" s="233"/>
      <c r="D361" s="233"/>
      <c r="E361" s="233"/>
      <c r="F361" s="234"/>
      <c r="G361" s="233"/>
      <c r="H361" s="233"/>
      <c r="I361" s="233"/>
      <c r="J361" s="233"/>
      <c r="K361" s="234"/>
      <c r="L361" s="234"/>
      <c r="M361" s="234"/>
      <c r="N361" s="234"/>
      <c r="O361" s="232" t="s">
        <v>826</v>
      </c>
      <c r="P361" s="152"/>
      <c r="Q361" s="147"/>
      <c r="R361" s="147"/>
      <c r="S361" s="147"/>
    </row>
    <row r="362" spans="1:24" ht="15.75" thickBot="1">
      <c r="A362" s="232" t="s">
        <v>827</v>
      </c>
      <c r="B362" s="152">
        <v>30</v>
      </c>
      <c r="C362" s="233"/>
      <c r="D362" s="233"/>
      <c r="E362" s="233"/>
      <c r="F362" s="234"/>
      <c r="G362" s="233"/>
      <c r="H362" s="233"/>
      <c r="I362" s="233"/>
      <c r="J362" s="233"/>
      <c r="K362" s="234"/>
      <c r="L362" s="234"/>
      <c r="M362" s="234"/>
      <c r="N362" s="234"/>
      <c r="O362" s="232" t="s">
        <v>827</v>
      </c>
      <c r="P362" s="152"/>
      <c r="Q362" s="147"/>
      <c r="R362" s="147"/>
      <c r="S362" s="147"/>
    </row>
    <row r="363" spans="1:24" ht="16.5" thickBot="1">
      <c r="A363" s="175" t="s">
        <v>791</v>
      </c>
      <c r="B363" s="176">
        <f>SUM(C363:N363)+P363</f>
        <v>0</v>
      </c>
      <c r="C363" s="238">
        <f t="shared" ref="C363:N363" si="63">SUM(C349:C362)</f>
        <v>0</v>
      </c>
      <c r="D363" s="238">
        <f t="shared" si="63"/>
        <v>0</v>
      </c>
      <c r="E363" s="238">
        <f t="shared" si="63"/>
        <v>0</v>
      </c>
      <c r="F363" s="238">
        <f>SUM(F349:F362)</f>
        <v>0</v>
      </c>
      <c r="G363" s="238">
        <f t="shared" si="63"/>
        <v>0</v>
      </c>
      <c r="H363" s="238">
        <f t="shared" si="63"/>
        <v>0</v>
      </c>
      <c r="I363" s="238">
        <f>SUM(I349:I362)</f>
        <v>0</v>
      </c>
      <c r="J363" s="238">
        <f>SUM(J349:J362)</f>
        <v>0</v>
      </c>
      <c r="K363" s="238">
        <f t="shared" si="63"/>
        <v>0</v>
      </c>
      <c r="L363" s="238">
        <f t="shared" si="63"/>
        <v>0</v>
      </c>
      <c r="M363" s="238">
        <f t="shared" si="63"/>
        <v>0</v>
      </c>
      <c r="N363" s="238">
        <f t="shared" si="63"/>
        <v>0</v>
      </c>
      <c r="O363" s="175" t="s">
        <v>791</v>
      </c>
      <c r="P363" s="176">
        <f>SUM(Q363:S363)</f>
        <v>0</v>
      </c>
      <c r="Q363" s="147">
        <f>SUM(Q349:Q362)</f>
        <v>0</v>
      </c>
      <c r="R363" s="147">
        <f>SUM(R349:R362)</f>
        <v>0</v>
      </c>
      <c r="S363" s="147">
        <f>SUM(S349:S362)</f>
        <v>0</v>
      </c>
    </row>
    <row r="364" spans="1:24" ht="15.75" thickBot="1"/>
    <row r="365" spans="1:24" ht="30.75" customHeight="1" thickBot="1">
      <c r="A365" s="1024" t="s">
        <v>892</v>
      </c>
      <c r="B365" s="1025"/>
      <c r="C365" s="1025"/>
      <c r="D365" s="1025"/>
      <c r="E365" s="1025"/>
      <c r="F365" s="1025"/>
      <c r="G365" s="1025"/>
      <c r="H365" s="1025"/>
      <c r="I365" s="1025"/>
      <c r="J365" s="1025"/>
      <c r="K365" s="1025"/>
      <c r="L365" s="1025"/>
      <c r="M365" s="1025"/>
      <c r="N365" s="1026"/>
      <c r="O365" s="1024" t="s">
        <v>820</v>
      </c>
      <c r="P365" s="1025"/>
      <c r="Q365" s="1025"/>
      <c r="R365" s="1025"/>
      <c r="S365" s="1026"/>
      <c r="T365"/>
      <c r="U365"/>
      <c r="V365" s="246"/>
      <c r="W365" s="246"/>
      <c r="X365" s="246"/>
    </row>
    <row r="366" spans="1:24" ht="50.25">
      <c r="A366" s="228"/>
      <c r="B366" s="247" t="s">
        <v>889</v>
      </c>
      <c r="C366" s="245" t="s">
        <v>507</v>
      </c>
      <c r="D366" s="229"/>
      <c r="E366" s="229"/>
      <c r="F366" s="229"/>
      <c r="G366" s="229"/>
      <c r="H366" s="229"/>
      <c r="I366" s="229"/>
      <c r="J366" s="229"/>
      <c r="K366" s="229"/>
      <c r="L366" s="229"/>
      <c r="M366" s="229"/>
      <c r="N366" s="266"/>
      <c r="O366" s="228"/>
      <c r="P366" s="247"/>
      <c r="Q366" s="369"/>
      <c r="R366" s="369"/>
      <c r="S366" s="369"/>
    </row>
    <row r="367" spans="1:24">
      <c r="A367" s="232" t="s">
        <v>821</v>
      </c>
      <c r="B367" s="152">
        <v>17</v>
      </c>
      <c r="C367" s="152"/>
      <c r="D367" s="233"/>
      <c r="E367" s="234"/>
      <c r="F367" s="234"/>
      <c r="G367" s="234"/>
      <c r="H367" s="234"/>
      <c r="I367" s="234"/>
      <c r="J367" s="234"/>
      <c r="K367" s="234"/>
      <c r="L367" s="234"/>
      <c r="M367" s="234"/>
      <c r="N367" s="265"/>
      <c r="O367" s="232" t="s">
        <v>821</v>
      </c>
      <c r="P367" s="152"/>
      <c r="Q367" s="147"/>
      <c r="R367" s="147"/>
      <c r="S367" s="147"/>
    </row>
    <row r="368" spans="1:24">
      <c r="A368" s="232" t="s">
        <v>822</v>
      </c>
      <c r="B368" s="152">
        <v>18</v>
      </c>
      <c r="C368" s="152"/>
      <c r="D368" s="233"/>
      <c r="E368" s="234"/>
      <c r="F368" s="234"/>
      <c r="G368" s="234"/>
      <c r="H368" s="234"/>
      <c r="I368" s="234"/>
      <c r="J368" s="234"/>
      <c r="K368" s="234"/>
      <c r="L368" s="234"/>
      <c r="M368" s="234"/>
      <c r="N368" s="265"/>
      <c r="O368" s="232" t="s">
        <v>822</v>
      </c>
      <c r="P368" s="152"/>
      <c r="Q368" s="147"/>
      <c r="R368" s="147"/>
      <c r="S368" s="147"/>
    </row>
    <row r="369" spans="1:19">
      <c r="A369" s="232" t="s">
        <v>823</v>
      </c>
      <c r="B369" s="152">
        <v>19</v>
      </c>
      <c r="C369" s="152"/>
      <c r="D369" s="233"/>
      <c r="E369" s="234"/>
      <c r="F369" s="234"/>
      <c r="G369" s="234"/>
      <c r="H369" s="234"/>
      <c r="I369" s="234"/>
      <c r="J369" s="234"/>
      <c r="K369" s="234"/>
      <c r="L369" s="234"/>
      <c r="M369" s="234"/>
      <c r="N369" s="265"/>
      <c r="O369" s="232" t="s">
        <v>823</v>
      </c>
      <c r="P369" s="152"/>
      <c r="Q369" s="147"/>
      <c r="R369" s="147"/>
      <c r="S369" s="147"/>
    </row>
    <row r="370" spans="1:19">
      <c r="A370" s="232" t="s">
        <v>824</v>
      </c>
      <c r="B370" s="152">
        <v>20</v>
      </c>
      <c r="C370" s="152"/>
      <c r="D370" s="233"/>
      <c r="E370" s="234"/>
      <c r="F370" s="234"/>
      <c r="G370" s="234"/>
      <c r="H370" s="234"/>
      <c r="I370" s="234"/>
      <c r="J370" s="234"/>
      <c r="K370" s="234"/>
      <c r="L370" s="234"/>
      <c r="M370" s="234"/>
      <c r="N370" s="265"/>
      <c r="O370" s="232" t="s">
        <v>824</v>
      </c>
      <c r="P370" s="152"/>
      <c r="Q370" s="147"/>
      <c r="R370" s="147"/>
      <c r="S370" s="147"/>
    </row>
    <row r="371" spans="1:19">
      <c r="A371" s="232" t="s">
        <v>825</v>
      </c>
      <c r="B371" s="152">
        <v>21</v>
      </c>
      <c r="C371" s="152"/>
      <c r="D371" s="233"/>
      <c r="E371" s="234"/>
      <c r="F371" s="234"/>
      <c r="G371" s="234"/>
      <c r="H371" s="234"/>
      <c r="I371" s="234"/>
      <c r="J371" s="234"/>
      <c r="K371" s="234"/>
      <c r="L371" s="234"/>
      <c r="M371" s="234"/>
      <c r="N371" s="265"/>
      <c r="O371" s="232" t="s">
        <v>825</v>
      </c>
      <c r="P371" s="152"/>
      <c r="Q371" s="147"/>
      <c r="R371" s="147"/>
      <c r="S371" s="147"/>
    </row>
    <row r="372" spans="1:19">
      <c r="A372" s="232" t="s">
        <v>826</v>
      </c>
      <c r="B372" s="152">
        <v>22</v>
      </c>
      <c r="C372" s="152"/>
      <c r="D372" s="233"/>
      <c r="E372" s="234"/>
      <c r="F372" s="234"/>
      <c r="G372" s="234"/>
      <c r="H372" s="234"/>
      <c r="I372" s="234"/>
      <c r="J372" s="234"/>
      <c r="K372" s="234"/>
      <c r="L372" s="234"/>
      <c r="M372" s="234"/>
      <c r="N372" s="265"/>
      <c r="O372" s="232" t="s">
        <v>826</v>
      </c>
      <c r="P372" s="152"/>
      <c r="Q372" s="147"/>
      <c r="R372" s="147"/>
      <c r="S372" s="147"/>
    </row>
    <row r="373" spans="1:19">
      <c r="A373" s="232" t="s">
        <v>827</v>
      </c>
      <c r="B373" s="152">
        <v>23</v>
      </c>
      <c r="C373" s="152"/>
      <c r="D373" s="233"/>
      <c r="E373" s="234"/>
      <c r="F373" s="234"/>
      <c r="G373" s="234"/>
      <c r="H373" s="234"/>
      <c r="I373" s="234"/>
      <c r="J373" s="234"/>
      <c r="K373" s="234"/>
      <c r="L373" s="234"/>
      <c r="M373" s="234"/>
      <c r="N373" s="265"/>
      <c r="O373" s="232" t="s">
        <v>827</v>
      </c>
      <c r="P373" s="152"/>
      <c r="Q373" s="147"/>
      <c r="R373" s="147"/>
      <c r="S373" s="147"/>
    </row>
    <row r="374" spans="1:19">
      <c r="A374" s="232" t="s">
        <v>821</v>
      </c>
      <c r="B374" s="152">
        <v>24</v>
      </c>
      <c r="C374" s="152"/>
      <c r="D374" s="233"/>
      <c r="E374" s="234"/>
      <c r="F374" s="234"/>
      <c r="G374" s="234"/>
      <c r="H374" s="234"/>
      <c r="I374" s="234"/>
      <c r="J374" s="234"/>
      <c r="K374" s="234"/>
      <c r="L374" s="234"/>
      <c r="M374" s="234"/>
      <c r="N374" s="265"/>
      <c r="O374" s="232" t="s">
        <v>821</v>
      </c>
      <c r="P374" s="152"/>
      <c r="Q374" s="147"/>
      <c r="R374" s="147"/>
      <c r="S374" s="147"/>
    </row>
    <row r="375" spans="1:19">
      <c r="A375" s="232" t="s">
        <v>822</v>
      </c>
      <c r="B375" s="152">
        <v>25</v>
      </c>
      <c r="C375" s="152"/>
      <c r="D375" s="233"/>
      <c r="E375" s="234"/>
      <c r="F375" s="234"/>
      <c r="G375" s="234"/>
      <c r="H375" s="234"/>
      <c r="I375" s="234"/>
      <c r="J375" s="234"/>
      <c r="K375" s="234"/>
      <c r="L375" s="234"/>
      <c r="M375" s="234"/>
      <c r="N375" s="265"/>
      <c r="O375" s="232" t="s">
        <v>822</v>
      </c>
      <c r="P375" s="152"/>
      <c r="Q375" s="147"/>
      <c r="R375" s="147"/>
      <c r="S375" s="147"/>
    </row>
    <row r="376" spans="1:19">
      <c r="A376" s="232" t="s">
        <v>823</v>
      </c>
      <c r="B376" s="152">
        <v>26</v>
      </c>
      <c r="C376" s="152"/>
      <c r="D376" s="233"/>
      <c r="E376" s="234"/>
      <c r="F376" s="234"/>
      <c r="G376" s="234"/>
      <c r="H376" s="234"/>
      <c r="I376" s="234"/>
      <c r="J376" s="234"/>
      <c r="K376" s="234"/>
      <c r="L376" s="234"/>
      <c r="M376" s="234"/>
      <c r="N376" s="265"/>
      <c r="O376" s="232" t="s">
        <v>823</v>
      </c>
      <c r="P376" s="152"/>
      <c r="Q376" s="147"/>
      <c r="R376" s="147"/>
      <c r="S376" s="147"/>
    </row>
    <row r="377" spans="1:19">
      <c r="A377" s="232" t="s">
        <v>824</v>
      </c>
      <c r="B377" s="152">
        <v>27</v>
      </c>
      <c r="C377" s="152"/>
      <c r="D377" s="233"/>
      <c r="E377" s="234"/>
      <c r="F377" s="234"/>
      <c r="G377" s="234"/>
      <c r="H377" s="234"/>
      <c r="I377" s="234"/>
      <c r="J377" s="234"/>
      <c r="K377" s="234"/>
      <c r="L377" s="234"/>
      <c r="M377" s="234"/>
      <c r="N377" s="265"/>
      <c r="O377" s="232" t="s">
        <v>824</v>
      </c>
      <c r="P377" s="152"/>
      <c r="Q377" s="147"/>
      <c r="R377" s="147"/>
      <c r="S377" s="147"/>
    </row>
    <row r="378" spans="1:19">
      <c r="A378" s="232" t="s">
        <v>825</v>
      </c>
      <c r="B378" s="152">
        <v>28</v>
      </c>
      <c r="C378" s="152"/>
      <c r="D378" s="233"/>
      <c r="E378" s="234"/>
      <c r="F378" s="234"/>
      <c r="G378" s="234"/>
      <c r="H378" s="234"/>
      <c r="I378" s="234"/>
      <c r="J378" s="234"/>
      <c r="K378" s="234"/>
      <c r="L378" s="234"/>
      <c r="M378" s="234"/>
      <c r="N378" s="265"/>
      <c r="O378" s="232" t="s">
        <v>825</v>
      </c>
      <c r="P378" s="152"/>
      <c r="Q378" s="147"/>
      <c r="R378" s="147"/>
      <c r="S378" s="147"/>
    </row>
    <row r="379" spans="1:19">
      <c r="A379" s="232" t="s">
        <v>826</v>
      </c>
      <c r="B379" s="152">
        <v>29</v>
      </c>
      <c r="C379" s="152"/>
      <c r="D379" s="233"/>
      <c r="E379" s="234"/>
      <c r="F379" s="234"/>
      <c r="G379" s="234"/>
      <c r="H379" s="234"/>
      <c r="I379" s="234"/>
      <c r="J379" s="234"/>
      <c r="K379" s="234"/>
      <c r="L379" s="234"/>
      <c r="M379" s="234"/>
      <c r="N379" s="265"/>
      <c r="O379" s="232" t="s">
        <v>826</v>
      </c>
      <c r="P379" s="152"/>
      <c r="Q379" s="147"/>
      <c r="R379" s="147"/>
      <c r="S379" s="147"/>
    </row>
    <row r="380" spans="1:19" ht="15.75" thickBot="1">
      <c r="A380" s="232" t="s">
        <v>827</v>
      </c>
      <c r="B380" s="152">
        <v>30</v>
      </c>
      <c r="C380" s="152"/>
      <c r="D380" s="233"/>
      <c r="E380" s="234"/>
      <c r="F380" s="234"/>
      <c r="G380" s="234"/>
      <c r="H380" s="234"/>
      <c r="I380" s="234"/>
      <c r="J380" s="234"/>
      <c r="K380" s="234"/>
      <c r="L380" s="234"/>
      <c r="M380" s="234"/>
      <c r="N380" s="265"/>
      <c r="O380" s="232" t="s">
        <v>827</v>
      </c>
      <c r="P380" s="152"/>
      <c r="Q380" s="147"/>
      <c r="R380" s="147"/>
      <c r="S380" s="147"/>
    </row>
    <row r="381" spans="1:19" ht="16.5" thickBot="1">
      <c r="A381" s="175" t="s">
        <v>791</v>
      </c>
      <c r="B381" s="176">
        <f>SUM(C381:N381)+P381</f>
        <v>0</v>
      </c>
      <c r="C381" s="274">
        <f>SUM(C367:C380)</f>
        <v>0</v>
      </c>
      <c r="D381" s="260">
        <f t="shared" ref="D381:N381" si="64">SUM(D367:D380)</f>
        <v>0</v>
      </c>
      <c r="E381" s="260">
        <f t="shared" si="64"/>
        <v>0</v>
      </c>
      <c r="F381" s="260">
        <f t="shared" si="64"/>
        <v>0</v>
      </c>
      <c r="G381" s="260">
        <f t="shared" si="64"/>
        <v>0</v>
      </c>
      <c r="H381" s="260">
        <f t="shared" si="64"/>
        <v>0</v>
      </c>
      <c r="I381" s="260">
        <f t="shared" si="64"/>
        <v>0</v>
      </c>
      <c r="J381" s="260">
        <f t="shared" si="64"/>
        <v>0</v>
      </c>
      <c r="K381" s="260">
        <f t="shared" si="64"/>
        <v>0</v>
      </c>
      <c r="L381" s="260">
        <f t="shared" si="64"/>
        <v>0</v>
      </c>
      <c r="M381" s="260">
        <f t="shared" si="64"/>
        <v>0</v>
      </c>
      <c r="N381" s="260">
        <f t="shared" si="64"/>
        <v>0</v>
      </c>
      <c r="O381" s="175" t="s">
        <v>791</v>
      </c>
      <c r="P381" s="176">
        <f>SUM(Q381:S381)</f>
        <v>0</v>
      </c>
      <c r="Q381" s="147">
        <f>SUM(Q367:Q380)</f>
        <v>0</v>
      </c>
      <c r="R381" s="147">
        <f>SUM(R367:R380)</f>
        <v>0</v>
      </c>
      <c r="S381" s="147">
        <f>SUM(S367:S380)</f>
        <v>0</v>
      </c>
    </row>
    <row r="382" spans="1:19" ht="15.75" thickBot="1"/>
    <row r="383" spans="1:19" ht="15.75" thickBot="1">
      <c r="A383" s="1024" t="s">
        <v>893</v>
      </c>
      <c r="B383" s="1025"/>
      <c r="C383" s="1025"/>
      <c r="D383" s="1025"/>
      <c r="E383" s="1025"/>
      <c r="F383" s="1025"/>
      <c r="G383" s="1025"/>
      <c r="H383" s="1025"/>
      <c r="I383" s="1025"/>
      <c r="J383" s="1025"/>
      <c r="K383" s="1026"/>
      <c r="L383" s="1024" t="s">
        <v>820</v>
      </c>
      <c r="M383" s="1025"/>
      <c r="N383" s="1025"/>
      <c r="O383" s="1025"/>
      <c r="P383" s="1026"/>
    </row>
    <row r="384" spans="1:19" ht="65.25">
      <c r="A384" s="228"/>
      <c r="B384" s="247" t="s">
        <v>889</v>
      </c>
      <c r="C384" s="229" t="s">
        <v>894</v>
      </c>
      <c r="D384" s="229" t="s">
        <v>552</v>
      </c>
      <c r="E384" s="229" t="s">
        <v>486</v>
      </c>
      <c r="F384" s="229" t="s">
        <v>323</v>
      </c>
      <c r="G384" s="229"/>
      <c r="H384" s="229"/>
      <c r="I384" s="229"/>
      <c r="J384" s="229"/>
      <c r="K384" s="230"/>
      <c r="L384" s="228"/>
      <c r="M384" s="247"/>
      <c r="N384" s="369"/>
      <c r="O384" s="369"/>
      <c r="P384" s="369"/>
    </row>
    <row r="385" spans="1:16">
      <c r="A385" s="232" t="s">
        <v>821</v>
      </c>
      <c r="B385" s="152">
        <v>17</v>
      </c>
      <c r="C385" s="234"/>
      <c r="D385" s="234"/>
      <c r="E385" s="234"/>
      <c r="F385" s="234"/>
      <c r="G385" s="234"/>
      <c r="H385" s="234"/>
      <c r="I385" s="234"/>
      <c r="J385" s="234"/>
      <c r="K385" s="235"/>
      <c r="L385" s="232" t="s">
        <v>821</v>
      </c>
      <c r="M385" s="152"/>
      <c r="N385" s="147"/>
      <c r="O385" s="147"/>
      <c r="P385" s="147"/>
    </row>
    <row r="386" spans="1:16">
      <c r="A386" s="232" t="s">
        <v>822</v>
      </c>
      <c r="B386" s="152">
        <v>18</v>
      </c>
      <c r="C386" s="234"/>
      <c r="D386" s="234"/>
      <c r="E386" s="234"/>
      <c r="F386" s="234"/>
      <c r="G386" s="234"/>
      <c r="H386" s="234"/>
      <c r="I386" s="234"/>
      <c r="J386" s="234"/>
      <c r="K386" s="235"/>
      <c r="L386" s="232" t="s">
        <v>822</v>
      </c>
      <c r="M386" s="152"/>
      <c r="N386" s="147"/>
      <c r="O386" s="147"/>
      <c r="P386" s="147"/>
    </row>
    <row r="387" spans="1:16">
      <c r="A387" s="232" t="s">
        <v>823</v>
      </c>
      <c r="B387" s="152">
        <v>19</v>
      </c>
      <c r="C387" s="234"/>
      <c r="D387" s="234"/>
      <c r="E387" s="234"/>
      <c r="F387" s="234"/>
      <c r="G387" s="234"/>
      <c r="H387" s="234"/>
      <c r="I387" s="234"/>
      <c r="J387" s="234"/>
      <c r="K387" s="235"/>
      <c r="L387" s="232" t="s">
        <v>823</v>
      </c>
      <c r="M387" s="152"/>
      <c r="N387" s="147"/>
      <c r="O387" s="147"/>
      <c r="P387" s="147"/>
    </row>
    <row r="388" spans="1:16">
      <c r="A388" s="232" t="s">
        <v>824</v>
      </c>
      <c r="B388" s="152">
        <v>20</v>
      </c>
      <c r="C388" s="234"/>
      <c r="D388" s="234"/>
      <c r="E388" s="234"/>
      <c r="F388" s="234"/>
      <c r="G388" s="234"/>
      <c r="H388" s="234"/>
      <c r="I388" s="234"/>
      <c r="J388" s="234"/>
      <c r="K388" s="235"/>
      <c r="L388" s="232" t="s">
        <v>824</v>
      </c>
      <c r="M388" s="152"/>
      <c r="N388" s="147"/>
      <c r="O388" s="147"/>
      <c r="P388" s="147"/>
    </row>
    <row r="389" spans="1:16">
      <c r="A389" s="232" t="s">
        <v>825</v>
      </c>
      <c r="B389" s="152">
        <v>21</v>
      </c>
      <c r="C389" s="234"/>
      <c r="D389" s="234"/>
      <c r="E389" s="234"/>
      <c r="F389" s="234"/>
      <c r="G389" s="234"/>
      <c r="H389" s="234"/>
      <c r="I389" s="234"/>
      <c r="J389" s="234"/>
      <c r="K389" s="235"/>
      <c r="L389" s="232" t="s">
        <v>825</v>
      </c>
      <c r="M389" s="152"/>
      <c r="N389" s="147"/>
      <c r="O389" s="147"/>
      <c r="P389" s="147"/>
    </row>
    <row r="390" spans="1:16">
      <c r="A390" s="232" t="s">
        <v>826</v>
      </c>
      <c r="B390" s="152">
        <v>22</v>
      </c>
      <c r="C390" s="234"/>
      <c r="D390" s="234"/>
      <c r="E390" s="234"/>
      <c r="F390" s="234"/>
      <c r="G390" s="234"/>
      <c r="H390" s="234"/>
      <c r="I390" s="234"/>
      <c r="J390" s="234"/>
      <c r="K390" s="235"/>
      <c r="L390" s="232" t="s">
        <v>826</v>
      </c>
      <c r="M390" s="152"/>
      <c r="N390" s="147"/>
      <c r="O390" s="147"/>
      <c r="P390" s="147"/>
    </row>
    <row r="391" spans="1:16">
      <c r="A391" s="232" t="s">
        <v>827</v>
      </c>
      <c r="B391" s="152">
        <v>23</v>
      </c>
      <c r="C391" s="234"/>
      <c r="D391" s="234"/>
      <c r="E391" s="234"/>
      <c r="F391" s="234"/>
      <c r="G391" s="234"/>
      <c r="H391" s="234"/>
      <c r="I391" s="234"/>
      <c r="J391" s="234"/>
      <c r="K391" s="235"/>
      <c r="L391" s="232" t="s">
        <v>827</v>
      </c>
      <c r="M391" s="152"/>
      <c r="N391" s="147"/>
      <c r="O391" s="147"/>
      <c r="P391" s="147"/>
    </row>
    <row r="392" spans="1:16">
      <c r="A392" s="232" t="s">
        <v>821</v>
      </c>
      <c r="B392" s="152">
        <v>24</v>
      </c>
      <c r="C392" s="234"/>
      <c r="D392" s="234"/>
      <c r="E392" s="234"/>
      <c r="F392" s="234"/>
      <c r="G392" s="234"/>
      <c r="H392" s="234"/>
      <c r="I392" s="234"/>
      <c r="J392" s="234"/>
      <c r="K392" s="235"/>
      <c r="L392" s="232" t="s">
        <v>821</v>
      </c>
      <c r="M392" s="152"/>
      <c r="N392" s="147"/>
      <c r="O392" s="147"/>
      <c r="P392" s="147"/>
    </row>
    <row r="393" spans="1:16">
      <c r="A393" s="232" t="s">
        <v>822</v>
      </c>
      <c r="B393" s="152">
        <v>25</v>
      </c>
      <c r="C393" s="234"/>
      <c r="D393" s="234"/>
      <c r="E393" s="234"/>
      <c r="F393" s="234"/>
      <c r="G393" s="234"/>
      <c r="H393" s="234"/>
      <c r="I393" s="234"/>
      <c r="J393" s="234"/>
      <c r="K393" s="235"/>
      <c r="L393" s="232" t="s">
        <v>822</v>
      </c>
      <c r="M393" s="152"/>
      <c r="N393" s="147"/>
      <c r="O393" s="147"/>
      <c r="P393" s="147"/>
    </row>
    <row r="394" spans="1:16">
      <c r="A394" s="232" t="s">
        <v>823</v>
      </c>
      <c r="B394" s="152">
        <v>26</v>
      </c>
      <c r="C394" s="234"/>
      <c r="D394" s="234"/>
      <c r="E394" s="234"/>
      <c r="F394" s="234"/>
      <c r="G394" s="234"/>
      <c r="H394" s="234"/>
      <c r="I394" s="234"/>
      <c r="J394" s="234"/>
      <c r="K394" s="235"/>
      <c r="L394" s="232" t="s">
        <v>823</v>
      </c>
      <c r="M394" s="152"/>
      <c r="N394" s="147"/>
      <c r="O394" s="147"/>
      <c r="P394" s="147"/>
    </row>
    <row r="395" spans="1:16">
      <c r="A395" s="232" t="s">
        <v>824</v>
      </c>
      <c r="B395" s="152">
        <v>27</v>
      </c>
      <c r="C395" s="234"/>
      <c r="D395" s="234"/>
      <c r="E395" s="234"/>
      <c r="F395" s="234"/>
      <c r="G395" s="234"/>
      <c r="H395" s="234"/>
      <c r="I395" s="234"/>
      <c r="J395" s="234"/>
      <c r="K395" s="235"/>
      <c r="L395" s="232" t="s">
        <v>824</v>
      </c>
      <c r="M395" s="152"/>
      <c r="N395" s="147"/>
      <c r="O395" s="147"/>
      <c r="P395" s="147"/>
    </row>
    <row r="396" spans="1:16">
      <c r="A396" s="232" t="s">
        <v>825</v>
      </c>
      <c r="B396" s="152">
        <v>28</v>
      </c>
      <c r="C396" s="234"/>
      <c r="D396" s="234"/>
      <c r="E396" s="234"/>
      <c r="F396" s="234"/>
      <c r="G396" s="234"/>
      <c r="H396" s="234"/>
      <c r="I396" s="234"/>
      <c r="J396" s="234"/>
      <c r="K396" s="235"/>
      <c r="L396" s="232" t="s">
        <v>825</v>
      </c>
      <c r="M396" s="152"/>
      <c r="N396" s="147"/>
      <c r="O396" s="147"/>
      <c r="P396" s="147"/>
    </row>
    <row r="397" spans="1:16">
      <c r="A397" s="232" t="s">
        <v>826</v>
      </c>
      <c r="B397" s="152">
        <v>29</v>
      </c>
      <c r="C397" s="234"/>
      <c r="D397" s="234"/>
      <c r="E397" s="234"/>
      <c r="F397" s="234"/>
      <c r="G397" s="234"/>
      <c r="H397" s="234"/>
      <c r="I397" s="234"/>
      <c r="J397" s="234"/>
      <c r="K397" s="235"/>
      <c r="L397" s="232" t="s">
        <v>826</v>
      </c>
      <c r="M397" s="152"/>
      <c r="N397" s="147"/>
      <c r="O397" s="147"/>
      <c r="P397" s="147"/>
    </row>
    <row r="398" spans="1:16" ht="15.75" thickBot="1">
      <c r="A398" s="232" t="s">
        <v>827</v>
      </c>
      <c r="B398" s="152">
        <v>30</v>
      </c>
      <c r="C398" s="234"/>
      <c r="D398" s="234"/>
      <c r="E398" s="234"/>
      <c r="F398" s="234"/>
      <c r="G398" s="234"/>
      <c r="H398" s="234"/>
      <c r="I398" s="234"/>
      <c r="J398" s="234"/>
      <c r="K398" s="235"/>
      <c r="L398" s="232" t="s">
        <v>827</v>
      </c>
      <c r="M398" s="152"/>
      <c r="N398" s="147"/>
      <c r="O398" s="147"/>
      <c r="P398" s="147"/>
    </row>
    <row r="399" spans="1:16" ht="16.5" thickBot="1">
      <c r="A399" s="175" t="s">
        <v>791</v>
      </c>
      <c r="B399" s="176">
        <f>SUM(C399:K399)+M399</f>
        <v>0</v>
      </c>
      <c r="C399" s="238">
        <f t="shared" ref="C399:K399" si="65">SUM(C385:C398)</f>
        <v>0</v>
      </c>
      <c r="D399" s="238">
        <f t="shared" si="65"/>
        <v>0</v>
      </c>
      <c r="E399" s="238">
        <f t="shared" si="65"/>
        <v>0</v>
      </c>
      <c r="F399" s="238">
        <f t="shared" si="65"/>
        <v>0</v>
      </c>
      <c r="G399" s="238">
        <f t="shared" si="65"/>
        <v>0</v>
      </c>
      <c r="H399" s="238">
        <f t="shared" si="65"/>
        <v>0</v>
      </c>
      <c r="I399" s="238">
        <f t="shared" si="65"/>
        <v>0</v>
      </c>
      <c r="J399" s="238">
        <f t="shared" si="65"/>
        <v>0</v>
      </c>
      <c r="K399" s="238">
        <f t="shared" si="65"/>
        <v>0</v>
      </c>
      <c r="L399" s="175" t="s">
        <v>791</v>
      </c>
      <c r="M399" s="176">
        <f>SUM(N399:P399)</f>
        <v>0</v>
      </c>
      <c r="N399" s="147">
        <f>SUM(N385:N398)</f>
        <v>0</v>
      </c>
      <c r="O399" s="147">
        <f>SUM(O385:O398)</f>
        <v>0</v>
      </c>
      <c r="P399" s="147">
        <f>SUM(P385:P398)</f>
        <v>0</v>
      </c>
    </row>
    <row r="400" spans="1:16" ht="18" customHeight="1" thickBot="1"/>
    <row r="401" spans="1:50" ht="15.75" thickBot="1">
      <c r="AX401" s="357"/>
    </row>
    <row r="402" spans="1:50" ht="15.75" thickBot="1">
      <c r="A402" s="1027" t="s">
        <v>895</v>
      </c>
      <c r="B402" s="1028"/>
      <c r="C402" s="1028"/>
      <c r="D402" s="1028"/>
      <c r="E402" s="1028"/>
      <c r="F402" s="1028"/>
      <c r="G402" s="1028"/>
      <c r="H402" s="1028"/>
      <c r="I402" s="1028"/>
      <c r="J402" s="1028"/>
      <c r="K402" s="1028"/>
      <c r="L402" s="1028"/>
      <c r="M402" s="1029"/>
      <c r="N402" s="1024" t="s">
        <v>820</v>
      </c>
      <c r="O402" s="1025"/>
      <c r="P402" s="1025"/>
      <c r="Q402" s="1025"/>
      <c r="R402" s="1026"/>
    </row>
    <row r="403" spans="1:50" ht="66">
      <c r="A403" s="228"/>
      <c r="B403" s="247" t="s">
        <v>896</v>
      </c>
      <c r="C403" s="387" t="s">
        <v>324</v>
      </c>
      <c r="D403" s="387" t="s">
        <v>897</v>
      </c>
      <c r="E403" s="387" t="s">
        <v>898</v>
      </c>
      <c r="F403" s="387" t="s">
        <v>899</v>
      </c>
      <c r="G403" s="388" t="s">
        <v>900</v>
      </c>
      <c r="H403" s="387"/>
      <c r="I403" s="231"/>
      <c r="J403" s="231"/>
      <c r="K403" s="231"/>
      <c r="L403" s="231"/>
      <c r="M403" s="231"/>
      <c r="N403" s="228"/>
      <c r="O403" s="247"/>
      <c r="P403" s="369"/>
      <c r="Q403" s="369"/>
      <c r="R403" s="369"/>
    </row>
    <row r="404" spans="1:50">
      <c r="A404" s="232" t="s">
        <v>821</v>
      </c>
      <c r="B404" s="152">
        <v>12</v>
      </c>
      <c r="C404" s="234"/>
      <c r="D404" s="250"/>
      <c r="E404" s="250"/>
      <c r="F404" s="259"/>
      <c r="G404" s="259"/>
      <c r="H404" s="152"/>
      <c r="I404" s="152"/>
      <c r="J404" s="253"/>
      <c r="K404" s="250"/>
      <c r="L404" s="259"/>
      <c r="M404" s="264"/>
      <c r="N404" s="232" t="s">
        <v>821</v>
      </c>
      <c r="O404" s="152"/>
      <c r="P404" s="147"/>
      <c r="Q404" s="147"/>
      <c r="R404" s="147"/>
    </row>
    <row r="405" spans="1:50">
      <c r="A405" s="232" t="s">
        <v>822</v>
      </c>
      <c r="B405" s="152">
        <v>13</v>
      </c>
      <c r="C405" s="234"/>
      <c r="D405" s="234"/>
      <c r="E405" s="234"/>
      <c r="F405" s="234"/>
      <c r="G405" s="242"/>
      <c r="H405" s="152"/>
      <c r="I405" s="152"/>
      <c r="J405" s="233"/>
      <c r="K405" s="234"/>
      <c r="L405" s="242"/>
      <c r="M405" s="152"/>
      <c r="N405" s="232" t="s">
        <v>822</v>
      </c>
      <c r="O405" s="152"/>
      <c r="P405" s="147"/>
      <c r="Q405" s="147"/>
      <c r="R405" s="147"/>
    </row>
    <row r="406" spans="1:50">
      <c r="A406" s="232" t="s">
        <v>823</v>
      </c>
      <c r="B406" s="152">
        <v>14</v>
      </c>
      <c r="C406" s="234"/>
      <c r="D406" s="234"/>
      <c r="E406" s="234"/>
      <c r="F406" s="234"/>
      <c r="G406" s="242"/>
      <c r="H406" s="152"/>
      <c r="I406" s="152"/>
      <c r="J406" s="233"/>
      <c r="K406" s="234"/>
      <c r="L406" s="242"/>
      <c r="M406" s="152"/>
      <c r="N406" s="232" t="s">
        <v>823</v>
      </c>
      <c r="O406" s="152"/>
      <c r="P406" s="147"/>
      <c r="Q406" s="147"/>
      <c r="R406" s="147"/>
    </row>
    <row r="407" spans="1:50">
      <c r="A407" s="232" t="s">
        <v>824</v>
      </c>
      <c r="B407" s="152">
        <v>15</v>
      </c>
      <c r="C407" s="234"/>
      <c r="D407" s="234"/>
      <c r="E407" s="234"/>
      <c r="F407" s="234"/>
      <c r="G407" s="242"/>
      <c r="H407" s="152"/>
      <c r="I407" s="152"/>
      <c r="J407" s="233"/>
      <c r="K407" s="234"/>
      <c r="L407" s="242"/>
      <c r="M407" s="152"/>
      <c r="N407" s="232" t="s">
        <v>824</v>
      </c>
      <c r="O407" s="152"/>
      <c r="P407" s="147"/>
      <c r="Q407" s="147"/>
      <c r="R407" s="147"/>
    </row>
    <row r="408" spans="1:50">
      <c r="A408" s="232" t="s">
        <v>825</v>
      </c>
      <c r="B408" s="152">
        <v>16</v>
      </c>
      <c r="C408" s="234"/>
      <c r="D408" s="234"/>
      <c r="E408" s="234"/>
      <c r="F408" s="234"/>
      <c r="G408" s="242"/>
      <c r="H408" s="152"/>
      <c r="I408" s="152"/>
      <c r="J408" s="233"/>
      <c r="K408" s="234"/>
      <c r="L408" s="234"/>
      <c r="M408" s="259"/>
      <c r="N408" s="232" t="s">
        <v>825</v>
      </c>
      <c r="O408" s="152"/>
      <c r="P408" s="147"/>
      <c r="Q408" s="147"/>
      <c r="R408" s="147"/>
    </row>
    <row r="409" spans="1:50">
      <c r="A409" s="232" t="s">
        <v>826</v>
      </c>
      <c r="B409" s="152">
        <v>17</v>
      </c>
      <c r="C409" s="234"/>
      <c r="D409" s="234"/>
      <c r="E409" s="234"/>
      <c r="F409" s="234"/>
      <c r="G409" s="242"/>
      <c r="H409" s="152"/>
      <c r="I409" s="152"/>
      <c r="J409" s="233"/>
      <c r="K409" s="234"/>
      <c r="L409" s="234"/>
      <c r="M409" s="242"/>
      <c r="N409" s="232" t="s">
        <v>826</v>
      </c>
      <c r="O409" s="152"/>
      <c r="P409" s="147"/>
      <c r="Q409" s="147"/>
      <c r="R409" s="147"/>
    </row>
    <row r="410" spans="1:50">
      <c r="A410" s="232" t="s">
        <v>827</v>
      </c>
      <c r="B410" s="152">
        <v>18</v>
      </c>
      <c r="C410" s="234"/>
      <c r="D410" s="234"/>
      <c r="E410" s="234"/>
      <c r="F410" s="234"/>
      <c r="G410" s="242"/>
      <c r="H410" s="152"/>
      <c r="I410" s="152"/>
      <c r="J410" s="233"/>
      <c r="K410" s="234"/>
      <c r="L410" s="234"/>
      <c r="M410" s="242"/>
      <c r="N410" s="232" t="s">
        <v>827</v>
      </c>
      <c r="O410" s="152"/>
      <c r="P410" s="147"/>
      <c r="Q410" s="147"/>
      <c r="R410" s="147"/>
    </row>
    <row r="411" spans="1:50">
      <c r="A411" s="232" t="s">
        <v>821</v>
      </c>
      <c r="B411" s="152">
        <v>19</v>
      </c>
      <c r="C411" s="234"/>
      <c r="D411" s="234"/>
      <c r="E411" s="234"/>
      <c r="F411" s="234"/>
      <c r="G411" s="242"/>
      <c r="H411" s="152"/>
      <c r="I411" s="152"/>
      <c r="J411" s="233"/>
      <c r="K411" s="234"/>
      <c r="L411" s="234"/>
      <c r="M411" s="242"/>
      <c r="N411" s="232" t="s">
        <v>821</v>
      </c>
      <c r="O411" s="152"/>
      <c r="P411" s="147"/>
      <c r="Q411" s="147"/>
      <c r="R411" s="147"/>
    </row>
    <row r="412" spans="1:50">
      <c r="A412" s="232" t="s">
        <v>822</v>
      </c>
      <c r="B412" s="152">
        <v>20</v>
      </c>
      <c r="C412" s="233"/>
      <c r="D412" s="234"/>
      <c r="E412" s="234"/>
      <c r="F412" s="234"/>
      <c r="G412" s="234"/>
      <c r="H412" s="250"/>
      <c r="I412" s="250"/>
      <c r="J412" s="234"/>
      <c r="K412" s="234"/>
      <c r="L412" s="234"/>
      <c r="M412" s="242"/>
      <c r="N412" s="232" t="s">
        <v>822</v>
      </c>
      <c r="O412" s="152"/>
      <c r="P412" s="147"/>
      <c r="Q412" s="147"/>
      <c r="R412" s="147"/>
    </row>
    <row r="413" spans="1:50">
      <c r="A413" s="232" t="s">
        <v>823</v>
      </c>
      <c r="B413" s="152">
        <v>21</v>
      </c>
      <c r="C413" s="233"/>
      <c r="D413" s="234"/>
      <c r="E413" s="234"/>
      <c r="F413" s="234"/>
      <c r="G413" s="234"/>
      <c r="H413" s="234"/>
      <c r="I413" s="234"/>
      <c r="J413" s="234"/>
      <c r="K413" s="234"/>
      <c r="L413" s="234"/>
      <c r="M413" s="242"/>
      <c r="N413" s="232" t="s">
        <v>823</v>
      </c>
      <c r="O413" s="152"/>
      <c r="P413" s="147"/>
      <c r="Q413" s="147"/>
      <c r="R413" s="147"/>
    </row>
    <row r="414" spans="1:50">
      <c r="A414" s="232" t="s">
        <v>824</v>
      </c>
      <c r="B414" s="152">
        <v>22</v>
      </c>
      <c r="C414" s="233"/>
      <c r="D414" s="234"/>
      <c r="E414" s="234"/>
      <c r="F414" s="234"/>
      <c r="G414" s="234"/>
      <c r="H414" s="234"/>
      <c r="I414" s="234"/>
      <c r="J414" s="234"/>
      <c r="K414" s="234"/>
      <c r="L414" s="234"/>
      <c r="M414" s="242"/>
      <c r="N414" s="232" t="s">
        <v>824</v>
      </c>
      <c r="O414" s="152"/>
      <c r="P414" s="147"/>
      <c r="Q414" s="147"/>
      <c r="R414" s="147"/>
    </row>
    <row r="415" spans="1:50">
      <c r="A415" s="232" t="s">
        <v>825</v>
      </c>
      <c r="B415" s="152">
        <v>23</v>
      </c>
      <c r="C415" s="233"/>
      <c r="D415" s="234"/>
      <c r="E415" s="234"/>
      <c r="F415" s="234"/>
      <c r="G415" s="234"/>
      <c r="H415" s="234"/>
      <c r="I415" s="234"/>
      <c r="J415" s="234"/>
      <c r="K415" s="234"/>
      <c r="L415" s="234"/>
      <c r="M415" s="242"/>
      <c r="N415" s="232" t="s">
        <v>825</v>
      </c>
      <c r="O415" s="152"/>
      <c r="P415" s="147"/>
      <c r="Q415" s="147"/>
      <c r="R415" s="147"/>
    </row>
    <row r="416" spans="1:50">
      <c r="A416" s="232" t="s">
        <v>826</v>
      </c>
      <c r="B416" s="152">
        <v>24</v>
      </c>
      <c r="C416" s="233"/>
      <c r="D416" s="234"/>
      <c r="E416" s="234"/>
      <c r="F416" s="234"/>
      <c r="G416" s="234"/>
      <c r="H416" s="234"/>
      <c r="I416" s="234"/>
      <c r="J416" s="234"/>
      <c r="K416" s="234"/>
      <c r="L416" s="234"/>
      <c r="M416" s="242"/>
      <c r="N416" s="232" t="s">
        <v>826</v>
      </c>
      <c r="O416" s="152"/>
      <c r="P416" s="147"/>
      <c r="Q416" s="147"/>
      <c r="R416" s="147"/>
    </row>
    <row r="417" spans="1:28" ht="15.75" thickBot="1">
      <c r="A417" s="232" t="s">
        <v>827</v>
      </c>
      <c r="B417" s="152">
        <v>25</v>
      </c>
      <c r="C417" s="233"/>
      <c r="D417" s="234"/>
      <c r="E417" s="234"/>
      <c r="F417" s="234"/>
      <c r="G417" s="234"/>
      <c r="H417" s="234"/>
      <c r="I417" s="234"/>
      <c r="J417" s="234"/>
      <c r="K417" s="234"/>
      <c r="L417" s="234"/>
      <c r="M417" s="242"/>
      <c r="N417" s="232" t="s">
        <v>827</v>
      </c>
      <c r="O417" s="152"/>
      <c r="P417" s="147"/>
      <c r="Q417" s="147"/>
      <c r="R417" s="147"/>
    </row>
    <row r="418" spans="1:28" ht="16.5" thickBot="1">
      <c r="A418" s="175" t="s">
        <v>791</v>
      </c>
      <c r="B418" s="176">
        <f>SUM(C418:M418)+O418</f>
        <v>0</v>
      </c>
      <c r="C418" s="238">
        <f>SUM(C404:C417)</f>
        <v>0</v>
      </c>
      <c r="D418" s="238">
        <f t="shared" ref="D418:M418" si="66">SUM(D404:D417)</f>
        <v>0</v>
      </c>
      <c r="E418" s="238">
        <f t="shared" si="66"/>
        <v>0</v>
      </c>
      <c r="F418" s="238">
        <f t="shared" si="66"/>
        <v>0</v>
      </c>
      <c r="G418" s="238">
        <f t="shared" si="66"/>
        <v>0</v>
      </c>
      <c r="H418" s="238">
        <f t="shared" si="66"/>
        <v>0</v>
      </c>
      <c r="I418" s="238">
        <f t="shared" si="66"/>
        <v>0</v>
      </c>
      <c r="J418" s="238">
        <f t="shared" si="66"/>
        <v>0</v>
      </c>
      <c r="K418" s="238">
        <f t="shared" si="66"/>
        <v>0</v>
      </c>
      <c r="L418" s="238">
        <f t="shared" si="66"/>
        <v>0</v>
      </c>
      <c r="M418" s="238">
        <f t="shared" si="66"/>
        <v>0</v>
      </c>
      <c r="N418" s="175" t="s">
        <v>791</v>
      </c>
      <c r="O418" s="176">
        <f>SUM(P418:R418)</f>
        <v>0</v>
      </c>
      <c r="P418" s="147">
        <f>SUM(P404:P417)</f>
        <v>0</v>
      </c>
      <c r="Q418" s="147">
        <f>SUM(Q404:Q417)</f>
        <v>0</v>
      </c>
      <c r="R418" s="147">
        <f>SUM(R404:R417)</f>
        <v>0</v>
      </c>
    </row>
    <row r="419" spans="1:28" ht="15.75" thickBot="1"/>
    <row r="420" spans="1:28" ht="15.75" thickBot="1">
      <c r="A420" s="1027" t="s">
        <v>645</v>
      </c>
      <c r="B420" s="1028"/>
      <c r="C420" s="1028"/>
      <c r="D420" s="1028"/>
      <c r="E420" s="1028"/>
      <c r="F420" s="1028"/>
      <c r="G420" s="1028"/>
      <c r="H420" s="1028"/>
      <c r="I420" s="1028"/>
      <c r="J420" s="1028"/>
      <c r="K420" s="1028"/>
      <c r="L420" s="1028"/>
      <c r="M420" s="1029"/>
      <c r="N420" s="1024" t="s">
        <v>820</v>
      </c>
      <c r="O420" s="1025"/>
      <c r="P420" s="1025"/>
      <c r="Q420" s="1025"/>
      <c r="R420" s="1026"/>
      <c r="W420" s="226"/>
      <c r="X420" s="226"/>
      <c r="Y420" s="226"/>
      <c r="Z420" s="226"/>
      <c r="AA420" s="226"/>
      <c r="AB420" s="226"/>
    </row>
    <row r="421" spans="1:28" ht="45">
      <c r="A421" s="228"/>
      <c r="B421" s="247" t="s">
        <v>901</v>
      </c>
      <c r="C421" s="229" t="s">
        <v>884</v>
      </c>
      <c r="D421" s="229"/>
      <c r="E421" s="229"/>
      <c r="F421" s="229"/>
      <c r="G421" s="229"/>
      <c r="H421" s="226"/>
      <c r="I421" s="231"/>
      <c r="J421" s="231"/>
      <c r="K421" s="231"/>
      <c r="L421" s="267"/>
      <c r="M421" s="360"/>
      <c r="N421" s="228"/>
      <c r="O421" s="247" t="s">
        <v>885</v>
      </c>
      <c r="P421" s="369"/>
      <c r="Q421" s="369"/>
      <c r="R421" s="369"/>
    </row>
    <row r="422" spans="1:28">
      <c r="A422" s="232" t="s">
        <v>821</v>
      </c>
      <c r="B422" s="152">
        <v>9</v>
      </c>
      <c r="C422" s="234"/>
      <c r="D422" s="234"/>
      <c r="E422" s="234"/>
      <c r="F422" s="234"/>
      <c r="G422" s="242"/>
      <c r="H422" s="152"/>
      <c r="I422" s="264"/>
      <c r="J422" s="264"/>
      <c r="K422" s="253"/>
      <c r="L422" s="234"/>
      <c r="M422" s="259"/>
      <c r="N422" s="232" t="s">
        <v>821</v>
      </c>
      <c r="O422" s="152">
        <v>31</v>
      </c>
      <c r="P422" s="634"/>
      <c r="Q422" s="147"/>
      <c r="R422" s="147"/>
    </row>
    <row r="423" spans="1:28">
      <c r="A423" s="232" t="s">
        <v>822</v>
      </c>
      <c r="B423" s="152">
        <v>10</v>
      </c>
      <c r="C423" s="234"/>
      <c r="D423" s="234"/>
      <c r="E423" s="234"/>
      <c r="F423" s="234"/>
      <c r="G423" s="242"/>
      <c r="H423" s="152"/>
      <c r="I423" s="152"/>
      <c r="J423" s="152"/>
      <c r="K423" s="233"/>
      <c r="L423" s="234"/>
      <c r="M423" s="242"/>
      <c r="N423" s="232" t="s">
        <v>822</v>
      </c>
      <c r="O423" s="152">
        <v>1</v>
      </c>
      <c r="P423" s="147"/>
      <c r="Q423" s="147"/>
      <c r="R423" s="147"/>
    </row>
    <row r="424" spans="1:28">
      <c r="A424" s="232" t="s">
        <v>823</v>
      </c>
      <c r="B424" s="152">
        <v>11</v>
      </c>
      <c r="C424" s="234"/>
      <c r="D424" s="234"/>
      <c r="E424" s="234"/>
      <c r="F424" s="234"/>
      <c r="G424" s="242"/>
      <c r="H424" s="152"/>
      <c r="I424" s="152"/>
      <c r="J424" s="152"/>
      <c r="K424" s="233"/>
      <c r="L424" s="234"/>
      <c r="M424" s="242"/>
      <c r="N424" s="232" t="s">
        <v>823</v>
      </c>
      <c r="O424" s="152">
        <v>2</v>
      </c>
      <c r="P424" s="147"/>
      <c r="Q424" s="147"/>
      <c r="R424" s="147"/>
    </row>
    <row r="425" spans="1:28">
      <c r="A425" s="232" t="s">
        <v>824</v>
      </c>
      <c r="B425" s="152">
        <v>12</v>
      </c>
      <c r="C425" s="234"/>
      <c r="D425" s="234"/>
      <c r="E425" s="234"/>
      <c r="F425" s="234"/>
      <c r="G425" s="242"/>
      <c r="H425" s="152"/>
      <c r="I425" s="152"/>
      <c r="J425" s="152"/>
      <c r="K425" s="233"/>
      <c r="L425" s="234"/>
      <c r="M425" s="242"/>
      <c r="N425" s="232" t="s">
        <v>824</v>
      </c>
      <c r="O425" s="152">
        <v>3</v>
      </c>
      <c r="P425" s="147"/>
      <c r="Q425" s="147"/>
      <c r="R425" s="147"/>
    </row>
    <row r="426" spans="1:28">
      <c r="A426" s="232" t="s">
        <v>825</v>
      </c>
      <c r="B426" s="152">
        <v>13</v>
      </c>
      <c r="C426" s="234"/>
      <c r="D426" s="234"/>
      <c r="E426" s="234"/>
      <c r="F426" s="234"/>
      <c r="G426" s="242"/>
      <c r="H426" s="152"/>
      <c r="I426" s="152"/>
      <c r="J426" s="152"/>
      <c r="K426" s="233"/>
      <c r="L426" s="234"/>
      <c r="M426" s="242"/>
      <c r="N426" s="232" t="s">
        <v>825</v>
      </c>
      <c r="O426" s="152">
        <v>4</v>
      </c>
      <c r="P426" s="147"/>
      <c r="Q426" s="147"/>
      <c r="R426" s="147"/>
    </row>
    <row r="427" spans="1:28">
      <c r="A427" s="232" t="s">
        <v>826</v>
      </c>
      <c r="B427" s="152">
        <v>14</v>
      </c>
      <c r="C427" s="234"/>
      <c r="D427" s="234"/>
      <c r="E427" s="234"/>
      <c r="F427" s="234"/>
      <c r="G427" s="242"/>
      <c r="H427" s="152"/>
      <c r="I427" s="152"/>
      <c r="J427" s="152"/>
      <c r="K427" s="233"/>
      <c r="L427" s="234"/>
      <c r="M427" s="242"/>
      <c r="N427" s="232" t="s">
        <v>826</v>
      </c>
      <c r="O427" s="152">
        <v>5</v>
      </c>
      <c r="P427" s="147"/>
      <c r="Q427" s="147"/>
      <c r="R427" s="147"/>
    </row>
    <row r="428" spans="1:28">
      <c r="A428" s="232" t="s">
        <v>827</v>
      </c>
      <c r="B428" s="152">
        <v>15</v>
      </c>
      <c r="C428" s="234"/>
      <c r="D428" s="234"/>
      <c r="E428" s="234"/>
      <c r="F428" s="234"/>
      <c r="G428" s="242"/>
      <c r="H428" s="152"/>
      <c r="I428" s="152"/>
      <c r="J428" s="152"/>
      <c r="K428" s="233"/>
      <c r="L428" s="234"/>
      <c r="M428" s="242"/>
      <c r="N428" s="232" t="s">
        <v>827</v>
      </c>
      <c r="O428" s="152">
        <v>6</v>
      </c>
      <c r="P428" s="147"/>
      <c r="Q428" s="147"/>
      <c r="R428" s="147"/>
    </row>
    <row r="429" spans="1:28">
      <c r="A429" s="232" t="s">
        <v>821</v>
      </c>
      <c r="B429" s="152">
        <v>16</v>
      </c>
      <c r="C429" s="234"/>
      <c r="D429" s="234"/>
      <c r="E429" s="234"/>
      <c r="F429" s="234"/>
      <c r="G429" s="242"/>
      <c r="H429" s="152"/>
      <c r="I429" s="258"/>
      <c r="J429" s="152"/>
      <c r="K429" s="233"/>
      <c r="L429" s="234"/>
      <c r="M429" s="242"/>
      <c r="N429" s="232" t="s">
        <v>821</v>
      </c>
      <c r="O429" s="152">
        <v>7</v>
      </c>
      <c r="P429" s="147"/>
      <c r="Q429" s="147"/>
      <c r="R429" s="147"/>
    </row>
    <row r="430" spans="1:28">
      <c r="A430" s="232" t="s">
        <v>822</v>
      </c>
      <c r="B430" s="152">
        <v>17</v>
      </c>
      <c r="C430" s="233"/>
      <c r="D430" s="234"/>
      <c r="E430" s="234"/>
      <c r="F430" s="234"/>
      <c r="G430" s="242"/>
      <c r="H430" s="152"/>
      <c r="I430" s="258"/>
      <c r="J430" s="152"/>
      <c r="K430" s="233"/>
      <c r="L430" s="234"/>
      <c r="M430" s="242"/>
      <c r="N430" s="232" t="s">
        <v>822</v>
      </c>
      <c r="O430" s="152">
        <v>8</v>
      </c>
      <c r="P430" s="147"/>
      <c r="Q430" s="147"/>
      <c r="R430" s="147"/>
    </row>
    <row r="431" spans="1:28">
      <c r="A431" s="232" t="s">
        <v>823</v>
      </c>
      <c r="B431" s="152">
        <v>18</v>
      </c>
      <c r="C431" s="234"/>
      <c r="D431" s="234"/>
      <c r="E431" s="234"/>
      <c r="F431" s="234"/>
      <c r="G431" s="242"/>
      <c r="H431" s="152"/>
      <c r="I431" s="152"/>
      <c r="J431" s="152"/>
      <c r="K431" s="233"/>
      <c r="L431" s="234"/>
      <c r="M431" s="242"/>
      <c r="N431" s="232" t="s">
        <v>823</v>
      </c>
      <c r="O431" s="152">
        <v>9</v>
      </c>
      <c r="P431" s="147"/>
      <c r="Q431" s="147"/>
      <c r="R431" s="147"/>
    </row>
    <row r="432" spans="1:28">
      <c r="A432" s="232" t="s">
        <v>824</v>
      </c>
      <c r="B432" s="152">
        <v>19</v>
      </c>
      <c r="C432" s="234"/>
      <c r="D432" s="234"/>
      <c r="E432" s="234"/>
      <c r="F432" s="234"/>
      <c r="G432" s="242"/>
      <c r="H432" s="152"/>
      <c r="I432" s="152"/>
      <c r="J432" s="152"/>
      <c r="K432" s="233"/>
      <c r="L432" s="234"/>
      <c r="M432" s="242"/>
      <c r="N432" s="232" t="s">
        <v>824</v>
      </c>
      <c r="O432" s="152">
        <v>10</v>
      </c>
      <c r="P432" s="147"/>
      <c r="Q432" s="147"/>
      <c r="R432" s="147"/>
    </row>
    <row r="433" spans="1:99">
      <c r="A433" s="232" t="s">
        <v>825</v>
      </c>
      <c r="B433" s="152">
        <v>20</v>
      </c>
      <c r="C433" s="234"/>
      <c r="D433" s="234"/>
      <c r="E433" s="234"/>
      <c r="F433" s="234"/>
      <c r="G433" s="242"/>
      <c r="H433" s="258"/>
      <c r="I433" s="258"/>
      <c r="J433" s="152"/>
      <c r="K433" s="233"/>
      <c r="L433" s="234"/>
      <c r="M433" s="242"/>
      <c r="N433" s="232" t="s">
        <v>825</v>
      </c>
      <c r="O433" s="152">
        <v>11</v>
      </c>
      <c r="P433" s="147"/>
      <c r="Q433" s="147"/>
      <c r="R433" s="147"/>
    </row>
    <row r="434" spans="1:99">
      <c r="A434" s="232" t="s">
        <v>826</v>
      </c>
      <c r="B434" s="152">
        <v>21</v>
      </c>
      <c r="C434" s="234"/>
      <c r="D434" s="234"/>
      <c r="E434" s="234"/>
      <c r="F434" s="234"/>
      <c r="G434" s="242"/>
      <c r="H434" s="258"/>
      <c r="I434" s="152"/>
      <c r="J434" s="152"/>
      <c r="K434" s="233"/>
      <c r="L434" s="234"/>
      <c r="M434" s="242"/>
      <c r="N434" s="232" t="s">
        <v>826</v>
      </c>
      <c r="O434" s="152">
        <v>12</v>
      </c>
      <c r="P434" s="147"/>
      <c r="Q434" s="147"/>
      <c r="R434" s="147"/>
    </row>
    <row r="435" spans="1:99" ht="15.75" thickBot="1">
      <c r="A435" s="232" t="s">
        <v>827</v>
      </c>
      <c r="B435" s="152">
        <v>22</v>
      </c>
      <c r="C435" s="234"/>
      <c r="D435" s="234"/>
      <c r="E435" s="234"/>
      <c r="F435" s="234"/>
      <c r="G435" s="329"/>
      <c r="H435" s="152"/>
      <c r="I435" s="152"/>
      <c r="J435" s="152"/>
      <c r="K435" s="233"/>
      <c r="L435" s="234"/>
      <c r="M435" s="242"/>
      <c r="N435" s="232" t="s">
        <v>827</v>
      </c>
      <c r="O435" s="152">
        <v>13</v>
      </c>
      <c r="P435" s="147"/>
      <c r="Q435" s="147"/>
      <c r="R435" s="147"/>
    </row>
    <row r="436" spans="1:99" ht="16.5" thickBot="1">
      <c r="A436" s="175" t="s">
        <v>791</v>
      </c>
      <c r="B436" s="176">
        <f>SUM(C436:M436)+O436</f>
        <v>0</v>
      </c>
      <c r="C436" s="238">
        <f t="shared" ref="C436:K436" si="67">SUM(C422:C435)</f>
        <v>0</v>
      </c>
      <c r="D436" s="238">
        <f t="shared" si="67"/>
        <v>0</v>
      </c>
      <c r="E436" s="238">
        <f t="shared" si="67"/>
        <v>0</v>
      </c>
      <c r="F436" s="238">
        <f t="shared" si="67"/>
        <v>0</v>
      </c>
      <c r="G436" s="238">
        <f t="shared" si="67"/>
        <v>0</v>
      </c>
      <c r="H436" s="238">
        <f t="shared" si="67"/>
        <v>0</v>
      </c>
      <c r="I436" s="238">
        <f t="shared" si="67"/>
        <v>0</v>
      </c>
      <c r="J436" s="238">
        <f t="shared" si="67"/>
        <v>0</v>
      </c>
      <c r="K436" s="238">
        <f t="shared" si="67"/>
        <v>0</v>
      </c>
      <c r="L436" s="238"/>
      <c r="M436" s="261">
        <f>SUM(M422:M435)</f>
        <v>0</v>
      </c>
      <c r="N436" s="175" t="s">
        <v>791</v>
      </c>
      <c r="O436" s="176">
        <f>SUM(P436:R436)</f>
        <v>0</v>
      </c>
      <c r="P436" s="147">
        <f>SUM(P422:P435)</f>
        <v>0</v>
      </c>
      <c r="Q436" s="147">
        <f>SUM(Q422:Q435)</f>
        <v>0</v>
      </c>
      <c r="R436" s="147">
        <f>SUM(R422:R435)</f>
        <v>0</v>
      </c>
    </row>
    <row r="437" spans="1:99" ht="15.75" thickBot="1"/>
    <row r="438" spans="1:99">
      <c r="A438" s="1039" t="s">
        <v>902</v>
      </c>
      <c r="B438" s="1040"/>
      <c r="C438" s="1041"/>
      <c r="D438" s="1041"/>
      <c r="E438" s="1041"/>
      <c r="F438" s="1041"/>
      <c r="G438" s="1041"/>
      <c r="H438" s="1041"/>
      <c r="I438" s="1041"/>
      <c r="J438" s="1041"/>
      <c r="K438" s="1041"/>
      <c r="L438" s="1041"/>
      <c r="M438" s="1041"/>
      <c r="N438" s="1041"/>
      <c r="O438" s="1041"/>
      <c r="P438" s="1041"/>
      <c r="Q438" s="1041"/>
      <c r="R438" s="1042"/>
      <c r="S438" s="1032" t="s">
        <v>820</v>
      </c>
      <c r="T438" s="1033"/>
      <c r="U438" s="1033"/>
      <c r="V438" s="1033"/>
      <c r="W438" s="1034"/>
    </row>
    <row r="439" spans="1:99" ht="144.75">
      <c r="A439" s="551"/>
      <c r="B439" s="552" t="s">
        <v>903</v>
      </c>
      <c r="C439" s="553" t="s">
        <v>904</v>
      </c>
      <c r="D439" s="553" t="s">
        <v>905</v>
      </c>
      <c r="E439" s="553" t="s">
        <v>906</v>
      </c>
      <c r="F439" s="553" t="s">
        <v>907</v>
      </c>
      <c r="G439" s="553" t="s">
        <v>245</v>
      </c>
      <c r="H439" s="553" t="s">
        <v>908</v>
      </c>
      <c r="I439" s="553" t="s">
        <v>329</v>
      </c>
      <c r="J439" s="553" t="s">
        <v>909</v>
      </c>
      <c r="K439" s="553" t="s">
        <v>234</v>
      </c>
      <c r="L439" s="553" t="s">
        <v>858</v>
      </c>
      <c r="M439" s="553" t="s">
        <v>250</v>
      </c>
      <c r="N439" s="553" t="s">
        <v>859</v>
      </c>
      <c r="O439" s="553" t="s">
        <v>910</v>
      </c>
      <c r="P439" s="553" t="s">
        <v>254</v>
      </c>
      <c r="Q439" s="553" t="s">
        <v>911</v>
      </c>
      <c r="R439" s="553" t="s">
        <v>912</v>
      </c>
      <c r="S439" s="553"/>
      <c r="T439" s="553"/>
      <c r="U439" s="553"/>
      <c r="V439" s="543"/>
      <c r="W439" s="554"/>
      <c r="X439" s="555"/>
      <c r="Y439" s="555"/>
      <c r="Z439" s="555"/>
      <c r="CS439"/>
      <c r="CT439"/>
      <c r="CU439"/>
    </row>
    <row r="440" spans="1:99">
      <c r="A440" s="556" t="s">
        <v>821</v>
      </c>
      <c r="B440" s="543">
        <v>8</v>
      </c>
      <c r="C440" s="543"/>
      <c r="D440" s="543"/>
      <c r="E440" s="544"/>
      <c r="F440" s="543"/>
      <c r="G440" s="543"/>
      <c r="H440" s="543"/>
      <c r="I440" s="543"/>
      <c r="J440" s="545"/>
      <c r="K440" s="543"/>
      <c r="L440" s="543"/>
      <c r="M440" s="543"/>
      <c r="N440" s="543"/>
      <c r="O440" s="543"/>
      <c r="P440" s="545"/>
      <c r="Q440" s="543"/>
      <c r="R440" s="544"/>
      <c r="S440" s="543"/>
      <c r="T440" s="543"/>
      <c r="U440" s="543"/>
      <c r="V440" s="546"/>
      <c r="W440" s="543"/>
      <c r="X440" s="547"/>
      <c r="Y440" s="547"/>
      <c r="Z440" s="547"/>
      <c r="CS440"/>
      <c r="CT440"/>
      <c r="CU440"/>
    </row>
    <row r="441" spans="1:99">
      <c r="A441" s="556" t="s">
        <v>822</v>
      </c>
      <c r="B441" s="543">
        <v>9</v>
      </c>
      <c r="C441" s="543"/>
      <c r="D441" s="543"/>
      <c r="E441" s="543"/>
      <c r="F441" s="543"/>
      <c r="G441" s="543"/>
      <c r="H441" s="543"/>
      <c r="I441" s="543"/>
      <c r="J441" s="543"/>
      <c r="K441" s="543"/>
      <c r="L441" s="548"/>
      <c r="M441" s="543"/>
      <c r="N441" s="543"/>
      <c r="O441" s="543"/>
      <c r="P441" s="548"/>
      <c r="Q441" s="543"/>
      <c r="R441" s="543"/>
      <c r="S441" s="543"/>
      <c r="T441" s="543"/>
      <c r="U441" s="543"/>
      <c r="V441" s="546"/>
      <c r="W441" s="543"/>
      <c r="X441" s="547"/>
      <c r="Y441" s="547"/>
      <c r="Z441" s="547"/>
      <c r="CS441"/>
      <c r="CT441"/>
      <c r="CU441"/>
    </row>
    <row r="442" spans="1:99">
      <c r="A442" s="556" t="s">
        <v>823</v>
      </c>
      <c r="B442" s="543">
        <v>10</v>
      </c>
      <c r="C442" s="543"/>
      <c r="D442" s="543"/>
      <c r="E442" s="549"/>
      <c r="F442" s="543"/>
      <c r="G442" s="543"/>
      <c r="H442" s="543"/>
      <c r="I442" s="543"/>
      <c r="J442" s="543"/>
      <c r="K442" s="543"/>
      <c r="L442" s="543"/>
      <c r="M442" s="543"/>
      <c r="N442" s="543"/>
      <c r="O442" s="543"/>
      <c r="P442" s="543"/>
      <c r="Q442" s="543"/>
      <c r="R442" s="543"/>
      <c r="S442" s="543"/>
      <c r="T442" s="543"/>
      <c r="U442" s="543"/>
      <c r="V442" s="546"/>
      <c r="W442" s="543"/>
      <c r="X442" s="547"/>
      <c r="Y442" s="547"/>
      <c r="Z442" s="547"/>
      <c r="CS442"/>
      <c r="CT442"/>
      <c r="CU442"/>
    </row>
    <row r="443" spans="1:99">
      <c r="A443" s="556" t="s">
        <v>824</v>
      </c>
      <c r="B443" s="543">
        <v>11</v>
      </c>
      <c r="C443" s="543"/>
      <c r="D443" s="543"/>
      <c r="E443" s="543"/>
      <c r="F443" s="543"/>
      <c r="G443" s="543"/>
      <c r="H443" s="543"/>
      <c r="I443" s="543"/>
      <c r="J443" s="543"/>
      <c r="K443" s="543"/>
      <c r="L443" s="543"/>
      <c r="M443" s="543"/>
      <c r="N443" s="543"/>
      <c r="O443" s="543"/>
      <c r="P443" s="548"/>
      <c r="Q443" s="543"/>
      <c r="R443" s="543"/>
      <c r="S443" s="543"/>
      <c r="T443" s="543"/>
      <c r="U443" s="543"/>
      <c r="V443" s="546"/>
      <c r="W443" s="543"/>
      <c r="X443" s="547"/>
      <c r="Y443" s="547"/>
      <c r="Z443" s="547"/>
      <c r="CS443"/>
      <c r="CT443"/>
      <c r="CU443"/>
    </row>
    <row r="444" spans="1:99">
      <c r="A444" s="556" t="s">
        <v>825</v>
      </c>
      <c r="B444" s="543">
        <v>12</v>
      </c>
      <c r="C444" s="543"/>
      <c r="D444" s="543"/>
      <c r="E444" s="543"/>
      <c r="F444" s="543"/>
      <c r="G444" s="543"/>
      <c r="H444" s="543"/>
      <c r="I444" s="543"/>
      <c r="J444" s="543"/>
      <c r="K444" s="543"/>
      <c r="L444" s="543"/>
      <c r="M444" s="543"/>
      <c r="N444" s="543"/>
      <c r="O444" s="543"/>
      <c r="P444" s="543"/>
      <c r="Q444" s="543"/>
      <c r="R444" s="543"/>
      <c r="S444" s="543"/>
      <c r="T444" s="543"/>
      <c r="U444" s="543"/>
      <c r="V444" s="546"/>
      <c r="W444" s="543"/>
      <c r="X444" s="547"/>
      <c r="Y444" s="547"/>
      <c r="Z444" s="547"/>
      <c r="CS444"/>
      <c r="CT444"/>
      <c r="CU444"/>
    </row>
    <row r="445" spans="1:99">
      <c r="A445" s="556" t="s">
        <v>826</v>
      </c>
      <c r="B445" s="543">
        <v>13</v>
      </c>
      <c r="C445" s="543"/>
      <c r="D445" s="543"/>
      <c r="E445" s="543"/>
      <c r="F445" s="543"/>
      <c r="G445" s="543"/>
      <c r="H445" s="543"/>
      <c r="I445" s="543"/>
      <c r="J445" s="543"/>
      <c r="K445" s="543"/>
      <c r="L445" s="548"/>
      <c r="M445" s="543"/>
      <c r="N445" s="543"/>
      <c r="O445" s="543"/>
      <c r="P445" s="545"/>
      <c r="Q445" s="543"/>
      <c r="R445" s="543"/>
      <c r="S445" s="543"/>
      <c r="T445" s="543"/>
      <c r="U445" s="543"/>
      <c r="V445" s="546"/>
      <c r="W445" s="543"/>
      <c r="X445" s="547"/>
      <c r="Y445" s="547"/>
      <c r="Z445" s="547"/>
      <c r="CS445"/>
      <c r="CT445"/>
      <c r="CU445"/>
    </row>
    <row r="446" spans="1:99">
      <c r="A446" s="556" t="s">
        <v>827</v>
      </c>
      <c r="B446" s="543">
        <v>14</v>
      </c>
      <c r="C446" s="543"/>
      <c r="D446" s="543"/>
      <c r="E446" s="543"/>
      <c r="F446" s="543"/>
      <c r="G446" s="543"/>
      <c r="H446" s="543"/>
      <c r="I446" s="543"/>
      <c r="J446" s="543"/>
      <c r="K446" s="543"/>
      <c r="L446" s="543"/>
      <c r="M446" s="543"/>
      <c r="N446" s="543"/>
      <c r="O446" s="543"/>
      <c r="P446" s="549"/>
      <c r="Q446" s="543"/>
      <c r="R446" s="543"/>
      <c r="S446" s="543"/>
      <c r="T446" s="543"/>
      <c r="U446" s="543"/>
      <c r="V446" s="546"/>
      <c r="W446" s="543"/>
      <c r="X446" s="547"/>
      <c r="Y446" s="547"/>
      <c r="Z446" s="547"/>
      <c r="CS446"/>
      <c r="CT446"/>
      <c r="CU446"/>
    </row>
    <row r="447" spans="1:99">
      <c r="A447" s="556" t="s">
        <v>821</v>
      </c>
      <c r="B447" s="543">
        <v>15</v>
      </c>
      <c r="C447" s="543"/>
      <c r="D447" s="543"/>
      <c r="E447" s="543"/>
      <c r="F447" s="543"/>
      <c r="G447" s="543"/>
      <c r="H447" s="543"/>
      <c r="I447" s="543"/>
      <c r="J447" s="543"/>
      <c r="K447" s="543"/>
      <c r="L447" s="543"/>
      <c r="M447" s="543"/>
      <c r="N447" s="543"/>
      <c r="O447" s="543"/>
      <c r="P447" s="543"/>
      <c r="Q447" s="543"/>
      <c r="R447" s="543"/>
      <c r="S447" s="543"/>
      <c r="T447" s="543"/>
      <c r="U447" s="543"/>
      <c r="V447" s="546"/>
      <c r="W447" s="543"/>
      <c r="X447" s="547"/>
      <c r="Y447" s="547"/>
      <c r="Z447" s="547"/>
      <c r="CS447"/>
      <c r="CT447"/>
      <c r="CU447"/>
    </row>
    <row r="448" spans="1:99">
      <c r="A448" s="556" t="s">
        <v>822</v>
      </c>
      <c r="B448" s="543">
        <v>16</v>
      </c>
      <c r="C448" s="543"/>
      <c r="D448" s="543"/>
      <c r="E448" s="543"/>
      <c r="F448" s="543"/>
      <c r="G448" s="543"/>
      <c r="H448" s="543"/>
      <c r="I448" s="543"/>
      <c r="J448" s="543"/>
      <c r="K448" s="543"/>
      <c r="L448" s="543"/>
      <c r="M448" s="543"/>
      <c r="N448" s="543"/>
      <c r="O448" s="543"/>
      <c r="P448" s="543"/>
      <c r="Q448" s="543"/>
      <c r="R448" s="543"/>
      <c r="S448" s="543"/>
      <c r="T448" s="543"/>
      <c r="U448" s="543"/>
      <c r="V448" s="546"/>
      <c r="W448" s="543"/>
      <c r="X448" s="547"/>
      <c r="Y448" s="547"/>
      <c r="Z448" s="547"/>
      <c r="CS448"/>
      <c r="CT448"/>
      <c r="CU448"/>
    </row>
    <row r="449" spans="1:99">
      <c r="A449" s="556" t="s">
        <v>823</v>
      </c>
      <c r="B449" s="543">
        <v>17</v>
      </c>
      <c r="C449" s="543"/>
      <c r="D449" s="543"/>
      <c r="E449" s="543"/>
      <c r="F449" s="543"/>
      <c r="G449" s="543"/>
      <c r="H449" s="543"/>
      <c r="I449" s="550"/>
      <c r="J449" s="543"/>
      <c r="K449" s="543"/>
      <c r="L449" s="543"/>
      <c r="M449" s="543"/>
      <c r="N449" s="543"/>
      <c r="O449" s="543"/>
      <c r="P449" s="543"/>
      <c r="Q449" s="543"/>
      <c r="R449" s="543"/>
      <c r="S449" s="543"/>
      <c r="T449" s="543"/>
      <c r="U449" s="543"/>
      <c r="V449" s="546"/>
      <c r="W449" s="543"/>
      <c r="X449" s="547"/>
      <c r="Y449" s="547"/>
      <c r="Z449" s="547"/>
      <c r="CS449"/>
      <c r="CT449"/>
      <c r="CU449"/>
    </row>
    <row r="450" spans="1:99">
      <c r="A450" s="556" t="s">
        <v>824</v>
      </c>
      <c r="B450" s="543">
        <v>18</v>
      </c>
      <c r="C450" s="543"/>
      <c r="D450" s="543"/>
      <c r="E450" s="543"/>
      <c r="F450" s="543"/>
      <c r="G450" s="548"/>
      <c r="H450" s="543"/>
      <c r="I450" s="543"/>
      <c r="J450" s="543"/>
      <c r="K450" s="543"/>
      <c r="L450" s="549"/>
      <c r="M450" s="543"/>
      <c r="N450" s="543"/>
      <c r="O450" s="543"/>
      <c r="P450" s="543"/>
      <c r="Q450" s="543"/>
      <c r="R450" s="543"/>
      <c r="S450" s="543"/>
      <c r="T450" s="543"/>
      <c r="U450" s="543"/>
      <c r="V450" s="546"/>
      <c r="W450" s="543"/>
      <c r="X450" s="547"/>
      <c r="Y450" s="547"/>
      <c r="Z450" s="547"/>
      <c r="CS450"/>
      <c r="CT450"/>
      <c r="CU450"/>
    </row>
    <row r="451" spans="1:99">
      <c r="A451" s="556" t="s">
        <v>825</v>
      </c>
      <c r="B451" s="543">
        <v>19</v>
      </c>
      <c r="C451" s="543"/>
      <c r="D451" s="543"/>
      <c r="E451" s="543"/>
      <c r="F451" s="543"/>
      <c r="G451" s="543"/>
      <c r="H451" s="543"/>
      <c r="I451" s="543"/>
      <c r="J451" s="543"/>
      <c r="K451" s="543"/>
      <c r="L451" s="549"/>
      <c r="M451" s="543"/>
      <c r="N451" s="543"/>
      <c r="O451" s="543"/>
      <c r="P451" s="543"/>
      <c r="Q451" s="543"/>
      <c r="R451" s="543"/>
      <c r="S451" s="543"/>
      <c r="T451" s="543"/>
      <c r="U451" s="543"/>
      <c r="V451" s="546"/>
      <c r="W451" s="543"/>
      <c r="X451" s="547"/>
      <c r="Y451" s="547"/>
      <c r="Z451" s="547"/>
      <c r="CS451"/>
      <c r="CT451"/>
      <c r="CU451"/>
    </row>
    <row r="452" spans="1:99">
      <c r="A452" s="556" t="s">
        <v>826</v>
      </c>
      <c r="B452" s="543">
        <v>20</v>
      </c>
      <c r="C452" s="543"/>
      <c r="D452" s="543"/>
      <c r="E452" s="543"/>
      <c r="F452" s="543"/>
      <c r="G452" s="543"/>
      <c r="H452" s="543"/>
      <c r="I452" s="543"/>
      <c r="J452" s="543"/>
      <c r="K452" s="543"/>
      <c r="L452" s="543"/>
      <c r="M452" s="543"/>
      <c r="N452" s="543"/>
      <c r="O452" s="543"/>
      <c r="P452" s="543"/>
      <c r="Q452" s="543"/>
      <c r="R452" s="543"/>
      <c r="S452" s="543"/>
      <c r="T452" s="543"/>
      <c r="U452" s="543"/>
      <c r="V452" s="546"/>
      <c r="W452" s="543"/>
      <c r="X452" s="547"/>
      <c r="Y452" s="547"/>
      <c r="Z452" s="547"/>
      <c r="CS452"/>
      <c r="CT452"/>
      <c r="CU452"/>
    </row>
    <row r="453" spans="1:99">
      <c r="A453" s="556" t="s">
        <v>827</v>
      </c>
      <c r="B453" s="543">
        <v>21</v>
      </c>
      <c r="C453" s="543"/>
      <c r="D453" s="543"/>
      <c r="E453" s="543"/>
      <c r="F453" s="543"/>
      <c r="G453" s="543"/>
      <c r="H453" s="543"/>
      <c r="I453" s="543"/>
      <c r="J453" s="543"/>
      <c r="K453" s="543"/>
      <c r="L453" s="543"/>
      <c r="M453" s="543"/>
      <c r="N453" s="543"/>
      <c r="O453" s="543"/>
      <c r="P453" s="543"/>
      <c r="Q453" s="543"/>
      <c r="R453" s="543"/>
      <c r="S453" s="543"/>
      <c r="T453" s="543"/>
      <c r="U453" s="543"/>
      <c r="V453" s="546"/>
      <c r="W453" s="543"/>
      <c r="X453" s="547"/>
      <c r="Y453" s="547"/>
      <c r="Z453" s="547"/>
      <c r="CS453"/>
      <c r="CT453"/>
      <c r="CU453"/>
    </row>
    <row r="454" spans="1:99">
      <c r="A454" s="556" t="s">
        <v>821</v>
      </c>
      <c r="B454" s="543">
        <v>22</v>
      </c>
      <c r="C454" s="543"/>
      <c r="D454" s="543"/>
      <c r="E454" s="543"/>
      <c r="F454" s="543"/>
      <c r="G454" s="543"/>
      <c r="H454" s="543"/>
      <c r="I454" s="543"/>
      <c r="J454" s="543"/>
      <c r="K454" s="543"/>
      <c r="L454" s="543"/>
      <c r="M454" s="543"/>
      <c r="N454" s="543"/>
      <c r="O454" s="543"/>
      <c r="P454" s="543"/>
      <c r="Q454" s="543"/>
      <c r="R454" s="543"/>
      <c r="S454" s="543"/>
      <c r="T454" s="543"/>
      <c r="U454" s="543"/>
      <c r="V454" s="546"/>
      <c r="W454" s="543"/>
      <c r="X454" s="547"/>
      <c r="Y454" s="547"/>
      <c r="Z454" s="547"/>
      <c r="CS454"/>
      <c r="CT454"/>
      <c r="CU454"/>
    </row>
    <row r="455" spans="1:99" ht="15.75" thickBot="1">
      <c r="A455" s="556" t="s">
        <v>822</v>
      </c>
      <c r="B455" s="543">
        <v>23</v>
      </c>
      <c r="C455" s="543"/>
      <c r="D455" s="543"/>
      <c r="E455" s="543"/>
      <c r="F455" s="543"/>
      <c r="G455" s="543"/>
      <c r="H455" s="543"/>
      <c r="I455" s="543"/>
      <c r="J455" s="543"/>
      <c r="K455" s="543"/>
      <c r="L455" s="543"/>
      <c r="M455" s="543"/>
      <c r="N455" s="543"/>
      <c r="O455" s="543"/>
      <c r="P455" s="543"/>
      <c r="Q455" s="543"/>
      <c r="R455" s="543"/>
      <c r="S455" s="543"/>
      <c r="T455" s="543"/>
      <c r="U455" s="543"/>
      <c r="V455" s="546"/>
      <c r="W455" s="543"/>
      <c r="X455" s="547"/>
      <c r="Y455" s="547"/>
      <c r="Z455" s="547"/>
      <c r="CS455"/>
      <c r="CT455"/>
      <c r="CU455"/>
    </row>
    <row r="456" spans="1:99" ht="16.5" thickBot="1">
      <c r="A456" s="175" t="s">
        <v>791</v>
      </c>
      <c r="B456" s="359">
        <f>SUM(C456:U456)+W456</f>
        <v>0</v>
      </c>
      <c r="C456" s="152">
        <f>SUM(C440:C455)</f>
        <v>0</v>
      </c>
      <c r="D456" s="152">
        <f t="shared" ref="D456:U456" si="68">SUM(D440:D455)</f>
        <v>0</v>
      </c>
      <c r="E456" s="152">
        <f t="shared" si="68"/>
        <v>0</v>
      </c>
      <c r="F456" s="152">
        <f t="shared" si="68"/>
        <v>0</v>
      </c>
      <c r="G456" s="152">
        <f t="shared" si="68"/>
        <v>0</v>
      </c>
      <c r="H456" s="152">
        <f t="shared" si="68"/>
        <v>0</v>
      </c>
      <c r="I456" s="152">
        <f t="shared" si="68"/>
        <v>0</v>
      </c>
      <c r="J456" s="152">
        <f t="shared" si="68"/>
        <v>0</v>
      </c>
      <c r="K456" s="152">
        <f t="shared" si="68"/>
        <v>0</v>
      </c>
      <c r="L456" s="152">
        <f t="shared" si="68"/>
        <v>0</v>
      </c>
      <c r="M456" s="152">
        <f t="shared" si="68"/>
        <v>0</v>
      </c>
      <c r="N456" s="152">
        <f t="shared" si="68"/>
        <v>0</v>
      </c>
      <c r="O456" s="152">
        <f t="shared" si="68"/>
        <v>0</v>
      </c>
      <c r="P456" s="152">
        <f t="shared" si="68"/>
        <v>0</v>
      </c>
      <c r="Q456" s="152">
        <f>SUM(Q440:Q455)</f>
        <v>0</v>
      </c>
      <c r="R456" s="152">
        <f t="shared" si="68"/>
        <v>0</v>
      </c>
      <c r="S456" s="152">
        <f t="shared" si="68"/>
        <v>0</v>
      </c>
      <c r="T456" s="152">
        <f t="shared" si="68"/>
        <v>0</v>
      </c>
      <c r="U456" s="152">
        <f t="shared" si="68"/>
        <v>0</v>
      </c>
      <c r="V456" s="367" t="s">
        <v>791</v>
      </c>
      <c r="W456" s="6">
        <f>SUM(X456:Z456)</f>
        <v>0</v>
      </c>
      <c r="X456" s="147">
        <f>SUM(X440:X453)</f>
        <v>0</v>
      </c>
      <c r="Y456" s="147">
        <f>SUM(Y440:Y453)</f>
        <v>0</v>
      </c>
      <c r="Z456" s="147">
        <f>SUM(Z440:Z453)</f>
        <v>0</v>
      </c>
      <c r="CS456"/>
      <c r="CT456"/>
      <c r="CU456"/>
    </row>
    <row r="457" spans="1:99">
      <c r="E457" s="227">
        <f>SUM(E445:E453)</f>
        <v>0</v>
      </c>
      <c r="F457" s="227">
        <f>SUM(F442:F453)</f>
        <v>0</v>
      </c>
      <c r="G457" s="227">
        <f>SUM(G451:G453)</f>
        <v>0</v>
      </c>
      <c r="J457" s="227">
        <f>SUM(J442:J453)</f>
        <v>0</v>
      </c>
      <c r="L457" s="227">
        <f>SUM(L446:L453)</f>
        <v>0</v>
      </c>
      <c r="O457" s="227">
        <f>SUM(O442:O453)</f>
        <v>0</v>
      </c>
      <c r="P457" s="227">
        <f>SUM(P442:P453)</f>
        <v>0</v>
      </c>
      <c r="Q457" s="227">
        <f>SUM(Q442:Q453)</f>
        <v>0</v>
      </c>
      <c r="CP457"/>
      <c r="CQ457"/>
      <c r="CR457"/>
    </row>
    <row r="458" spans="1:99" ht="15.75" thickBot="1"/>
    <row r="459" spans="1:99" ht="15.75" thickBot="1">
      <c r="A459" s="1027" t="s">
        <v>202</v>
      </c>
      <c r="B459" s="1028"/>
      <c r="C459" s="1030"/>
      <c r="D459" s="1030"/>
      <c r="E459" s="1030"/>
      <c r="F459" s="1030"/>
      <c r="G459" s="1030"/>
      <c r="H459" s="1030"/>
      <c r="I459" s="1030"/>
      <c r="J459" s="1031"/>
      <c r="K459" s="1024" t="s">
        <v>820</v>
      </c>
      <c r="L459" s="1025"/>
      <c r="M459" s="1025"/>
      <c r="N459" s="1025"/>
      <c r="O459" s="1026"/>
      <c r="P459"/>
    </row>
    <row r="460" spans="1:99" ht="110.25">
      <c r="A460" s="228"/>
      <c r="B460" s="247" t="s">
        <v>903</v>
      </c>
      <c r="C460" s="154" t="s">
        <v>324</v>
      </c>
      <c r="D460" s="154" t="s">
        <v>379</v>
      </c>
      <c r="E460" s="154" t="s">
        <v>245</v>
      </c>
      <c r="F460" s="154" t="s">
        <v>221</v>
      </c>
      <c r="G460" s="154" t="s">
        <v>890</v>
      </c>
      <c r="H460" s="154" t="s">
        <v>538</v>
      </c>
      <c r="I460" s="154" t="s">
        <v>394</v>
      </c>
      <c r="J460" s="154" t="s">
        <v>869</v>
      </c>
      <c r="K460" s="154"/>
      <c r="L460" s="253"/>
      <c r="M460" s="247"/>
      <c r="N460" s="369"/>
      <c r="O460" s="369"/>
      <c r="P460" s="369"/>
    </row>
    <row r="461" spans="1:99">
      <c r="A461" s="232" t="s">
        <v>821</v>
      </c>
      <c r="B461" s="152">
        <v>8</v>
      </c>
      <c r="C461" s="152"/>
      <c r="D461" s="152"/>
      <c r="E461" s="152"/>
      <c r="F461" s="152"/>
      <c r="G461" s="152"/>
      <c r="H461" s="152"/>
      <c r="I461" s="152"/>
      <c r="J461" s="152"/>
      <c r="K461" s="152"/>
      <c r="L461" s="232" t="s">
        <v>821</v>
      </c>
      <c r="M461" s="152"/>
      <c r="N461" s="147"/>
      <c r="O461" s="147"/>
      <c r="P461" s="147"/>
    </row>
    <row r="462" spans="1:99">
      <c r="A462" s="232" t="s">
        <v>822</v>
      </c>
      <c r="B462" s="152">
        <v>9</v>
      </c>
      <c r="C462" s="152"/>
      <c r="D462" s="152"/>
      <c r="E462" s="152"/>
      <c r="F462" s="152"/>
      <c r="G462" s="152"/>
      <c r="H462" s="152"/>
      <c r="I462" s="152"/>
      <c r="J462" s="152"/>
      <c r="K462" s="152"/>
      <c r="L462" s="232" t="s">
        <v>822</v>
      </c>
      <c r="M462" s="152"/>
      <c r="N462" s="147"/>
      <c r="O462" s="147"/>
      <c r="P462" s="147"/>
    </row>
    <row r="463" spans="1:99">
      <c r="A463" s="232" t="s">
        <v>823</v>
      </c>
      <c r="B463" s="152">
        <v>10</v>
      </c>
      <c r="C463" s="152"/>
      <c r="D463" s="152"/>
      <c r="E463" s="152"/>
      <c r="F463" s="152"/>
      <c r="G463" s="152"/>
      <c r="H463" s="152"/>
      <c r="I463" s="152"/>
      <c r="J463" s="152"/>
      <c r="K463" s="152"/>
      <c r="L463" s="232" t="s">
        <v>823</v>
      </c>
      <c r="M463" s="152"/>
      <c r="N463" s="147"/>
      <c r="O463" s="147"/>
      <c r="P463" s="147"/>
    </row>
    <row r="464" spans="1:99">
      <c r="A464" s="232" t="s">
        <v>824</v>
      </c>
      <c r="B464" s="152">
        <v>11</v>
      </c>
      <c r="C464" s="152"/>
      <c r="D464" s="152"/>
      <c r="E464" s="152"/>
      <c r="F464" s="152"/>
      <c r="G464" s="152"/>
      <c r="H464" s="152"/>
      <c r="I464" s="152"/>
      <c r="J464" s="152"/>
      <c r="K464" s="152"/>
      <c r="L464" s="232" t="s">
        <v>824</v>
      </c>
      <c r="M464" s="152"/>
      <c r="N464" s="147"/>
      <c r="O464" s="147"/>
      <c r="P464" s="147"/>
    </row>
    <row r="465" spans="1:28">
      <c r="A465" s="232" t="s">
        <v>825</v>
      </c>
      <c r="B465" s="152">
        <v>12</v>
      </c>
      <c r="C465" s="152"/>
      <c r="D465" s="152"/>
      <c r="E465" s="152"/>
      <c r="F465" s="152"/>
      <c r="G465" s="152"/>
      <c r="H465" s="152"/>
      <c r="I465" s="152"/>
      <c r="J465" s="152"/>
      <c r="K465" s="152"/>
      <c r="L465" s="232" t="s">
        <v>825</v>
      </c>
      <c r="M465" s="152"/>
      <c r="N465" s="147"/>
      <c r="O465" s="147"/>
      <c r="P465" s="147"/>
    </row>
    <row r="466" spans="1:28">
      <c r="A466" s="232" t="s">
        <v>826</v>
      </c>
      <c r="B466" s="152">
        <v>13</v>
      </c>
      <c r="C466" s="152"/>
      <c r="D466" s="152"/>
      <c r="E466" s="152"/>
      <c r="F466" s="152"/>
      <c r="G466" s="152"/>
      <c r="H466" s="152"/>
      <c r="I466" s="152"/>
      <c r="J466" s="152"/>
      <c r="K466" s="152"/>
      <c r="L466" s="232" t="s">
        <v>826</v>
      </c>
      <c r="M466" s="152"/>
      <c r="N466" s="147"/>
      <c r="O466" s="147"/>
      <c r="P466" s="147"/>
    </row>
    <row r="467" spans="1:28">
      <c r="A467" s="232" t="s">
        <v>827</v>
      </c>
      <c r="B467" s="152">
        <v>14</v>
      </c>
      <c r="C467" s="152"/>
      <c r="D467" s="152"/>
      <c r="E467" s="152"/>
      <c r="F467" s="152"/>
      <c r="G467" s="152"/>
      <c r="H467" s="152"/>
      <c r="I467" s="152"/>
      <c r="J467" s="152"/>
      <c r="K467" s="152"/>
      <c r="L467" s="232" t="s">
        <v>827</v>
      </c>
      <c r="M467" s="152"/>
      <c r="N467" s="147"/>
      <c r="O467" s="147"/>
      <c r="P467" s="147"/>
    </row>
    <row r="468" spans="1:28">
      <c r="A468" s="232" t="s">
        <v>821</v>
      </c>
      <c r="B468" s="152">
        <v>15</v>
      </c>
      <c r="C468" s="152"/>
      <c r="D468" s="152"/>
      <c r="E468" s="152"/>
      <c r="F468" s="152"/>
      <c r="G468" s="152"/>
      <c r="H468" s="152"/>
      <c r="I468" s="152"/>
      <c r="J468" s="152"/>
      <c r="K468" s="152"/>
      <c r="L468" s="232" t="s">
        <v>821</v>
      </c>
      <c r="M468" s="152"/>
      <c r="N468" s="147"/>
      <c r="O468" s="147"/>
      <c r="P468" s="147"/>
    </row>
    <row r="469" spans="1:28">
      <c r="A469" s="232" t="s">
        <v>822</v>
      </c>
      <c r="B469" s="152">
        <v>16</v>
      </c>
      <c r="C469" s="152"/>
      <c r="D469" s="152"/>
      <c r="E469" s="152"/>
      <c r="F469" s="152"/>
      <c r="G469" s="152"/>
      <c r="H469" s="152"/>
      <c r="I469" s="152"/>
      <c r="J469" s="152"/>
      <c r="K469" s="152"/>
      <c r="L469" s="232" t="s">
        <v>822</v>
      </c>
      <c r="M469" s="152"/>
      <c r="N469" s="147"/>
      <c r="O469" s="147"/>
      <c r="P469" s="147"/>
    </row>
    <row r="470" spans="1:28">
      <c r="A470" s="232" t="s">
        <v>823</v>
      </c>
      <c r="B470" s="152">
        <v>17</v>
      </c>
      <c r="C470" s="152"/>
      <c r="D470" s="152"/>
      <c r="E470" s="152"/>
      <c r="F470" s="152"/>
      <c r="G470" s="152"/>
      <c r="H470" s="152"/>
      <c r="I470" s="152"/>
      <c r="J470" s="152"/>
      <c r="K470" s="152"/>
      <c r="L470" s="232" t="s">
        <v>823</v>
      </c>
      <c r="M470" s="152"/>
      <c r="N470" s="147"/>
      <c r="O470" s="147"/>
      <c r="P470" s="147"/>
    </row>
    <row r="471" spans="1:28">
      <c r="A471" s="232" t="s">
        <v>824</v>
      </c>
      <c r="B471" s="152">
        <v>18</v>
      </c>
      <c r="C471" s="152"/>
      <c r="D471" s="152"/>
      <c r="E471" s="152"/>
      <c r="F471" s="152"/>
      <c r="G471" s="152"/>
      <c r="H471" s="152"/>
      <c r="I471" s="152"/>
      <c r="J471" s="152"/>
      <c r="K471" s="152"/>
      <c r="L471" s="232" t="s">
        <v>824</v>
      </c>
      <c r="M471" s="152"/>
      <c r="N471" s="147"/>
      <c r="O471" s="147"/>
      <c r="P471" s="147"/>
    </row>
    <row r="472" spans="1:28">
      <c r="A472" s="232" t="s">
        <v>825</v>
      </c>
      <c r="B472" s="152">
        <v>19</v>
      </c>
      <c r="C472" s="152"/>
      <c r="D472" s="152"/>
      <c r="E472" s="152"/>
      <c r="F472" s="152"/>
      <c r="G472" s="152"/>
      <c r="H472" s="152"/>
      <c r="I472" s="152"/>
      <c r="J472" s="152"/>
      <c r="K472" s="152"/>
      <c r="L472" s="232" t="s">
        <v>825</v>
      </c>
      <c r="M472" s="152"/>
      <c r="N472" s="147"/>
      <c r="O472" s="147"/>
      <c r="P472" s="147"/>
    </row>
    <row r="473" spans="1:28">
      <c r="A473" s="232" t="s">
        <v>826</v>
      </c>
      <c r="B473" s="152">
        <v>20</v>
      </c>
      <c r="C473" s="152"/>
      <c r="D473" s="152"/>
      <c r="E473" s="152"/>
      <c r="F473" s="152"/>
      <c r="G473" s="152"/>
      <c r="H473" s="152"/>
      <c r="I473" s="152"/>
      <c r="J473" s="152"/>
      <c r="K473" s="152"/>
      <c r="L473" s="232" t="s">
        <v>826</v>
      </c>
      <c r="M473" s="152"/>
      <c r="N473" s="147"/>
      <c r="O473" s="147"/>
      <c r="P473" s="147"/>
    </row>
    <row r="474" spans="1:28" ht="15.75" thickBot="1">
      <c r="A474" s="232" t="s">
        <v>827</v>
      </c>
      <c r="B474" s="152">
        <v>21</v>
      </c>
      <c r="C474" s="152"/>
      <c r="D474" s="152"/>
      <c r="E474" s="152"/>
      <c r="F474" s="152"/>
      <c r="G474" s="152"/>
      <c r="H474" s="152"/>
      <c r="I474" s="152"/>
      <c r="J474" s="152"/>
      <c r="K474" s="152"/>
      <c r="L474" s="232" t="s">
        <v>827</v>
      </c>
      <c r="M474" s="152"/>
      <c r="N474" s="147"/>
      <c r="O474" s="147"/>
      <c r="P474" s="147"/>
    </row>
    <row r="475" spans="1:28" ht="16.5" thickBot="1">
      <c r="A475" s="175" t="s">
        <v>791</v>
      </c>
      <c r="B475" s="359">
        <f>SUM(C475:K475)+M475</f>
        <v>0</v>
      </c>
      <c r="C475" s="152">
        <f t="shared" ref="C475:I475" si="69">SUM(C461:C474)</f>
        <v>0</v>
      </c>
      <c r="D475" s="152">
        <f t="shared" si="69"/>
        <v>0</v>
      </c>
      <c r="E475" s="152">
        <f t="shared" si="69"/>
        <v>0</v>
      </c>
      <c r="F475" s="152">
        <f t="shared" si="69"/>
        <v>0</v>
      </c>
      <c r="G475" s="152">
        <f>SUM(G461:G474)</f>
        <v>0</v>
      </c>
      <c r="H475" s="152">
        <f t="shared" si="69"/>
        <v>0</v>
      </c>
      <c r="I475" s="152">
        <f t="shared" si="69"/>
        <v>0</v>
      </c>
      <c r="J475" s="152">
        <f>SUM(J461:J474)</f>
        <v>0</v>
      </c>
      <c r="K475" s="152"/>
      <c r="L475" s="175" t="s">
        <v>791</v>
      </c>
      <c r="M475" s="176">
        <f>SUM(N475:P475)</f>
        <v>0</v>
      </c>
      <c r="N475" s="147">
        <f>SUM(N461:N474)</f>
        <v>0</v>
      </c>
      <c r="O475" s="147">
        <f>SUM(O461:O474)</f>
        <v>0</v>
      </c>
      <c r="P475" s="147">
        <f>SUM(P461:P474)</f>
        <v>0</v>
      </c>
    </row>
    <row r="476" spans="1:28" ht="15.75" thickBot="1">
      <c r="AA476" s="226"/>
      <c r="AB476" s="226"/>
    </row>
    <row r="477" spans="1:28" ht="16.5" customHeight="1" thickBot="1">
      <c r="A477" s="1027" t="s">
        <v>913</v>
      </c>
      <c r="B477" s="1028"/>
      <c r="C477" s="1028"/>
      <c r="D477" s="1028"/>
      <c r="E477" s="1028"/>
      <c r="F477" s="1028"/>
      <c r="G477" s="1028"/>
      <c r="H477" s="1028"/>
      <c r="I477" s="1028"/>
      <c r="J477" s="1028"/>
      <c r="K477" s="1028"/>
      <c r="L477" s="1028"/>
      <c r="M477" s="1029"/>
      <c r="N477" s="1024" t="s">
        <v>820</v>
      </c>
      <c r="O477" s="1025"/>
      <c r="P477" s="1025"/>
      <c r="Q477" s="1025"/>
      <c r="R477" s="1026"/>
    </row>
    <row r="478" spans="1:28" ht="16.5" customHeight="1">
      <c r="A478" s="228"/>
      <c r="B478" s="247" t="s">
        <v>914</v>
      </c>
      <c r="C478" s="226" t="s">
        <v>77</v>
      </c>
      <c r="D478" s="229"/>
      <c r="E478" s="229"/>
      <c r="F478" s="226"/>
      <c r="G478" s="231"/>
      <c r="H478" s="231"/>
      <c r="I478" s="231"/>
      <c r="J478" s="267"/>
      <c r="K478" s="360"/>
      <c r="L478" s="231"/>
      <c r="M478" s="231"/>
      <c r="N478" s="228"/>
      <c r="O478" s="247"/>
      <c r="P478" s="369"/>
      <c r="Q478" s="369"/>
      <c r="R478" s="369"/>
    </row>
    <row r="479" spans="1:28" ht="16.5" customHeight="1">
      <c r="A479" s="232" t="s">
        <v>821</v>
      </c>
      <c r="B479" s="152">
        <v>22</v>
      </c>
      <c r="C479" s="152"/>
      <c r="D479" s="234"/>
      <c r="E479" s="242"/>
      <c r="F479" s="152"/>
      <c r="G479" s="264"/>
      <c r="H479" s="264"/>
      <c r="I479" s="253"/>
      <c r="J479" s="234"/>
      <c r="K479" s="259"/>
      <c r="L479" s="152"/>
      <c r="M479" s="152"/>
      <c r="N479" s="232" t="s">
        <v>821</v>
      </c>
      <c r="O479" s="152"/>
      <c r="P479" s="147"/>
      <c r="Q479" s="147"/>
      <c r="R479" s="147"/>
    </row>
    <row r="480" spans="1:28" ht="16.5" customHeight="1">
      <c r="A480" s="232" t="s">
        <v>822</v>
      </c>
      <c r="B480" s="152">
        <v>23</v>
      </c>
      <c r="C480" s="152"/>
      <c r="D480" s="234"/>
      <c r="E480" s="242"/>
      <c r="F480" s="152"/>
      <c r="G480" s="152"/>
      <c r="H480" s="152"/>
      <c r="I480" s="233"/>
      <c r="J480" s="234"/>
      <c r="K480" s="242"/>
      <c r="L480" s="152"/>
      <c r="M480" s="152"/>
      <c r="N480" s="232" t="s">
        <v>822</v>
      </c>
      <c r="O480" s="152"/>
      <c r="P480" s="147"/>
      <c r="Q480" s="147"/>
      <c r="R480" s="147"/>
    </row>
    <row r="481" spans="1:18" ht="16.5" customHeight="1">
      <c r="A481" s="232" t="s">
        <v>823</v>
      </c>
      <c r="B481" s="152">
        <v>24</v>
      </c>
      <c r="C481" s="152"/>
      <c r="D481" s="234"/>
      <c r="E481" s="242"/>
      <c r="F481" s="152"/>
      <c r="G481" s="152"/>
      <c r="H481" s="152"/>
      <c r="I481" s="233"/>
      <c r="J481" s="234"/>
      <c r="K481" s="242"/>
      <c r="L481" s="152"/>
      <c r="M481" s="152"/>
      <c r="N481" s="232" t="s">
        <v>823</v>
      </c>
      <c r="O481" s="152"/>
      <c r="P481" s="147"/>
      <c r="Q481" s="147"/>
      <c r="R481" s="147"/>
    </row>
    <row r="482" spans="1:18" ht="16.5" customHeight="1">
      <c r="A482" s="232" t="s">
        <v>824</v>
      </c>
      <c r="B482" s="152">
        <v>25</v>
      </c>
      <c r="C482" s="152"/>
      <c r="D482" s="234"/>
      <c r="E482" s="242"/>
      <c r="F482" s="152"/>
      <c r="G482" s="152"/>
      <c r="H482" s="152"/>
      <c r="I482" s="233"/>
      <c r="J482" s="234"/>
      <c r="K482" s="242"/>
      <c r="L482" s="152"/>
      <c r="M482" s="152"/>
      <c r="N482" s="232" t="s">
        <v>824</v>
      </c>
      <c r="O482" s="152"/>
      <c r="P482" s="147"/>
      <c r="Q482" s="147"/>
      <c r="R482" s="147"/>
    </row>
    <row r="483" spans="1:18" ht="16.5" customHeight="1">
      <c r="A483" s="232" t="s">
        <v>825</v>
      </c>
      <c r="B483" s="152">
        <v>26</v>
      </c>
      <c r="C483" s="152"/>
      <c r="D483" s="234"/>
      <c r="E483" s="242"/>
      <c r="F483" s="152"/>
      <c r="G483" s="152"/>
      <c r="H483" s="152"/>
      <c r="I483" s="233"/>
      <c r="J483" s="234"/>
      <c r="K483" s="242"/>
      <c r="L483" s="152"/>
      <c r="M483" s="152"/>
      <c r="N483" s="232" t="s">
        <v>825</v>
      </c>
      <c r="O483" s="152"/>
      <c r="P483" s="147"/>
      <c r="Q483" s="147"/>
      <c r="R483" s="147"/>
    </row>
    <row r="484" spans="1:18" ht="16.5" customHeight="1">
      <c r="A484" s="232" t="s">
        <v>826</v>
      </c>
      <c r="B484" s="152">
        <v>27</v>
      </c>
      <c r="C484" s="152"/>
      <c r="D484" s="234"/>
      <c r="E484" s="242"/>
      <c r="F484" s="152"/>
      <c r="G484" s="152"/>
      <c r="H484" s="152"/>
      <c r="I484" s="233"/>
      <c r="J484" s="234"/>
      <c r="K484" s="242"/>
      <c r="L484" s="152"/>
      <c r="M484" s="152"/>
      <c r="N484" s="232" t="s">
        <v>826</v>
      </c>
      <c r="O484" s="152"/>
      <c r="P484" s="147"/>
      <c r="Q484" s="147"/>
      <c r="R484" s="147"/>
    </row>
    <row r="485" spans="1:18" ht="16.5" customHeight="1">
      <c r="A485" s="232" t="s">
        <v>827</v>
      </c>
      <c r="B485" s="152">
        <v>28</v>
      </c>
      <c r="C485" s="152"/>
      <c r="D485" s="234"/>
      <c r="E485" s="242"/>
      <c r="F485" s="152"/>
      <c r="G485" s="152"/>
      <c r="H485" s="152"/>
      <c r="I485" s="233"/>
      <c r="J485" s="234"/>
      <c r="K485" s="242"/>
      <c r="L485" s="152"/>
      <c r="M485" s="152"/>
      <c r="N485" s="232" t="s">
        <v>827</v>
      </c>
      <c r="O485" s="152"/>
      <c r="P485" s="147"/>
      <c r="Q485" s="147"/>
      <c r="R485" s="147"/>
    </row>
    <row r="486" spans="1:18" ht="16.5" customHeight="1">
      <c r="A486" s="232" t="s">
        <v>821</v>
      </c>
      <c r="B486" s="152">
        <v>29</v>
      </c>
      <c r="C486" s="152"/>
      <c r="D486" s="234"/>
      <c r="E486" s="242"/>
      <c r="F486" s="152"/>
      <c r="G486" s="258"/>
      <c r="H486" s="152"/>
      <c r="I486" s="233"/>
      <c r="J486" s="234"/>
      <c r="K486" s="242"/>
      <c r="L486" s="152"/>
      <c r="M486" s="152"/>
      <c r="N486" s="232" t="s">
        <v>821</v>
      </c>
      <c r="O486" s="152"/>
      <c r="P486" s="147"/>
      <c r="Q486" s="147"/>
      <c r="R486" s="147"/>
    </row>
    <row r="487" spans="1:18" ht="16.5" customHeight="1">
      <c r="A487" s="232" t="s">
        <v>822</v>
      </c>
      <c r="B487" s="152">
        <v>30</v>
      </c>
      <c r="C487" s="152"/>
      <c r="D487" s="234"/>
      <c r="E487" s="242"/>
      <c r="F487" s="152"/>
      <c r="G487" s="258"/>
      <c r="H487" s="152"/>
      <c r="I487" s="233"/>
      <c r="J487" s="234"/>
      <c r="K487" s="242"/>
      <c r="L487" s="152"/>
      <c r="M487" s="152"/>
      <c r="N487" s="232" t="s">
        <v>822</v>
      </c>
      <c r="O487" s="152"/>
      <c r="P487" s="147"/>
      <c r="Q487" s="147"/>
      <c r="R487" s="147"/>
    </row>
    <row r="488" spans="1:18" ht="16.5" customHeight="1">
      <c r="A488" s="232" t="s">
        <v>823</v>
      </c>
      <c r="B488" s="152">
        <v>31</v>
      </c>
      <c r="C488" s="152"/>
      <c r="D488" s="234"/>
      <c r="E488" s="242"/>
      <c r="F488" s="152"/>
      <c r="G488" s="152"/>
      <c r="H488" s="152"/>
      <c r="I488" s="233"/>
      <c r="J488" s="234"/>
      <c r="K488" s="242"/>
      <c r="L488" s="152"/>
      <c r="M488" s="152"/>
      <c r="N488" s="232" t="s">
        <v>823</v>
      </c>
      <c r="O488" s="152"/>
      <c r="P488" s="147"/>
      <c r="Q488" s="147"/>
      <c r="R488" s="147"/>
    </row>
    <row r="489" spans="1:18" ht="16.5" customHeight="1">
      <c r="A489" s="232" t="s">
        <v>824</v>
      </c>
      <c r="B489" s="152">
        <v>1</v>
      </c>
      <c r="C489" s="152"/>
      <c r="D489" s="234"/>
      <c r="E489" s="242"/>
      <c r="F489" s="152"/>
      <c r="G489" s="152"/>
      <c r="H489" s="152"/>
      <c r="I489" s="233"/>
      <c r="J489" s="234"/>
      <c r="K489" s="242"/>
      <c r="L489" s="152"/>
      <c r="M489" s="152"/>
      <c r="N489" s="232" t="s">
        <v>824</v>
      </c>
      <c r="O489" s="152"/>
      <c r="P489" s="147"/>
      <c r="Q489" s="147"/>
      <c r="R489" s="147"/>
    </row>
    <row r="490" spans="1:18" ht="16.5" customHeight="1">
      <c r="A490" s="232" t="s">
        <v>825</v>
      </c>
      <c r="B490" s="152">
        <v>2</v>
      </c>
      <c r="C490" s="152"/>
      <c r="D490" s="234"/>
      <c r="E490" s="242"/>
      <c r="F490" s="258"/>
      <c r="G490" s="258"/>
      <c r="H490" s="152"/>
      <c r="I490" s="233"/>
      <c r="J490" s="234"/>
      <c r="K490" s="242"/>
      <c r="L490" s="152"/>
      <c r="M490" s="152"/>
      <c r="N490" s="232" t="s">
        <v>825</v>
      </c>
      <c r="O490" s="152"/>
      <c r="P490" s="147"/>
      <c r="Q490" s="147"/>
      <c r="R490" s="147"/>
    </row>
    <row r="491" spans="1:18" ht="16.5" customHeight="1">
      <c r="A491" s="232" t="s">
        <v>826</v>
      </c>
      <c r="B491" s="152">
        <v>3</v>
      </c>
      <c r="C491" s="152"/>
      <c r="D491" s="234"/>
      <c r="E491" s="242"/>
      <c r="F491" s="258"/>
      <c r="G491" s="152"/>
      <c r="H491" s="152"/>
      <c r="I491" s="233"/>
      <c r="J491" s="234"/>
      <c r="K491" s="242"/>
      <c r="L491" s="152"/>
      <c r="M491" s="152"/>
      <c r="N491" s="232" t="s">
        <v>826</v>
      </c>
      <c r="O491" s="152"/>
      <c r="P491" s="147"/>
      <c r="Q491" s="147"/>
      <c r="R491" s="147"/>
    </row>
    <row r="492" spans="1:18" ht="16.5" customHeight="1" thickBot="1">
      <c r="A492" s="232" t="s">
        <v>827</v>
      </c>
      <c r="B492" s="152">
        <v>4</v>
      </c>
      <c r="C492" s="152"/>
      <c r="D492" s="234"/>
      <c r="E492" s="329"/>
      <c r="F492" s="152"/>
      <c r="G492" s="152"/>
      <c r="H492" s="152"/>
      <c r="I492" s="233"/>
      <c r="J492" s="234"/>
      <c r="K492" s="242"/>
      <c r="L492" s="152"/>
      <c r="M492" s="152"/>
      <c r="N492" s="232" t="s">
        <v>827</v>
      </c>
      <c r="O492" s="152"/>
      <c r="P492" s="147"/>
      <c r="Q492" s="147"/>
      <c r="R492" s="147"/>
    </row>
    <row r="493" spans="1:18" ht="16.5" customHeight="1" thickBot="1">
      <c r="A493" s="175" t="s">
        <v>791</v>
      </c>
      <c r="B493" s="176">
        <f>SUM(C493:M493)+O493</f>
        <v>0</v>
      </c>
      <c r="C493" s="238">
        <f t="shared" ref="C493:J493" si="70">SUM(C479:C492)</f>
        <v>0</v>
      </c>
      <c r="D493" s="238">
        <f t="shared" si="70"/>
        <v>0</v>
      </c>
      <c r="E493" s="238">
        <f t="shared" si="70"/>
        <v>0</v>
      </c>
      <c r="F493" s="238">
        <f t="shared" si="70"/>
        <v>0</v>
      </c>
      <c r="G493" s="238">
        <f t="shared" si="70"/>
        <v>0</v>
      </c>
      <c r="H493" s="238">
        <f t="shared" si="70"/>
        <v>0</v>
      </c>
      <c r="I493" s="238">
        <f t="shared" si="70"/>
        <v>0</v>
      </c>
      <c r="J493" s="238">
        <f t="shared" si="70"/>
        <v>0</v>
      </c>
      <c r="K493" s="261">
        <f>SUM(K479:K492)</f>
        <v>0</v>
      </c>
      <c r="L493" s="261">
        <f>SUM(L479:L492)</f>
        <v>0</v>
      </c>
      <c r="M493" s="261">
        <f>SUM(M479:M492)</f>
        <v>0</v>
      </c>
      <c r="N493" s="175" t="s">
        <v>791</v>
      </c>
      <c r="O493" s="176">
        <f>SUM(P493:R493)</f>
        <v>0</v>
      </c>
      <c r="P493" s="147">
        <f>SUM(P479:P492)</f>
        <v>0</v>
      </c>
      <c r="Q493" s="147">
        <f>SUM(Q479:Q492)</f>
        <v>0</v>
      </c>
      <c r="R493" s="147">
        <f>SUM(R479:R492)</f>
        <v>0</v>
      </c>
    </row>
    <row r="494" spans="1:18" ht="16.5" customHeight="1" thickBot="1">
      <c r="A494" s="220"/>
      <c r="B494" s="453"/>
      <c r="C494" s="329"/>
      <c r="D494" s="329"/>
      <c r="E494" s="329"/>
      <c r="F494" s="329"/>
      <c r="G494" s="329"/>
      <c r="H494" s="329"/>
      <c r="I494" s="329"/>
      <c r="J494" s="329"/>
      <c r="K494" s="329"/>
      <c r="L494" s="329"/>
      <c r="M494" s="329"/>
      <c r="N494" s="220"/>
      <c r="O494" s="453"/>
      <c r="P494" s="406"/>
      <c r="Q494" s="406"/>
      <c r="R494" s="406"/>
    </row>
    <row r="495" spans="1:18" ht="16.5" customHeight="1" thickBot="1">
      <c r="A495" s="1027" t="s">
        <v>205</v>
      </c>
      <c r="B495" s="1028"/>
      <c r="C495" s="1028"/>
      <c r="D495" s="1028"/>
      <c r="E495" s="1028"/>
      <c r="F495" s="1028"/>
      <c r="G495" s="1028"/>
      <c r="H495" s="1028"/>
      <c r="I495" s="1028"/>
      <c r="J495" s="1028"/>
      <c r="K495" s="1028"/>
      <c r="L495" s="1028"/>
      <c r="M495" s="1029"/>
      <c r="N495" s="1024" t="s">
        <v>820</v>
      </c>
      <c r="O495" s="1025"/>
      <c r="P495" s="1025"/>
      <c r="Q495" s="1025"/>
      <c r="R495" s="1026"/>
    </row>
    <row r="496" spans="1:18" ht="93">
      <c r="A496" s="228"/>
      <c r="B496" s="247" t="s">
        <v>914</v>
      </c>
      <c r="C496" s="245" t="s">
        <v>486</v>
      </c>
      <c r="D496" s="245" t="s">
        <v>915</v>
      </c>
      <c r="E496" s="245" t="s">
        <v>916</v>
      </c>
      <c r="F496" s="361"/>
      <c r="G496" s="226"/>
      <c r="H496" s="362"/>
      <c r="I496" s="362"/>
      <c r="J496" s="362"/>
      <c r="K496" s="226"/>
      <c r="L496" s="363"/>
      <c r="M496" s="362"/>
      <c r="N496" s="228"/>
      <c r="O496" s="247"/>
      <c r="P496" s="369"/>
      <c r="Q496" s="369"/>
      <c r="R496" s="369"/>
    </row>
    <row r="497" spans="1:28" ht="16.5" customHeight="1">
      <c r="A497" s="232" t="s">
        <v>821</v>
      </c>
      <c r="B497" s="152">
        <v>22</v>
      </c>
      <c r="C497" s="152"/>
      <c r="D497" s="152"/>
      <c r="E497" s="152"/>
      <c r="F497" s="152"/>
      <c r="G497" s="152"/>
      <c r="H497" s="152"/>
      <c r="I497" s="152"/>
      <c r="J497" s="152"/>
      <c r="K497" s="152"/>
      <c r="L497" s="152"/>
      <c r="M497" s="152"/>
      <c r="N497" s="232" t="s">
        <v>821</v>
      </c>
      <c r="O497" s="152"/>
      <c r="P497" s="147"/>
      <c r="Q497" s="147"/>
      <c r="R497" s="147"/>
    </row>
    <row r="498" spans="1:28" ht="16.5" customHeight="1">
      <c r="A498" s="232" t="s">
        <v>822</v>
      </c>
      <c r="B498" s="152">
        <v>23</v>
      </c>
      <c r="C498" s="152"/>
      <c r="D498" s="152"/>
      <c r="E498" s="152"/>
      <c r="F498" s="152"/>
      <c r="G498" s="152"/>
      <c r="H498" s="152"/>
      <c r="I498" s="152"/>
      <c r="J498" s="152"/>
      <c r="K498" s="152"/>
      <c r="L498" s="152"/>
      <c r="M498" s="152"/>
      <c r="N498" s="232" t="s">
        <v>822</v>
      </c>
      <c r="O498" s="152"/>
      <c r="P498" s="147"/>
      <c r="Q498" s="147"/>
      <c r="R498" s="147"/>
    </row>
    <row r="499" spans="1:28" ht="16.5" customHeight="1">
      <c r="A499" s="232" t="s">
        <v>823</v>
      </c>
      <c r="B499" s="152">
        <v>24</v>
      </c>
      <c r="C499" s="152"/>
      <c r="D499" s="152"/>
      <c r="E499" s="152"/>
      <c r="F499" s="152"/>
      <c r="G499" s="152"/>
      <c r="H499" s="152"/>
      <c r="I499" s="152"/>
      <c r="J499" s="152"/>
      <c r="K499" s="152"/>
      <c r="L499" s="152"/>
      <c r="M499" s="152"/>
      <c r="N499" s="232" t="s">
        <v>823</v>
      </c>
      <c r="O499" s="152"/>
      <c r="P499" s="147"/>
      <c r="Q499" s="147"/>
      <c r="R499" s="147"/>
    </row>
    <row r="500" spans="1:28" ht="16.5" customHeight="1">
      <c r="A500" s="232" t="s">
        <v>824</v>
      </c>
      <c r="B500" s="152">
        <v>25</v>
      </c>
      <c r="C500" s="152"/>
      <c r="D500" s="152"/>
      <c r="E500" s="152"/>
      <c r="F500" s="152"/>
      <c r="G500" s="152"/>
      <c r="H500" s="152"/>
      <c r="I500" s="152"/>
      <c r="J500" s="152"/>
      <c r="K500" s="152"/>
      <c r="L500" s="152"/>
      <c r="M500" s="152"/>
      <c r="N500" s="232" t="s">
        <v>824</v>
      </c>
      <c r="O500" s="152"/>
      <c r="P500" s="147"/>
      <c r="Q500" s="147"/>
      <c r="R500" s="147"/>
    </row>
    <row r="501" spans="1:28" ht="16.5" customHeight="1">
      <c r="A501" s="232" t="s">
        <v>825</v>
      </c>
      <c r="B501" s="152">
        <v>26</v>
      </c>
      <c r="C501" s="152"/>
      <c r="D501" s="152"/>
      <c r="E501" s="152"/>
      <c r="F501" s="152"/>
      <c r="G501" s="152"/>
      <c r="H501" s="152"/>
      <c r="I501" s="152"/>
      <c r="J501" s="152"/>
      <c r="K501" s="152"/>
      <c r="L501" s="152"/>
      <c r="M501" s="152"/>
      <c r="N501" s="232" t="s">
        <v>825</v>
      </c>
      <c r="O501" s="152"/>
      <c r="P501" s="147"/>
      <c r="Q501" s="147"/>
      <c r="R501" s="147"/>
    </row>
    <row r="502" spans="1:28" ht="16.5" customHeight="1">
      <c r="A502" s="232" t="s">
        <v>826</v>
      </c>
      <c r="B502" s="152">
        <v>27</v>
      </c>
      <c r="C502" s="152"/>
      <c r="D502" s="152"/>
      <c r="E502" s="152"/>
      <c r="F502" s="152"/>
      <c r="G502" s="152"/>
      <c r="H502" s="152"/>
      <c r="I502" s="152"/>
      <c r="J502" s="152"/>
      <c r="K502" s="152"/>
      <c r="L502" s="152"/>
      <c r="M502" s="152"/>
      <c r="N502" s="232" t="s">
        <v>826</v>
      </c>
      <c r="O502" s="152"/>
      <c r="P502" s="147"/>
      <c r="Q502" s="147"/>
      <c r="R502" s="147"/>
    </row>
    <row r="503" spans="1:28" ht="16.5" customHeight="1">
      <c r="A503" s="232" t="s">
        <v>827</v>
      </c>
      <c r="B503" s="152">
        <v>28</v>
      </c>
      <c r="C503" s="152"/>
      <c r="D503" s="152"/>
      <c r="E503" s="152"/>
      <c r="F503" s="152"/>
      <c r="G503" s="152"/>
      <c r="H503" s="152"/>
      <c r="I503" s="152"/>
      <c r="J503" s="152"/>
      <c r="K503" s="152"/>
      <c r="L503" s="152"/>
      <c r="M503" s="152"/>
      <c r="N503" s="232" t="s">
        <v>827</v>
      </c>
      <c r="O503" s="152"/>
      <c r="P503" s="147"/>
      <c r="Q503" s="147"/>
      <c r="R503" s="147"/>
    </row>
    <row r="504" spans="1:28" ht="16.5" customHeight="1">
      <c r="A504" s="232" t="s">
        <v>821</v>
      </c>
      <c r="B504" s="152">
        <v>29</v>
      </c>
      <c r="C504" s="152"/>
      <c r="D504" s="152"/>
      <c r="E504" s="152"/>
      <c r="F504" s="152"/>
      <c r="G504" s="152"/>
      <c r="H504" s="258"/>
      <c r="I504" s="152"/>
      <c r="J504" s="152"/>
      <c r="K504" s="152"/>
      <c r="L504" s="152"/>
      <c r="M504" s="152"/>
      <c r="N504" s="232" t="s">
        <v>821</v>
      </c>
      <c r="O504" s="152"/>
      <c r="P504" s="147"/>
      <c r="Q504" s="147"/>
      <c r="R504" s="147"/>
    </row>
    <row r="505" spans="1:28" ht="16.5" customHeight="1">
      <c r="A505" s="232" t="s">
        <v>822</v>
      </c>
      <c r="B505" s="152">
        <v>30</v>
      </c>
      <c r="C505" s="152"/>
      <c r="D505" s="152"/>
      <c r="E505" s="152"/>
      <c r="F505" s="152"/>
      <c r="G505" s="152"/>
      <c r="H505" s="258"/>
      <c r="I505" s="152"/>
      <c r="J505" s="152"/>
      <c r="K505" s="152"/>
      <c r="L505" s="152"/>
      <c r="M505" s="152"/>
      <c r="N505" s="232" t="s">
        <v>822</v>
      </c>
      <c r="O505" s="152"/>
      <c r="P505" s="147"/>
      <c r="Q505" s="147"/>
      <c r="R505" s="147"/>
    </row>
    <row r="506" spans="1:28" ht="16.5" customHeight="1">
      <c r="A506" s="232" t="s">
        <v>823</v>
      </c>
      <c r="B506" s="152">
        <v>31</v>
      </c>
      <c r="C506" s="152"/>
      <c r="D506" s="152"/>
      <c r="E506" s="152"/>
      <c r="F506" s="152"/>
      <c r="G506" s="152"/>
      <c r="H506" s="152"/>
      <c r="I506" s="152"/>
      <c r="J506" s="152"/>
      <c r="K506" s="152"/>
      <c r="L506" s="152"/>
      <c r="M506" s="152"/>
      <c r="N506" s="232" t="s">
        <v>823</v>
      </c>
      <c r="O506" s="152"/>
      <c r="P506" s="147"/>
      <c r="Q506" s="147"/>
      <c r="R506" s="147"/>
    </row>
    <row r="507" spans="1:28" ht="16.5" customHeight="1">
      <c r="A507" s="232" t="s">
        <v>824</v>
      </c>
      <c r="B507" s="152">
        <v>1</v>
      </c>
      <c r="C507" s="152"/>
      <c r="D507" s="152"/>
      <c r="E507" s="152"/>
      <c r="F507" s="152"/>
      <c r="G507" s="152"/>
      <c r="H507" s="152"/>
      <c r="I507" s="152"/>
      <c r="J507" s="152"/>
      <c r="K507" s="152"/>
      <c r="L507" s="152"/>
      <c r="M507" s="152"/>
      <c r="N507" s="232" t="s">
        <v>824</v>
      </c>
      <c r="O507" s="152"/>
      <c r="P507" s="147"/>
      <c r="Q507" s="147"/>
      <c r="R507" s="147"/>
    </row>
    <row r="508" spans="1:28" ht="16.5" customHeight="1">
      <c r="A508" s="232" t="s">
        <v>825</v>
      </c>
      <c r="B508" s="152">
        <v>2</v>
      </c>
      <c r="C508" s="152"/>
      <c r="D508" s="152"/>
      <c r="E508" s="152"/>
      <c r="F508" s="152"/>
      <c r="G508" s="258"/>
      <c r="H508" s="258"/>
      <c r="I508" s="152"/>
      <c r="J508" s="152"/>
      <c r="K508" s="152"/>
      <c r="L508" s="152"/>
      <c r="M508" s="152"/>
      <c r="N508" s="232" t="s">
        <v>825</v>
      </c>
      <c r="O508" s="152"/>
      <c r="P508" s="147"/>
      <c r="Q508" s="147"/>
      <c r="R508" s="147"/>
    </row>
    <row r="509" spans="1:28" ht="16.5" customHeight="1">
      <c r="A509" s="232" t="s">
        <v>826</v>
      </c>
      <c r="B509" s="152">
        <v>3</v>
      </c>
      <c r="C509" s="152"/>
      <c r="D509" s="152"/>
      <c r="E509" s="152"/>
      <c r="F509" s="152"/>
      <c r="G509" s="258"/>
      <c r="H509" s="152"/>
      <c r="I509" s="152"/>
      <c r="J509" s="152"/>
      <c r="K509" s="152"/>
      <c r="L509" s="152"/>
      <c r="M509" s="152"/>
      <c r="N509" s="232" t="s">
        <v>826</v>
      </c>
      <c r="O509" s="152"/>
      <c r="P509" s="147"/>
      <c r="Q509" s="147"/>
      <c r="R509" s="147"/>
    </row>
    <row r="510" spans="1:28" ht="16.5" customHeight="1" thickBot="1">
      <c r="A510" s="232" t="s">
        <v>827</v>
      </c>
      <c r="B510" s="152">
        <v>4</v>
      </c>
      <c r="C510" s="152"/>
      <c r="D510" s="152"/>
      <c r="E510" s="152"/>
      <c r="F510" s="152"/>
      <c r="G510" s="152"/>
      <c r="H510" s="152"/>
      <c r="I510" s="152"/>
      <c r="J510" s="152"/>
      <c r="K510" s="152"/>
      <c r="L510" s="152"/>
      <c r="M510" s="152"/>
      <c r="N510" s="232" t="s">
        <v>827</v>
      </c>
      <c r="O510" s="152"/>
      <c r="P510" s="147"/>
      <c r="Q510" s="147"/>
      <c r="R510" s="147"/>
    </row>
    <row r="511" spans="1:28" ht="16.5" customHeight="1" thickBot="1">
      <c r="A511" s="175" t="s">
        <v>791</v>
      </c>
      <c r="B511" s="359">
        <f>SUM(C511:M511)+O511</f>
        <v>0</v>
      </c>
      <c r="C511" s="152">
        <f t="shared" ref="C511:M511" si="71">SUM(C497:C510)</f>
        <v>0</v>
      </c>
      <c r="D511" s="152">
        <f t="shared" si="71"/>
        <v>0</v>
      </c>
      <c r="E511" s="152">
        <f t="shared" si="71"/>
        <v>0</v>
      </c>
      <c r="F511" s="152">
        <f t="shared" si="71"/>
        <v>0</v>
      </c>
      <c r="G511" s="152">
        <f t="shared" si="71"/>
        <v>0</v>
      </c>
      <c r="H511" s="152">
        <f t="shared" si="71"/>
        <v>0</v>
      </c>
      <c r="I511" s="152">
        <f t="shared" si="71"/>
        <v>0</v>
      </c>
      <c r="J511" s="152">
        <f t="shared" si="71"/>
        <v>0</v>
      </c>
      <c r="K511" s="152">
        <f t="shared" si="71"/>
        <v>0</v>
      </c>
      <c r="L511" s="152">
        <f t="shared" si="71"/>
        <v>0</v>
      </c>
      <c r="M511" s="152">
        <f t="shared" si="71"/>
        <v>0</v>
      </c>
      <c r="N511" s="175" t="s">
        <v>791</v>
      </c>
      <c r="O511" s="176">
        <f>SUM(P511:R511)</f>
        <v>0</v>
      </c>
      <c r="P511" s="147">
        <f>SUM(P497:P510)</f>
        <v>0</v>
      </c>
      <c r="Q511" s="147">
        <f>SUM(Q497:Q510)</f>
        <v>0</v>
      </c>
      <c r="R511" s="147">
        <f>SUM(R497:R510)</f>
        <v>0</v>
      </c>
      <c r="W511" s="246"/>
    </row>
    <row r="512" spans="1:28" ht="16.5" customHeight="1">
      <c r="AB512" s="226"/>
    </row>
    <row r="513" spans="1:18" s="451" customFormat="1" ht="15.75" thickBot="1"/>
    <row r="514" spans="1:18" ht="15.75" thickBot="1">
      <c r="A514" s="1027" t="s">
        <v>682</v>
      </c>
      <c r="B514" s="1028"/>
      <c r="C514" s="1028"/>
      <c r="D514" s="1028"/>
      <c r="E514" s="1028"/>
      <c r="F514" s="1028"/>
      <c r="G514" s="1028"/>
      <c r="H514" s="1028"/>
      <c r="I514" s="1028"/>
      <c r="J514" s="1028"/>
      <c r="K514" s="1028"/>
      <c r="L514" s="1028"/>
      <c r="M514" s="1029"/>
      <c r="N514" s="1024" t="s">
        <v>820</v>
      </c>
      <c r="O514" s="1025"/>
      <c r="P514" s="1025"/>
      <c r="Q514" s="1025"/>
      <c r="R514" s="1026"/>
    </row>
    <row r="515" spans="1:18">
      <c r="A515" s="228"/>
      <c r="B515" s="247"/>
      <c r="C515" s="229"/>
      <c r="D515" s="229"/>
      <c r="E515" s="229"/>
      <c r="F515" s="229"/>
      <c r="G515" s="229"/>
      <c r="H515" s="226"/>
      <c r="I515" s="231"/>
      <c r="J515" s="231"/>
      <c r="K515" s="231"/>
      <c r="L515" s="267"/>
      <c r="M515" s="231"/>
      <c r="N515" s="228"/>
      <c r="O515" s="247"/>
      <c r="P515" s="369"/>
      <c r="Q515" s="369"/>
      <c r="R515" s="369"/>
    </row>
    <row r="516" spans="1:18">
      <c r="A516" s="232" t="s">
        <v>821</v>
      </c>
      <c r="B516" s="152"/>
      <c r="C516" s="234"/>
      <c r="D516" s="234"/>
      <c r="E516" s="234"/>
      <c r="F516" s="234"/>
      <c r="G516" s="242"/>
      <c r="H516" s="152"/>
      <c r="I516" s="264"/>
      <c r="J516" s="264"/>
      <c r="K516" s="253"/>
      <c r="L516" s="242"/>
      <c r="M516" s="152"/>
      <c r="N516" s="232" t="s">
        <v>821</v>
      </c>
      <c r="O516" s="152"/>
      <c r="P516" s="147"/>
      <c r="Q516" s="147"/>
      <c r="R516" s="147"/>
    </row>
    <row r="517" spans="1:18">
      <c r="A517" s="232" t="s">
        <v>822</v>
      </c>
      <c r="B517" s="152"/>
      <c r="C517" s="234"/>
      <c r="D517" s="234"/>
      <c r="E517" s="234"/>
      <c r="F517" s="234"/>
      <c r="G517" s="242"/>
      <c r="H517" s="152"/>
      <c r="I517" s="152"/>
      <c r="J517" s="152"/>
      <c r="K517" s="233"/>
      <c r="L517" s="242"/>
      <c r="M517" s="152"/>
      <c r="N517" s="232" t="s">
        <v>822</v>
      </c>
      <c r="O517" s="152"/>
      <c r="P517" s="147"/>
      <c r="Q517" s="147"/>
      <c r="R517" s="147"/>
    </row>
    <row r="518" spans="1:18">
      <c r="A518" s="232" t="s">
        <v>823</v>
      </c>
      <c r="B518" s="152"/>
      <c r="C518" s="234"/>
      <c r="D518" s="234"/>
      <c r="E518" s="234"/>
      <c r="F518" s="234"/>
      <c r="G518" s="242"/>
      <c r="H518" s="152"/>
      <c r="I518" s="152"/>
      <c r="J518" s="152"/>
      <c r="K518" s="233"/>
      <c r="L518" s="242"/>
      <c r="M518" s="152"/>
      <c r="N518" s="232" t="s">
        <v>823</v>
      </c>
      <c r="O518" s="152"/>
      <c r="P518" s="147"/>
      <c r="Q518" s="147"/>
      <c r="R518" s="147"/>
    </row>
    <row r="519" spans="1:18">
      <c r="A519" s="232" t="s">
        <v>824</v>
      </c>
      <c r="B519" s="152"/>
      <c r="C519" s="234"/>
      <c r="D519" s="234"/>
      <c r="E519" s="234"/>
      <c r="F519" s="234"/>
      <c r="G519" s="242"/>
      <c r="H519" s="152"/>
      <c r="I519" s="152"/>
      <c r="J519" s="152"/>
      <c r="K519" s="233"/>
      <c r="L519" s="242"/>
      <c r="M519" s="152"/>
      <c r="N519" s="232" t="s">
        <v>824</v>
      </c>
      <c r="O519" s="152"/>
      <c r="P519" s="147"/>
      <c r="Q519" s="147"/>
      <c r="R519" s="147"/>
    </row>
    <row r="520" spans="1:18">
      <c r="A520" s="232" t="s">
        <v>825</v>
      </c>
      <c r="B520" s="152"/>
      <c r="C520" s="234"/>
      <c r="D520" s="234"/>
      <c r="E520" s="234"/>
      <c r="F520" s="234"/>
      <c r="G520" s="242"/>
      <c r="H520" s="152"/>
      <c r="I520" s="152"/>
      <c r="J520" s="152"/>
      <c r="K520" s="233"/>
      <c r="L520" s="242"/>
      <c r="M520" s="152"/>
      <c r="N520" s="232" t="s">
        <v>825</v>
      </c>
      <c r="O520" s="152"/>
      <c r="P520" s="147"/>
      <c r="Q520" s="147"/>
      <c r="R520" s="147"/>
    </row>
    <row r="521" spans="1:18">
      <c r="A521" s="232" t="s">
        <v>826</v>
      </c>
      <c r="B521" s="152"/>
      <c r="C521" s="234"/>
      <c r="D521" s="234"/>
      <c r="E521" s="234"/>
      <c r="F521" s="234"/>
      <c r="G521" s="242"/>
      <c r="H521" s="152"/>
      <c r="I521" s="152"/>
      <c r="J521" s="152"/>
      <c r="K521" s="233"/>
      <c r="L521" s="242"/>
      <c r="M521" s="152"/>
      <c r="N521" s="232" t="s">
        <v>826</v>
      </c>
      <c r="O521" s="152"/>
      <c r="P521" s="147"/>
      <c r="Q521" s="147"/>
      <c r="R521" s="147"/>
    </row>
    <row r="522" spans="1:18">
      <c r="A522" s="232" t="s">
        <v>827</v>
      </c>
      <c r="B522" s="152"/>
      <c r="C522" s="234"/>
      <c r="D522" s="234"/>
      <c r="E522" s="234"/>
      <c r="F522" s="234"/>
      <c r="G522" s="242"/>
      <c r="H522" s="152"/>
      <c r="I522" s="152"/>
      <c r="J522" s="152"/>
      <c r="K522" s="233"/>
      <c r="L522" s="242"/>
      <c r="M522" s="152"/>
      <c r="N522" s="232" t="s">
        <v>827</v>
      </c>
      <c r="O522" s="152"/>
      <c r="P522" s="147"/>
      <c r="Q522" s="147"/>
      <c r="R522" s="147"/>
    </row>
    <row r="523" spans="1:18">
      <c r="A523" s="232" t="s">
        <v>821</v>
      </c>
      <c r="B523" s="152"/>
      <c r="C523" s="234"/>
      <c r="D523" s="234"/>
      <c r="E523" s="234"/>
      <c r="F523" s="234"/>
      <c r="G523" s="242"/>
      <c r="H523" s="152"/>
      <c r="I523" s="258"/>
      <c r="J523" s="152"/>
      <c r="K523" s="233"/>
      <c r="L523" s="242"/>
      <c r="M523" s="152"/>
      <c r="N523" s="232" t="s">
        <v>821</v>
      </c>
      <c r="O523" s="152"/>
      <c r="P523" s="147"/>
      <c r="Q523" s="147"/>
      <c r="R523" s="147"/>
    </row>
    <row r="524" spans="1:18">
      <c r="A524" s="232" t="s">
        <v>822</v>
      </c>
      <c r="B524" s="152"/>
      <c r="C524" s="233"/>
      <c r="D524" s="234"/>
      <c r="E524" s="234"/>
      <c r="F524" s="234"/>
      <c r="G524" s="242"/>
      <c r="H524" s="152"/>
      <c r="I524" s="258"/>
      <c r="J524" s="152"/>
      <c r="K524" s="233"/>
      <c r="L524" s="242"/>
      <c r="M524" s="152"/>
      <c r="N524" s="232" t="s">
        <v>822</v>
      </c>
      <c r="O524" s="152"/>
      <c r="P524" s="147"/>
      <c r="Q524" s="147"/>
      <c r="R524" s="147"/>
    </row>
    <row r="525" spans="1:18">
      <c r="A525" s="232" t="s">
        <v>823</v>
      </c>
      <c r="B525" s="152"/>
      <c r="C525" s="234"/>
      <c r="D525" s="234"/>
      <c r="E525" s="234"/>
      <c r="F525" s="234"/>
      <c r="G525" s="242"/>
      <c r="H525" s="152"/>
      <c r="I525" s="152"/>
      <c r="J525" s="152"/>
      <c r="K525" s="233"/>
      <c r="L525" s="242"/>
      <c r="M525" s="152"/>
      <c r="N525" s="232" t="s">
        <v>823</v>
      </c>
      <c r="O525" s="152"/>
      <c r="P525" s="147"/>
      <c r="Q525" s="147"/>
      <c r="R525" s="147"/>
    </row>
    <row r="526" spans="1:18">
      <c r="A526" s="232" t="s">
        <v>824</v>
      </c>
      <c r="B526" s="152"/>
      <c r="C526" s="234"/>
      <c r="D526" s="234"/>
      <c r="E526" s="234"/>
      <c r="F526" s="234"/>
      <c r="G526" s="242"/>
      <c r="H526" s="152"/>
      <c r="I526" s="152"/>
      <c r="J526" s="152"/>
      <c r="K526" s="233"/>
      <c r="L526" s="242"/>
      <c r="M526" s="152"/>
      <c r="N526" s="232" t="s">
        <v>824</v>
      </c>
      <c r="O526" s="152"/>
      <c r="P526" s="147"/>
      <c r="Q526" s="147"/>
      <c r="R526" s="147"/>
    </row>
    <row r="527" spans="1:18">
      <c r="A527" s="232" t="s">
        <v>825</v>
      </c>
      <c r="B527" s="152"/>
      <c r="C527" s="234"/>
      <c r="D527" s="234"/>
      <c r="E527" s="233"/>
      <c r="F527" s="234"/>
      <c r="G527" s="242"/>
      <c r="H527" s="258"/>
      <c r="I527" s="258"/>
      <c r="J527" s="152"/>
      <c r="K527" s="233"/>
      <c r="L527" s="242"/>
      <c r="M527" s="152"/>
      <c r="N527" s="232" t="s">
        <v>825</v>
      </c>
      <c r="O527" s="152"/>
      <c r="P527" s="147"/>
      <c r="Q527" s="147"/>
      <c r="R527" s="147"/>
    </row>
    <row r="528" spans="1:18">
      <c r="A528" s="232" t="s">
        <v>826</v>
      </c>
      <c r="B528" s="152"/>
      <c r="C528" s="234"/>
      <c r="D528" s="234"/>
      <c r="E528" s="234"/>
      <c r="F528" s="234"/>
      <c r="G528" s="242"/>
      <c r="H528" s="258"/>
      <c r="I528" s="152"/>
      <c r="J528" s="152"/>
      <c r="K528" s="233"/>
      <c r="L528" s="242"/>
      <c r="M528" s="152"/>
      <c r="N528" s="232" t="s">
        <v>826</v>
      </c>
      <c r="O528" s="152"/>
      <c r="P528" s="147"/>
      <c r="Q528" s="147"/>
      <c r="R528" s="147"/>
    </row>
    <row r="529" spans="1:18" ht="15.75" thickBot="1">
      <c r="A529" s="232" t="s">
        <v>827</v>
      </c>
      <c r="B529" s="152"/>
      <c r="C529" s="234"/>
      <c r="D529" s="234"/>
      <c r="E529" s="234"/>
      <c r="F529" s="234"/>
      <c r="G529" s="329"/>
      <c r="H529" s="152"/>
      <c r="I529" s="152"/>
      <c r="J529" s="152"/>
      <c r="K529" s="233"/>
      <c r="L529" s="242"/>
      <c r="M529" s="152"/>
      <c r="N529" s="232" t="s">
        <v>827</v>
      </c>
      <c r="O529" s="152"/>
      <c r="P529" s="147"/>
      <c r="Q529" s="147"/>
      <c r="R529" s="147"/>
    </row>
    <row r="530" spans="1:18" ht="16.5" thickBot="1">
      <c r="A530" s="175" t="s">
        <v>791</v>
      </c>
      <c r="B530" s="176">
        <f>SUM(C530:M530)+O530</f>
        <v>0</v>
      </c>
      <c r="C530" s="238">
        <f t="shared" ref="C530:L530" si="72">SUM(C516:C529)</f>
        <v>0</v>
      </c>
      <c r="D530" s="238">
        <f t="shared" si="72"/>
        <v>0</v>
      </c>
      <c r="E530" s="238">
        <f t="shared" si="72"/>
        <v>0</v>
      </c>
      <c r="F530" s="238">
        <f t="shared" si="72"/>
        <v>0</v>
      </c>
      <c r="G530" s="238">
        <f t="shared" si="72"/>
        <v>0</v>
      </c>
      <c r="H530" s="238">
        <f t="shared" si="72"/>
        <v>0</v>
      </c>
      <c r="I530" s="238">
        <f t="shared" si="72"/>
        <v>0</v>
      </c>
      <c r="J530" s="238">
        <f t="shared" si="72"/>
        <v>0</v>
      </c>
      <c r="K530" s="238">
        <f t="shared" si="72"/>
        <v>0</v>
      </c>
      <c r="L530" s="238">
        <f t="shared" si="72"/>
        <v>0</v>
      </c>
      <c r="M530" s="152">
        <f>SUM(M516:M529)</f>
        <v>0</v>
      </c>
      <c r="N530" s="175" t="s">
        <v>791</v>
      </c>
      <c r="O530" s="176">
        <f>SUM(P530:R530)</f>
        <v>0</v>
      </c>
      <c r="P530" s="147">
        <f>SUM(P516:P529)</f>
        <v>0</v>
      </c>
      <c r="Q530" s="147">
        <f>SUM(Q516:Q529)</f>
        <v>0</v>
      </c>
      <c r="R530" s="147">
        <f>SUM(R516:R529)</f>
        <v>0</v>
      </c>
    </row>
    <row r="531" spans="1:18" ht="16.5" thickBot="1">
      <c r="A531" s="220"/>
      <c r="B531" s="453"/>
      <c r="C531" s="329"/>
      <c r="D531" s="329"/>
      <c r="E531" s="329"/>
      <c r="F531" s="329"/>
      <c r="G531" s="329"/>
      <c r="H531" s="329"/>
      <c r="I531" s="329"/>
      <c r="J531" s="329"/>
      <c r="K531" s="329"/>
      <c r="L531" s="329"/>
      <c r="M531" s="329"/>
      <c r="N531" s="220"/>
      <c r="O531" s="453"/>
      <c r="P531" s="406"/>
      <c r="Q531" s="406"/>
      <c r="R531" s="406"/>
    </row>
    <row r="532" spans="1:18" ht="15.75" thickBot="1">
      <c r="A532" s="1027" t="s">
        <v>917</v>
      </c>
      <c r="B532" s="1028"/>
      <c r="C532" s="1028"/>
      <c r="D532" s="1028"/>
      <c r="E532" s="1028"/>
      <c r="F532" s="1028"/>
      <c r="G532" s="1028"/>
      <c r="H532" s="1028"/>
      <c r="I532" s="1028"/>
      <c r="J532" s="1028"/>
      <c r="K532" s="1028"/>
      <c r="L532" s="1028"/>
      <c r="M532" s="1029"/>
      <c r="N532" s="1024" t="s">
        <v>820</v>
      </c>
      <c r="O532" s="1025"/>
      <c r="P532" s="1025"/>
      <c r="Q532" s="1025"/>
      <c r="R532" s="1026"/>
    </row>
    <row r="533" spans="1:18" ht="54">
      <c r="A533" s="228"/>
      <c r="B533" s="247" t="s">
        <v>918</v>
      </c>
      <c r="C533" s="632" t="s">
        <v>919</v>
      </c>
      <c r="D533" s="387" t="s">
        <v>230</v>
      </c>
      <c r="E533" s="387" t="s">
        <v>499</v>
      </c>
      <c r="F533" s="387" t="s">
        <v>403</v>
      </c>
      <c r="G533" s="388"/>
      <c r="H533" s="387"/>
      <c r="I533" s="231"/>
      <c r="J533" s="231"/>
      <c r="K533" s="231"/>
      <c r="L533" s="231"/>
      <c r="M533" s="231"/>
      <c r="N533" s="228"/>
      <c r="O533" s="247"/>
      <c r="P533" s="369"/>
      <c r="Q533" s="369"/>
      <c r="R533" s="369"/>
    </row>
    <row r="534" spans="1:18">
      <c r="A534" s="232" t="s">
        <v>821</v>
      </c>
      <c r="B534" s="152">
        <v>5</v>
      </c>
      <c r="C534" s="234"/>
      <c r="D534" s="250"/>
      <c r="E534" s="250"/>
      <c r="F534" s="234"/>
      <c r="G534" s="259"/>
      <c r="H534" s="152"/>
      <c r="I534" s="152"/>
      <c r="J534" s="253"/>
      <c r="K534" s="250"/>
      <c r="L534" s="259"/>
      <c r="M534" s="264"/>
      <c r="N534" s="232" t="s">
        <v>821</v>
      </c>
      <c r="O534" s="152"/>
      <c r="P534" s="147"/>
      <c r="Q534" s="147"/>
      <c r="R534" s="147"/>
    </row>
    <row r="535" spans="1:18">
      <c r="A535" s="232" t="s">
        <v>822</v>
      </c>
      <c r="B535" s="152">
        <v>6</v>
      </c>
      <c r="C535" s="234"/>
      <c r="D535" s="234"/>
      <c r="E535" s="234"/>
      <c r="F535" s="234"/>
      <c r="G535" s="242"/>
      <c r="H535" s="152"/>
      <c r="I535" s="152"/>
      <c r="J535" s="233"/>
      <c r="K535" s="234"/>
      <c r="L535" s="242"/>
      <c r="M535" s="152"/>
      <c r="N535" s="232" t="s">
        <v>822</v>
      </c>
      <c r="O535" s="152"/>
      <c r="P535" s="147"/>
      <c r="Q535" s="147"/>
      <c r="R535" s="147"/>
    </row>
    <row r="536" spans="1:18">
      <c r="A536" s="232" t="s">
        <v>823</v>
      </c>
      <c r="B536" s="152">
        <v>7</v>
      </c>
      <c r="C536" s="234"/>
      <c r="D536" s="234"/>
      <c r="E536" s="234"/>
      <c r="F536" s="234"/>
      <c r="G536" s="242"/>
      <c r="H536" s="152"/>
      <c r="I536" s="152"/>
      <c r="J536" s="233"/>
      <c r="K536" s="234"/>
      <c r="L536" s="242"/>
      <c r="M536" s="152"/>
      <c r="N536" s="232" t="s">
        <v>823</v>
      </c>
      <c r="O536" s="152"/>
      <c r="P536" s="147"/>
      <c r="Q536" s="147"/>
      <c r="R536" s="147"/>
    </row>
    <row r="537" spans="1:18">
      <c r="A537" s="232" t="s">
        <v>824</v>
      </c>
      <c r="B537" s="152">
        <v>8</v>
      </c>
      <c r="C537" s="234"/>
      <c r="D537" s="234"/>
      <c r="E537" s="234"/>
      <c r="F537" s="234"/>
      <c r="G537" s="242"/>
      <c r="H537" s="152"/>
      <c r="I537" s="152"/>
      <c r="J537" s="233"/>
      <c r="K537" s="234"/>
      <c r="L537" s="242"/>
      <c r="M537" s="152"/>
      <c r="N537" s="232" t="s">
        <v>824</v>
      </c>
      <c r="O537" s="152"/>
      <c r="P537" s="147"/>
      <c r="Q537" s="147"/>
      <c r="R537" s="147"/>
    </row>
    <row r="538" spans="1:18">
      <c r="A538" s="232" t="s">
        <v>825</v>
      </c>
      <c r="B538" s="152">
        <v>9</v>
      </c>
      <c r="C538" s="234"/>
      <c r="D538" s="234"/>
      <c r="E538" s="234"/>
      <c r="F538" s="234"/>
      <c r="G538" s="242"/>
      <c r="H538" s="152"/>
      <c r="I538" s="152"/>
      <c r="J538" s="233"/>
      <c r="K538" s="234"/>
      <c r="L538" s="234"/>
      <c r="M538" s="259"/>
      <c r="N538" s="232" t="s">
        <v>825</v>
      </c>
      <c r="O538" s="152"/>
      <c r="P538" s="147"/>
      <c r="Q538" s="147"/>
      <c r="R538" s="147"/>
    </row>
    <row r="539" spans="1:18">
      <c r="A539" s="232" t="s">
        <v>826</v>
      </c>
      <c r="B539" s="152">
        <v>10</v>
      </c>
      <c r="C539" s="234"/>
      <c r="D539" s="234"/>
      <c r="E539" s="234"/>
      <c r="F539" s="234"/>
      <c r="G539" s="242"/>
      <c r="H539" s="152"/>
      <c r="I539" s="152"/>
      <c r="J539" s="233"/>
      <c r="K539" s="234"/>
      <c r="L539" s="234"/>
      <c r="M539" s="242"/>
      <c r="N539" s="232" t="s">
        <v>826</v>
      </c>
      <c r="O539" s="152"/>
      <c r="P539" s="147"/>
      <c r="Q539" s="147"/>
      <c r="R539" s="147"/>
    </row>
    <row r="540" spans="1:18">
      <c r="A540" s="232" t="s">
        <v>827</v>
      </c>
      <c r="B540" s="152">
        <v>11</v>
      </c>
      <c r="C540" s="234"/>
      <c r="D540" s="234"/>
      <c r="E540" s="234"/>
      <c r="F540" s="234"/>
      <c r="G540" s="242"/>
      <c r="H540" s="152"/>
      <c r="I540" s="152"/>
      <c r="J540" s="233"/>
      <c r="K540" s="234"/>
      <c r="L540" s="234"/>
      <c r="M540" s="242"/>
      <c r="N540" s="232" t="s">
        <v>827</v>
      </c>
      <c r="O540" s="152"/>
      <c r="P540" s="147"/>
      <c r="Q540" s="147"/>
      <c r="R540" s="147"/>
    </row>
    <row r="541" spans="1:18">
      <c r="A541" s="232" t="s">
        <v>821</v>
      </c>
      <c r="B541" s="152">
        <f>GTA!J39</f>
        <v>0</v>
      </c>
      <c r="C541" s="234"/>
      <c r="D541" s="234"/>
      <c r="E541" s="234"/>
      <c r="F541" s="234"/>
      <c r="G541" s="242"/>
      <c r="H541" s="152"/>
      <c r="I541" s="152"/>
      <c r="J541" s="233"/>
      <c r="K541" s="234"/>
      <c r="L541" s="234"/>
      <c r="M541" s="242"/>
      <c r="N541" s="232" t="s">
        <v>821</v>
      </c>
      <c r="O541" s="152"/>
      <c r="P541" s="147"/>
      <c r="Q541" s="147"/>
      <c r="R541" s="147"/>
    </row>
    <row r="542" spans="1:18">
      <c r="A542" s="232" t="s">
        <v>822</v>
      </c>
      <c r="B542" s="152">
        <v>13</v>
      </c>
      <c r="C542" s="233"/>
      <c r="D542" s="234"/>
      <c r="E542" s="234"/>
      <c r="F542" s="234"/>
      <c r="G542" s="234"/>
      <c r="H542" s="250"/>
      <c r="I542" s="250"/>
      <c r="J542" s="234"/>
      <c r="K542" s="234"/>
      <c r="L542" s="234"/>
      <c r="M542" s="242"/>
      <c r="N542" s="232" t="s">
        <v>822</v>
      </c>
      <c r="O542" s="152"/>
      <c r="P542" s="147"/>
      <c r="Q542" s="147"/>
      <c r="R542" s="147"/>
    </row>
    <row r="543" spans="1:18">
      <c r="A543" s="232" t="s">
        <v>823</v>
      </c>
      <c r="B543" s="152">
        <v>14</v>
      </c>
      <c r="C543" s="234"/>
      <c r="D543" s="234"/>
      <c r="E543" s="234"/>
      <c r="F543" s="234"/>
      <c r="G543" s="234"/>
      <c r="H543" s="234"/>
      <c r="I543" s="234"/>
      <c r="J543" s="234"/>
      <c r="K543" s="234"/>
      <c r="L543" s="234"/>
      <c r="M543" s="242"/>
      <c r="N543" s="232" t="s">
        <v>823</v>
      </c>
      <c r="O543" s="152"/>
      <c r="P543" s="147"/>
      <c r="Q543" s="147"/>
      <c r="R543" s="147"/>
    </row>
    <row r="544" spans="1:18">
      <c r="A544" s="232" t="s">
        <v>824</v>
      </c>
      <c r="B544" s="152">
        <v>15</v>
      </c>
      <c r="C544" s="234"/>
      <c r="D544" s="234"/>
      <c r="E544" s="234"/>
      <c r="F544" s="234"/>
      <c r="G544" s="234"/>
      <c r="H544" s="234"/>
      <c r="I544" s="234"/>
      <c r="J544" s="234"/>
      <c r="K544" s="234"/>
      <c r="L544" s="234"/>
      <c r="M544" s="242"/>
      <c r="N544" s="232" t="s">
        <v>824</v>
      </c>
      <c r="O544" s="152"/>
      <c r="P544" s="147"/>
      <c r="Q544" s="147"/>
      <c r="R544" s="147"/>
    </row>
    <row r="545" spans="1:26">
      <c r="A545" s="232" t="s">
        <v>825</v>
      </c>
      <c r="B545" s="152">
        <v>16</v>
      </c>
      <c r="C545" s="234"/>
      <c r="D545" s="234"/>
      <c r="E545" s="234"/>
      <c r="F545" s="234"/>
      <c r="G545" s="234"/>
      <c r="H545" s="234"/>
      <c r="I545" s="234"/>
      <c r="J545" s="234"/>
      <c r="K545" s="234"/>
      <c r="L545" s="234"/>
      <c r="M545" s="242"/>
      <c r="N545" s="232" t="s">
        <v>825</v>
      </c>
      <c r="O545" s="152"/>
      <c r="P545" s="147"/>
      <c r="Q545" s="147"/>
      <c r="R545" s="147"/>
    </row>
    <row r="546" spans="1:26">
      <c r="A546" s="232" t="s">
        <v>826</v>
      </c>
      <c r="B546" s="152">
        <v>17</v>
      </c>
      <c r="C546" s="234"/>
      <c r="D546" s="234"/>
      <c r="E546" s="234"/>
      <c r="F546" s="234"/>
      <c r="G546" s="234"/>
      <c r="H546" s="234"/>
      <c r="I546" s="234"/>
      <c r="J546" s="234"/>
      <c r="K546" s="234"/>
      <c r="L546" s="234"/>
      <c r="M546" s="242"/>
      <c r="N546" s="232" t="s">
        <v>826</v>
      </c>
      <c r="O546" s="152"/>
      <c r="P546" s="147"/>
      <c r="Q546" s="147"/>
      <c r="R546" s="147"/>
    </row>
    <row r="547" spans="1:26" ht="15.75" thickBot="1">
      <c r="A547" s="232" t="s">
        <v>827</v>
      </c>
      <c r="B547" s="152">
        <v>18</v>
      </c>
      <c r="C547" s="234"/>
      <c r="D547" s="234"/>
      <c r="E547" s="234"/>
      <c r="F547" s="234"/>
      <c r="G547" s="234"/>
      <c r="H547" s="234"/>
      <c r="I547" s="234"/>
      <c r="J547" s="234"/>
      <c r="K547" s="234"/>
      <c r="L547" s="234"/>
      <c r="M547" s="242"/>
      <c r="N547" s="232" t="s">
        <v>827</v>
      </c>
      <c r="O547" s="152"/>
      <c r="P547" s="147"/>
      <c r="Q547" s="147"/>
      <c r="R547" s="147"/>
    </row>
    <row r="548" spans="1:26" ht="16.5" thickBot="1">
      <c r="A548" s="175" t="s">
        <v>791</v>
      </c>
      <c r="B548" s="176">
        <f>SUM(C548:M548)+O548</f>
        <v>0</v>
      </c>
      <c r="C548" s="238">
        <f>SUM(C534:C547)</f>
        <v>0</v>
      </c>
      <c r="D548" s="238">
        <f t="shared" ref="D548:M548" si="73">SUM(D534:D547)</f>
        <v>0</v>
      </c>
      <c r="E548" s="238">
        <f t="shared" si="73"/>
        <v>0</v>
      </c>
      <c r="F548" s="238">
        <f t="shared" si="73"/>
        <v>0</v>
      </c>
      <c r="G548" s="238">
        <f t="shared" si="73"/>
        <v>0</v>
      </c>
      <c r="H548" s="238">
        <f t="shared" si="73"/>
        <v>0</v>
      </c>
      <c r="I548" s="238">
        <f t="shared" si="73"/>
        <v>0</v>
      </c>
      <c r="J548" s="238">
        <f t="shared" si="73"/>
        <v>0</v>
      </c>
      <c r="K548" s="238">
        <f t="shared" si="73"/>
        <v>0</v>
      </c>
      <c r="L548" s="238">
        <f t="shared" si="73"/>
        <v>0</v>
      </c>
      <c r="M548" s="238">
        <f t="shared" si="73"/>
        <v>0</v>
      </c>
      <c r="N548" s="175" t="s">
        <v>791</v>
      </c>
      <c r="O548" s="176">
        <f>SUM(P548:R548)</f>
        <v>0</v>
      </c>
      <c r="P548" s="147">
        <f>SUM(P534:P547)</f>
        <v>0</v>
      </c>
      <c r="Q548" s="147">
        <f>SUM(Q534:Q547)</f>
        <v>0</v>
      </c>
      <c r="R548" s="147">
        <f>SUM(R534:R547)</f>
        <v>0</v>
      </c>
    </row>
    <row r="549" spans="1:26" ht="16.5" thickBot="1">
      <c r="A549" s="220"/>
      <c r="B549" s="453"/>
      <c r="C549" s="329"/>
      <c r="D549" s="329"/>
      <c r="E549" s="329"/>
      <c r="F549" s="329"/>
      <c r="G549" s="329"/>
      <c r="H549" s="329"/>
      <c r="I549" s="329"/>
      <c r="J549" s="329"/>
      <c r="K549" s="329"/>
      <c r="L549" s="329"/>
      <c r="M549" s="329"/>
      <c r="N549" s="220"/>
      <c r="O549" s="453"/>
      <c r="P549" s="406"/>
      <c r="Q549" s="406"/>
      <c r="R549" s="406"/>
    </row>
    <row r="550" spans="1:26" ht="15.75" thickBot="1">
      <c r="A550" s="1027" t="s">
        <v>920</v>
      </c>
      <c r="B550" s="1028"/>
      <c r="C550" s="1028"/>
      <c r="D550" s="1028"/>
      <c r="E550" s="1028"/>
      <c r="F550" s="1028"/>
      <c r="G550" s="1028"/>
      <c r="H550" s="1028"/>
      <c r="I550" s="1028"/>
      <c r="J550" s="1028"/>
      <c r="K550" s="1028"/>
      <c r="L550" s="1028"/>
      <c r="M550" s="1028"/>
      <c r="N550" s="1028"/>
      <c r="O550" s="1028"/>
      <c r="P550" s="1028"/>
      <c r="Q550" s="1028"/>
      <c r="R550" s="1028"/>
      <c r="S550" s="1028"/>
      <c r="T550" s="1028"/>
      <c r="U550" s="1029"/>
      <c r="V550" s="1024" t="s">
        <v>820</v>
      </c>
      <c r="W550" s="1025"/>
      <c r="X550" s="1025"/>
      <c r="Y550" s="1025"/>
      <c r="Z550" s="1026"/>
    </row>
    <row r="551" spans="1:26">
      <c r="A551" s="228"/>
      <c r="B551" s="247"/>
      <c r="C551" s="229"/>
      <c r="D551" s="229"/>
      <c r="E551" s="229"/>
      <c r="F551" s="229"/>
      <c r="G551" s="229"/>
      <c r="H551" s="229"/>
      <c r="I551" s="229"/>
      <c r="J551" s="229"/>
      <c r="K551" s="229"/>
      <c r="L551" s="229"/>
      <c r="M551" s="229"/>
      <c r="N551" s="229"/>
      <c r="O551" s="229"/>
      <c r="P551" s="229"/>
      <c r="Q551" s="229"/>
      <c r="R551" s="229"/>
      <c r="S551" s="229"/>
      <c r="T551" s="229"/>
      <c r="U551" s="229"/>
      <c r="V551" s="228"/>
      <c r="W551" s="247"/>
      <c r="X551" s="369"/>
      <c r="Y551" s="369"/>
      <c r="Z551" s="369"/>
    </row>
    <row r="552" spans="1:26">
      <c r="A552" s="232" t="s">
        <v>821</v>
      </c>
      <c r="B552" s="152"/>
      <c r="C552" s="234"/>
      <c r="D552" s="234"/>
      <c r="E552" s="234"/>
      <c r="F552" s="234"/>
      <c r="G552" s="234"/>
      <c r="H552" s="234"/>
      <c r="I552" s="234"/>
      <c r="J552" s="234"/>
      <c r="K552" s="234"/>
      <c r="L552" s="234"/>
      <c r="M552" s="234"/>
      <c r="N552" s="234"/>
      <c r="O552" s="234"/>
      <c r="P552" s="234"/>
      <c r="Q552" s="234"/>
      <c r="R552" s="234"/>
      <c r="S552" s="262"/>
      <c r="T552" s="234"/>
      <c r="U552" s="234"/>
      <c r="V552" s="232" t="s">
        <v>821</v>
      </c>
      <c r="W552" s="152"/>
      <c r="X552" s="147"/>
      <c r="Y552" s="147"/>
      <c r="Z552" s="147"/>
    </row>
    <row r="553" spans="1:26">
      <c r="A553" s="232" t="s">
        <v>822</v>
      </c>
      <c r="B553" s="152"/>
      <c r="C553" s="234"/>
      <c r="D553" s="234"/>
      <c r="E553" s="234"/>
      <c r="F553" s="234"/>
      <c r="G553" s="234"/>
      <c r="H553" s="234"/>
      <c r="I553" s="234"/>
      <c r="J553" s="234"/>
      <c r="K553" s="234"/>
      <c r="L553" s="234"/>
      <c r="M553" s="234"/>
      <c r="N553" s="234"/>
      <c r="O553" s="234"/>
      <c r="P553" s="234"/>
      <c r="Q553" s="234"/>
      <c r="R553" s="234"/>
      <c r="S553" s="234"/>
      <c r="T553" s="234"/>
      <c r="U553" s="234"/>
      <c r="V553" s="232" t="s">
        <v>822</v>
      </c>
      <c r="W553" s="152"/>
      <c r="X553" s="147"/>
      <c r="Y553" s="147"/>
      <c r="Z553" s="147"/>
    </row>
    <row r="554" spans="1:26">
      <c r="A554" s="232" t="s">
        <v>823</v>
      </c>
      <c r="B554" s="152"/>
      <c r="C554" s="234"/>
      <c r="D554" s="234"/>
      <c r="E554" s="234"/>
      <c r="F554" s="234"/>
      <c r="G554" s="234"/>
      <c r="H554" s="234"/>
      <c r="I554" s="234"/>
      <c r="J554" s="234"/>
      <c r="K554" s="234"/>
      <c r="L554" s="234"/>
      <c r="M554" s="234"/>
      <c r="N554" s="234"/>
      <c r="O554" s="234"/>
      <c r="P554" s="234"/>
      <c r="Q554" s="234"/>
      <c r="R554" s="234"/>
      <c r="S554" s="242"/>
      <c r="T554" s="234"/>
      <c r="U554" s="234"/>
      <c r="V554" s="232" t="s">
        <v>823</v>
      </c>
      <c r="W554" s="152"/>
      <c r="X554" s="147"/>
      <c r="Y554" s="147"/>
      <c r="Z554" s="147"/>
    </row>
    <row r="555" spans="1:26">
      <c r="A555" s="232" t="s">
        <v>824</v>
      </c>
      <c r="B555" s="152"/>
      <c r="C555" s="234"/>
      <c r="D555" s="234"/>
      <c r="E555" s="234"/>
      <c r="F555" s="234"/>
      <c r="G555" s="234"/>
      <c r="H555" s="234"/>
      <c r="I555" s="234"/>
      <c r="J555" s="234"/>
      <c r="K555" s="234"/>
      <c r="L555" s="234"/>
      <c r="M555" s="234"/>
      <c r="N555" s="234"/>
      <c r="O555" s="234"/>
      <c r="P555" s="234"/>
      <c r="Q555" s="234"/>
      <c r="R555" s="234"/>
      <c r="S555" s="242"/>
      <c r="T555" s="234"/>
      <c r="U555" s="234"/>
      <c r="V555" s="232" t="s">
        <v>824</v>
      </c>
      <c r="W555" s="152"/>
      <c r="X555" s="147"/>
      <c r="Y555" s="147"/>
      <c r="Z555" s="147"/>
    </row>
    <row r="556" spans="1:26">
      <c r="A556" s="232" t="s">
        <v>825</v>
      </c>
      <c r="B556" s="152"/>
      <c r="C556" s="234"/>
      <c r="D556" s="234"/>
      <c r="E556" s="234"/>
      <c r="F556" s="234"/>
      <c r="G556" s="234"/>
      <c r="H556" s="234"/>
      <c r="I556" s="234"/>
      <c r="J556" s="234"/>
      <c r="K556" s="234"/>
      <c r="L556" s="234"/>
      <c r="M556" s="234"/>
      <c r="N556" s="234"/>
      <c r="O556" s="234"/>
      <c r="P556" s="234"/>
      <c r="Q556" s="234"/>
      <c r="R556" s="234"/>
      <c r="S556" s="242"/>
      <c r="T556" s="234"/>
      <c r="U556" s="234"/>
      <c r="V556" s="232" t="s">
        <v>825</v>
      </c>
      <c r="W556" s="152"/>
      <c r="X556" s="147"/>
      <c r="Y556" s="147"/>
      <c r="Z556" s="147"/>
    </row>
    <row r="557" spans="1:26">
      <c r="A557" s="232" t="s">
        <v>826</v>
      </c>
      <c r="B557" s="152"/>
      <c r="C557" s="234"/>
      <c r="D557" s="234"/>
      <c r="E557" s="234"/>
      <c r="F557" s="234"/>
      <c r="G557" s="234"/>
      <c r="H557" s="234"/>
      <c r="I557" s="234"/>
      <c r="J557" s="234"/>
      <c r="K557" s="234"/>
      <c r="L557" s="234"/>
      <c r="M557" s="234"/>
      <c r="N557" s="234"/>
      <c r="O557" s="234"/>
      <c r="P557" s="234"/>
      <c r="Q557" s="234"/>
      <c r="R557" s="234"/>
      <c r="S557" s="242"/>
      <c r="T557" s="234"/>
      <c r="U557" s="234"/>
      <c r="V557" s="232" t="s">
        <v>826</v>
      </c>
      <c r="W557" s="152"/>
      <c r="X557" s="147"/>
      <c r="Y557" s="147"/>
      <c r="Z557" s="147"/>
    </row>
    <row r="558" spans="1:26">
      <c r="A558" s="232" t="s">
        <v>827</v>
      </c>
      <c r="B558" s="152"/>
      <c r="C558" s="234"/>
      <c r="D558" s="234"/>
      <c r="E558" s="234"/>
      <c r="F558" s="234"/>
      <c r="G558" s="234"/>
      <c r="H558" s="234"/>
      <c r="I558" s="234"/>
      <c r="J558" s="234"/>
      <c r="K558" s="234"/>
      <c r="L558" s="234"/>
      <c r="M558" s="234"/>
      <c r="N558" s="234"/>
      <c r="O558" s="234"/>
      <c r="P558" s="234"/>
      <c r="Q558" s="234"/>
      <c r="R558" s="234"/>
      <c r="S558" s="242"/>
      <c r="T558" s="234"/>
      <c r="U558" s="234"/>
      <c r="V558" s="232" t="s">
        <v>827</v>
      </c>
      <c r="W558" s="152"/>
      <c r="X558" s="147"/>
      <c r="Y558" s="147"/>
      <c r="Z558" s="147"/>
    </row>
    <row r="559" spans="1:26">
      <c r="A559" s="232" t="s">
        <v>821</v>
      </c>
      <c r="B559" s="152"/>
      <c r="C559" s="234"/>
      <c r="D559" s="234"/>
      <c r="E559" s="234"/>
      <c r="F559" s="234"/>
      <c r="G559" s="234"/>
      <c r="H559" s="234"/>
      <c r="I559" s="234"/>
      <c r="J559" s="234"/>
      <c r="K559" s="234"/>
      <c r="L559" s="234"/>
      <c r="M559" s="234"/>
      <c r="N559" s="234"/>
      <c r="O559" s="234"/>
      <c r="P559" s="234"/>
      <c r="Q559" s="234"/>
      <c r="R559" s="234"/>
      <c r="S559" s="242"/>
      <c r="T559" s="234"/>
      <c r="U559" s="234"/>
      <c r="V559" s="232" t="s">
        <v>821</v>
      </c>
      <c r="W559" s="152"/>
      <c r="X559" s="147"/>
      <c r="Y559" s="147"/>
      <c r="Z559" s="147"/>
    </row>
    <row r="560" spans="1:26">
      <c r="A560" s="232" t="s">
        <v>822</v>
      </c>
      <c r="B560" s="152"/>
      <c r="C560" s="234"/>
      <c r="D560" s="234"/>
      <c r="E560" s="234"/>
      <c r="F560" s="234"/>
      <c r="G560" s="234"/>
      <c r="H560" s="234"/>
      <c r="I560" s="234"/>
      <c r="J560" s="234"/>
      <c r="K560" s="234"/>
      <c r="L560" s="234"/>
      <c r="M560" s="234"/>
      <c r="N560" s="234"/>
      <c r="O560" s="234"/>
      <c r="P560" s="234"/>
      <c r="Q560" s="234"/>
      <c r="R560" s="234"/>
      <c r="S560" s="242"/>
      <c r="T560" s="234"/>
      <c r="U560" s="234"/>
      <c r="V560" s="232" t="s">
        <v>822</v>
      </c>
      <c r="W560" s="152"/>
      <c r="X560" s="147"/>
      <c r="Y560" s="147"/>
      <c r="Z560" s="147"/>
    </row>
    <row r="561" spans="1:26">
      <c r="A561" s="232" t="s">
        <v>823</v>
      </c>
      <c r="B561" s="152"/>
      <c r="C561" s="234"/>
      <c r="D561" s="234"/>
      <c r="E561" s="234"/>
      <c r="F561" s="234"/>
      <c r="G561" s="234"/>
      <c r="H561" s="234"/>
      <c r="I561" s="152"/>
      <c r="J561" s="234"/>
      <c r="K561" s="234"/>
      <c r="L561" s="234"/>
      <c r="M561" s="234"/>
      <c r="N561" s="234"/>
      <c r="O561" s="234"/>
      <c r="P561" s="234"/>
      <c r="Q561" s="234"/>
      <c r="R561" s="234"/>
      <c r="S561" s="242"/>
      <c r="T561" s="234"/>
      <c r="U561" s="234"/>
      <c r="V561" s="232" t="s">
        <v>823</v>
      </c>
      <c r="W561" s="152"/>
      <c r="X561" s="147"/>
      <c r="Y561" s="147"/>
      <c r="Z561" s="147"/>
    </row>
    <row r="562" spans="1:26">
      <c r="A562" s="232" t="s">
        <v>824</v>
      </c>
      <c r="B562" s="152"/>
      <c r="C562" s="234"/>
      <c r="D562" s="234"/>
      <c r="E562" s="234"/>
      <c r="F562" s="234"/>
      <c r="G562" s="234"/>
      <c r="H562" s="234"/>
      <c r="I562" s="234"/>
      <c r="J562" s="234"/>
      <c r="K562" s="234"/>
      <c r="L562" s="234"/>
      <c r="M562" s="234"/>
      <c r="N562" s="234"/>
      <c r="O562" s="234"/>
      <c r="P562" s="234"/>
      <c r="Q562" s="234"/>
      <c r="R562" s="234"/>
      <c r="S562" s="242"/>
      <c r="T562" s="234"/>
      <c r="U562" s="234"/>
      <c r="V562" s="232" t="s">
        <v>824</v>
      </c>
      <c r="W562" s="152"/>
      <c r="X562" s="147"/>
      <c r="Y562" s="147"/>
      <c r="Z562" s="147"/>
    </row>
    <row r="563" spans="1:26">
      <c r="A563" s="232" t="s">
        <v>825</v>
      </c>
      <c r="B563" s="152"/>
      <c r="C563" s="234"/>
      <c r="D563" s="234"/>
      <c r="E563" s="234"/>
      <c r="F563" s="234"/>
      <c r="G563" s="234"/>
      <c r="H563" s="234"/>
      <c r="I563" s="234"/>
      <c r="J563" s="234"/>
      <c r="K563" s="234"/>
      <c r="L563" s="234"/>
      <c r="M563" s="234"/>
      <c r="N563" s="234"/>
      <c r="O563" s="234"/>
      <c r="P563" s="234"/>
      <c r="Q563" s="234"/>
      <c r="R563" s="234"/>
      <c r="S563" s="242"/>
      <c r="T563" s="234"/>
      <c r="U563" s="234"/>
      <c r="V563" s="232" t="s">
        <v>825</v>
      </c>
      <c r="W563" s="152"/>
      <c r="X563" s="147"/>
      <c r="Y563" s="147"/>
      <c r="Z563" s="147"/>
    </row>
    <row r="564" spans="1:26">
      <c r="A564" s="232" t="s">
        <v>826</v>
      </c>
      <c r="B564" s="152"/>
      <c r="C564" s="234"/>
      <c r="D564" s="234"/>
      <c r="E564" s="234"/>
      <c r="F564" s="234"/>
      <c r="G564" s="234"/>
      <c r="H564" s="234"/>
      <c r="I564" s="234"/>
      <c r="J564" s="234"/>
      <c r="K564" s="234"/>
      <c r="L564" s="234"/>
      <c r="M564" s="234"/>
      <c r="N564" s="234"/>
      <c r="O564" s="234"/>
      <c r="P564" s="234"/>
      <c r="Q564" s="234"/>
      <c r="R564" s="234"/>
      <c r="S564" s="242"/>
      <c r="T564" s="234"/>
      <c r="U564" s="234"/>
      <c r="V564" s="232" t="s">
        <v>826</v>
      </c>
      <c r="W564" s="152"/>
      <c r="X564" s="147"/>
      <c r="Y564" s="147"/>
      <c r="Z564" s="147"/>
    </row>
    <row r="565" spans="1:26" ht="15.75" thickBot="1">
      <c r="A565" s="232" t="s">
        <v>827</v>
      </c>
      <c r="B565" s="152"/>
      <c r="C565" s="234"/>
      <c r="D565" s="234"/>
      <c r="E565" s="234"/>
      <c r="F565" s="234"/>
      <c r="G565" s="234"/>
      <c r="H565" s="234"/>
      <c r="I565" s="234"/>
      <c r="J565" s="234"/>
      <c r="K565" s="234"/>
      <c r="L565" s="234"/>
      <c r="M565" s="234"/>
      <c r="N565" s="234"/>
      <c r="O565" s="234"/>
      <c r="P565" s="234"/>
      <c r="Q565" s="234"/>
      <c r="R565" s="234"/>
      <c r="S565" s="234"/>
      <c r="T565" s="234"/>
      <c r="U565" s="234"/>
      <c r="V565" s="232" t="s">
        <v>827</v>
      </c>
      <c r="W565" s="152"/>
      <c r="X565" s="147"/>
      <c r="Y565" s="147"/>
      <c r="Z565" s="147"/>
    </row>
    <row r="566" spans="1:26" ht="16.5" thickBot="1">
      <c r="A566" s="175" t="s">
        <v>791</v>
      </c>
      <c r="B566" s="176">
        <f>SUM(C566:U566)+W566</f>
        <v>0</v>
      </c>
      <c r="C566" s="260">
        <f>SUM(C552:C565)</f>
        <v>0</v>
      </c>
      <c r="D566" s="260">
        <f>SUM(D552:D565)</f>
        <v>0</v>
      </c>
      <c r="E566" s="260">
        <f>SUM(E552:E565)</f>
        <v>0</v>
      </c>
      <c r="F566" s="260">
        <f>SUM(F552:F565)</f>
        <v>0</v>
      </c>
      <c r="G566" s="260">
        <f t="shared" ref="G566:U566" si="74">SUM(G552:G565)</f>
        <v>0</v>
      </c>
      <c r="H566" s="260">
        <f t="shared" si="74"/>
        <v>0</v>
      </c>
      <c r="I566" s="260">
        <f t="shared" si="74"/>
        <v>0</v>
      </c>
      <c r="J566" s="260">
        <f t="shared" si="74"/>
        <v>0</v>
      </c>
      <c r="K566" s="260">
        <f t="shared" si="74"/>
        <v>0</v>
      </c>
      <c r="L566" s="260">
        <f t="shared" si="74"/>
        <v>0</v>
      </c>
      <c r="M566" s="260">
        <f t="shared" si="74"/>
        <v>0</v>
      </c>
      <c r="N566" s="260">
        <f t="shared" si="74"/>
        <v>0</v>
      </c>
      <c r="O566" s="260">
        <f t="shared" si="74"/>
        <v>0</v>
      </c>
      <c r="P566" s="260">
        <f t="shared" si="74"/>
        <v>0</v>
      </c>
      <c r="Q566" s="260">
        <f t="shared" si="74"/>
        <v>0</v>
      </c>
      <c r="R566" s="260">
        <f t="shared" si="74"/>
        <v>0</v>
      </c>
      <c r="S566" s="260">
        <f t="shared" si="74"/>
        <v>0</v>
      </c>
      <c r="T566" s="260">
        <f t="shared" si="74"/>
        <v>0</v>
      </c>
      <c r="U566" s="260">
        <f t="shared" si="74"/>
        <v>0</v>
      </c>
      <c r="V566" s="175" t="s">
        <v>791</v>
      </c>
      <c r="W566" s="176">
        <f>SUM(X566:Z566)</f>
        <v>0</v>
      </c>
      <c r="X566" s="147">
        <f>SUM(X552:X565)</f>
        <v>0</v>
      </c>
      <c r="Y566" s="147">
        <f>SUM(Y552:Y565)</f>
        <v>0</v>
      </c>
      <c r="Z566" s="147">
        <f>SUM(Z552:Z565)</f>
        <v>0</v>
      </c>
    </row>
    <row r="567" spans="1:26" ht="15.75" thickBot="1"/>
    <row r="568" spans="1:26" ht="15.75" thickBot="1">
      <c r="A568" s="1027" t="s">
        <v>921</v>
      </c>
      <c r="B568" s="1028"/>
      <c r="C568" s="1028"/>
      <c r="D568" s="1028"/>
      <c r="E568" s="1028"/>
      <c r="F568" s="1028"/>
      <c r="G568" s="1028"/>
      <c r="H568" s="1028"/>
      <c r="I568" s="1028"/>
      <c r="J568" s="1028"/>
      <c r="K568" s="1028"/>
      <c r="L568" s="1028"/>
      <c r="M568" s="1028"/>
      <c r="N568" s="1028"/>
      <c r="O568" s="1028"/>
      <c r="P568" s="1028"/>
      <c r="Q568" s="1028"/>
      <c r="R568" s="1028"/>
      <c r="S568" s="1028"/>
      <c r="T568" s="1028"/>
      <c r="U568" s="1029"/>
      <c r="V568" s="1024" t="s">
        <v>820</v>
      </c>
      <c r="W568" s="1025"/>
      <c r="X568" s="1025"/>
      <c r="Y568" s="1025"/>
      <c r="Z568" s="1026"/>
    </row>
    <row r="569" spans="1:26">
      <c r="A569" s="228"/>
      <c r="B569" s="247"/>
      <c r="C569" s="229"/>
      <c r="D569" s="229"/>
      <c r="E569" s="229"/>
      <c r="F569" s="229"/>
      <c r="G569" s="231"/>
      <c r="H569" s="231"/>
      <c r="I569" s="249"/>
      <c r="J569" s="360"/>
      <c r="K569" s="231"/>
      <c r="L569" s="231"/>
      <c r="M569" s="231"/>
      <c r="N569" s="231"/>
      <c r="O569" s="231"/>
      <c r="P569" s="231"/>
      <c r="Q569" s="231"/>
      <c r="R569" s="231"/>
      <c r="S569" s="365"/>
      <c r="T569" s="231"/>
      <c r="U569" s="231"/>
      <c r="V569" s="228"/>
      <c r="W569" s="247"/>
      <c r="X569" s="369"/>
      <c r="Y569" s="369"/>
      <c r="Z569" s="369"/>
    </row>
    <row r="570" spans="1:26">
      <c r="A570" s="232" t="s">
        <v>821</v>
      </c>
      <c r="B570" s="152"/>
      <c r="C570" s="234"/>
      <c r="D570" s="234"/>
      <c r="E570" s="234"/>
      <c r="F570" s="234"/>
      <c r="G570" s="152"/>
      <c r="H570" s="258"/>
      <c r="I570" s="242"/>
      <c r="J570" s="221"/>
      <c r="K570" s="152"/>
      <c r="L570" s="152"/>
      <c r="M570" s="152"/>
      <c r="N570" s="152"/>
      <c r="O570" s="152"/>
      <c r="P570" s="152"/>
      <c r="Q570" s="152"/>
      <c r="R570" s="152"/>
      <c r="S570" s="258"/>
      <c r="T570" s="152"/>
      <c r="U570" s="152"/>
      <c r="V570" s="232" t="s">
        <v>821</v>
      </c>
      <c r="W570" s="152"/>
      <c r="X570" s="147"/>
      <c r="Y570" s="147"/>
      <c r="Z570" s="147"/>
    </row>
    <row r="571" spans="1:26">
      <c r="A571" s="232" t="s">
        <v>822</v>
      </c>
      <c r="B571" s="152"/>
      <c r="C571" s="234"/>
      <c r="D571" s="234"/>
      <c r="E571" s="234"/>
      <c r="F571" s="234"/>
      <c r="G571" s="152"/>
      <c r="H571" s="258"/>
      <c r="I571" s="242"/>
      <c r="J571" s="221"/>
      <c r="K571" s="152"/>
      <c r="L571" s="152"/>
      <c r="M571" s="152"/>
      <c r="N571" s="152"/>
      <c r="O571" s="152"/>
      <c r="P571" s="152"/>
      <c r="Q571" s="152"/>
      <c r="R571" s="152"/>
      <c r="S571" s="258"/>
      <c r="T571" s="152"/>
      <c r="U571" s="152"/>
      <c r="V571" s="232" t="s">
        <v>822</v>
      </c>
      <c r="W571" s="152"/>
      <c r="X571" s="147"/>
      <c r="Y571" s="147"/>
      <c r="Z571" s="147"/>
    </row>
    <row r="572" spans="1:26">
      <c r="A572" s="232" t="s">
        <v>823</v>
      </c>
      <c r="B572" s="152"/>
      <c r="C572" s="234"/>
      <c r="D572" s="234"/>
      <c r="E572" s="234"/>
      <c r="F572" s="234"/>
      <c r="G572" s="152"/>
      <c r="H572" s="152"/>
      <c r="I572" s="242"/>
      <c r="J572" s="221"/>
      <c r="K572" s="152"/>
      <c r="L572" s="152"/>
      <c r="M572" s="152"/>
      <c r="N572" s="152"/>
      <c r="O572" s="152"/>
      <c r="P572" s="152"/>
      <c r="Q572" s="152"/>
      <c r="R572" s="152"/>
      <c r="S572" s="258"/>
      <c r="T572" s="152"/>
      <c r="U572" s="152"/>
      <c r="V572" s="232" t="s">
        <v>823</v>
      </c>
      <c r="W572" s="152"/>
      <c r="X572" s="147"/>
      <c r="Y572" s="147"/>
      <c r="Z572" s="147"/>
    </row>
    <row r="573" spans="1:26">
      <c r="A573" s="232" t="s">
        <v>824</v>
      </c>
      <c r="B573" s="152"/>
      <c r="C573" s="234"/>
      <c r="D573" s="234"/>
      <c r="E573" s="234"/>
      <c r="F573" s="234"/>
      <c r="G573" s="152"/>
      <c r="H573" s="152"/>
      <c r="I573" s="242"/>
      <c r="J573" s="221"/>
      <c r="K573" s="152"/>
      <c r="L573" s="152"/>
      <c r="M573" s="152"/>
      <c r="N573" s="152"/>
      <c r="O573" s="152"/>
      <c r="P573" s="152"/>
      <c r="Q573" s="152"/>
      <c r="R573" s="152"/>
      <c r="S573" s="258"/>
      <c r="T573" s="152"/>
      <c r="U573" s="152"/>
      <c r="V573" s="232" t="s">
        <v>824</v>
      </c>
      <c r="W573" s="152"/>
      <c r="X573" s="147"/>
      <c r="Y573" s="147"/>
      <c r="Z573" s="147"/>
    </row>
    <row r="574" spans="1:26">
      <c r="A574" s="232" t="s">
        <v>825</v>
      </c>
      <c r="B574" s="152"/>
      <c r="C574" s="234"/>
      <c r="D574" s="234"/>
      <c r="E574" s="234"/>
      <c r="F574" s="234"/>
      <c r="G574" s="250"/>
      <c r="H574" s="250"/>
      <c r="I574" s="234"/>
      <c r="J574" s="259"/>
      <c r="K574" s="152"/>
      <c r="L574" s="152"/>
      <c r="M574" s="152"/>
      <c r="N574" s="152"/>
      <c r="O574" s="152"/>
      <c r="P574" s="152"/>
      <c r="Q574" s="152"/>
      <c r="R574" s="152"/>
      <c r="S574" s="258"/>
      <c r="T574" s="152"/>
      <c r="U574" s="152"/>
      <c r="V574" s="232" t="s">
        <v>825</v>
      </c>
      <c r="W574" s="152"/>
      <c r="X574" s="147"/>
      <c r="Y574" s="147"/>
      <c r="Z574" s="147"/>
    </row>
    <row r="575" spans="1:26">
      <c r="A575" s="232" t="s">
        <v>826</v>
      </c>
      <c r="B575" s="152"/>
      <c r="C575" s="234"/>
      <c r="D575" s="234"/>
      <c r="E575" s="234"/>
      <c r="F575" s="234"/>
      <c r="G575" s="234"/>
      <c r="H575" s="234"/>
      <c r="I575" s="234"/>
      <c r="J575" s="242"/>
      <c r="K575" s="152"/>
      <c r="L575" s="152"/>
      <c r="M575" s="152"/>
      <c r="N575" s="152"/>
      <c r="O575" s="152"/>
      <c r="P575" s="152"/>
      <c r="Q575" s="152"/>
      <c r="R575" s="152"/>
      <c r="S575" s="258"/>
      <c r="T575" s="152"/>
      <c r="U575" s="152"/>
      <c r="V575" s="232" t="s">
        <v>826</v>
      </c>
      <c r="W575" s="152"/>
      <c r="X575" s="147"/>
      <c r="Y575" s="147"/>
      <c r="Z575" s="147"/>
    </row>
    <row r="576" spans="1:26">
      <c r="A576" s="232" t="s">
        <v>827</v>
      </c>
      <c r="B576" s="152"/>
      <c r="C576" s="234"/>
      <c r="D576" s="234"/>
      <c r="E576" s="234"/>
      <c r="F576" s="234"/>
      <c r="G576" s="234"/>
      <c r="H576" s="234"/>
      <c r="I576" s="234"/>
      <c r="J576" s="242"/>
      <c r="K576" s="152"/>
      <c r="L576" s="152"/>
      <c r="M576" s="152"/>
      <c r="N576" s="152"/>
      <c r="O576" s="152"/>
      <c r="P576" s="152"/>
      <c r="Q576" s="152"/>
      <c r="R576" s="152"/>
      <c r="S576" s="258"/>
      <c r="T576" s="152"/>
      <c r="U576" s="152"/>
      <c r="V576" s="232" t="s">
        <v>827</v>
      </c>
      <c r="W576" s="152"/>
      <c r="X576" s="147"/>
      <c r="Y576" s="147"/>
      <c r="Z576" s="147"/>
    </row>
    <row r="577" spans="1:26">
      <c r="A577" s="232" t="s">
        <v>821</v>
      </c>
      <c r="B577" s="152"/>
      <c r="C577" s="234"/>
      <c r="D577" s="234"/>
      <c r="E577" s="234"/>
      <c r="F577" s="234"/>
      <c r="G577" s="234"/>
      <c r="H577" s="234"/>
      <c r="I577" s="234"/>
      <c r="J577" s="242"/>
      <c r="K577" s="152"/>
      <c r="L577" s="152"/>
      <c r="M577" s="152"/>
      <c r="N577" s="152"/>
      <c r="O577" s="152"/>
      <c r="P577" s="152"/>
      <c r="Q577" s="152"/>
      <c r="R577" s="152"/>
      <c r="S577" s="258"/>
      <c r="T577" s="152"/>
      <c r="U577" s="152"/>
      <c r="V577" s="232" t="s">
        <v>821</v>
      </c>
      <c r="W577" s="152"/>
      <c r="X577" s="147"/>
      <c r="Y577" s="147"/>
      <c r="Z577" s="147"/>
    </row>
    <row r="578" spans="1:26">
      <c r="A578" s="232" t="s">
        <v>822</v>
      </c>
      <c r="B578" s="152"/>
      <c r="C578" s="234"/>
      <c r="D578" s="234"/>
      <c r="E578" s="234"/>
      <c r="F578" s="234"/>
      <c r="G578" s="234"/>
      <c r="H578" s="234"/>
      <c r="I578" s="234"/>
      <c r="J578" s="242"/>
      <c r="K578" s="152"/>
      <c r="L578" s="152"/>
      <c r="M578" s="152"/>
      <c r="N578" s="152"/>
      <c r="O578" s="152"/>
      <c r="P578" s="152"/>
      <c r="Q578" s="152"/>
      <c r="R578" s="152"/>
      <c r="S578" s="258"/>
      <c r="T578" s="152"/>
      <c r="U578" s="152"/>
      <c r="V578" s="232" t="s">
        <v>822</v>
      </c>
      <c r="W578" s="152"/>
      <c r="X578" s="147"/>
      <c r="Y578" s="147"/>
      <c r="Z578" s="147"/>
    </row>
    <row r="579" spans="1:26">
      <c r="A579" s="232" t="s">
        <v>823</v>
      </c>
      <c r="B579" s="152"/>
      <c r="C579" s="234"/>
      <c r="D579" s="234"/>
      <c r="E579" s="234"/>
      <c r="F579" s="234"/>
      <c r="G579" s="234"/>
      <c r="H579" s="234"/>
      <c r="I579" s="234"/>
      <c r="J579" s="242"/>
      <c r="K579" s="152"/>
      <c r="L579" s="152"/>
      <c r="M579" s="152"/>
      <c r="N579" s="152"/>
      <c r="O579" s="152"/>
      <c r="P579" s="152"/>
      <c r="Q579" s="152"/>
      <c r="R579" s="152"/>
      <c r="S579" s="258"/>
      <c r="T579" s="152"/>
      <c r="U579" s="152"/>
      <c r="V579" s="232" t="s">
        <v>823</v>
      </c>
      <c r="W579" s="152"/>
      <c r="X579" s="147"/>
      <c r="Y579" s="147"/>
      <c r="Z579" s="147"/>
    </row>
    <row r="580" spans="1:26">
      <c r="A580" s="232" t="s">
        <v>824</v>
      </c>
      <c r="B580" s="152"/>
      <c r="C580" s="234"/>
      <c r="D580" s="234"/>
      <c r="E580" s="234"/>
      <c r="F580" s="234"/>
      <c r="G580" s="234"/>
      <c r="H580" s="234"/>
      <c r="I580" s="234"/>
      <c r="J580" s="242"/>
      <c r="K580" s="152"/>
      <c r="L580" s="152"/>
      <c r="M580" s="152"/>
      <c r="N580" s="152"/>
      <c r="O580" s="152"/>
      <c r="P580" s="152"/>
      <c r="Q580" s="152"/>
      <c r="R580" s="152"/>
      <c r="S580" s="258"/>
      <c r="T580" s="152"/>
      <c r="U580" s="152"/>
      <c r="V580" s="232" t="s">
        <v>824</v>
      </c>
      <c r="W580" s="152"/>
      <c r="X580" s="147"/>
      <c r="Y580" s="147"/>
      <c r="Z580" s="147"/>
    </row>
    <row r="581" spans="1:26">
      <c r="A581" s="232" t="s">
        <v>825</v>
      </c>
      <c r="B581" s="152"/>
      <c r="C581" s="234"/>
      <c r="D581" s="234"/>
      <c r="E581" s="234"/>
      <c r="F581" s="234"/>
      <c r="G581" s="234"/>
      <c r="H581" s="234"/>
      <c r="I581" s="234"/>
      <c r="J581" s="242"/>
      <c r="K581" s="152"/>
      <c r="L581" s="152"/>
      <c r="M581" s="152"/>
      <c r="N581" s="152"/>
      <c r="O581" s="152"/>
      <c r="P581" s="152"/>
      <c r="Q581" s="152"/>
      <c r="R581" s="152"/>
      <c r="S581" s="258"/>
      <c r="T581" s="152"/>
      <c r="U581" s="152"/>
      <c r="V581" s="232" t="s">
        <v>825</v>
      </c>
      <c r="W581" s="152"/>
      <c r="X581" s="147"/>
      <c r="Y581" s="147"/>
      <c r="Z581" s="147"/>
    </row>
    <row r="582" spans="1:26">
      <c r="A582" s="232" t="s">
        <v>826</v>
      </c>
      <c r="B582" s="152"/>
      <c r="C582" s="234"/>
      <c r="D582" s="234"/>
      <c r="E582" s="234"/>
      <c r="F582" s="234"/>
      <c r="G582" s="234"/>
      <c r="H582" s="234"/>
      <c r="I582" s="234"/>
      <c r="J582" s="242"/>
      <c r="K582" s="152"/>
      <c r="L582" s="152"/>
      <c r="M582" s="152"/>
      <c r="N582" s="152"/>
      <c r="O582" s="152"/>
      <c r="P582" s="152"/>
      <c r="Q582" s="152"/>
      <c r="R582" s="152"/>
      <c r="S582" s="258"/>
      <c r="T582" s="152"/>
      <c r="U582" s="152"/>
      <c r="V582" s="232" t="s">
        <v>826</v>
      </c>
      <c r="W582" s="152"/>
      <c r="X582" s="147"/>
      <c r="Y582" s="147"/>
      <c r="Z582" s="147"/>
    </row>
    <row r="583" spans="1:26" ht="15.75" thickBot="1">
      <c r="A583" s="232" t="s">
        <v>827</v>
      </c>
      <c r="B583" s="152"/>
      <c r="C583" s="234"/>
      <c r="D583" s="234"/>
      <c r="E583" s="234"/>
      <c r="F583" s="234"/>
      <c r="G583" s="234"/>
      <c r="H583" s="234"/>
      <c r="I583" s="234"/>
      <c r="J583" s="242"/>
      <c r="K583" s="152"/>
      <c r="L583" s="152"/>
      <c r="M583" s="152"/>
      <c r="N583" s="152"/>
      <c r="O583" s="152"/>
      <c r="P583" s="152"/>
      <c r="Q583" s="152"/>
      <c r="R583" s="152"/>
      <c r="S583" s="258"/>
      <c r="T583" s="152"/>
      <c r="U583" s="152"/>
      <c r="V583" s="232" t="s">
        <v>827</v>
      </c>
      <c r="W583" s="152"/>
      <c r="X583" s="147"/>
      <c r="Y583" s="147"/>
      <c r="Z583" s="147"/>
    </row>
    <row r="584" spans="1:26" ht="16.5" thickBot="1">
      <c r="A584" s="175" t="s">
        <v>791</v>
      </c>
      <c r="B584" s="176">
        <f>SUM(C584:U584)+W584</f>
        <v>0</v>
      </c>
      <c r="C584" s="260">
        <f t="shared" ref="C584:U584" si="75">SUM(C570:C583)</f>
        <v>0</v>
      </c>
      <c r="D584" s="260">
        <f t="shared" ref="D584:I584" si="76">SUM(D570:D583)</f>
        <v>0</v>
      </c>
      <c r="E584" s="260">
        <f t="shared" si="76"/>
        <v>0</v>
      </c>
      <c r="F584" s="260">
        <f t="shared" si="76"/>
        <v>0</v>
      </c>
      <c r="G584" s="260">
        <f t="shared" si="76"/>
        <v>0</v>
      </c>
      <c r="H584" s="260">
        <f t="shared" si="76"/>
        <v>0</v>
      </c>
      <c r="I584" s="260">
        <f t="shared" si="76"/>
        <v>0</v>
      </c>
      <c r="J584" s="364">
        <f t="shared" si="75"/>
        <v>0</v>
      </c>
      <c r="K584" s="152">
        <f t="shared" si="75"/>
        <v>0</v>
      </c>
      <c r="L584" s="152">
        <f t="shared" si="75"/>
        <v>0</v>
      </c>
      <c r="M584" s="152">
        <f t="shared" si="75"/>
        <v>0</v>
      </c>
      <c r="N584" s="152">
        <f t="shared" si="75"/>
        <v>0</v>
      </c>
      <c r="O584" s="152">
        <f t="shared" si="75"/>
        <v>0</v>
      </c>
      <c r="P584" s="152">
        <f t="shared" si="75"/>
        <v>0</v>
      </c>
      <c r="Q584" s="152">
        <f t="shared" si="75"/>
        <v>0</v>
      </c>
      <c r="R584" s="152">
        <f t="shared" si="75"/>
        <v>0</v>
      </c>
      <c r="S584" s="258"/>
      <c r="T584" s="152">
        <f t="shared" si="75"/>
        <v>0</v>
      </c>
      <c r="U584" s="152">
        <f t="shared" si="75"/>
        <v>0</v>
      </c>
      <c r="V584" s="175" t="s">
        <v>791</v>
      </c>
      <c r="W584" s="176">
        <f>SUM(X584:Z584)</f>
        <v>0</v>
      </c>
      <c r="X584" s="147">
        <f>SUM(X570:X583)</f>
        <v>0</v>
      </c>
      <c r="Y584" s="147">
        <f>SUM(Y570:Y583)</f>
        <v>0</v>
      </c>
      <c r="Z584" s="147">
        <f>SUM(Z570:Z583)</f>
        <v>0</v>
      </c>
    </row>
    <row r="585" spans="1:26" ht="15.75" thickBot="1"/>
    <row r="586" spans="1:26" ht="15.75" thickBot="1">
      <c r="A586" s="1036" t="s">
        <v>922</v>
      </c>
      <c r="B586" s="1037"/>
      <c r="C586" s="1037"/>
      <c r="D586" s="1037"/>
      <c r="E586" s="1037"/>
      <c r="F586" s="1037"/>
      <c r="G586" s="1037"/>
      <c r="H586" s="1037"/>
      <c r="I586" s="1037"/>
      <c r="J586" s="1037"/>
      <c r="K586" s="1037"/>
      <c r="L586" s="1037"/>
      <c r="M586" s="1037"/>
      <c r="N586" s="1037"/>
      <c r="O586" s="1037"/>
      <c r="P586" s="1037"/>
      <c r="Q586" s="1037"/>
      <c r="R586" s="1038"/>
      <c r="S586" s="1024" t="s">
        <v>820</v>
      </c>
      <c r="T586" s="1025"/>
      <c r="U586" s="1025"/>
      <c r="V586" s="1025"/>
      <c r="W586" s="1026"/>
    </row>
    <row r="587" spans="1:26">
      <c r="A587" s="228"/>
      <c r="B587" s="151"/>
      <c r="C587" s="245"/>
      <c r="D587" s="229"/>
      <c r="E587" s="229"/>
      <c r="F587" s="229"/>
      <c r="G587" s="229"/>
      <c r="H587" s="229"/>
      <c r="I587" s="229"/>
      <c r="J587" s="229"/>
      <c r="K587" s="229"/>
      <c r="L587" s="229"/>
      <c r="M587" s="229"/>
      <c r="N587" s="229"/>
      <c r="O587" s="156"/>
      <c r="P587" s="229"/>
      <c r="Q587" s="229"/>
      <c r="R587" s="230"/>
      <c r="S587" s="228"/>
      <c r="T587" s="247"/>
      <c r="U587" s="369"/>
      <c r="V587" s="369"/>
      <c r="W587" s="369"/>
    </row>
    <row r="588" spans="1:26">
      <c r="A588" s="232" t="s">
        <v>821</v>
      </c>
      <c r="B588" s="152"/>
      <c r="C588" s="152"/>
      <c r="D588" s="233"/>
      <c r="E588" s="234"/>
      <c r="F588" s="234"/>
      <c r="G588" s="234"/>
      <c r="H588" s="234"/>
      <c r="I588" s="234"/>
      <c r="J588" s="234"/>
      <c r="K588" s="234"/>
      <c r="L588" s="234"/>
      <c r="M588" s="234"/>
      <c r="N588" s="234"/>
      <c r="O588" s="234"/>
      <c r="P588" s="234"/>
      <c r="Q588" s="234"/>
      <c r="R588" s="235"/>
      <c r="S588" s="232" t="s">
        <v>821</v>
      </c>
      <c r="T588" s="152"/>
      <c r="U588" s="147"/>
      <c r="V588" s="147"/>
      <c r="W588" s="147"/>
    </row>
    <row r="589" spans="1:26">
      <c r="A589" s="232" t="s">
        <v>822</v>
      </c>
      <c r="B589" s="152"/>
      <c r="C589" s="152"/>
      <c r="D589" s="233"/>
      <c r="E589" s="234"/>
      <c r="F589" s="234"/>
      <c r="G589" s="234"/>
      <c r="H589" s="234"/>
      <c r="I589" s="234"/>
      <c r="J589" s="234"/>
      <c r="K589" s="234"/>
      <c r="L589" s="234"/>
      <c r="M589" s="234"/>
      <c r="N589" s="234"/>
      <c r="O589" s="234"/>
      <c r="P589" s="234"/>
      <c r="Q589" s="234"/>
      <c r="R589" s="235"/>
      <c r="S589" s="232" t="s">
        <v>822</v>
      </c>
      <c r="T589" s="152"/>
      <c r="U589" s="147"/>
      <c r="V589" s="147"/>
      <c r="W589" s="147"/>
    </row>
    <row r="590" spans="1:26">
      <c r="A590" s="232" t="s">
        <v>823</v>
      </c>
      <c r="B590" s="152"/>
      <c r="C590" s="152"/>
      <c r="D590" s="233"/>
      <c r="E590" s="234"/>
      <c r="F590" s="234"/>
      <c r="G590" s="234"/>
      <c r="H590" s="234"/>
      <c r="I590" s="234"/>
      <c r="J590" s="234"/>
      <c r="K590" s="234"/>
      <c r="L590" s="234"/>
      <c r="M590" s="234"/>
      <c r="N590" s="234"/>
      <c r="O590" s="234"/>
      <c r="P590" s="234"/>
      <c r="Q590" s="234"/>
      <c r="R590" s="235"/>
      <c r="S590" s="232" t="s">
        <v>823</v>
      </c>
      <c r="T590" s="152"/>
      <c r="U590" s="147"/>
      <c r="V590" s="147"/>
      <c r="W590" s="147"/>
    </row>
    <row r="591" spans="1:26">
      <c r="A591" s="232" t="s">
        <v>824</v>
      </c>
      <c r="B591" s="152"/>
      <c r="C591" s="152"/>
      <c r="D591" s="233"/>
      <c r="E591" s="234"/>
      <c r="F591" s="234"/>
      <c r="G591" s="234"/>
      <c r="H591" s="234"/>
      <c r="I591" s="234"/>
      <c r="J591" s="234"/>
      <c r="K591" s="234"/>
      <c r="L591" s="234"/>
      <c r="M591" s="234"/>
      <c r="N591" s="234"/>
      <c r="O591" s="234"/>
      <c r="P591" s="234"/>
      <c r="Q591" s="234"/>
      <c r="R591" s="235"/>
      <c r="S591" s="232" t="s">
        <v>824</v>
      </c>
      <c r="T591" s="152"/>
      <c r="U591" s="147"/>
      <c r="V591" s="147"/>
      <c r="W591" s="147"/>
    </row>
    <row r="592" spans="1:26">
      <c r="A592" s="232" t="s">
        <v>825</v>
      </c>
      <c r="B592" s="152"/>
      <c r="C592" s="152"/>
      <c r="D592" s="233"/>
      <c r="E592" s="234"/>
      <c r="F592" s="234"/>
      <c r="G592" s="234"/>
      <c r="H592" s="234"/>
      <c r="I592" s="234"/>
      <c r="J592" s="234"/>
      <c r="K592" s="234"/>
      <c r="L592" s="234"/>
      <c r="M592" s="234"/>
      <c r="N592" s="234"/>
      <c r="O592" s="234"/>
      <c r="P592" s="234"/>
      <c r="Q592" s="234"/>
      <c r="R592" s="235"/>
      <c r="S592" s="232" t="s">
        <v>825</v>
      </c>
      <c r="T592" s="152"/>
      <c r="U592" s="147"/>
      <c r="V592" s="147"/>
      <c r="W592" s="147"/>
    </row>
    <row r="593" spans="1:23">
      <c r="A593" s="232" t="s">
        <v>826</v>
      </c>
      <c r="B593" s="152"/>
      <c r="C593" s="152"/>
      <c r="D593" s="233"/>
      <c r="E593" s="234"/>
      <c r="F593" s="234"/>
      <c r="G593" s="234"/>
      <c r="H593" s="234"/>
      <c r="I593" s="234"/>
      <c r="J593" s="234"/>
      <c r="K593" s="234"/>
      <c r="L593" s="234"/>
      <c r="M593" s="234"/>
      <c r="N593" s="234"/>
      <c r="O593" s="234"/>
      <c r="P593" s="234"/>
      <c r="Q593" s="234"/>
      <c r="R593" s="235"/>
      <c r="S593" s="232" t="s">
        <v>826</v>
      </c>
      <c r="T593" s="152"/>
      <c r="U593" s="147"/>
      <c r="V593" s="147"/>
      <c r="W593" s="147"/>
    </row>
    <row r="594" spans="1:23">
      <c r="A594" s="232" t="s">
        <v>827</v>
      </c>
      <c r="B594" s="152"/>
      <c r="C594" s="152"/>
      <c r="D594" s="233"/>
      <c r="E594" s="234"/>
      <c r="F594" s="234"/>
      <c r="G594" s="234"/>
      <c r="H594" s="234"/>
      <c r="I594" s="234"/>
      <c r="J594" s="234"/>
      <c r="K594" s="234"/>
      <c r="L594" s="234"/>
      <c r="M594" s="234"/>
      <c r="N594" s="234"/>
      <c r="O594" s="234"/>
      <c r="P594" s="234"/>
      <c r="Q594" s="234"/>
      <c r="R594" s="235"/>
      <c r="S594" s="232" t="s">
        <v>827</v>
      </c>
      <c r="T594" s="152"/>
      <c r="U594" s="147"/>
      <c r="V594" s="147"/>
      <c r="W594" s="147"/>
    </row>
    <row r="595" spans="1:23">
      <c r="A595" s="232" t="s">
        <v>821</v>
      </c>
      <c r="B595" s="152"/>
      <c r="C595" s="152"/>
      <c r="D595" s="233"/>
      <c r="E595" s="234"/>
      <c r="F595" s="234"/>
      <c r="G595" s="234"/>
      <c r="H595" s="234"/>
      <c r="I595" s="234"/>
      <c r="J595" s="234"/>
      <c r="K595" s="234"/>
      <c r="L595" s="234"/>
      <c r="M595" s="234"/>
      <c r="N595" s="234"/>
      <c r="O595" s="234"/>
      <c r="P595" s="234"/>
      <c r="Q595" s="234"/>
      <c r="R595" s="235"/>
      <c r="S595" s="232" t="s">
        <v>821</v>
      </c>
      <c r="T595" s="152"/>
      <c r="U595" s="147"/>
      <c r="V595" s="147"/>
      <c r="W595" s="147"/>
    </row>
    <row r="596" spans="1:23">
      <c r="A596" s="232" t="s">
        <v>822</v>
      </c>
      <c r="B596" s="152"/>
      <c r="C596" s="152"/>
      <c r="D596" s="233"/>
      <c r="E596" s="234"/>
      <c r="F596" s="234"/>
      <c r="G596" s="234"/>
      <c r="H596" s="234"/>
      <c r="I596" s="234"/>
      <c r="J596" s="234"/>
      <c r="K596" s="234"/>
      <c r="L596" s="234"/>
      <c r="M596" s="234"/>
      <c r="N596" s="234"/>
      <c r="O596" s="234"/>
      <c r="P596" s="233"/>
      <c r="Q596" s="234"/>
      <c r="R596" s="235"/>
      <c r="S596" s="232" t="s">
        <v>822</v>
      </c>
      <c r="T596" s="152"/>
      <c r="U596" s="147"/>
      <c r="V596" s="147"/>
      <c r="W596" s="147"/>
    </row>
    <row r="597" spans="1:23">
      <c r="A597" s="232" t="s">
        <v>823</v>
      </c>
      <c r="B597" s="152"/>
      <c r="C597" s="152"/>
      <c r="D597" s="233"/>
      <c r="E597" s="234"/>
      <c r="F597" s="234"/>
      <c r="G597" s="234"/>
      <c r="H597" s="234"/>
      <c r="I597" s="234"/>
      <c r="J597" s="234"/>
      <c r="K597" s="234"/>
      <c r="L597" s="234"/>
      <c r="M597" s="234"/>
      <c r="N597" s="234"/>
      <c r="O597" s="234"/>
      <c r="P597" s="234"/>
      <c r="Q597" s="234"/>
      <c r="R597" s="235"/>
      <c r="S597" s="232" t="s">
        <v>823</v>
      </c>
      <c r="T597" s="152"/>
      <c r="U597" s="147"/>
      <c r="V597" s="147"/>
      <c r="W597" s="147"/>
    </row>
    <row r="598" spans="1:23">
      <c r="A598" s="232" t="s">
        <v>824</v>
      </c>
      <c r="B598" s="152"/>
      <c r="C598" s="152"/>
      <c r="D598" s="233"/>
      <c r="E598" s="234"/>
      <c r="F598" s="234"/>
      <c r="G598" s="234"/>
      <c r="H598" s="234"/>
      <c r="I598" s="234"/>
      <c r="J598" s="234"/>
      <c r="K598" s="234"/>
      <c r="L598" s="234"/>
      <c r="M598" s="234"/>
      <c r="N598" s="234"/>
      <c r="O598" s="234"/>
      <c r="P598" s="234"/>
      <c r="Q598" s="234"/>
      <c r="R598" s="235"/>
      <c r="S598" s="232" t="s">
        <v>824</v>
      </c>
      <c r="T598" s="152"/>
      <c r="U598" s="147"/>
      <c r="V598" s="147"/>
      <c r="W598" s="147"/>
    </row>
    <row r="599" spans="1:23">
      <c r="A599" s="232" t="s">
        <v>825</v>
      </c>
      <c r="B599" s="152"/>
      <c r="C599" s="152"/>
      <c r="D599" s="233"/>
      <c r="E599" s="234"/>
      <c r="F599" s="234"/>
      <c r="G599" s="234"/>
      <c r="H599" s="234"/>
      <c r="I599" s="234"/>
      <c r="J599" s="234"/>
      <c r="K599" s="234"/>
      <c r="L599" s="234"/>
      <c r="M599" s="234"/>
      <c r="N599" s="234"/>
      <c r="O599" s="234"/>
      <c r="P599" s="234"/>
      <c r="Q599" s="234"/>
      <c r="R599" s="235"/>
      <c r="S599" s="232" t="s">
        <v>825</v>
      </c>
      <c r="T599" s="152"/>
      <c r="U599" s="147"/>
      <c r="V599" s="147"/>
      <c r="W599" s="147"/>
    </row>
    <row r="600" spans="1:23">
      <c r="A600" s="232" t="s">
        <v>826</v>
      </c>
      <c r="B600" s="152"/>
      <c r="C600" s="152"/>
      <c r="D600" s="233"/>
      <c r="E600" s="234"/>
      <c r="F600" s="234"/>
      <c r="G600" s="234"/>
      <c r="H600" s="234"/>
      <c r="I600" s="234"/>
      <c r="J600" s="234"/>
      <c r="K600" s="234"/>
      <c r="L600" s="234"/>
      <c r="M600" s="234"/>
      <c r="N600" s="234"/>
      <c r="O600" s="234"/>
      <c r="P600" s="234"/>
      <c r="Q600" s="234"/>
      <c r="R600" s="235"/>
      <c r="S600" s="232" t="s">
        <v>826</v>
      </c>
      <c r="T600" s="152"/>
      <c r="U600" s="147"/>
      <c r="V600" s="147"/>
      <c r="W600" s="147"/>
    </row>
    <row r="601" spans="1:23" ht="15.75" thickBot="1">
      <c r="A601" s="232" t="s">
        <v>827</v>
      </c>
      <c r="B601" s="152"/>
      <c r="C601" s="152"/>
      <c r="D601" s="233"/>
      <c r="E601" s="234"/>
      <c r="F601" s="234"/>
      <c r="G601" s="234"/>
      <c r="H601" s="234"/>
      <c r="I601" s="234"/>
      <c r="J601" s="234"/>
      <c r="K601" s="234"/>
      <c r="L601" s="234"/>
      <c r="M601" s="234"/>
      <c r="N601" s="234"/>
      <c r="O601" s="234"/>
      <c r="P601" s="234"/>
      <c r="Q601" s="234"/>
      <c r="R601" s="235"/>
      <c r="S601" s="232" t="s">
        <v>827</v>
      </c>
      <c r="T601" s="152"/>
      <c r="U601" s="147"/>
      <c r="V601" s="147"/>
      <c r="W601" s="147"/>
    </row>
    <row r="602" spans="1:23" ht="16.5" thickBot="1">
      <c r="A602" s="175" t="s">
        <v>791</v>
      </c>
      <c r="B602" s="176">
        <f>SUM(C602:R602)+T602</f>
        <v>0</v>
      </c>
      <c r="C602" s="240">
        <f>SUM(C588:C601)</f>
        <v>0</v>
      </c>
      <c r="D602" s="243">
        <f t="shared" ref="D602:R602" si="77">SUM(D588:D601)</f>
        <v>0</v>
      </c>
      <c r="E602" s="238">
        <f t="shared" si="77"/>
        <v>0</v>
      </c>
      <c r="F602" s="238">
        <f t="shared" si="77"/>
        <v>0</v>
      </c>
      <c r="G602" s="238">
        <f t="shared" si="77"/>
        <v>0</v>
      </c>
      <c r="H602" s="238">
        <f t="shared" si="77"/>
        <v>0</v>
      </c>
      <c r="I602" s="238">
        <f t="shared" si="77"/>
        <v>0</v>
      </c>
      <c r="J602" s="238">
        <f t="shared" si="77"/>
        <v>0</v>
      </c>
      <c r="K602" s="238">
        <f t="shared" si="77"/>
        <v>0</v>
      </c>
      <c r="L602" s="238">
        <f t="shared" si="77"/>
        <v>0</v>
      </c>
      <c r="M602" s="238">
        <f t="shared" si="77"/>
        <v>0</v>
      </c>
      <c r="N602" s="238">
        <f t="shared" si="77"/>
        <v>0</v>
      </c>
      <c r="O602" s="238">
        <f t="shared" si="77"/>
        <v>0</v>
      </c>
      <c r="P602" s="238">
        <f t="shared" si="77"/>
        <v>0</v>
      </c>
      <c r="Q602" s="238">
        <f t="shared" si="77"/>
        <v>0</v>
      </c>
      <c r="R602" s="239">
        <f t="shared" si="77"/>
        <v>0</v>
      </c>
      <c r="S602" s="175" t="s">
        <v>791</v>
      </c>
      <c r="T602" s="176">
        <f>SUM(U602:W602)</f>
        <v>0</v>
      </c>
      <c r="U602" s="147">
        <f>SUM(U588:U601)</f>
        <v>0</v>
      </c>
      <c r="V602" s="147">
        <f>SUM(V588:V601)</f>
        <v>0</v>
      </c>
      <c r="W602" s="147">
        <f>SUM(W588:W601)</f>
        <v>0</v>
      </c>
    </row>
    <row r="603" spans="1:23" ht="15.75" thickBot="1">
      <c r="A603" s="329"/>
      <c r="B603" s="329"/>
      <c r="C603" s="329"/>
      <c r="D603" s="226"/>
      <c r="E603" s="226"/>
      <c r="F603" s="226"/>
      <c r="G603" s="226"/>
    </row>
    <row r="604" spans="1:23" ht="15.75" thickBot="1">
      <c r="A604" s="1027" t="s">
        <v>923</v>
      </c>
      <c r="B604" s="1028"/>
      <c r="C604" s="1028"/>
      <c r="D604" s="1028"/>
      <c r="E604" s="1028"/>
      <c r="F604" s="1028"/>
      <c r="G604" s="1028"/>
      <c r="H604" s="1028"/>
      <c r="I604" s="1028"/>
      <c r="J604" s="1028"/>
      <c r="K604" s="1028"/>
      <c r="L604" s="1028"/>
      <c r="M604" s="1028"/>
      <c r="N604" s="1028"/>
      <c r="O604" s="1028"/>
      <c r="P604" s="1028"/>
      <c r="Q604" s="1028"/>
      <c r="R604" s="1029"/>
      <c r="S604" s="1024" t="s">
        <v>820</v>
      </c>
      <c r="T604" s="1025"/>
      <c r="U604" s="1025"/>
      <c r="V604" s="1025"/>
      <c r="W604" s="1026"/>
    </row>
    <row r="605" spans="1:23">
      <c r="A605" s="228"/>
      <c r="B605" s="156"/>
      <c r="C605" s="229"/>
      <c r="D605" s="229"/>
      <c r="E605" s="229"/>
      <c r="F605" s="229"/>
      <c r="G605" s="229"/>
      <c r="H605" s="229"/>
      <c r="I605" s="229"/>
      <c r="J605" s="229"/>
      <c r="K605" s="229"/>
      <c r="L605" s="229"/>
      <c r="M605" s="247"/>
      <c r="N605" s="229"/>
      <c r="O605" s="229"/>
      <c r="P605" s="248"/>
      <c r="Q605" s="229"/>
      <c r="R605" s="230"/>
      <c r="S605" s="228"/>
      <c r="T605" s="247"/>
      <c r="U605" s="369"/>
      <c r="V605" s="369"/>
      <c r="W605" s="369"/>
    </row>
    <row r="606" spans="1:23">
      <c r="A606" s="232" t="s">
        <v>821</v>
      </c>
      <c r="B606" s="152"/>
      <c r="C606" s="234"/>
      <c r="D606" s="250"/>
      <c r="E606" s="234"/>
      <c r="F606" s="234"/>
      <c r="G606" s="234"/>
      <c r="H606" s="234"/>
      <c r="I606" s="234"/>
      <c r="J606" s="229"/>
      <c r="K606" s="229"/>
      <c r="L606" s="229"/>
      <c r="M606" s="234"/>
      <c r="N606" s="229"/>
      <c r="O606" s="229"/>
      <c r="P606" s="250"/>
      <c r="Q606" s="229"/>
      <c r="R606" s="230"/>
      <c r="S606" s="232" t="s">
        <v>821</v>
      </c>
      <c r="T606" s="152"/>
      <c r="U606" s="147"/>
      <c r="V606" s="147"/>
      <c r="W606" s="147"/>
    </row>
    <row r="607" spans="1:23">
      <c r="A607" s="232" t="s">
        <v>822</v>
      </c>
      <c r="B607" s="152"/>
      <c r="C607" s="250"/>
      <c r="D607" s="250"/>
      <c r="E607" s="250"/>
      <c r="F607" s="250"/>
      <c r="G607" s="250"/>
      <c r="H607" s="250"/>
      <c r="I607" s="250"/>
      <c r="J607" s="250"/>
      <c r="K607" s="250"/>
      <c r="L607" s="250"/>
      <c r="M607" s="250"/>
      <c r="N607" s="229"/>
      <c r="O607" s="229"/>
      <c r="P607" s="250"/>
      <c r="Q607" s="229"/>
      <c r="R607" s="230"/>
      <c r="S607" s="232" t="s">
        <v>822</v>
      </c>
      <c r="T607" s="152"/>
      <c r="U607" s="147"/>
      <c r="V607" s="147"/>
      <c r="W607" s="147"/>
    </row>
    <row r="608" spans="1:23">
      <c r="A608" s="232" t="s">
        <v>823</v>
      </c>
      <c r="B608" s="152"/>
      <c r="C608" s="234"/>
      <c r="D608" s="234"/>
      <c r="E608" s="234"/>
      <c r="F608" s="234"/>
      <c r="G608" s="234"/>
      <c r="H608" s="234"/>
      <c r="I608" s="234"/>
      <c r="J608" s="234"/>
      <c r="K608" s="234"/>
      <c r="L608" s="234"/>
      <c r="M608" s="250"/>
      <c r="N608" s="234"/>
      <c r="O608" s="234"/>
      <c r="P608" s="234"/>
      <c r="Q608" s="234"/>
      <c r="R608" s="235"/>
      <c r="S608" s="232" t="s">
        <v>823</v>
      </c>
      <c r="T608" s="152"/>
      <c r="U608" s="147"/>
      <c r="V608" s="147"/>
      <c r="W608" s="147"/>
    </row>
    <row r="609" spans="1:24">
      <c r="A609" s="232" t="s">
        <v>824</v>
      </c>
      <c r="B609" s="152"/>
      <c r="C609" s="234"/>
      <c r="D609" s="234"/>
      <c r="E609" s="234"/>
      <c r="F609" s="234"/>
      <c r="G609" s="234"/>
      <c r="H609" s="234"/>
      <c r="I609" s="234"/>
      <c r="J609" s="234"/>
      <c r="K609" s="234"/>
      <c r="L609" s="234"/>
      <c r="M609" s="250"/>
      <c r="N609" s="234"/>
      <c r="O609" s="234"/>
      <c r="P609" s="234"/>
      <c r="Q609" s="234"/>
      <c r="R609" s="235"/>
      <c r="S609" s="232" t="s">
        <v>824</v>
      </c>
      <c r="T609" s="152"/>
      <c r="U609" s="147"/>
      <c r="V609" s="147"/>
      <c r="W609" s="147"/>
    </row>
    <row r="610" spans="1:24">
      <c r="A610" s="232" t="s">
        <v>825</v>
      </c>
      <c r="B610" s="152"/>
      <c r="C610" s="234"/>
      <c r="D610" s="234"/>
      <c r="E610" s="234"/>
      <c r="F610" s="234"/>
      <c r="G610" s="234"/>
      <c r="H610" s="234"/>
      <c r="I610" s="234"/>
      <c r="J610" s="234"/>
      <c r="K610" s="234"/>
      <c r="L610" s="234"/>
      <c r="M610" s="250"/>
      <c r="N610" s="251"/>
      <c r="O610" s="251"/>
      <c r="P610" s="234"/>
      <c r="Q610" s="234"/>
      <c r="R610" s="235"/>
      <c r="S610" s="232" t="s">
        <v>825</v>
      </c>
      <c r="T610" s="152"/>
      <c r="U610" s="147"/>
      <c r="V610" s="147"/>
      <c r="W610" s="147"/>
    </row>
    <row r="611" spans="1:24">
      <c r="A611" s="232" t="s">
        <v>826</v>
      </c>
      <c r="B611" s="152"/>
      <c r="C611" s="233"/>
      <c r="D611" s="234"/>
      <c r="E611" s="234"/>
      <c r="F611" s="234"/>
      <c r="G611" s="234"/>
      <c r="H611" s="234"/>
      <c r="I611" s="234"/>
      <c r="J611" s="234"/>
      <c r="K611" s="234"/>
      <c r="L611" s="234"/>
      <c r="M611" s="250"/>
      <c r="N611" s="152"/>
      <c r="O611" s="152"/>
      <c r="P611" s="233"/>
      <c r="Q611" s="234"/>
      <c r="R611" s="235"/>
      <c r="S611" s="232" t="s">
        <v>826</v>
      </c>
      <c r="T611" s="152"/>
      <c r="U611" s="147"/>
      <c r="V611" s="147"/>
      <c r="W611" s="147"/>
    </row>
    <row r="612" spans="1:24">
      <c r="A612" s="232" t="s">
        <v>827</v>
      </c>
      <c r="B612" s="152"/>
      <c r="C612" s="233"/>
      <c r="D612" s="234"/>
      <c r="E612" s="234"/>
      <c r="F612" s="234"/>
      <c r="G612" s="234"/>
      <c r="H612" s="234"/>
      <c r="I612" s="234"/>
      <c r="J612" s="234"/>
      <c r="K612" s="234"/>
      <c r="L612" s="234"/>
      <c r="M612" s="250"/>
      <c r="N612" s="152"/>
      <c r="O612" s="152"/>
      <c r="P612" s="233"/>
      <c r="Q612" s="234"/>
      <c r="R612" s="235"/>
      <c r="S612" s="232" t="s">
        <v>827</v>
      </c>
      <c r="T612" s="152"/>
      <c r="U612" s="147"/>
      <c r="V612" s="147"/>
      <c r="W612" s="147"/>
    </row>
    <row r="613" spans="1:24">
      <c r="A613" s="232" t="s">
        <v>821</v>
      </c>
      <c r="B613" s="152"/>
      <c r="C613" s="233"/>
      <c r="D613" s="234"/>
      <c r="E613" s="234"/>
      <c r="F613" s="234"/>
      <c r="G613" s="234"/>
      <c r="H613" s="234"/>
      <c r="I613" s="234"/>
      <c r="J613" s="234"/>
      <c r="K613" s="234"/>
      <c r="L613" s="234"/>
      <c r="M613" s="250"/>
      <c r="N613" s="152"/>
      <c r="O613" s="152"/>
      <c r="P613" s="233"/>
      <c r="Q613" s="234"/>
      <c r="R613" s="235"/>
      <c r="S613" s="232" t="s">
        <v>821</v>
      </c>
      <c r="T613" s="152"/>
      <c r="U613" s="147"/>
      <c r="V613" s="147"/>
      <c r="W613" s="147"/>
    </row>
    <row r="614" spans="1:24">
      <c r="A614" s="232" t="s">
        <v>822</v>
      </c>
      <c r="B614" s="152"/>
      <c r="C614" s="233"/>
      <c r="D614" s="234"/>
      <c r="E614" s="234"/>
      <c r="F614" s="234"/>
      <c r="G614" s="234"/>
      <c r="H614" s="234"/>
      <c r="I614" s="234"/>
      <c r="J614" s="234"/>
      <c r="K614" s="234"/>
      <c r="L614" s="234"/>
      <c r="M614" s="250"/>
      <c r="N614" s="152"/>
      <c r="O614" s="152"/>
      <c r="P614" s="233"/>
      <c r="Q614" s="234"/>
      <c r="R614" s="235"/>
      <c r="S614" s="232" t="s">
        <v>822</v>
      </c>
      <c r="T614" s="152"/>
      <c r="U614" s="147"/>
      <c r="V614" s="147"/>
      <c r="W614" s="147"/>
    </row>
    <row r="615" spans="1:24">
      <c r="A615" s="232" t="s">
        <v>823</v>
      </c>
      <c r="B615" s="152"/>
      <c r="C615" s="252"/>
      <c r="D615" s="251"/>
      <c r="E615" s="251"/>
      <c r="F615" s="251"/>
      <c r="G615" s="251"/>
      <c r="H615" s="251"/>
      <c r="I615" s="251"/>
      <c r="J615" s="251"/>
      <c r="K615" s="251"/>
      <c r="L615" s="251"/>
      <c r="M615" s="250"/>
      <c r="N615" s="152"/>
      <c r="O615" s="152"/>
      <c r="P615" s="253"/>
      <c r="Q615" s="251"/>
      <c r="R615" s="254"/>
      <c r="S615" s="232" t="s">
        <v>823</v>
      </c>
      <c r="T615" s="152"/>
      <c r="U615" s="147"/>
      <c r="V615" s="147"/>
      <c r="W615" s="147"/>
    </row>
    <row r="616" spans="1:24">
      <c r="A616" s="232" t="s">
        <v>824</v>
      </c>
      <c r="B616" s="152"/>
      <c r="C616" s="252"/>
      <c r="D616" s="251"/>
      <c r="E616" s="251"/>
      <c r="F616" s="251"/>
      <c r="G616" s="251"/>
      <c r="H616" s="251"/>
      <c r="I616" s="251"/>
      <c r="J616" s="251"/>
      <c r="K616" s="251"/>
      <c r="L616" s="251"/>
      <c r="M616" s="250"/>
      <c r="N616" s="152"/>
      <c r="O616" s="152"/>
      <c r="P616" s="253"/>
      <c r="Q616" s="251"/>
      <c r="R616" s="254"/>
      <c r="S616" s="232" t="s">
        <v>824</v>
      </c>
      <c r="T616" s="152"/>
      <c r="U616" s="147"/>
      <c r="V616" s="147"/>
      <c r="W616" s="147"/>
    </row>
    <row r="617" spans="1:24">
      <c r="A617" s="232" t="s">
        <v>825</v>
      </c>
      <c r="B617" s="152"/>
      <c r="C617" s="252"/>
      <c r="D617" s="251"/>
      <c r="E617" s="251"/>
      <c r="F617" s="251"/>
      <c r="G617" s="251"/>
      <c r="H617" s="251"/>
      <c r="I617" s="251"/>
      <c r="J617" s="251"/>
      <c r="K617" s="251"/>
      <c r="L617" s="251"/>
      <c r="M617" s="250"/>
      <c r="N617" s="255"/>
      <c r="O617" s="152"/>
      <c r="P617" s="233"/>
      <c r="Q617" s="251"/>
      <c r="R617" s="254"/>
      <c r="S617" s="232" t="s">
        <v>825</v>
      </c>
      <c r="T617" s="152"/>
      <c r="U617" s="147"/>
      <c r="V617" s="147"/>
      <c r="W617" s="147"/>
    </row>
    <row r="618" spans="1:24">
      <c r="A618" s="232" t="s">
        <v>826</v>
      </c>
      <c r="B618" s="152"/>
      <c r="C618" s="252"/>
      <c r="D618" s="251"/>
      <c r="E618" s="251"/>
      <c r="F618" s="251"/>
      <c r="G618" s="251"/>
      <c r="H618" s="251"/>
      <c r="I618" s="251"/>
      <c r="J618" s="251"/>
      <c r="K618" s="251"/>
      <c r="L618" s="251"/>
      <c r="M618" s="250"/>
      <c r="N618" s="255"/>
      <c r="O618" s="152"/>
      <c r="P618" s="233"/>
      <c r="Q618" s="251"/>
      <c r="R618" s="254"/>
      <c r="S618" s="232" t="s">
        <v>826</v>
      </c>
      <c r="T618" s="152"/>
      <c r="U618" s="147"/>
      <c r="V618" s="147"/>
      <c r="W618" s="147"/>
    </row>
    <row r="619" spans="1:24" ht="15.75" thickBot="1">
      <c r="A619" s="232" t="s">
        <v>827</v>
      </c>
      <c r="B619" s="152"/>
      <c r="C619" s="252"/>
      <c r="D619" s="251"/>
      <c r="E619" s="251"/>
      <c r="F619" s="251"/>
      <c r="G619" s="251"/>
      <c r="H619" s="251"/>
      <c r="I619" s="251"/>
      <c r="J619" s="251"/>
      <c r="K619" s="251"/>
      <c r="L619" s="251"/>
      <c r="M619" s="250"/>
      <c r="N619" s="255"/>
      <c r="O619" s="152"/>
      <c r="P619" s="233"/>
      <c r="Q619" s="251"/>
      <c r="R619" s="254"/>
      <c r="S619" s="232" t="s">
        <v>827</v>
      </c>
      <c r="T619" s="152"/>
      <c r="U619" s="147"/>
      <c r="V619" s="147"/>
      <c r="W619" s="147"/>
    </row>
    <row r="620" spans="1:24" ht="16.5" thickBot="1">
      <c r="A620" s="256"/>
      <c r="B620" s="386">
        <f>SUM(C620:R620)+T620</f>
        <v>0</v>
      </c>
      <c r="C620" s="238">
        <f t="shared" ref="C620:R620" si="78">SUM(C606:C619)</f>
        <v>0</v>
      </c>
      <c r="D620" s="238">
        <f t="shared" si="78"/>
        <v>0</v>
      </c>
      <c r="E620" s="238">
        <f t="shared" si="78"/>
        <v>0</v>
      </c>
      <c r="F620" s="238">
        <f t="shared" si="78"/>
        <v>0</v>
      </c>
      <c r="G620" s="238">
        <f t="shared" si="78"/>
        <v>0</v>
      </c>
      <c r="H620" s="238">
        <f t="shared" si="78"/>
        <v>0</v>
      </c>
      <c r="I620" s="238">
        <f t="shared" si="78"/>
        <v>0</v>
      </c>
      <c r="J620" s="238">
        <f t="shared" si="78"/>
        <v>0</v>
      </c>
      <c r="K620" s="238">
        <f t="shared" si="78"/>
        <v>0</v>
      </c>
      <c r="L620" s="238">
        <f t="shared" si="78"/>
        <v>0</v>
      </c>
      <c r="M620" s="238">
        <f t="shared" si="78"/>
        <v>0</v>
      </c>
      <c r="N620" s="238">
        <f t="shared" si="78"/>
        <v>0</v>
      </c>
      <c r="O620" s="153">
        <f t="shared" si="78"/>
        <v>0</v>
      </c>
      <c r="P620" s="238">
        <f t="shared" si="78"/>
        <v>0</v>
      </c>
      <c r="Q620" s="238">
        <f t="shared" si="78"/>
        <v>0</v>
      </c>
      <c r="R620" s="239">
        <f t="shared" si="78"/>
        <v>0</v>
      </c>
      <c r="S620" s="175" t="s">
        <v>791</v>
      </c>
      <c r="T620" s="176">
        <f>SUM(U620:W620)</f>
        <v>0</v>
      </c>
      <c r="U620" s="147">
        <f>SUM(U606:U619)</f>
        <v>0</v>
      </c>
      <c r="V620" s="147">
        <f>SUM(V606:V619)</f>
        <v>0</v>
      </c>
      <c r="W620" s="147">
        <f>SUM(W606:W619)</f>
        <v>0</v>
      </c>
    </row>
    <row r="621" spans="1:24" ht="15.75" thickBot="1"/>
    <row r="622" spans="1:24" ht="15.75" thickBot="1">
      <c r="A622" s="1027" t="s">
        <v>659</v>
      </c>
      <c r="B622" s="1028"/>
      <c r="C622" s="1028"/>
      <c r="D622" s="1028"/>
      <c r="E622" s="1028"/>
      <c r="F622" s="1028"/>
      <c r="G622" s="1028"/>
      <c r="H622" s="1028"/>
      <c r="I622" s="1028"/>
      <c r="J622" s="1028"/>
      <c r="K622" s="1028"/>
      <c r="L622" s="1028"/>
      <c r="M622" s="1028"/>
      <c r="N622" s="1028"/>
      <c r="O622" s="1028"/>
      <c r="P622" s="1028"/>
      <c r="Q622" s="1028"/>
      <c r="R622" s="1028"/>
      <c r="S622" s="1029"/>
      <c r="T622" s="1024" t="s">
        <v>820</v>
      </c>
      <c r="U622" s="1025"/>
      <c r="V622" s="1025"/>
      <c r="W622" s="1025"/>
      <c r="X622" s="1026"/>
    </row>
    <row r="623" spans="1:24">
      <c r="A623" s="264"/>
      <c r="B623" s="247"/>
      <c r="C623" s="231"/>
      <c r="D623" s="231"/>
      <c r="E623" s="231"/>
      <c r="F623" s="231"/>
      <c r="G623" s="231"/>
      <c r="H623" s="231"/>
      <c r="I623" s="231"/>
      <c r="J623" s="231"/>
      <c r="K623" s="231"/>
      <c r="L623" s="231"/>
      <c r="M623" s="231"/>
      <c r="N623" s="231"/>
      <c r="O623" s="231"/>
      <c r="P623" s="231"/>
      <c r="Q623" s="365"/>
      <c r="R623" s="247"/>
      <c r="S623" s="231"/>
      <c r="T623" s="228"/>
      <c r="U623" s="247"/>
      <c r="V623" s="369"/>
      <c r="W623" s="369"/>
      <c r="X623" s="369"/>
    </row>
    <row r="624" spans="1:24">
      <c r="A624" s="366" t="s">
        <v>821</v>
      </c>
      <c r="B624" s="152"/>
      <c r="C624" s="152"/>
      <c r="D624" s="152"/>
      <c r="E624" s="152"/>
      <c r="F624" s="152"/>
      <c r="G624" s="152"/>
      <c r="H624" s="152"/>
      <c r="I624" s="152"/>
      <c r="J624" s="152"/>
      <c r="K624" s="152"/>
      <c r="L624" s="152"/>
      <c r="M624" s="152"/>
      <c r="N624" s="152"/>
      <c r="O624" s="152"/>
      <c r="P624" s="152"/>
      <c r="Q624" s="258"/>
      <c r="R624" s="152"/>
      <c r="S624" s="152"/>
      <c r="T624" s="232" t="s">
        <v>821</v>
      </c>
      <c r="U624" s="152"/>
      <c r="V624" s="147"/>
      <c r="W624" s="147"/>
      <c r="X624" s="147"/>
    </row>
    <row r="625" spans="1:26">
      <c r="A625" s="366" t="s">
        <v>822</v>
      </c>
      <c r="B625" s="152"/>
      <c r="C625" s="152"/>
      <c r="D625" s="152"/>
      <c r="E625" s="152"/>
      <c r="F625" s="152"/>
      <c r="G625" s="152"/>
      <c r="H625" s="152"/>
      <c r="I625" s="152"/>
      <c r="J625" s="152"/>
      <c r="K625" s="152"/>
      <c r="L625" s="152"/>
      <c r="M625" s="152"/>
      <c r="N625" s="152"/>
      <c r="O625" s="152"/>
      <c r="P625" s="152"/>
      <c r="Q625" s="258"/>
      <c r="R625" s="152"/>
      <c r="S625" s="152"/>
      <c r="T625" s="232" t="s">
        <v>822</v>
      </c>
      <c r="U625" s="152"/>
      <c r="V625" s="147"/>
      <c r="W625" s="147"/>
      <c r="X625" s="147"/>
    </row>
    <row r="626" spans="1:26">
      <c r="A626" s="366" t="s">
        <v>823</v>
      </c>
      <c r="B626" s="152"/>
      <c r="C626" s="152"/>
      <c r="D626" s="152"/>
      <c r="E626" s="152"/>
      <c r="F626" s="152"/>
      <c r="G626" s="152"/>
      <c r="H626" s="152"/>
      <c r="I626" s="152"/>
      <c r="J626" s="152"/>
      <c r="K626" s="152"/>
      <c r="L626" s="152"/>
      <c r="M626" s="152"/>
      <c r="N626" s="152"/>
      <c r="O626" s="152"/>
      <c r="P626" s="152"/>
      <c r="Q626" s="258"/>
      <c r="R626" s="152"/>
      <c r="S626" s="152"/>
      <c r="T626" s="232" t="s">
        <v>823</v>
      </c>
      <c r="U626" s="152"/>
      <c r="V626" s="147"/>
      <c r="W626" s="147"/>
      <c r="X626" s="147"/>
    </row>
    <row r="627" spans="1:26">
      <c r="A627" s="366" t="s">
        <v>824</v>
      </c>
      <c r="B627" s="152"/>
      <c r="C627" s="328"/>
      <c r="D627" s="152"/>
      <c r="E627" s="152"/>
      <c r="F627" s="152"/>
      <c r="G627" s="152"/>
      <c r="H627" s="152"/>
      <c r="I627" s="152"/>
      <c r="J627" s="152"/>
      <c r="K627" s="152"/>
      <c r="L627" s="152"/>
      <c r="M627" s="152"/>
      <c r="N627" s="152"/>
      <c r="O627" s="152"/>
      <c r="P627" s="152"/>
      <c r="Q627" s="258"/>
      <c r="R627" s="152"/>
      <c r="S627" s="328"/>
      <c r="T627" s="232" t="s">
        <v>824</v>
      </c>
      <c r="U627" s="152"/>
      <c r="V627" s="147"/>
      <c r="W627" s="147"/>
      <c r="X627" s="147"/>
    </row>
    <row r="628" spans="1:26">
      <c r="A628" s="366" t="s">
        <v>825</v>
      </c>
      <c r="B628" s="152"/>
      <c r="C628" s="152"/>
      <c r="D628" s="152"/>
      <c r="E628" s="152"/>
      <c r="F628" s="152"/>
      <c r="G628" s="152"/>
      <c r="H628" s="152"/>
      <c r="I628" s="152"/>
      <c r="J628" s="152"/>
      <c r="K628" s="152"/>
      <c r="L628" s="152"/>
      <c r="M628" s="152"/>
      <c r="N628" s="152"/>
      <c r="O628" s="152"/>
      <c r="P628" s="152"/>
      <c r="Q628" s="258"/>
      <c r="R628" s="152"/>
      <c r="S628" s="152"/>
      <c r="T628" s="232" t="s">
        <v>825</v>
      </c>
      <c r="U628" s="152"/>
      <c r="V628" s="147"/>
      <c r="W628" s="147"/>
      <c r="X628" s="147"/>
    </row>
    <row r="629" spans="1:26">
      <c r="A629" s="366" t="s">
        <v>826</v>
      </c>
      <c r="B629" s="152"/>
      <c r="C629" s="152"/>
      <c r="D629" s="152"/>
      <c r="E629" s="152"/>
      <c r="F629" s="152"/>
      <c r="G629" s="152"/>
      <c r="H629" s="152"/>
      <c r="I629" s="152"/>
      <c r="J629" s="152"/>
      <c r="K629" s="152"/>
      <c r="L629" s="152"/>
      <c r="M629" s="152"/>
      <c r="N629" s="152"/>
      <c r="O629" s="152"/>
      <c r="P629" s="152"/>
      <c r="Q629" s="258"/>
      <c r="R629" s="152"/>
      <c r="S629" s="152"/>
      <c r="T629" s="232" t="s">
        <v>826</v>
      </c>
      <c r="U629" s="152"/>
      <c r="V629" s="147"/>
      <c r="W629" s="147"/>
      <c r="X629" s="147"/>
    </row>
    <row r="630" spans="1:26">
      <c r="A630" s="366" t="s">
        <v>827</v>
      </c>
      <c r="B630" s="152"/>
      <c r="C630" s="152"/>
      <c r="D630" s="152"/>
      <c r="E630" s="152"/>
      <c r="F630" s="152"/>
      <c r="G630" s="152"/>
      <c r="H630" s="152"/>
      <c r="I630" s="152"/>
      <c r="J630" s="152"/>
      <c r="K630" s="152"/>
      <c r="L630" s="152"/>
      <c r="M630" s="152"/>
      <c r="N630" s="152"/>
      <c r="O630" s="152"/>
      <c r="P630" s="152"/>
      <c r="Q630" s="258"/>
      <c r="R630" s="152"/>
      <c r="S630" s="152"/>
      <c r="T630" s="232" t="s">
        <v>827</v>
      </c>
      <c r="U630" s="152"/>
      <c r="V630" s="147"/>
      <c r="W630" s="147"/>
      <c r="X630" s="147"/>
    </row>
    <row r="631" spans="1:26">
      <c r="A631" s="366" t="s">
        <v>821</v>
      </c>
      <c r="B631" s="152"/>
      <c r="C631" s="152"/>
      <c r="D631" s="152"/>
      <c r="E631" s="152"/>
      <c r="F631" s="152"/>
      <c r="G631" s="152"/>
      <c r="H631" s="152"/>
      <c r="I631" s="152"/>
      <c r="J631" s="152"/>
      <c r="K631" s="152"/>
      <c r="L631" s="152"/>
      <c r="M631" s="152"/>
      <c r="N631" s="152"/>
      <c r="O631" s="152"/>
      <c r="P631" s="152"/>
      <c r="Q631" s="258"/>
      <c r="R631" s="152"/>
      <c r="S631" s="152"/>
      <c r="T631" s="232" t="s">
        <v>821</v>
      </c>
      <c r="U631" s="152"/>
      <c r="V631" s="147"/>
      <c r="W631" s="147"/>
      <c r="X631" s="147"/>
    </row>
    <row r="632" spans="1:26">
      <c r="A632" s="366" t="s">
        <v>822</v>
      </c>
      <c r="B632" s="152"/>
      <c r="C632" s="152"/>
      <c r="D632" s="152"/>
      <c r="E632" s="152"/>
      <c r="F632" s="152"/>
      <c r="G632" s="152"/>
      <c r="H632" s="152"/>
      <c r="I632" s="152"/>
      <c r="J632" s="152"/>
      <c r="K632" s="152"/>
      <c r="L632" s="152"/>
      <c r="M632" s="152"/>
      <c r="N632" s="152"/>
      <c r="O632" s="152"/>
      <c r="P632" s="152"/>
      <c r="Q632" s="258"/>
      <c r="R632" s="152"/>
      <c r="S632" s="152"/>
      <c r="T632" s="232" t="s">
        <v>822</v>
      </c>
      <c r="U632" s="152"/>
      <c r="V632" s="147"/>
      <c r="W632" s="147"/>
      <c r="X632" s="147"/>
    </row>
    <row r="633" spans="1:26">
      <c r="A633" s="366" t="s">
        <v>823</v>
      </c>
      <c r="B633" s="152"/>
      <c r="C633" s="152"/>
      <c r="D633" s="152"/>
      <c r="E633" s="152"/>
      <c r="F633" s="152"/>
      <c r="G633" s="152"/>
      <c r="H633" s="152"/>
      <c r="I633" s="152"/>
      <c r="J633" s="152"/>
      <c r="K633" s="152"/>
      <c r="L633" s="152"/>
      <c r="M633" s="152"/>
      <c r="N633" s="152"/>
      <c r="O633" s="152"/>
      <c r="P633" s="152"/>
      <c r="Q633" s="258"/>
      <c r="R633" s="152"/>
      <c r="S633" s="152"/>
      <c r="T633" s="232" t="s">
        <v>823</v>
      </c>
      <c r="U633" s="152"/>
      <c r="V633" s="147"/>
      <c r="W633" s="147"/>
      <c r="X633" s="147"/>
    </row>
    <row r="634" spans="1:26">
      <c r="A634" s="366" t="s">
        <v>824</v>
      </c>
      <c r="B634" s="152"/>
      <c r="C634" s="152"/>
      <c r="D634" s="152"/>
      <c r="E634" s="152"/>
      <c r="F634" s="152"/>
      <c r="G634" s="152"/>
      <c r="H634" s="152"/>
      <c r="I634" s="152"/>
      <c r="J634" s="152"/>
      <c r="K634" s="152"/>
      <c r="L634" s="152"/>
      <c r="M634" s="152"/>
      <c r="N634" s="152"/>
      <c r="O634" s="152"/>
      <c r="P634" s="152"/>
      <c r="Q634" s="258"/>
      <c r="R634" s="152"/>
      <c r="S634" s="152"/>
      <c r="T634" s="232" t="s">
        <v>824</v>
      </c>
      <c r="U634" s="152"/>
      <c r="V634" s="147"/>
      <c r="W634" s="147"/>
      <c r="X634" s="147"/>
    </row>
    <row r="635" spans="1:26">
      <c r="A635" s="366" t="s">
        <v>825</v>
      </c>
      <c r="B635" s="152"/>
      <c r="C635" s="152"/>
      <c r="D635" s="152"/>
      <c r="E635" s="152"/>
      <c r="F635" s="152"/>
      <c r="G635" s="152"/>
      <c r="H635" s="152"/>
      <c r="I635" s="152"/>
      <c r="J635" s="152"/>
      <c r="K635" s="152"/>
      <c r="L635" s="152"/>
      <c r="M635" s="152"/>
      <c r="N635" s="152"/>
      <c r="O635" s="152"/>
      <c r="P635" s="152"/>
      <c r="Q635" s="258"/>
      <c r="R635" s="152"/>
      <c r="S635" s="152"/>
      <c r="T635" s="232" t="s">
        <v>825</v>
      </c>
      <c r="U635" s="152"/>
      <c r="V635" s="147"/>
      <c r="W635" s="147"/>
      <c r="X635" s="147"/>
    </row>
    <row r="636" spans="1:26">
      <c r="A636" s="366" t="s">
        <v>826</v>
      </c>
      <c r="B636" s="152"/>
      <c r="C636" s="152"/>
      <c r="D636" s="152"/>
      <c r="E636" s="152"/>
      <c r="F636" s="152"/>
      <c r="G636" s="152"/>
      <c r="H636" s="152"/>
      <c r="I636" s="152"/>
      <c r="J636" s="152"/>
      <c r="K636" s="152"/>
      <c r="L636" s="152"/>
      <c r="M636" s="152"/>
      <c r="N636" s="152"/>
      <c r="O636" s="152"/>
      <c r="P636" s="152"/>
      <c r="Q636" s="258"/>
      <c r="R636" s="152"/>
      <c r="S636" s="152"/>
      <c r="T636" s="232" t="s">
        <v>826</v>
      </c>
      <c r="U636" s="152"/>
      <c r="V636" s="147"/>
      <c r="W636" s="147"/>
      <c r="X636" s="147"/>
    </row>
    <row r="637" spans="1:26" ht="15.75" thickBot="1">
      <c r="A637" s="366" t="s">
        <v>827</v>
      </c>
      <c r="B637" s="152"/>
      <c r="C637" s="152"/>
      <c r="D637" s="152"/>
      <c r="E637" s="152"/>
      <c r="F637" s="152"/>
      <c r="G637" s="152"/>
      <c r="H637" s="152"/>
      <c r="I637" s="152"/>
      <c r="J637" s="152"/>
      <c r="K637" s="152"/>
      <c r="L637" s="152"/>
      <c r="M637" s="152"/>
      <c r="N637" s="152"/>
      <c r="O637" s="152"/>
      <c r="P637" s="152"/>
      <c r="Q637" s="258"/>
      <c r="R637" s="152"/>
      <c r="S637" s="152"/>
      <c r="T637" s="232" t="s">
        <v>827</v>
      </c>
      <c r="U637" s="152"/>
      <c r="V637" s="147"/>
      <c r="W637" s="147"/>
      <c r="X637" s="147"/>
    </row>
    <row r="638" spans="1:26" ht="16.5" thickBot="1">
      <c r="A638" s="367" t="s">
        <v>791</v>
      </c>
      <c r="B638" s="6">
        <f>SUM(C638:S638)+U638</f>
        <v>0</v>
      </c>
      <c r="C638" s="152">
        <f t="shared" ref="C638:H638" si="79">SUM(C624:C637)</f>
        <v>0</v>
      </c>
      <c r="D638" s="152">
        <f t="shared" si="79"/>
        <v>0</v>
      </c>
      <c r="E638" s="152">
        <f t="shared" si="79"/>
        <v>0</v>
      </c>
      <c r="F638" s="152">
        <f t="shared" si="79"/>
        <v>0</v>
      </c>
      <c r="G638" s="152">
        <f t="shared" si="79"/>
        <v>0</v>
      </c>
      <c r="H638" s="152">
        <f t="shared" si="79"/>
        <v>0</v>
      </c>
      <c r="I638" s="152">
        <f t="shared" ref="I638:S638" si="80">SUM(I624:I637)</f>
        <v>0</v>
      </c>
      <c r="J638" s="152">
        <f>SUM(J624:J637)</f>
        <v>0</v>
      </c>
      <c r="K638" s="152">
        <f>SUM(K624:K637)</f>
        <v>0</v>
      </c>
      <c r="L638" s="152">
        <f>SUM(L624:L637)</f>
        <v>0</v>
      </c>
      <c r="M638" s="152">
        <f t="shared" si="80"/>
        <v>0</v>
      </c>
      <c r="N638" s="152">
        <f t="shared" si="80"/>
        <v>0</v>
      </c>
      <c r="O638" s="152">
        <f t="shared" si="80"/>
        <v>0</v>
      </c>
      <c r="P638" s="152">
        <f t="shared" si="80"/>
        <v>0</v>
      </c>
      <c r="Q638" s="152">
        <f t="shared" si="80"/>
        <v>0</v>
      </c>
      <c r="R638" s="152">
        <f t="shared" si="80"/>
        <v>0</v>
      </c>
      <c r="S638" s="152">
        <f t="shared" si="80"/>
        <v>0</v>
      </c>
      <c r="T638" s="175" t="s">
        <v>791</v>
      </c>
      <c r="U638" s="176">
        <f>SUM(V638:X638)</f>
        <v>0</v>
      </c>
      <c r="V638" s="147">
        <f>SUM(V624:V637)</f>
        <v>0</v>
      </c>
      <c r="W638" s="147">
        <f>SUM(W624:W637)</f>
        <v>0</v>
      </c>
      <c r="X638" s="147">
        <f>SUM(X624:X637)</f>
        <v>0</v>
      </c>
    </row>
    <row r="639" spans="1:26" ht="15.75" thickBot="1"/>
    <row r="640" spans="1:26" ht="15.75" thickBot="1">
      <c r="A640" s="1036" t="s">
        <v>924</v>
      </c>
      <c r="B640" s="1037"/>
      <c r="C640" s="1037"/>
      <c r="D640" s="1037"/>
      <c r="E640" s="1037"/>
      <c r="F640" s="1037"/>
      <c r="G640" s="1037"/>
      <c r="H640" s="1037"/>
      <c r="I640" s="1037"/>
      <c r="J640" s="1037"/>
      <c r="K640" s="1037"/>
      <c r="L640" s="1037"/>
      <c r="M640" s="1037"/>
      <c r="N640" s="1037"/>
      <c r="O640" s="1037"/>
      <c r="P640" s="1037"/>
      <c r="Q640" s="1037"/>
      <c r="R640" s="1037"/>
      <c r="S640" s="1037"/>
      <c r="T640" s="1037"/>
      <c r="U640" s="1038"/>
      <c r="V640" s="1024" t="s">
        <v>820</v>
      </c>
      <c r="W640" s="1025"/>
      <c r="X640" s="1025"/>
      <c r="Y640" s="1025"/>
      <c r="Z640" s="1026"/>
    </row>
    <row r="641" spans="1:26">
      <c r="A641" s="228"/>
      <c r="B641" s="156"/>
      <c r="C641" s="229"/>
      <c r="D641" s="229"/>
      <c r="E641" s="229"/>
      <c r="F641" s="229"/>
      <c r="G641" s="229"/>
      <c r="H641" s="229"/>
      <c r="I641" s="229"/>
      <c r="J641" s="229"/>
      <c r="K641" s="229"/>
      <c r="L641" s="229"/>
      <c r="M641" s="229"/>
      <c r="N641" s="229"/>
      <c r="O641" s="229"/>
      <c r="P641" s="229"/>
      <c r="Q641" s="229"/>
      <c r="R641" s="229"/>
      <c r="S641" s="229"/>
      <c r="T641" s="229"/>
      <c r="U641" s="230"/>
      <c r="V641" s="228"/>
      <c r="W641" s="247"/>
      <c r="X641" s="369"/>
      <c r="Y641" s="369"/>
      <c r="Z641" s="369"/>
    </row>
    <row r="642" spans="1:26">
      <c r="A642" s="232" t="s">
        <v>821</v>
      </c>
      <c r="B642" s="152"/>
      <c r="C642" s="234"/>
      <c r="D642" s="234"/>
      <c r="E642" s="234"/>
      <c r="F642" s="234"/>
      <c r="G642" s="234"/>
      <c r="H642" s="234"/>
      <c r="I642" s="234"/>
      <c r="J642" s="234"/>
      <c r="K642" s="234"/>
      <c r="L642" s="234"/>
      <c r="M642" s="234"/>
      <c r="N642" s="234"/>
      <c r="O642" s="234"/>
      <c r="P642" s="234"/>
      <c r="Q642" s="234"/>
      <c r="R642" s="234"/>
      <c r="S642" s="234"/>
      <c r="T642" s="234"/>
      <c r="U642" s="235"/>
      <c r="V642" s="232" t="s">
        <v>821</v>
      </c>
      <c r="W642" s="152"/>
      <c r="X642" s="147"/>
      <c r="Y642" s="147"/>
      <c r="Z642" s="147"/>
    </row>
    <row r="643" spans="1:26">
      <c r="A643" s="232" t="s">
        <v>822</v>
      </c>
      <c r="B643" s="152"/>
      <c r="C643" s="234"/>
      <c r="D643" s="234"/>
      <c r="E643" s="234"/>
      <c r="F643" s="234"/>
      <c r="G643" s="234"/>
      <c r="H643" s="234"/>
      <c r="I643" s="234"/>
      <c r="J643" s="234"/>
      <c r="K643" s="234"/>
      <c r="L643" s="234"/>
      <c r="M643" s="234"/>
      <c r="N643" s="234"/>
      <c r="O643" s="234"/>
      <c r="P643" s="234"/>
      <c r="Q643" s="234"/>
      <c r="R643" s="234"/>
      <c r="S643" s="234"/>
      <c r="T643" s="234"/>
      <c r="U643" s="235"/>
      <c r="V643" s="232" t="s">
        <v>822</v>
      </c>
      <c r="W643" s="152"/>
      <c r="X643" s="147"/>
      <c r="Y643" s="147"/>
      <c r="Z643" s="147"/>
    </row>
    <row r="644" spans="1:26">
      <c r="A644" s="232" t="s">
        <v>823</v>
      </c>
      <c r="B644" s="152"/>
      <c r="C644" s="234"/>
      <c r="D644" s="262"/>
      <c r="E644" s="234"/>
      <c r="F644" s="234"/>
      <c r="G644" s="234"/>
      <c r="H644" s="234"/>
      <c r="I644" s="234"/>
      <c r="J644" s="262"/>
      <c r="K644" s="234"/>
      <c r="L644" s="234"/>
      <c r="M644" s="234"/>
      <c r="N644" s="234"/>
      <c r="O644" s="234"/>
      <c r="P644" s="234"/>
      <c r="Q644" s="234"/>
      <c r="R644" s="234"/>
      <c r="S644" s="234"/>
      <c r="T644" s="234"/>
      <c r="U644" s="235"/>
      <c r="V644" s="232" t="s">
        <v>823</v>
      </c>
      <c r="W644" s="152"/>
      <c r="X644" s="147"/>
      <c r="Y644" s="147"/>
      <c r="Z644" s="147"/>
    </row>
    <row r="645" spans="1:26">
      <c r="A645" s="232" t="s">
        <v>824</v>
      </c>
      <c r="B645" s="152"/>
      <c r="C645" s="234"/>
      <c r="D645" s="234"/>
      <c r="E645" s="234"/>
      <c r="F645" s="234"/>
      <c r="G645" s="234"/>
      <c r="H645" s="234"/>
      <c r="I645" s="234"/>
      <c r="J645" s="234"/>
      <c r="K645" s="234"/>
      <c r="L645" s="234"/>
      <c r="M645" s="234"/>
      <c r="N645" s="234"/>
      <c r="O645" s="234"/>
      <c r="P645" s="234"/>
      <c r="Q645" s="234"/>
      <c r="R645" s="234"/>
      <c r="S645" s="234"/>
      <c r="T645" s="234"/>
      <c r="U645" s="235"/>
      <c r="V645" s="232" t="s">
        <v>824</v>
      </c>
      <c r="W645" s="152"/>
      <c r="X645" s="147"/>
      <c r="Y645" s="147"/>
      <c r="Z645" s="147"/>
    </row>
    <row r="646" spans="1:26">
      <c r="A646" s="232" t="s">
        <v>825</v>
      </c>
      <c r="B646" s="152"/>
      <c r="C646" s="234"/>
      <c r="D646" s="234"/>
      <c r="E646" s="234"/>
      <c r="F646" s="234"/>
      <c r="G646" s="234"/>
      <c r="H646" s="234"/>
      <c r="I646" s="234"/>
      <c r="J646" s="234"/>
      <c r="K646" s="234"/>
      <c r="L646" s="234"/>
      <c r="M646" s="234"/>
      <c r="N646" s="234"/>
      <c r="O646" s="234"/>
      <c r="P646" s="234"/>
      <c r="Q646" s="234"/>
      <c r="R646" s="234"/>
      <c r="S646" s="234"/>
      <c r="T646" s="234"/>
      <c r="U646" s="235"/>
      <c r="V646" s="232" t="s">
        <v>825</v>
      </c>
      <c r="W646" s="152"/>
      <c r="X646" s="147"/>
      <c r="Y646" s="147"/>
      <c r="Z646" s="147"/>
    </row>
    <row r="647" spans="1:26">
      <c r="A647" s="232" t="s">
        <v>826</v>
      </c>
      <c r="B647" s="152"/>
      <c r="C647" s="234"/>
      <c r="D647" s="234"/>
      <c r="E647" s="234"/>
      <c r="F647" s="234"/>
      <c r="G647" s="234"/>
      <c r="H647" s="234"/>
      <c r="I647" s="234"/>
      <c r="J647" s="234"/>
      <c r="K647" s="234"/>
      <c r="L647" s="234"/>
      <c r="M647" s="234"/>
      <c r="N647" s="234"/>
      <c r="O647" s="234"/>
      <c r="P647" s="234"/>
      <c r="Q647" s="234"/>
      <c r="R647" s="234"/>
      <c r="S647" s="234"/>
      <c r="T647" s="234"/>
      <c r="U647" s="235"/>
      <c r="V647" s="232" t="s">
        <v>826</v>
      </c>
      <c r="W647" s="152"/>
      <c r="X647" s="147"/>
      <c r="Y647" s="147"/>
      <c r="Z647" s="147"/>
    </row>
    <row r="648" spans="1:26">
      <c r="A648" s="232" t="s">
        <v>827</v>
      </c>
      <c r="B648" s="152"/>
      <c r="C648" s="234"/>
      <c r="D648" s="234"/>
      <c r="E648" s="234"/>
      <c r="F648" s="234"/>
      <c r="G648" s="234"/>
      <c r="H648" s="234"/>
      <c r="I648" s="234"/>
      <c r="J648" s="234"/>
      <c r="K648" s="234"/>
      <c r="L648" s="234"/>
      <c r="M648" s="234"/>
      <c r="N648" s="234"/>
      <c r="O648" s="234"/>
      <c r="P648" s="234"/>
      <c r="Q648" s="234"/>
      <c r="R648" s="234"/>
      <c r="S648" s="234"/>
      <c r="T648" s="234"/>
      <c r="U648" s="235"/>
      <c r="V648" s="232" t="s">
        <v>827</v>
      </c>
      <c r="W648" s="152"/>
      <c r="X648" s="147"/>
      <c r="Y648" s="147"/>
      <c r="Z648" s="147"/>
    </row>
    <row r="649" spans="1:26">
      <c r="A649" s="232" t="s">
        <v>821</v>
      </c>
      <c r="B649" s="152"/>
      <c r="C649" s="234"/>
      <c r="D649" s="234"/>
      <c r="E649" s="234"/>
      <c r="F649" s="234"/>
      <c r="G649" s="234"/>
      <c r="H649" s="234"/>
      <c r="I649" s="234"/>
      <c r="J649" s="234"/>
      <c r="K649" s="234"/>
      <c r="L649" s="234"/>
      <c r="M649" s="234"/>
      <c r="N649" s="234"/>
      <c r="O649" s="234"/>
      <c r="P649" s="234"/>
      <c r="Q649" s="234"/>
      <c r="R649" s="234"/>
      <c r="S649" s="234"/>
      <c r="T649" s="234"/>
      <c r="U649" s="235"/>
      <c r="V649" s="232" t="s">
        <v>821</v>
      </c>
      <c r="W649" s="152"/>
      <c r="X649" s="147"/>
      <c r="Y649" s="147"/>
      <c r="Z649" s="147"/>
    </row>
    <row r="650" spans="1:26">
      <c r="A650" s="232" t="s">
        <v>822</v>
      </c>
      <c r="B650" s="152"/>
      <c r="C650" s="234"/>
      <c r="D650" s="234"/>
      <c r="E650" s="234"/>
      <c r="F650" s="234"/>
      <c r="G650" s="234"/>
      <c r="H650" s="234"/>
      <c r="I650" s="234"/>
      <c r="J650" s="234"/>
      <c r="K650" s="234"/>
      <c r="L650" s="234"/>
      <c r="M650" s="234"/>
      <c r="N650" s="234"/>
      <c r="O650" s="234"/>
      <c r="P650" s="234"/>
      <c r="Q650" s="234"/>
      <c r="R650" s="234"/>
      <c r="S650" s="234"/>
      <c r="T650" s="234"/>
      <c r="U650" s="235"/>
      <c r="V650" s="232" t="s">
        <v>822</v>
      </c>
      <c r="W650" s="152"/>
      <c r="X650" s="147"/>
      <c r="Y650" s="147"/>
      <c r="Z650" s="147"/>
    </row>
    <row r="651" spans="1:26">
      <c r="A651" s="232" t="s">
        <v>823</v>
      </c>
      <c r="B651" s="152"/>
      <c r="C651" s="233"/>
      <c r="D651" s="234"/>
      <c r="E651" s="234"/>
      <c r="F651" s="234"/>
      <c r="G651" s="234"/>
      <c r="H651" s="234"/>
      <c r="I651" s="234"/>
      <c r="J651" s="234"/>
      <c r="K651" s="234"/>
      <c r="L651" s="234"/>
      <c r="M651" s="234"/>
      <c r="N651" s="234"/>
      <c r="O651" s="234"/>
      <c r="P651" s="234"/>
      <c r="Q651" s="234"/>
      <c r="R651" s="234"/>
      <c r="S651" s="234"/>
      <c r="T651" s="234"/>
      <c r="U651" s="235"/>
      <c r="V651" s="232" t="s">
        <v>823</v>
      </c>
      <c r="W651" s="152"/>
      <c r="X651" s="147"/>
      <c r="Y651" s="147"/>
      <c r="Z651" s="147"/>
    </row>
    <row r="652" spans="1:26">
      <c r="A652" s="232" t="s">
        <v>824</v>
      </c>
      <c r="B652" s="152"/>
      <c r="C652" s="233"/>
      <c r="D652" s="234"/>
      <c r="E652" s="234"/>
      <c r="F652" s="234"/>
      <c r="G652" s="234"/>
      <c r="H652" s="234"/>
      <c r="I652" s="234"/>
      <c r="J652" s="234"/>
      <c r="K652" s="234"/>
      <c r="L652" s="234"/>
      <c r="M652" s="234"/>
      <c r="N652" s="234"/>
      <c r="O652" s="234"/>
      <c r="P652" s="234"/>
      <c r="Q652" s="234"/>
      <c r="R652" s="234"/>
      <c r="S652" s="234"/>
      <c r="T652" s="234"/>
      <c r="U652" s="235"/>
      <c r="V652" s="232" t="s">
        <v>824</v>
      </c>
      <c r="W652" s="152"/>
      <c r="X652" s="147"/>
      <c r="Y652" s="147"/>
      <c r="Z652" s="147"/>
    </row>
    <row r="653" spans="1:26">
      <c r="A653" s="232" t="s">
        <v>825</v>
      </c>
      <c r="B653" s="152"/>
      <c r="C653" s="233"/>
      <c r="D653" s="234"/>
      <c r="E653" s="234"/>
      <c r="F653" s="234"/>
      <c r="G653" s="234"/>
      <c r="H653" s="234"/>
      <c r="I653" s="234"/>
      <c r="J653" s="234"/>
      <c r="K653" s="234"/>
      <c r="L653" s="234"/>
      <c r="M653" s="234"/>
      <c r="N653" s="234"/>
      <c r="O653" s="234"/>
      <c r="P653" s="234"/>
      <c r="Q653" s="234"/>
      <c r="R653" s="234"/>
      <c r="S653" s="234"/>
      <c r="T653" s="234"/>
      <c r="U653" s="235"/>
      <c r="V653" s="232" t="s">
        <v>825</v>
      </c>
      <c r="W653" s="152"/>
      <c r="X653" s="147"/>
      <c r="Y653" s="147"/>
      <c r="Z653" s="147"/>
    </row>
    <row r="654" spans="1:26">
      <c r="A654" s="232" t="s">
        <v>826</v>
      </c>
      <c r="B654" s="152"/>
      <c r="C654" s="233"/>
      <c r="D654" s="234"/>
      <c r="E654" s="234"/>
      <c r="F654" s="234"/>
      <c r="G654" s="234"/>
      <c r="H654" s="234"/>
      <c r="I654" s="234"/>
      <c r="J654" s="234"/>
      <c r="K654" s="234"/>
      <c r="L654" s="234"/>
      <c r="M654" s="234"/>
      <c r="N654" s="234"/>
      <c r="O654" s="234"/>
      <c r="P654" s="234"/>
      <c r="Q654" s="234"/>
      <c r="R654" s="234"/>
      <c r="S654" s="234"/>
      <c r="T654" s="234"/>
      <c r="U654" s="235"/>
      <c r="V654" s="232" t="s">
        <v>826</v>
      </c>
      <c r="W654" s="152"/>
      <c r="X654" s="147"/>
      <c r="Y654" s="147"/>
      <c r="Z654" s="147"/>
    </row>
    <row r="655" spans="1:26" ht="15.75" thickBot="1">
      <c r="A655" s="232" t="s">
        <v>925</v>
      </c>
      <c r="B655" s="152"/>
      <c r="C655" s="233"/>
      <c r="D655" s="234"/>
      <c r="E655" s="234"/>
      <c r="F655" s="234"/>
      <c r="G655" s="234"/>
      <c r="H655" s="234"/>
      <c r="I655" s="234"/>
      <c r="J655" s="234"/>
      <c r="K655" s="234"/>
      <c r="L655" s="234"/>
      <c r="M655" s="234"/>
      <c r="N655" s="234"/>
      <c r="O655" s="234"/>
      <c r="P655" s="235"/>
      <c r="Q655" s="232" t="s">
        <v>827</v>
      </c>
      <c r="R655" s="152"/>
      <c r="S655" s="147"/>
      <c r="T655" s="147"/>
      <c r="U655" s="147"/>
      <c r="V655" s="329"/>
    </row>
    <row r="656" spans="1:26" ht="16.5" thickBot="1">
      <c r="A656" s="237"/>
      <c r="B656" s="386">
        <f>SUM(C656:P656)+R656</f>
        <v>0</v>
      </c>
      <c r="C656" s="238">
        <f t="shared" ref="C656:P656" si="81">SUM(C655:C655)</f>
        <v>0</v>
      </c>
      <c r="D656" s="238">
        <f t="shared" si="81"/>
        <v>0</v>
      </c>
      <c r="E656" s="238">
        <f t="shared" si="81"/>
        <v>0</v>
      </c>
      <c r="F656" s="238">
        <f t="shared" si="81"/>
        <v>0</v>
      </c>
      <c r="G656" s="238">
        <f t="shared" si="81"/>
        <v>0</v>
      </c>
      <c r="H656" s="238">
        <f t="shared" si="81"/>
        <v>0</v>
      </c>
      <c r="I656" s="238">
        <f t="shared" si="81"/>
        <v>0</v>
      </c>
      <c r="J656" s="238">
        <f t="shared" si="81"/>
        <v>0</v>
      </c>
      <c r="K656" s="238">
        <f t="shared" si="81"/>
        <v>0</v>
      </c>
      <c r="L656" s="238">
        <f t="shared" si="81"/>
        <v>0</v>
      </c>
      <c r="M656" s="238">
        <f t="shared" si="81"/>
        <v>0</v>
      </c>
      <c r="N656" s="238">
        <f t="shared" si="81"/>
        <v>0</v>
      </c>
      <c r="O656" s="238">
        <f t="shared" si="81"/>
        <v>0</v>
      </c>
      <c r="P656" s="239">
        <f t="shared" si="81"/>
        <v>0</v>
      </c>
      <c r="Q656" s="175" t="s">
        <v>791</v>
      </c>
      <c r="R656" s="176">
        <f>SUM(S656:U656)</f>
        <v>0</v>
      </c>
      <c r="S656" s="147">
        <f>SUM(S655:S655)</f>
        <v>0</v>
      </c>
      <c r="T656" s="147">
        <f>SUM(T655:T655)</f>
        <v>0</v>
      </c>
      <c r="U656" s="147">
        <f>SUM(U655:U655)</f>
        <v>0</v>
      </c>
      <c r="V656" s="329"/>
    </row>
    <row r="657" spans="1:22" ht="15.75" thickBot="1">
      <c r="V657" s="329"/>
    </row>
    <row r="658" spans="1:22" ht="15.75" thickBot="1">
      <c r="A658" s="1027" t="s">
        <v>926</v>
      </c>
      <c r="B658" s="1028"/>
      <c r="C658" s="1028"/>
      <c r="D658" s="1028"/>
      <c r="E658" s="1028"/>
      <c r="F658" s="1028"/>
      <c r="G658" s="1028"/>
      <c r="H658" s="1028"/>
      <c r="I658" s="1028"/>
      <c r="J658" s="1028"/>
      <c r="K658" s="1028"/>
      <c r="L658" s="1028"/>
      <c r="M658" s="1029"/>
      <c r="N658" s="1024" t="s">
        <v>820</v>
      </c>
      <c r="O658" s="1025"/>
      <c r="P658" s="1025"/>
      <c r="Q658" s="1025"/>
      <c r="R658" s="1026"/>
      <c r="V658" s="329"/>
    </row>
    <row r="659" spans="1:22" ht="81">
      <c r="A659" s="228"/>
      <c r="B659" s="247" t="s">
        <v>914</v>
      </c>
      <c r="C659" s="229"/>
      <c r="D659" s="229" t="s">
        <v>523</v>
      </c>
      <c r="E659" s="229" t="s">
        <v>548</v>
      </c>
      <c r="F659" s="229" t="s">
        <v>432</v>
      </c>
      <c r="G659" s="229"/>
      <c r="H659" s="226"/>
      <c r="I659" s="231"/>
      <c r="J659" s="231"/>
      <c r="K659" s="231"/>
      <c r="L659" s="267"/>
      <c r="M659" s="360"/>
      <c r="N659" s="228"/>
      <c r="O659" s="247"/>
      <c r="P659" s="369"/>
      <c r="Q659" s="369"/>
      <c r="R659" s="369"/>
      <c r="V659" s="329"/>
    </row>
    <row r="660" spans="1:22">
      <c r="A660" s="232" t="s">
        <v>821</v>
      </c>
      <c r="B660" s="152">
        <v>22</v>
      </c>
      <c r="C660" s="234"/>
      <c r="D660" s="234"/>
      <c r="E660" s="234"/>
      <c r="F660" s="234"/>
      <c r="G660" s="242"/>
      <c r="H660" s="152"/>
      <c r="I660" s="264"/>
      <c r="J660" s="264"/>
      <c r="K660" s="253"/>
      <c r="L660" s="234"/>
      <c r="M660" s="259"/>
      <c r="N660" s="232" t="s">
        <v>821</v>
      </c>
      <c r="O660" s="152"/>
      <c r="P660" s="147"/>
      <c r="Q660" s="147"/>
      <c r="R660" s="147"/>
      <c r="V660" s="329"/>
    </row>
    <row r="661" spans="1:22">
      <c r="A661" s="232" t="s">
        <v>822</v>
      </c>
      <c r="B661" s="152">
        <v>23</v>
      </c>
      <c r="C661" s="234"/>
      <c r="D661" s="234"/>
      <c r="E661" s="234"/>
      <c r="F661" s="234"/>
      <c r="G661" s="242"/>
      <c r="H661" s="152"/>
      <c r="I661" s="152"/>
      <c r="J661" s="152"/>
      <c r="K661" s="233"/>
      <c r="L661" s="234"/>
      <c r="M661" s="242"/>
      <c r="N661" s="232" t="s">
        <v>822</v>
      </c>
      <c r="O661" s="152"/>
      <c r="P661" s="147"/>
      <c r="Q661" s="147"/>
      <c r="R661" s="147"/>
      <c r="V661" s="329"/>
    </row>
    <row r="662" spans="1:22">
      <c r="A662" s="232" t="s">
        <v>823</v>
      </c>
      <c r="B662" s="152">
        <v>24</v>
      </c>
      <c r="C662" s="234"/>
      <c r="D662" s="234"/>
      <c r="E662" s="234"/>
      <c r="F662" s="234"/>
      <c r="G662" s="242"/>
      <c r="H662" s="152"/>
      <c r="I662" s="152"/>
      <c r="J662" s="152"/>
      <c r="K662" s="233"/>
      <c r="L662" s="234"/>
      <c r="M662" s="242"/>
      <c r="N662" s="232" t="s">
        <v>823</v>
      </c>
      <c r="O662" s="152"/>
      <c r="P662" s="147"/>
      <c r="Q662" s="147"/>
      <c r="R662" s="147"/>
      <c r="V662" s="329"/>
    </row>
    <row r="663" spans="1:22">
      <c r="A663" s="232" t="s">
        <v>824</v>
      </c>
      <c r="B663" s="152">
        <v>25</v>
      </c>
      <c r="C663" s="234"/>
      <c r="D663" s="234"/>
      <c r="E663" s="234"/>
      <c r="F663" s="234"/>
      <c r="G663" s="242"/>
      <c r="H663" s="152"/>
      <c r="I663" s="152"/>
      <c r="J663" s="152"/>
      <c r="K663" s="233"/>
      <c r="L663" s="234"/>
      <c r="M663" s="242"/>
      <c r="N663" s="232" t="s">
        <v>824</v>
      </c>
      <c r="O663" s="152"/>
      <c r="P663" s="147"/>
      <c r="Q663" s="147"/>
      <c r="R663" s="147"/>
      <c r="V663" s="329"/>
    </row>
    <row r="664" spans="1:22">
      <c r="A664" s="232" t="s">
        <v>825</v>
      </c>
      <c r="B664" s="152">
        <v>26</v>
      </c>
      <c r="C664" s="234"/>
      <c r="D664" s="234"/>
      <c r="E664" s="234"/>
      <c r="F664" s="234"/>
      <c r="G664" s="242"/>
      <c r="H664" s="152"/>
      <c r="I664" s="152"/>
      <c r="J664" s="152"/>
      <c r="K664" s="233"/>
      <c r="L664" s="234"/>
      <c r="M664" s="242"/>
      <c r="N664" s="232" t="s">
        <v>825</v>
      </c>
      <c r="O664" s="152"/>
      <c r="P664" s="147"/>
      <c r="Q664" s="147"/>
      <c r="R664" s="147"/>
      <c r="V664" s="329"/>
    </row>
    <row r="665" spans="1:22">
      <c r="A665" s="232" t="s">
        <v>826</v>
      </c>
      <c r="B665" s="152">
        <v>27</v>
      </c>
      <c r="C665" s="234"/>
      <c r="D665" s="234"/>
      <c r="E665" s="234"/>
      <c r="F665" s="234"/>
      <c r="G665" s="242"/>
      <c r="H665" s="152"/>
      <c r="I665" s="152"/>
      <c r="J665" s="152"/>
      <c r="K665" s="233"/>
      <c r="L665" s="234"/>
      <c r="M665" s="242"/>
      <c r="N665" s="232" t="s">
        <v>826</v>
      </c>
      <c r="O665" s="152"/>
      <c r="P665" s="147"/>
      <c r="Q665" s="147"/>
      <c r="R665" s="147"/>
    </row>
    <row r="666" spans="1:22">
      <c r="A666" s="232" t="s">
        <v>827</v>
      </c>
      <c r="B666" s="152">
        <v>28</v>
      </c>
      <c r="C666" s="234"/>
      <c r="D666" s="234"/>
      <c r="E666" s="234"/>
      <c r="F666" s="234"/>
      <c r="G666" s="242"/>
      <c r="H666" s="152"/>
      <c r="I666" s="152"/>
      <c r="J666" s="152"/>
      <c r="K666" s="233"/>
      <c r="L666" s="234"/>
      <c r="M666" s="242"/>
      <c r="N666" s="232" t="s">
        <v>827</v>
      </c>
      <c r="O666" s="152"/>
      <c r="P666" s="147"/>
      <c r="Q666" s="147"/>
      <c r="R666" s="147"/>
      <c r="V666" s="246"/>
    </row>
    <row r="667" spans="1:22">
      <c r="A667" s="232" t="s">
        <v>821</v>
      </c>
      <c r="B667" s="152">
        <v>29</v>
      </c>
      <c r="C667" s="234"/>
      <c r="D667" s="234"/>
      <c r="E667" s="234"/>
      <c r="F667" s="234"/>
      <c r="G667" s="242"/>
      <c r="H667" s="152"/>
      <c r="I667" s="258"/>
      <c r="J667" s="152"/>
      <c r="K667" s="233"/>
      <c r="L667" s="234"/>
      <c r="M667" s="242"/>
      <c r="N667" s="232" t="s">
        <v>821</v>
      </c>
      <c r="O667" s="152"/>
      <c r="P667" s="147"/>
      <c r="Q667" s="147"/>
      <c r="R667" s="147"/>
      <c r="V667" s="263"/>
    </row>
    <row r="668" spans="1:22">
      <c r="A668" s="232" t="s">
        <v>822</v>
      </c>
      <c r="B668" s="152">
        <v>30</v>
      </c>
      <c r="C668" s="233"/>
      <c r="D668" s="234"/>
      <c r="E668" s="234"/>
      <c r="F668" s="234"/>
      <c r="G668" s="242"/>
      <c r="H668" s="152"/>
      <c r="I668" s="258"/>
      <c r="J668" s="152"/>
      <c r="K668" s="233"/>
      <c r="L668" s="234"/>
      <c r="M668" s="242"/>
      <c r="N668" s="232" t="s">
        <v>822</v>
      </c>
      <c r="O668" s="152"/>
      <c r="P668" s="147"/>
      <c r="Q668" s="147"/>
      <c r="R668" s="147"/>
      <c r="V668" s="226"/>
    </row>
    <row r="669" spans="1:22">
      <c r="A669" s="232" t="s">
        <v>823</v>
      </c>
      <c r="B669" s="152">
        <v>31</v>
      </c>
      <c r="C669" s="234"/>
      <c r="D669" s="234"/>
      <c r="E669" s="234"/>
      <c r="F669" s="234"/>
      <c r="G669" s="242"/>
      <c r="H669" s="152"/>
      <c r="I669" s="152"/>
      <c r="J669" s="152"/>
      <c r="K669" s="233"/>
      <c r="L669" s="234"/>
      <c r="M669" s="242"/>
      <c r="N669" s="232" t="s">
        <v>823</v>
      </c>
      <c r="O669" s="152"/>
      <c r="P669" s="147"/>
      <c r="Q669" s="147"/>
      <c r="R669" s="147"/>
      <c r="V669" s="226"/>
    </row>
    <row r="670" spans="1:22">
      <c r="A670" s="232" t="s">
        <v>824</v>
      </c>
      <c r="B670" s="152">
        <v>1</v>
      </c>
      <c r="C670" s="234"/>
      <c r="D670" s="234"/>
      <c r="E670" s="234"/>
      <c r="F670" s="234"/>
      <c r="G670" s="242"/>
      <c r="H670" s="152"/>
      <c r="I670" s="152"/>
      <c r="J670" s="152"/>
      <c r="K670" s="233"/>
      <c r="L670" s="234"/>
      <c r="M670" s="242"/>
      <c r="N670" s="232" t="s">
        <v>824</v>
      </c>
      <c r="O670" s="152"/>
      <c r="P670" s="147"/>
      <c r="Q670" s="147"/>
      <c r="R670" s="147"/>
      <c r="V670" s="329"/>
    </row>
    <row r="671" spans="1:22">
      <c r="A671" s="232" t="s">
        <v>825</v>
      </c>
      <c r="B671" s="152">
        <v>2</v>
      </c>
      <c r="C671" s="234"/>
      <c r="D671" s="234"/>
      <c r="E671" s="234"/>
      <c r="F671" s="234"/>
      <c r="G671" s="242"/>
      <c r="H671" s="258"/>
      <c r="I671" s="258"/>
      <c r="J671" s="152"/>
      <c r="K671" s="233"/>
      <c r="L671" s="234"/>
      <c r="M671" s="242"/>
      <c r="N671" s="232" t="s">
        <v>825</v>
      </c>
      <c r="O671" s="152"/>
      <c r="P671" s="147"/>
      <c r="Q671" s="147"/>
      <c r="R671" s="147"/>
      <c r="V671" s="329"/>
    </row>
    <row r="672" spans="1:22">
      <c r="A672" s="232" t="s">
        <v>826</v>
      </c>
      <c r="B672" s="152">
        <v>3</v>
      </c>
      <c r="C672" s="234"/>
      <c r="D672" s="234"/>
      <c r="E672" s="234"/>
      <c r="F672" s="234"/>
      <c r="G672" s="242"/>
      <c r="H672" s="258"/>
      <c r="I672" s="152"/>
      <c r="J672" s="152"/>
      <c r="K672" s="233"/>
      <c r="L672" s="234"/>
      <c r="M672" s="242"/>
      <c r="N672" s="232" t="s">
        <v>826</v>
      </c>
      <c r="O672" s="152"/>
      <c r="P672" s="147"/>
      <c r="Q672" s="147"/>
      <c r="R672" s="147"/>
      <c r="V672" s="329"/>
    </row>
    <row r="673" spans="1:22" ht="15.75" thickBot="1">
      <c r="A673" s="232" t="s">
        <v>827</v>
      </c>
      <c r="B673" s="152">
        <v>4</v>
      </c>
      <c r="C673" s="234"/>
      <c r="D673" s="234"/>
      <c r="E673" s="234"/>
      <c r="F673" s="234"/>
      <c r="G673" s="329"/>
      <c r="H673" s="152"/>
      <c r="I673" s="152"/>
      <c r="J673" s="152"/>
      <c r="K673" s="233"/>
      <c r="L673" s="234"/>
      <c r="M673" s="242"/>
      <c r="N673" s="232" t="s">
        <v>827</v>
      </c>
      <c r="O673" s="152"/>
      <c r="P673" s="147"/>
      <c r="Q673" s="147"/>
      <c r="R673" s="147"/>
      <c r="V673" s="329"/>
    </row>
    <row r="674" spans="1:22" ht="16.5" thickBot="1">
      <c r="A674" s="175" t="s">
        <v>791</v>
      </c>
      <c r="B674" s="176">
        <f>SUM(C674:M674)+O674</f>
        <v>0</v>
      </c>
      <c r="C674" s="238">
        <f>SUM(C660:C673)</f>
        <v>0</v>
      </c>
      <c r="D674" s="238">
        <f t="shared" ref="D674:K674" si="82">SUM(D660:D673)</f>
        <v>0</v>
      </c>
      <c r="E674" s="238">
        <f t="shared" si="82"/>
        <v>0</v>
      </c>
      <c r="F674" s="238">
        <f t="shared" si="82"/>
        <v>0</v>
      </c>
      <c r="G674" s="238">
        <f t="shared" si="82"/>
        <v>0</v>
      </c>
      <c r="H674" s="238">
        <f t="shared" si="82"/>
        <v>0</v>
      </c>
      <c r="I674" s="238">
        <f t="shared" si="82"/>
        <v>0</v>
      </c>
      <c r="J674" s="238">
        <f t="shared" si="82"/>
        <v>0</v>
      </c>
      <c r="K674" s="238">
        <f t="shared" si="82"/>
        <v>0</v>
      </c>
      <c r="L674" s="238"/>
      <c r="M674" s="261">
        <f>SUM(M660:M673)</f>
        <v>0</v>
      </c>
      <c r="N674" s="175" t="s">
        <v>791</v>
      </c>
      <c r="O674" s="176">
        <f>SUM(P674:R674)</f>
        <v>0</v>
      </c>
      <c r="P674" s="147">
        <f>SUM(P660:P673)</f>
        <v>0</v>
      </c>
      <c r="Q674" s="147">
        <f>SUM(Q660:Q673)</f>
        <v>0</v>
      </c>
      <c r="R674" s="147">
        <f>SUM(R660:R673)</f>
        <v>0</v>
      </c>
      <c r="V674" s="329"/>
    </row>
    <row r="675" spans="1:22">
      <c r="V675" s="329"/>
    </row>
    <row r="676" spans="1:22">
      <c r="V676" s="329"/>
    </row>
    <row r="677" spans="1:22">
      <c r="V677" s="329"/>
    </row>
    <row r="678" spans="1:22">
      <c r="V678" s="329"/>
    </row>
    <row r="679" spans="1:22">
      <c r="V679" s="329"/>
    </row>
    <row r="680" spans="1:22">
      <c r="V680" s="329"/>
    </row>
    <row r="681" spans="1:22">
      <c r="V681" s="329"/>
    </row>
    <row r="682" spans="1:22">
      <c r="V682" s="329"/>
    </row>
  </sheetData>
  <sortState xmlns:xlrd2="http://schemas.microsoft.com/office/spreadsheetml/2017/richdata2" ref="L569:L575">
    <sortCondition ref="L569"/>
  </sortState>
  <mergeCells count="76">
    <mergeCell ref="A658:M658"/>
    <mergeCell ref="N658:R658"/>
    <mergeCell ref="T113:X113"/>
    <mergeCell ref="V550:Z550"/>
    <mergeCell ref="A604:R604"/>
    <mergeCell ref="A568:U568"/>
    <mergeCell ref="L347:P347"/>
    <mergeCell ref="A149:R149"/>
    <mergeCell ref="A383:K383"/>
    <mergeCell ref="A221:L221"/>
    <mergeCell ref="A550:U550"/>
    <mergeCell ref="A239:T239"/>
    <mergeCell ref="N514:R514"/>
    <mergeCell ref="T622:X622"/>
    <mergeCell ref="V640:Z640"/>
    <mergeCell ref="A640:U640"/>
    <mergeCell ref="N329:R329"/>
    <mergeCell ref="N203:R203"/>
    <mergeCell ref="A365:N365"/>
    <mergeCell ref="N311:R311"/>
    <mergeCell ref="U239:Y239"/>
    <mergeCell ref="M221:Q221"/>
    <mergeCell ref="A257:AM257"/>
    <mergeCell ref="AN257:AR257"/>
    <mergeCell ref="A167:N167"/>
    <mergeCell ref="O167:S167"/>
    <mergeCell ref="A311:M311"/>
    <mergeCell ref="S185:W185"/>
    <mergeCell ref="A622:S622"/>
    <mergeCell ref="A586:R586"/>
    <mergeCell ref="N23:R23"/>
    <mergeCell ref="A185:R185"/>
    <mergeCell ref="V568:Z568"/>
    <mergeCell ref="S586:W586"/>
    <mergeCell ref="S604:W604"/>
    <mergeCell ref="A532:M532"/>
    <mergeCell ref="N532:R532"/>
    <mergeCell ref="M59:Q59"/>
    <mergeCell ref="A95:K95"/>
    <mergeCell ref="O365:S365"/>
    <mergeCell ref="A438:R438"/>
    <mergeCell ref="K459:O459"/>
    <mergeCell ref="A495:M495"/>
    <mergeCell ref="A477:M477"/>
    <mergeCell ref="A1:AM1"/>
    <mergeCell ref="A514:M514"/>
    <mergeCell ref="AN1:BZ1"/>
    <mergeCell ref="A203:M203"/>
    <mergeCell ref="A59:L59"/>
    <mergeCell ref="A113:S113"/>
    <mergeCell ref="A77:K77"/>
    <mergeCell ref="L77:P77"/>
    <mergeCell ref="A131:I131"/>
    <mergeCell ref="J131:M131"/>
    <mergeCell ref="BA5:BE5"/>
    <mergeCell ref="L95:P95"/>
    <mergeCell ref="A5:AZ5"/>
    <mergeCell ref="A41:M41"/>
    <mergeCell ref="N41:R41"/>
    <mergeCell ref="A23:M23"/>
    <mergeCell ref="N495:R495"/>
    <mergeCell ref="S149:W149"/>
    <mergeCell ref="A402:M402"/>
    <mergeCell ref="A420:M420"/>
    <mergeCell ref="N477:R477"/>
    <mergeCell ref="A275:K275"/>
    <mergeCell ref="L275:P275"/>
    <mergeCell ref="N293:R293"/>
    <mergeCell ref="A293:M293"/>
    <mergeCell ref="A459:J459"/>
    <mergeCell ref="N402:R402"/>
    <mergeCell ref="S438:W438"/>
    <mergeCell ref="L383:P383"/>
    <mergeCell ref="N420:R420"/>
    <mergeCell ref="A347:K347"/>
    <mergeCell ref="A329:M329"/>
  </mergeCells>
  <phoneticPr fontId="67" type="noConversion"/>
  <conditionalFormatting sqref="C64:C69">
    <cfRule type="cellIs" dxfId="81" priority="40" operator="equal">
      <formula>"Stat"</formula>
    </cfRule>
    <cfRule type="cellIs" dxfId="80" priority="41" operator="equal">
      <formula>"Vac"</formula>
    </cfRule>
    <cfRule type="cellIs" dxfId="79" priority="42" operator="equal">
      <formula>"Sick"</formula>
    </cfRule>
    <cfRule type="cellIs" dxfId="78" priority="43" operator="equal">
      <formula>"POff"</formula>
    </cfRule>
    <cfRule type="cellIs" dxfId="77" priority="44" operator="equal">
      <formula>"ROff"</formula>
    </cfRule>
    <cfRule type="cellIs" dxfId="76" priority="45" operator="equal">
      <formula>"Off"</formula>
    </cfRule>
  </conditionalFormatting>
  <conditionalFormatting sqref="C6:Y6">
    <cfRule type="duplicateValues" dxfId="75" priority="2"/>
  </conditionalFormatting>
  <conditionalFormatting sqref="E64">
    <cfRule type="cellIs" dxfId="74" priority="28" operator="equal">
      <formula>"Stat"</formula>
    </cfRule>
    <cfRule type="cellIs" dxfId="73" priority="29" operator="equal">
      <formula>"Vac"</formula>
    </cfRule>
    <cfRule type="cellIs" dxfId="72" priority="30" operator="equal">
      <formula>"Sick"</formula>
    </cfRule>
    <cfRule type="cellIs" dxfId="71" priority="31" operator="equal">
      <formula>"POff"</formula>
    </cfRule>
    <cfRule type="cellIs" dxfId="70" priority="32" operator="equal">
      <formula>"ROff"</formula>
    </cfRule>
    <cfRule type="cellIs" dxfId="69" priority="33" operator="equal">
      <formula>"Off"</formula>
    </cfRule>
  </conditionalFormatting>
  <conditionalFormatting sqref="E66:E69">
    <cfRule type="cellIs" dxfId="68" priority="22" operator="equal">
      <formula>"Stat"</formula>
    </cfRule>
    <cfRule type="cellIs" dxfId="67" priority="23" operator="equal">
      <formula>"Vac"</formula>
    </cfRule>
    <cfRule type="cellIs" dxfId="66" priority="24" operator="equal">
      <formula>"Sick"</formula>
    </cfRule>
    <cfRule type="cellIs" dxfId="65" priority="25" operator="equal">
      <formula>"POff"</formula>
    </cfRule>
    <cfRule type="cellIs" dxfId="64" priority="26" operator="equal">
      <formula>"ROff"</formula>
    </cfRule>
    <cfRule type="cellIs" dxfId="63" priority="27" operator="equal">
      <formula>"Off"</formula>
    </cfRule>
  </conditionalFormatting>
  <conditionalFormatting sqref="E71:E74">
    <cfRule type="cellIs" dxfId="62" priority="16" operator="equal">
      <formula>"Stat"</formula>
    </cfRule>
    <cfRule type="cellIs" dxfId="61" priority="17" operator="equal">
      <formula>"Vac"</formula>
    </cfRule>
    <cfRule type="cellIs" dxfId="60" priority="18" operator="equal">
      <formula>"Sick"</formula>
    </cfRule>
    <cfRule type="cellIs" dxfId="59" priority="19" operator="equal">
      <formula>"POff"</formula>
    </cfRule>
    <cfRule type="cellIs" dxfId="58" priority="20" operator="equal">
      <formula>"ROff"</formula>
    </cfRule>
    <cfRule type="cellIs" dxfId="57" priority="21" operator="equal">
      <formula>"Off"</formula>
    </cfRule>
  </conditionalFormatting>
  <conditionalFormatting sqref="J64:J69">
    <cfRule type="cellIs" dxfId="56" priority="4" operator="equal">
      <formula>"Stat"</formula>
    </cfRule>
    <cfRule type="cellIs" dxfId="55" priority="5" operator="equal">
      <formula>"Vac"</formula>
    </cfRule>
    <cfRule type="cellIs" dxfId="54" priority="6" operator="equal">
      <formula>"Sick"</formula>
    </cfRule>
    <cfRule type="cellIs" dxfId="53" priority="7" operator="equal">
      <formula>"POff"</formula>
    </cfRule>
    <cfRule type="cellIs" dxfId="52" priority="8" operator="equal">
      <formula>"ROff"</formula>
    </cfRule>
    <cfRule type="cellIs" dxfId="51" priority="9" operator="equal">
      <formula>"Off"</formula>
    </cfRule>
  </conditionalFormatting>
  <conditionalFormatting sqref="X258:AC258">
    <cfRule type="duplicateValues" dxfId="50" priority="1"/>
  </conditionalFormatting>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CH688"/>
  <sheetViews>
    <sheetView topLeftCell="A150" zoomScale="85" zoomScaleNormal="85" workbookViewId="0">
      <pane xSplit="2" topLeftCell="C1" activePane="topRight" state="frozen"/>
      <selection activeCell="A87" sqref="A87"/>
      <selection pane="topRight" activeCell="C173" sqref="C173"/>
    </sheetView>
  </sheetViews>
  <sheetFormatPr defaultColWidth="9.140625" defaultRowHeight="15"/>
  <cols>
    <col min="2" max="2" width="12.5703125" customWidth="1"/>
    <col min="3" max="3" width="10.28515625" customWidth="1"/>
    <col min="4" max="4" width="10.140625" customWidth="1"/>
    <col min="5" max="10" width="9.140625" customWidth="1"/>
    <col min="13" max="13" width="9.28515625" customWidth="1"/>
    <col min="14" max="18" width="10.5703125" customWidth="1"/>
    <col min="19" max="19" width="11.140625" customWidth="1"/>
    <col min="20" max="20" width="9.7109375" customWidth="1"/>
    <col min="22" max="22" width="11.28515625" customWidth="1"/>
    <col min="26" max="26" width="7.140625" customWidth="1"/>
    <col min="27" max="44" width="9.140625" customWidth="1"/>
    <col min="45" max="71" width="9.140625" bestFit="1" customWidth="1"/>
  </cols>
  <sheetData>
    <row r="1" spans="1:25" ht="15.75" thickBot="1">
      <c r="A1" s="1024" t="s">
        <v>7173</v>
      </c>
      <c r="B1" s="1025"/>
      <c r="C1" s="1025"/>
      <c r="D1" s="1025"/>
      <c r="E1" s="1025"/>
      <c r="F1" s="1025"/>
      <c r="G1" s="1025"/>
      <c r="H1" s="1025"/>
      <c r="I1" s="1025"/>
      <c r="J1" s="1025"/>
      <c r="K1" s="1025"/>
      <c r="L1" s="1025"/>
      <c r="M1" s="1025"/>
      <c r="N1" s="1025"/>
      <c r="O1" s="1025"/>
      <c r="P1" s="1025"/>
      <c r="Q1" s="1025"/>
      <c r="R1" s="1025"/>
      <c r="S1" s="1025"/>
      <c r="T1" s="1025" t="s">
        <v>820</v>
      </c>
      <c r="U1" s="1025"/>
      <c r="V1" s="1025"/>
      <c r="W1" s="1025"/>
      <c r="X1" s="1025"/>
      <c r="Y1" s="384"/>
    </row>
    <row r="2" spans="1:25" ht="59.25" customHeight="1">
      <c r="A2" s="155"/>
      <c r="B2" s="247" t="str">
        <f>GTA!B6</f>
        <v>Jan</v>
      </c>
      <c r="C2" s="373" t="s">
        <v>7172</v>
      </c>
      <c r="D2" s="373" t="s">
        <v>7171</v>
      </c>
      <c r="F2" s="370"/>
      <c r="G2" s="373"/>
      <c r="H2" s="373"/>
      <c r="I2" s="373"/>
      <c r="J2" s="373"/>
      <c r="K2" s="370"/>
      <c r="L2" s="370"/>
      <c r="M2" s="370"/>
      <c r="N2" s="370"/>
      <c r="O2" s="370"/>
      <c r="P2" s="374" t="s">
        <v>41</v>
      </c>
      <c r="Q2" s="373" t="s">
        <v>40</v>
      </c>
      <c r="R2" s="373"/>
      <c r="S2" s="373"/>
      <c r="T2" s="373"/>
      <c r="U2" s="228"/>
      <c r="V2" s="247"/>
      <c r="W2" s="369"/>
      <c r="X2" s="369"/>
      <c r="Y2" s="369"/>
    </row>
    <row r="3" spans="1:25">
      <c r="A3" s="953" t="s">
        <v>821</v>
      </c>
      <c r="B3" s="152">
        <f>GTA!B7</f>
        <v>10</v>
      </c>
      <c r="C3" s="483"/>
      <c r="D3" s="483"/>
      <c r="F3" s="561"/>
      <c r="G3" s="483"/>
      <c r="H3" s="483"/>
      <c r="I3" s="483"/>
      <c r="J3" s="483"/>
      <c r="K3" s="561"/>
      <c r="L3" s="561"/>
      <c r="M3" s="561"/>
      <c r="N3" s="561"/>
      <c r="O3" s="561"/>
      <c r="P3" s="561"/>
      <c r="Q3" s="483"/>
      <c r="R3" s="483"/>
      <c r="S3" s="561"/>
      <c r="T3" s="561"/>
      <c r="U3" s="232" t="s">
        <v>821</v>
      </c>
      <c r="V3" s="152">
        <v>26</v>
      </c>
      <c r="W3" s="147"/>
      <c r="X3" s="147"/>
      <c r="Y3" s="147"/>
    </row>
    <row r="4" spans="1:25">
      <c r="A4" s="953" t="s">
        <v>822</v>
      </c>
      <c r="B4" s="152">
        <f>GTA!B8</f>
        <v>11</v>
      </c>
      <c r="C4" s="483"/>
      <c r="D4" s="483"/>
      <c r="F4" s="561"/>
      <c r="G4" s="483"/>
      <c r="H4" s="483"/>
      <c r="I4" s="483"/>
      <c r="J4" s="483"/>
      <c r="K4" s="561"/>
      <c r="L4" s="561"/>
      <c r="M4" s="561"/>
      <c r="N4" s="561"/>
      <c r="O4" s="561"/>
      <c r="P4" s="561"/>
      <c r="Q4" s="483"/>
      <c r="R4" s="483"/>
      <c r="S4" s="561"/>
      <c r="T4" s="561"/>
      <c r="U4" s="232" t="s">
        <v>822</v>
      </c>
      <c r="V4" s="152">
        <v>27</v>
      </c>
      <c r="W4" s="147"/>
      <c r="X4" s="147"/>
      <c r="Y4" s="147"/>
    </row>
    <row r="5" spans="1:25">
      <c r="A5" s="953" t="s">
        <v>823</v>
      </c>
      <c r="B5" s="152">
        <f>GTA!B9</f>
        <v>12</v>
      </c>
      <c r="C5" s="561"/>
      <c r="D5" s="561"/>
      <c r="F5" s="561"/>
      <c r="G5" s="483"/>
      <c r="H5" s="483"/>
      <c r="I5" s="483"/>
      <c r="J5" s="483"/>
      <c r="K5" s="561"/>
      <c r="L5" s="561"/>
      <c r="M5" s="561"/>
      <c r="N5" s="561"/>
      <c r="O5" s="561"/>
      <c r="P5" s="561"/>
      <c r="Q5" s="483"/>
      <c r="R5" s="483"/>
      <c r="S5" s="561"/>
      <c r="T5" s="561"/>
      <c r="U5" s="232" t="s">
        <v>823</v>
      </c>
      <c r="V5" s="152">
        <v>28</v>
      </c>
      <c r="W5" s="147"/>
      <c r="X5" s="147"/>
      <c r="Y5" s="147"/>
    </row>
    <row r="6" spans="1:25">
      <c r="A6" s="953" t="s">
        <v>824</v>
      </c>
      <c r="B6" s="152">
        <f>GTA!B10</f>
        <v>13</v>
      </c>
      <c r="C6" s="561"/>
      <c r="D6" s="561"/>
      <c r="F6" s="561"/>
      <c r="G6" s="483"/>
      <c r="H6" s="483"/>
      <c r="I6" s="483"/>
      <c r="J6" s="483"/>
      <c r="K6" s="561"/>
      <c r="L6" s="561"/>
      <c r="M6" s="561"/>
      <c r="N6" s="561"/>
      <c r="O6" s="561"/>
      <c r="P6" s="784"/>
      <c r="Q6" s="483"/>
      <c r="R6" s="483"/>
      <c r="S6" s="561"/>
      <c r="T6" s="561"/>
      <c r="U6" s="232" t="s">
        <v>824</v>
      </c>
      <c r="V6" s="152">
        <v>29</v>
      </c>
      <c r="X6" s="147"/>
      <c r="Y6" s="147"/>
    </row>
    <row r="7" spans="1:25">
      <c r="A7" s="953" t="s">
        <v>825</v>
      </c>
      <c r="B7" s="152">
        <f>GTA!B11</f>
        <v>14</v>
      </c>
      <c r="C7" s="561"/>
      <c r="D7" s="561"/>
      <c r="F7" s="561"/>
      <c r="G7" s="483"/>
      <c r="H7" s="483"/>
      <c r="I7" s="483"/>
      <c r="J7" s="483"/>
      <c r="K7" s="561"/>
      <c r="L7" s="561"/>
      <c r="M7" s="561"/>
      <c r="N7" s="561"/>
      <c r="O7" s="561"/>
      <c r="P7" s="561"/>
      <c r="Q7" s="483"/>
      <c r="R7" s="483"/>
      <c r="S7" s="561"/>
      <c r="T7" s="561"/>
      <c r="U7" s="232" t="s">
        <v>825</v>
      </c>
      <c r="V7" s="152">
        <v>30</v>
      </c>
      <c r="W7" s="147"/>
      <c r="X7" s="147"/>
      <c r="Y7" s="147"/>
    </row>
    <row r="8" spans="1:25">
      <c r="A8" s="953" t="s">
        <v>826</v>
      </c>
      <c r="B8" s="152">
        <f>GTA!B12</f>
        <v>15</v>
      </c>
      <c r="C8" s="561"/>
      <c r="D8" s="561"/>
      <c r="F8" s="561"/>
      <c r="G8" s="483"/>
      <c r="H8" s="483"/>
      <c r="I8" s="483"/>
      <c r="J8" s="483"/>
      <c r="K8" s="561"/>
      <c r="L8" s="561"/>
      <c r="M8" s="561"/>
      <c r="N8" s="561"/>
      <c r="O8" s="561"/>
      <c r="P8" s="561"/>
      <c r="Q8" s="483"/>
      <c r="R8" s="483"/>
      <c r="S8" s="561"/>
      <c r="T8" s="561"/>
      <c r="U8" s="232" t="s">
        <v>826</v>
      </c>
      <c r="V8" s="152">
        <v>31</v>
      </c>
      <c r="W8" s="147"/>
      <c r="X8" s="147"/>
      <c r="Y8" s="147"/>
    </row>
    <row r="9" spans="1:25">
      <c r="A9" s="953" t="s">
        <v>827</v>
      </c>
      <c r="B9" s="152">
        <f>GTA!B13</f>
        <v>16</v>
      </c>
      <c r="C9" s="561"/>
      <c r="D9" s="561"/>
      <c r="F9" s="561"/>
      <c r="G9" s="483"/>
      <c r="H9" s="483"/>
      <c r="I9" s="483"/>
      <c r="J9" s="483"/>
      <c r="K9" s="561"/>
      <c r="L9" s="561"/>
      <c r="M9" s="561"/>
      <c r="N9" s="561"/>
      <c r="O9" s="561"/>
      <c r="P9" s="561"/>
      <c r="Q9" s="483"/>
      <c r="R9" s="483"/>
      <c r="S9" s="785"/>
      <c r="T9" s="785"/>
      <c r="U9" s="232" t="s">
        <v>827</v>
      </c>
      <c r="V9" s="152">
        <v>1</v>
      </c>
      <c r="W9" s="147"/>
      <c r="X9" s="147"/>
      <c r="Y9" s="147"/>
    </row>
    <row r="10" spans="1:25">
      <c r="A10" s="953" t="s">
        <v>821</v>
      </c>
      <c r="B10" s="152">
        <f>GTA!B14</f>
        <v>17</v>
      </c>
      <c r="C10" s="786"/>
      <c r="D10" s="786"/>
      <c r="F10" s="786"/>
      <c r="G10" s="760"/>
      <c r="H10" s="760"/>
      <c r="I10" s="760"/>
      <c r="J10" s="760"/>
      <c r="K10" s="786"/>
      <c r="L10" s="786"/>
      <c r="M10" s="786"/>
      <c r="N10" s="786"/>
      <c r="O10" s="786"/>
      <c r="P10" s="786"/>
      <c r="Q10" s="760"/>
      <c r="R10" s="760"/>
      <c r="S10" s="786"/>
      <c r="T10" s="786"/>
      <c r="U10" s="232" t="s">
        <v>821</v>
      </c>
      <c r="V10" s="152">
        <v>2</v>
      </c>
      <c r="W10" s="147"/>
      <c r="X10" s="147"/>
      <c r="Y10" s="147"/>
    </row>
    <row r="11" spans="1:25">
      <c r="A11" s="953" t="s">
        <v>822</v>
      </c>
      <c r="B11" s="152">
        <f>GTA!B15</f>
        <v>18</v>
      </c>
      <c r="C11" s="786"/>
      <c r="D11" s="786"/>
      <c r="F11" s="786"/>
      <c r="G11" s="760"/>
      <c r="H11" s="760"/>
      <c r="I11" s="760"/>
      <c r="J11" s="760"/>
      <c r="K11" s="786"/>
      <c r="L11" s="786"/>
      <c r="M11" s="786"/>
      <c r="N11" s="786"/>
      <c r="O11" s="786"/>
      <c r="P11" s="786"/>
      <c r="Q11" s="760"/>
      <c r="R11" s="760"/>
      <c r="S11" s="789"/>
      <c r="T11" s="789"/>
      <c r="U11" s="232" t="s">
        <v>822</v>
      </c>
      <c r="V11" s="152">
        <v>3</v>
      </c>
      <c r="W11" s="147"/>
      <c r="X11" s="147"/>
      <c r="Y11" s="147"/>
    </row>
    <row r="12" spans="1:25">
      <c r="A12" s="953" t="s">
        <v>823</v>
      </c>
      <c r="B12" s="152">
        <f>GTA!B16</f>
        <v>19</v>
      </c>
      <c r="C12" s="786"/>
      <c r="D12" s="786"/>
      <c r="F12" s="787"/>
      <c r="G12" s="787"/>
      <c r="H12" s="787"/>
      <c r="I12" s="787"/>
      <c r="J12" s="787"/>
      <c r="K12" s="787"/>
      <c r="L12" s="787"/>
      <c r="M12" s="787"/>
      <c r="N12" s="787"/>
      <c r="O12" s="787"/>
      <c r="P12" s="786"/>
      <c r="Q12" s="787"/>
      <c r="R12" s="787"/>
      <c r="S12" s="787"/>
      <c r="T12" s="787"/>
      <c r="U12" s="232" t="s">
        <v>823</v>
      </c>
      <c r="V12" s="152">
        <v>4</v>
      </c>
      <c r="W12" s="147"/>
      <c r="X12" s="147"/>
      <c r="Y12" s="147"/>
    </row>
    <row r="13" spans="1:25">
      <c r="A13" s="953" t="s">
        <v>824</v>
      </c>
      <c r="B13" s="152">
        <f>GTA!B17</f>
        <v>20</v>
      </c>
      <c r="C13" s="760"/>
      <c r="D13" s="760"/>
      <c r="F13" s="787"/>
      <c r="G13" s="788"/>
      <c r="H13" s="788"/>
      <c r="I13" s="788"/>
      <c r="J13" s="788"/>
      <c r="K13" s="787"/>
      <c r="L13" s="787"/>
      <c r="M13" s="787"/>
      <c r="N13" s="787"/>
      <c r="O13" s="787"/>
      <c r="P13" s="786"/>
      <c r="Q13" s="788"/>
      <c r="R13" s="788"/>
      <c r="S13" s="788"/>
      <c r="T13" s="788"/>
      <c r="U13" s="232" t="s">
        <v>824</v>
      </c>
      <c r="V13" s="152">
        <v>5</v>
      </c>
      <c r="W13" s="147"/>
      <c r="X13" s="147"/>
      <c r="Y13" s="147"/>
    </row>
    <row r="14" spans="1:25">
      <c r="A14" s="953" t="s">
        <v>825</v>
      </c>
      <c r="B14" s="152">
        <f>GTA!B18</f>
        <v>21</v>
      </c>
      <c r="C14" s="760"/>
      <c r="D14" s="760"/>
      <c r="F14" s="787"/>
      <c r="G14" s="787"/>
      <c r="H14" s="787"/>
      <c r="I14" s="787"/>
      <c r="J14" s="787"/>
      <c r="K14" s="787"/>
      <c r="L14" s="787"/>
      <c r="M14" s="787"/>
      <c r="N14" s="787"/>
      <c r="O14" s="787"/>
      <c r="P14" s="786"/>
      <c r="Q14" s="787"/>
      <c r="R14" s="787"/>
      <c r="S14" s="787"/>
      <c r="T14" s="787"/>
      <c r="U14" s="232" t="s">
        <v>825</v>
      </c>
      <c r="V14" s="152">
        <v>6</v>
      </c>
      <c r="X14" s="147"/>
      <c r="Y14" s="147"/>
    </row>
    <row r="15" spans="1:25">
      <c r="A15" s="953" t="s">
        <v>826</v>
      </c>
      <c r="B15" s="152">
        <f>GTA!B19</f>
        <v>22</v>
      </c>
      <c r="C15" s="760"/>
      <c r="D15" s="760"/>
      <c r="F15" s="787"/>
      <c r="G15" s="788"/>
      <c r="H15" s="788"/>
      <c r="I15" s="788"/>
      <c r="J15" s="788"/>
      <c r="K15" s="787"/>
      <c r="L15" s="787"/>
      <c r="M15" s="787"/>
      <c r="N15" s="787"/>
      <c r="O15" s="787"/>
      <c r="P15" s="786"/>
      <c r="Q15" s="788"/>
      <c r="R15" s="788"/>
      <c r="S15" s="788"/>
      <c r="T15" s="788"/>
      <c r="U15" s="232" t="s">
        <v>826</v>
      </c>
      <c r="V15" s="152">
        <v>7</v>
      </c>
      <c r="W15" s="147"/>
      <c r="X15" s="147"/>
      <c r="Y15" s="147"/>
    </row>
    <row r="16" spans="1:25" ht="15.75" thickBot="1">
      <c r="A16" s="953" t="s">
        <v>827</v>
      </c>
      <c r="B16" s="152">
        <f>GTA!B20</f>
        <v>23</v>
      </c>
      <c r="C16" s="760"/>
      <c r="D16" s="760"/>
      <c r="F16" s="787"/>
      <c r="G16" s="787"/>
      <c r="H16" s="787"/>
      <c r="I16" s="787"/>
      <c r="J16" s="787"/>
      <c r="K16" s="787"/>
      <c r="L16" s="787"/>
      <c r="M16" s="787"/>
      <c r="N16" s="787"/>
      <c r="O16" s="787"/>
      <c r="P16" s="786"/>
      <c r="Q16" s="787"/>
      <c r="R16" s="787"/>
      <c r="S16" s="787"/>
      <c r="T16" s="787"/>
      <c r="U16" s="232" t="s">
        <v>827</v>
      </c>
      <c r="V16" s="152">
        <v>8</v>
      </c>
      <c r="W16" s="147"/>
      <c r="X16" s="147"/>
      <c r="Y16" s="147"/>
    </row>
    <row r="17" spans="1:25" ht="16.5" thickBot="1">
      <c r="A17" s="175" t="s">
        <v>791</v>
      </c>
      <c r="B17" s="176">
        <f>SUM(C17:T17)+V17</f>
        <v>0</v>
      </c>
      <c r="C17" s="173">
        <f>SUM(C3:C16)</f>
        <v>0</v>
      </c>
      <c r="D17" s="173">
        <f>SUM(D3:D16)</f>
        <v>0</v>
      </c>
      <c r="F17" s="173">
        <f t="shared" ref="F17:T17" si="0">SUM(F3:F16)</f>
        <v>0</v>
      </c>
      <c r="G17" s="173">
        <f t="shared" si="0"/>
        <v>0</v>
      </c>
      <c r="H17" s="173">
        <f t="shared" si="0"/>
        <v>0</v>
      </c>
      <c r="I17" s="173">
        <f t="shared" si="0"/>
        <v>0</v>
      </c>
      <c r="J17" s="173">
        <f t="shared" si="0"/>
        <v>0</v>
      </c>
      <c r="K17" s="173">
        <f t="shared" si="0"/>
        <v>0</v>
      </c>
      <c r="L17" s="173">
        <f t="shared" si="0"/>
        <v>0</v>
      </c>
      <c r="M17" s="173">
        <f t="shared" si="0"/>
        <v>0</v>
      </c>
      <c r="N17" s="173">
        <f t="shared" si="0"/>
        <v>0</v>
      </c>
      <c r="O17" s="173">
        <f t="shared" si="0"/>
        <v>0</v>
      </c>
      <c r="P17" s="173">
        <f t="shared" si="0"/>
        <v>0</v>
      </c>
      <c r="Q17" s="173">
        <f t="shared" si="0"/>
        <v>0</v>
      </c>
      <c r="R17" s="173">
        <f t="shared" si="0"/>
        <v>0</v>
      </c>
      <c r="S17" s="173">
        <f t="shared" si="0"/>
        <v>0</v>
      </c>
      <c r="T17" s="173">
        <f t="shared" si="0"/>
        <v>0</v>
      </c>
      <c r="U17" s="175" t="s">
        <v>791</v>
      </c>
      <c r="V17" s="176">
        <f>SUM(W17:Y17)</f>
        <v>0</v>
      </c>
      <c r="W17" s="147">
        <f>SUM(W3:W16)</f>
        <v>0</v>
      </c>
      <c r="X17" s="147">
        <f>SUM(X3:X16)</f>
        <v>0</v>
      </c>
      <c r="Y17" s="147">
        <f>SUM(Y3:Y16)</f>
        <v>0</v>
      </c>
    </row>
    <row r="18" spans="1:25" ht="15.75" thickBot="1"/>
    <row r="19" spans="1:25" ht="15.75" thickBot="1">
      <c r="A19" s="1024" t="s">
        <v>927</v>
      </c>
      <c r="B19" s="1025"/>
      <c r="C19" s="1025"/>
      <c r="D19" s="1025"/>
      <c r="E19" s="1025"/>
      <c r="F19" s="1025"/>
      <c r="G19" s="1025"/>
      <c r="H19" s="1025"/>
      <c r="I19" s="1025"/>
      <c r="J19" s="1025"/>
      <c r="K19" s="1025"/>
      <c r="L19" s="1025"/>
      <c r="M19" s="1025"/>
      <c r="N19" s="1025"/>
      <c r="O19" s="1025"/>
      <c r="P19" s="1025"/>
      <c r="Q19" s="1025"/>
      <c r="R19" s="1025"/>
      <c r="S19" s="1025"/>
      <c r="T19" s="1025" t="s">
        <v>820</v>
      </c>
      <c r="U19" s="1025"/>
      <c r="V19" s="1025"/>
      <c r="W19" s="1025"/>
      <c r="X19" s="1025"/>
      <c r="Y19" s="384"/>
    </row>
    <row r="20" spans="1:25" ht="59.25" customHeight="1">
      <c r="A20" s="155"/>
      <c r="B20" s="247" t="str">
        <f t="shared" ref="B20:B34" si="1">B2</f>
        <v>Jan</v>
      </c>
      <c r="C20" s="373" t="s">
        <v>41</v>
      </c>
      <c r="D20" s="373" t="s">
        <v>928</v>
      </c>
      <c r="E20" s="374" t="s">
        <v>929</v>
      </c>
      <c r="F20" s="373" t="s">
        <v>930</v>
      </c>
      <c r="G20" s="705" t="s">
        <v>931</v>
      </c>
      <c r="H20" s="373" t="s">
        <v>932</v>
      </c>
      <c r="I20" s="373" t="s">
        <v>933</v>
      </c>
      <c r="J20" s="373" t="s">
        <v>934</v>
      </c>
      <c r="K20" s="373" t="s">
        <v>935</v>
      </c>
      <c r="L20" s="370"/>
      <c r="M20" s="370"/>
      <c r="N20" s="370"/>
      <c r="O20" s="370"/>
      <c r="P20" s="370"/>
      <c r="Q20" s="373"/>
      <c r="R20" s="373"/>
      <c r="S20" s="373"/>
      <c r="T20" s="228"/>
      <c r="U20" s="247"/>
      <c r="V20" s="369"/>
      <c r="W20" s="369"/>
      <c r="X20" s="369"/>
    </row>
    <row r="21" spans="1:25">
      <c r="A21" s="790" t="str">
        <f>A3</f>
        <v>Sat</v>
      </c>
      <c r="B21" s="247">
        <f t="shared" si="1"/>
        <v>10</v>
      </c>
      <c r="C21" s="483"/>
      <c r="D21" s="483"/>
      <c r="E21" s="561"/>
      <c r="F21" s="483"/>
      <c r="G21" s="706"/>
      <c r="H21" s="483"/>
      <c r="I21" s="483"/>
      <c r="J21" s="483"/>
      <c r="K21" s="483"/>
      <c r="L21" s="561"/>
      <c r="M21" s="561"/>
      <c r="N21" s="561"/>
      <c r="O21" s="561"/>
      <c r="P21" s="561"/>
      <c r="Q21" s="483"/>
      <c r="R21" s="561"/>
      <c r="S21" s="561"/>
      <c r="T21" s="232" t="s">
        <v>821</v>
      </c>
      <c r="U21" s="152"/>
      <c r="V21" s="147"/>
      <c r="W21" s="147"/>
      <c r="X21" s="147"/>
    </row>
    <row r="22" spans="1:25">
      <c r="A22" s="790" t="str">
        <f t="shared" ref="A22:A34" si="2">A4</f>
        <v>Sun</v>
      </c>
      <c r="B22" s="247">
        <f t="shared" si="1"/>
        <v>11</v>
      </c>
      <c r="C22" s="483"/>
      <c r="D22" s="483"/>
      <c r="E22" s="561"/>
      <c r="F22" s="483"/>
      <c r="G22" s="706"/>
      <c r="H22" s="483"/>
      <c r="I22" s="483"/>
      <c r="J22" s="483"/>
      <c r="K22" s="483"/>
      <c r="L22" s="561"/>
      <c r="M22" s="561"/>
      <c r="N22" s="561"/>
      <c r="O22" s="561"/>
      <c r="P22" s="561"/>
      <c r="Q22" s="483"/>
      <c r="R22" s="561"/>
      <c r="S22" s="561"/>
      <c r="T22" s="232" t="s">
        <v>822</v>
      </c>
      <c r="U22" s="152"/>
      <c r="V22" s="147"/>
      <c r="W22" s="147"/>
      <c r="X22" s="147"/>
    </row>
    <row r="23" spans="1:25">
      <c r="A23" s="790" t="str">
        <f t="shared" si="2"/>
        <v>Mon</v>
      </c>
      <c r="B23" s="247">
        <f t="shared" si="1"/>
        <v>12</v>
      </c>
      <c r="C23" s="483"/>
      <c r="D23" s="561"/>
      <c r="E23" s="483"/>
      <c r="F23" s="483"/>
      <c r="G23" s="561"/>
      <c r="H23" s="483"/>
      <c r="I23" s="483"/>
      <c r="J23" s="483"/>
      <c r="K23" s="483"/>
      <c r="L23" s="561"/>
      <c r="M23" s="561"/>
      <c r="N23" s="561"/>
      <c r="O23" s="561"/>
      <c r="P23" s="561"/>
      <c r="Q23" s="483"/>
      <c r="R23" s="561"/>
      <c r="S23" s="561"/>
      <c r="T23" s="232" t="s">
        <v>823</v>
      </c>
      <c r="U23" s="152"/>
      <c r="V23" s="147"/>
      <c r="W23" s="147"/>
      <c r="X23" s="147"/>
    </row>
    <row r="24" spans="1:25">
      <c r="A24" s="790" t="str">
        <f t="shared" si="2"/>
        <v>Tue</v>
      </c>
      <c r="B24" s="247">
        <f t="shared" si="1"/>
        <v>13</v>
      </c>
      <c r="C24" s="483"/>
      <c r="D24" s="561"/>
      <c r="E24" s="483"/>
      <c r="F24" s="483"/>
      <c r="G24" s="706"/>
      <c r="H24" s="483"/>
      <c r="I24" s="483"/>
      <c r="J24" s="483"/>
      <c r="K24" s="483"/>
      <c r="L24" s="561"/>
      <c r="M24" s="561"/>
      <c r="N24" s="561"/>
      <c r="O24" s="561"/>
      <c r="P24" s="561"/>
      <c r="Q24" s="483"/>
      <c r="R24" s="561"/>
      <c r="S24" s="561"/>
      <c r="T24" s="232" t="s">
        <v>824</v>
      </c>
      <c r="U24" s="152"/>
      <c r="V24" s="147"/>
      <c r="W24" s="147"/>
      <c r="X24" s="147"/>
    </row>
    <row r="25" spans="1:25">
      <c r="A25" s="790" t="str">
        <f t="shared" si="2"/>
        <v>Wed</v>
      </c>
      <c r="B25" s="247">
        <f t="shared" si="1"/>
        <v>14</v>
      </c>
      <c r="C25" s="483"/>
      <c r="D25" s="561"/>
      <c r="E25" s="483"/>
      <c r="F25" s="483"/>
      <c r="G25" s="706"/>
      <c r="H25" s="483"/>
      <c r="I25" s="483"/>
      <c r="J25" s="483"/>
      <c r="K25" s="483"/>
      <c r="L25" s="561"/>
      <c r="M25" s="561"/>
      <c r="N25" s="561"/>
      <c r="O25" s="561"/>
      <c r="P25" s="561"/>
      <c r="Q25" s="483"/>
      <c r="R25" s="561"/>
      <c r="S25" s="561"/>
      <c r="T25" s="232" t="s">
        <v>825</v>
      </c>
      <c r="U25" s="152"/>
      <c r="V25" s="147"/>
      <c r="W25" s="147"/>
      <c r="X25" s="147"/>
    </row>
    <row r="26" spans="1:25">
      <c r="A26" s="790" t="str">
        <f t="shared" si="2"/>
        <v>Thu</v>
      </c>
      <c r="B26" s="247">
        <f t="shared" si="1"/>
        <v>15</v>
      </c>
      <c r="C26" s="483"/>
      <c r="D26" s="561"/>
      <c r="E26" s="483"/>
      <c r="F26" s="483"/>
      <c r="G26" s="706"/>
      <c r="H26" s="483"/>
      <c r="I26" s="483"/>
      <c r="J26" s="483"/>
      <c r="K26" s="483"/>
      <c r="L26" s="561"/>
      <c r="M26" s="561"/>
      <c r="N26" s="561"/>
      <c r="O26" s="561"/>
      <c r="P26" s="561"/>
      <c r="Q26" s="483"/>
      <c r="R26" s="561"/>
      <c r="S26" s="561"/>
      <c r="T26" s="232" t="s">
        <v>826</v>
      </c>
      <c r="U26" s="152"/>
      <c r="V26" s="147"/>
      <c r="W26" s="147"/>
      <c r="X26" s="147"/>
    </row>
    <row r="27" spans="1:25">
      <c r="A27" s="790" t="str">
        <f t="shared" si="2"/>
        <v>Fri</v>
      </c>
      <c r="B27" s="247">
        <f t="shared" si="1"/>
        <v>16</v>
      </c>
      <c r="C27" s="483"/>
      <c r="D27" s="561"/>
      <c r="E27" s="483"/>
      <c r="F27" s="483"/>
      <c r="G27" s="706"/>
      <c r="H27" s="483"/>
      <c r="I27" s="483"/>
      <c r="J27" s="483"/>
      <c r="K27" s="483"/>
      <c r="L27" s="561"/>
      <c r="M27" s="561"/>
      <c r="N27" s="561"/>
      <c r="O27" s="561"/>
      <c r="P27" s="561"/>
      <c r="Q27" s="483"/>
      <c r="R27" s="785"/>
      <c r="S27" s="785"/>
      <c r="T27" s="232" t="s">
        <v>827</v>
      </c>
      <c r="U27" s="152"/>
      <c r="V27" s="147"/>
      <c r="W27" s="147"/>
      <c r="X27" s="147"/>
    </row>
    <row r="28" spans="1:25">
      <c r="A28" s="790" t="str">
        <f t="shared" si="2"/>
        <v>Sat</v>
      </c>
      <c r="B28" s="247">
        <f t="shared" si="1"/>
        <v>17</v>
      </c>
      <c r="C28" s="760"/>
      <c r="D28" s="786"/>
      <c r="E28" s="760"/>
      <c r="F28" s="760"/>
      <c r="G28" s="787"/>
      <c r="H28" s="760"/>
      <c r="I28" s="760"/>
      <c r="J28" s="760"/>
      <c r="K28" s="760"/>
      <c r="L28" s="786"/>
      <c r="M28" s="786"/>
      <c r="N28" s="786"/>
      <c r="O28" s="786"/>
      <c r="P28" s="786"/>
      <c r="Q28" s="760"/>
      <c r="R28" s="786"/>
      <c r="S28" s="786"/>
      <c r="T28" s="232" t="s">
        <v>821</v>
      </c>
      <c r="U28" s="152"/>
      <c r="V28" s="147"/>
      <c r="W28" s="147"/>
      <c r="X28" s="147"/>
    </row>
    <row r="29" spans="1:25">
      <c r="A29" s="790" t="str">
        <f t="shared" si="2"/>
        <v>Sun</v>
      </c>
      <c r="B29" s="247">
        <f t="shared" si="1"/>
        <v>18</v>
      </c>
      <c r="C29" s="760"/>
      <c r="D29" s="786"/>
      <c r="E29" s="760"/>
      <c r="F29" s="760"/>
      <c r="G29" s="787"/>
      <c r="H29" s="760"/>
      <c r="I29" s="760"/>
      <c r="J29" s="760"/>
      <c r="K29" s="760"/>
      <c r="L29" s="786"/>
      <c r="M29" s="786"/>
      <c r="N29" s="786"/>
      <c r="O29" s="786"/>
      <c r="P29" s="786"/>
      <c r="Q29" s="760"/>
      <c r="R29" s="789"/>
      <c r="S29" s="789"/>
      <c r="T29" s="232" t="s">
        <v>822</v>
      </c>
      <c r="U29" s="152"/>
      <c r="V29" s="147"/>
      <c r="W29" s="147"/>
      <c r="X29" s="147"/>
    </row>
    <row r="30" spans="1:25">
      <c r="A30" s="790" t="str">
        <f t="shared" si="2"/>
        <v>Mon</v>
      </c>
      <c r="B30" s="247">
        <f t="shared" si="1"/>
        <v>19</v>
      </c>
      <c r="C30" s="760"/>
      <c r="D30" s="786"/>
      <c r="E30" s="787"/>
      <c r="F30" s="787"/>
      <c r="G30" s="786"/>
      <c r="H30" s="787"/>
      <c r="I30" s="787"/>
      <c r="J30" s="787"/>
      <c r="K30" s="787"/>
      <c r="L30" s="787"/>
      <c r="M30" s="787"/>
      <c r="N30" s="787"/>
      <c r="O30" s="787"/>
      <c r="P30" s="787"/>
      <c r="Q30" s="787"/>
      <c r="R30" s="787"/>
      <c r="S30" s="787"/>
      <c r="T30" s="232" t="s">
        <v>823</v>
      </c>
      <c r="U30" s="152"/>
      <c r="V30" s="147"/>
      <c r="W30" s="147"/>
      <c r="X30" s="147"/>
    </row>
    <row r="31" spans="1:25">
      <c r="A31" s="790" t="str">
        <f t="shared" si="2"/>
        <v>Tue</v>
      </c>
      <c r="B31" s="247">
        <f t="shared" si="1"/>
        <v>20</v>
      </c>
      <c r="C31" s="760"/>
      <c r="D31" s="786"/>
      <c r="E31" s="788"/>
      <c r="F31" s="788"/>
      <c r="G31" s="787"/>
      <c r="H31" s="788"/>
      <c r="I31" s="788"/>
      <c r="J31" s="788"/>
      <c r="K31" s="788"/>
      <c r="L31" s="787"/>
      <c r="M31" s="787"/>
      <c r="N31" s="787"/>
      <c r="O31" s="787"/>
      <c r="P31" s="787"/>
      <c r="Q31" s="788"/>
      <c r="R31" s="788"/>
      <c r="S31" s="788"/>
      <c r="T31" s="232" t="s">
        <v>824</v>
      </c>
      <c r="U31" s="152"/>
      <c r="V31" s="147"/>
      <c r="W31" s="147"/>
      <c r="X31" s="147"/>
    </row>
    <row r="32" spans="1:25">
      <c r="A32" s="790" t="str">
        <f t="shared" si="2"/>
        <v>Wed</v>
      </c>
      <c r="B32" s="247">
        <f t="shared" si="1"/>
        <v>21</v>
      </c>
      <c r="C32" s="760"/>
      <c r="D32" s="787"/>
      <c r="E32" s="786"/>
      <c r="F32" s="787"/>
      <c r="G32" s="787"/>
      <c r="H32" s="787"/>
      <c r="I32" s="787"/>
      <c r="J32" s="787"/>
      <c r="K32" s="787"/>
      <c r="L32" s="787"/>
      <c r="M32" s="787"/>
      <c r="N32" s="787"/>
      <c r="O32" s="787"/>
      <c r="P32" s="787"/>
      <c r="Q32" s="787"/>
      <c r="R32" s="787"/>
      <c r="S32" s="787"/>
      <c r="T32" s="232" t="s">
        <v>825</v>
      </c>
      <c r="U32" s="152"/>
      <c r="V32" s="147"/>
      <c r="W32" s="147"/>
      <c r="X32" s="147"/>
    </row>
    <row r="33" spans="1:35">
      <c r="A33" s="790" t="str">
        <f t="shared" si="2"/>
        <v>Thu</v>
      </c>
      <c r="B33" s="247">
        <f t="shared" si="1"/>
        <v>22</v>
      </c>
      <c r="C33" s="788"/>
      <c r="D33" s="788"/>
      <c r="E33" s="788"/>
      <c r="F33" s="788"/>
      <c r="G33" s="787"/>
      <c r="H33" s="788"/>
      <c r="I33" s="788"/>
      <c r="J33" s="788"/>
      <c r="K33" s="788"/>
      <c r="L33" s="787"/>
      <c r="M33" s="787"/>
      <c r="N33" s="787"/>
      <c r="O33" s="787"/>
      <c r="P33" s="787"/>
      <c r="Q33" s="788"/>
      <c r="R33" s="788"/>
      <c r="S33" s="788"/>
      <c r="T33" s="232" t="s">
        <v>826</v>
      </c>
      <c r="U33" s="152"/>
      <c r="V33" s="147"/>
      <c r="W33" s="147"/>
      <c r="X33" s="147"/>
    </row>
    <row r="34" spans="1:35" ht="15.75" thickBot="1">
      <c r="A34" s="790" t="str">
        <f t="shared" si="2"/>
        <v>Fri</v>
      </c>
      <c r="B34" s="247">
        <f t="shared" si="1"/>
        <v>23</v>
      </c>
      <c r="C34" s="788"/>
      <c r="D34" s="788"/>
      <c r="E34" s="788"/>
      <c r="F34" s="788"/>
      <c r="G34" s="787"/>
      <c r="H34" s="787"/>
      <c r="I34" s="787"/>
      <c r="J34" s="787"/>
      <c r="K34" s="787"/>
      <c r="L34" s="787"/>
      <c r="M34" s="787"/>
      <c r="N34" s="787"/>
      <c r="O34" s="787"/>
      <c r="P34" s="787"/>
      <c r="Q34" s="787"/>
      <c r="R34" s="787"/>
      <c r="S34" s="787"/>
      <c r="T34" s="232" t="s">
        <v>827</v>
      </c>
      <c r="U34" s="152"/>
      <c r="V34" s="147"/>
      <c r="W34" s="147"/>
      <c r="X34" s="147"/>
    </row>
    <row r="35" spans="1:35" ht="16.5" thickBot="1">
      <c r="A35" s="175" t="s">
        <v>791</v>
      </c>
      <c r="B35" s="176">
        <f>SUM(C35:S35)+U35</f>
        <v>0</v>
      </c>
      <c r="C35" s="173">
        <f t="shared" ref="C35:S35" si="3">SUM(C21:C34)</f>
        <v>0</v>
      </c>
      <c r="D35" s="173">
        <f t="shared" si="3"/>
        <v>0</v>
      </c>
      <c r="E35" s="173">
        <f t="shared" si="3"/>
        <v>0</v>
      </c>
      <c r="F35" s="173">
        <f t="shared" si="3"/>
        <v>0</v>
      </c>
      <c r="G35" s="173">
        <f t="shared" si="3"/>
        <v>0</v>
      </c>
      <c r="H35" s="173">
        <f t="shared" si="3"/>
        <v>0</v>
      </c>
      <c r="I35" s="173">
        <f t="shared" si="3"/>
        <v>0</v>
      </c>
      <c r="J35" s="173">
        <f t="shared" si="3"/>
        <v>0</v>
      </c>
      <c r="K35" s="173">
        <f t="shared" si="3"/>
        <v>0</v>
      </c>
      <c r="L35" s="173">
        <f t="shared" si="3"/>
        <v>0</v>
      </c>
      <c r="M35" s="173">
        <f t="shared" si="3"/>
        <v>0</v>
      </c>
      <c r="N35" s="173">
        <f t="shared" si="3"/>
        <v>0</v>
      </c>
      <c r="O35" s="173">
        <f t="shared" si="3"/>
        <v>0</v>
      </c>
      <c r="P35" s="173">
        <f t="shared" si="3"/>
        <v>0</v>
      </c>
      <c r="Q35" s="173">
        <f t="shared" si="3"/>
        <v>0</v>
      </c>
      <c r="R35" s="173">
        <f t="shared" si="3"/>
        <v>0</v>
      </c>
      <c r="S35" s="173">
        <f t="shared" si="3"/>
        <v>0</v>
      </c>
      <c r="T35" s="175" t="s">
        <v>791</v>
      </c>
      <c r="U35" s="176">
        <f>SUM(V35:X35)</f>
        <v>0</v>
      </c>
      <c r="V35" s="147">
        <f>SUM(V21:V34)</f>
        <v>0</v>
      </c>
      <c r="W35" s="147">
        <f>SUM(W21:W34)</f>
        <v>0</v>
      </c>
      <c r="X35" s="147">
        <f>SUM(X21:X34)</f>
        <v>0</v>
      </c>
    </row>
    <row r="36" spans="1:35" ht="15.75" thickBot="1"/>
    <row r="37" spans="1:35" ht="15.75" thickBot="1">
      <c r="A37" s="1024" t="s">
        <v>798</v>
      </c>
      <c r="B37" s="1025"/>
      <c r="C37" s="1025"/>
      <c r="D37" s="1025"/>
      <c r="E37" s="1025"/>
      <c r="F37" s="1025"/>
      <c r="G37" s="1025"/>
      <c r="H37" s="1025"/>
      <c r="I37" s="1025"/>
      <c r="J37" s="1025"/>
      <c r="K37" s="1025"/>
      <c r="L37" s="1025"/>
      <c r="M37" s="1025"/>
      <c r="N37" s="1025"/>
      <c r="O37" s="1025"/>
      <c r="P37" s="1025"/>
      <c r="Q37" s="1025"/>
      <c r="R37" s="1025"/>
      <c r="S37" s="1025"/>
      <c r="T37" s="1025" t="s">
        <v>820</v>
      </c>
      <c r="U37" s="1025"/>
      <c r="V37" s="1025"/>
      <c r="W37" s="1025"/>
      <c r="X37" s="1025"/>
      <c r="Y37" s="384"/>
    </row>
    <row r="38" spans="1:35" ht="59.25" customHeight="1">
      <c r="A38" s="155"/>
      <c r="B38" s="247" t="s">
        <v>936</v>
      </c>
      <c r="C38" s="639" t="s">
        <v>937</v>
      </c>
      <c r="D38" s="639" t="s">
        <v>97</v>
      </c>
      <c r="E38" s="639" t="s">
        <v>938</v>
      </c>
      <c r="F38" s="638" t="s">
        <v>117</v>
      </c>
      <c r="G38" s="640" t="s">
        <v>939</v>
      </c>
      <c r="H38" s="639" t="s">
        <v>940</v>
      </c>
      <c r="I38" s="639" t="s">
        <v>934</v>
      </c>
      <c r="J38" s="639" t="s">
        <v>113</v>
      </c>
      <c r="K38" s="639" t="s">
        <v>941</v>
      </c>
      <c r="L38" s="638" t="s">
        <v>108</v>
      </c>
      <c r="M38" s="638" t="s">
        <v>942</v>
      </c>
      <c r="N38" s="638" t="s">
        <v>943</v>
      </c>
      <c r="O38" s="638" t="s">
        <v>944</v>
      </c>
      <c r="P38" s="638" t="s">
        <v>932</v>
      </c>
      <c r="Q38" s="639" t="s">
        <v>945</v>
      </c>
      <c r="R38" s="639" t="s">
        <v>946</v>
      </c>
      <c r="S38" s="639" t="s">
        <v>947</v>
      </c>
      <c r="T38" s="639" t="s">
        <v>948</v>
      </c>
      <c r="U38" s="638" t="s">
        <v>115</v>
      </c>
      <c r="V38" s="638" t="s">
        <v>949</v>
      </c>
      <c r="W38" s="639" t="s">
        <v>116</v>
      </c>
      <c r="X38" s="638" t="s">
        <v>950</v>
      </c>
      <c r="Y38" s="638" t="s">
        <v>112</v>
      </c>
      <c r="Z38" s="638" t="s">
        <v>951</v>
      </c>
      <c r="AA38" s="638" t="s">
        <v>57</v>
      </c>
      <c r="AB38" s="639" t="s">
        <v>952</v>
      </c>
      <c r="AC38" s="639" t="s">
        <v>953</v>
      </c>
      <c r="AD38" s="641"/>
      <c r="AE38" s="228"/>
      <c r="AF38" s="247"/>
      <c r="AG38" s="369"/>
      <c r="AH38" s="369"/>
      <c r="AI38" s="369"/>
    </row>
    <row r="39" spans="1:35">
      <c r="A39" s="163" t="s">
        <v>821</v>
      </c>
      <c r="B39" s="152">
        <v>4</v>
      </c>
      <c r="C39" s="152"/>
      <c r="D39" s="152"/>
      <c r="E39" s="152"/>
      <c r="F39" s="164"/>
      <c r="G39" s="164"/>
      <c r="H39" s="152"/>
      <c r="I39" s="152"/>
      <c r="J39" s="152"/>
      <c r="K39" s="152"/>
      <c r="L39" s="164"/>
      <c r="M39" s="164"/>
      <c r="N39" s="164"/>
      <c r="O39" s="164"/>
      <c r="P39" s="164"/>
      <c r="Q39" s="152"/>
      <c r="R39" s="152"/>
      <c r="S39" s="152"/>
      <c r="T39" s="152"/>
      <c r="U39" s="164"/>
      <c r="V39" s="164"/>
      <c r="W39" s="152"/>
      <c r="X39" s="164"/>
      <c r="Y39" s="164"/>
      <c r="Z39" s="164"/>
      <c r="AA39" s="164"/>
      <c r="AB39" s="152"/>
      <c r="AC39" s="164"/>
      <c r="AD39" s="164"/>
      <c r="AE39" s="232" t="s">
        <v>821</v>
      </c>
      <c r="AF39" s="152"/>
      <c r="AG39" s="147"/>
      <c r="AH39" s="147"/>
      <c r="AI39" s="147"/>
    </row>
    <row r="40" spans="1:35">
      <c r="A40" s="163" t="s">
        <v>822</v>
      </c>
      <c r="B40" s="152">
        <v>5</v>
      </c>
      <c r="C40" s="152"/>
      <c r="D40" s="152"/>
      <c r="E40" s="152"/>
      <c r="F40" s="164"/>
      <c r="G40" s="164"/>
      <c r="H40" s="152"/>
      <c r="I40" s="152"/>
      <c r="J40" s="152"/>
      <c r="K40" s="152"/>
      <c r="L40" s="164"/>
      <c r="M40" s="164"/>
      <c r="N40" s="164"/>
      <c r="O40" s="164"/>
      <c r="P40" s="164"/>
      <c r="Q40" s="152"/>
      <c r="R40" s="152"/>
      <c r="S40" s="152"/>
      <c r="T40" s="152"/>
      <c r="U40" s="164"/>
      <c r="V40" s="164"/>
      <c r="W40" s="152"/>
      <c r="X40" s="164"/>
      <c r="Y40" s="164"/>
      <c r="Z40" s="164"/>
      <c r="AA40" s="164"/>
      <c r="AB40" s="152"/>
      <c r="AC40" s="164"/>
      <c r="AD40" s="164"/>
      <c r="AE40" s="232" t="s">
        <v>822</v>
      </c>
      <c r="AF40" s="152"/>
      <c r="AG40" s="147"/>
      <c r="AH40" s="147"/>
      <c r="AI40" s="147"/>
    </row>
    <row r="41" spans="1:35">
      <c r="A41" s="163" t="s">
        <v>823</v>
      </c>
      <c r="B41" s="152">
        <v>6</v>
      </c>
      <c r="C41" s="152"/>
      <c r="D41" s="152"/>
      <c r="E41" s="152"/>
      <c r="F41" s="164"/>
      <c r="G41" s="164"/>
      <c r="H41" s="152"/>
      <c r="I41" s="152"/>
      <c r="J41" s="152"/>
      <c r="K41" s="152"/>
      <c r="L41" s="164"/>
      <c r="M41" s="164"/>
      <c r="N41" s="164"/>
      <c r="O41" s="164"/>
      <c r="P41" s="164"/>
      <c r="Q41" s="152"/>
      <c r="R41" s="152"/>
      <c r="S41" s="152"/>
      <c r="T41" s="152"/>
      <c r="U41" s="164"/>
      <c r="V41" s="164"/>
      <c r="W41" s="152"/>
      <c r="X41" s="164"/>
      <c r="Y41" s="164"/>
      <c r="Z41" s="164"/>
      <c r="AA41" s="164"/>
      <c r="AB41" s="152"/>
      <c r="AC41" s="164"/>
      <c r="AD41" s="164"/>
      <c r="AE41" s="232" t="s">
        <v>823</v>
      </c>
      <c r="AF41" s="152"/>
      <c r="AG41" s="147"/>
      <c r="AH41" s="147"/>
      <c r="AI41" s="147"/>
    </row>
    <row r="42" spans="1:35">
      <c r="A42" s="163" t="s">
        <v>824</v>
      </c>
      <c r="B42" s="152">
        <v>7</v>
      </c>
      <c r="C42" s="152"/>
      <c r="D42" s="152"/>
      <c r="E42" s="152"/>
      <c r="F42" s="164"/>
      <c r="G42" s="164"/>
      <c r="H42" s="152"/>
      <c r="I42" s="152"/>
      <c r="J42" s="152"/>
      <c r="K42" s="152"/>
      <c r="L42" s="164"/>
      <c r="M42" s="164"/>
      <c r="N42" s="164"/>
      <c r="O42" s="164"/>
      <c r="P42" s="164"/>
      <c r="Q42" s="152"/>
      <c r="R42" s="152"/>
      <c r="S42" s="152"/>
      <c r="T42" s="152"/>
      <c r="U42" s="164"/>
      <c r="V42" s="164"/>
      <c r="W42" s="152"/>
      <c r="X42" s="164"/>
      <c r="Y42" s="164"/>
      <c r="Z42" s="164"/>
      <c r="AA42" s="164"/>
      <c r="AB42" s="152"/>
      <c r="AC42" s="164"/>
      <c r="AD42" s="164"/>
      <c r="AE42" s="232" t="s">
        <v>824</v>
      </c>
      <c r="AF42" s="152"/>
      <c r="AG42" s="147"/>
      <c r="AH42" s="147"/>
      <c r="AI42" s="147"/>
    </row>
    <row r="43" spans="1:35">
      <c r="A43" s="163" t="s">
        <v>825</v>
      </c>
      <c r="B43" s="152">
        <v>8</v>
      </c>
      <c r="C43" s="152"/>
      <c r="D43" s="152"/>
      <c r="E43" s="152"/>
      <c r="F43" s="164"/>
      <c r="G43" s="164"/>
      <c r="H43" s="152"/>
      <c r="I43" s="152"/>
      <c r="J43" s="152"/>
      <c r="K43" s="152"/>
      <c r="L43" s="164"/>
      <c r="M43" s="164"/>
      <c r="N43" s="164"/>
      <c r="O43" s="164"/>
      <c r="P43" s="164"/>
      <c r="Q43" s="152"/>
      <c r="R43" s="152"/>
      <c r="S43" s="152"/>
      <c r="T43" s="152"/>
      <c r="U43" s="164"/>
      <c r="V43" s="164"/>
      <c r="W43" s="152"/>
      <c r="X43" s="164"/>
      <c r="Y43" s="164"/>
      <c r="Z43" s="164"/>
      <c r="AA43" s="164"/>
      <c r="AB43" s="152"/>
      <c r="AC43" s="164"/>
      <c r="AD43" s="164"/>
      <c r="AE43" s="232" t="s">
        <v>825</v>
      </c>
      <c r="AF43" s="152"/>
      <c r="AG43" s="147"/>
      <c r="AH43" s="147"/>
      <c r="AI43" s="147"/>
    </row>
    <row r="44" spans="1:35">
      <c r="A44" s="163" t="s">
        <v>826</v>
      </c>
      <c r="B44" s="152">
        <v>9</v>
      </c>
      <c r="C44" s="152"/>
      <c r="D44" s="152"/>
      <c r="E44" s="152"/>
      <c r="F44" s="164"/>
      <c r="G44" s="164"/>
      <c r="H44" s="152"/>
      <c r="I44" s="152"/>
      <c r="J44" s="152"/>
      <c r="K44" s="152"/>
      <c r="L44" s="164"/>
      <c r="M44" s="164"/>
      <c r="N44" s="164"/>
      <c r="O44" s="164"/>
      <c r="P44" s="164"/>
      <c r="Q44" s="152"/>
      <c r="R44" s="152"/>
      <c r="S44" s="152"/>
      <c r="T44" s="152"/>
      <c r="U44" s="164"/>
      <c r="V44" s="164"/>
      <c r="W44" s="152"/>
      <c r="X44" s="164"/>
      <c r="Y44" s="164"/>
      <c r="Z44" s="164"/>
      <c r="AA44" s="164"/>
      <c r="AB44" s="152"/>
      <c r="AC44" s="164"/>
      <c r="AD44" s="164"/>
      <c r="AE44" s="232" t="s">
        <v>826</v>
      </c>
      <c r="AF44" s="152"/>
      <c r="AG44" s="147"/>
      <c r="AH44" s="147"/>
      <c r="AI44" s="147"/>
    </row>
    <row r="45" spans="1:35">
      <c r="A45" s="163" t="s">
        <v>827</v>
      </c>
      <c r="B45" s="152">
        <v>10</v>
      </c>
      <c r="C45" s="152"/>
      <c r="D45" s="152"/>
      <c r="E45" s="152"/>
      <c r="F45" s="164"/>
      <c r="G45" s="164"/>
      <c r="H45" s="152"/>
      <c r="I45" s="152"/>
      <c r="J45" s="152"/>
      <c r="K45" s="152"/>
      <c r="L45" s="164"/>
      <c r="M45" s="164"/>
      <c r="N45" s="164"/>
      <c r="O45" s="164"/>
      <c r="P45" s="164"/>
      <c r="Q45" s="152"/>
      <c r="R45" s="152"/>
      <c r="S45" s="152"/>
      <c r="T45" s="152"/>
      <c r="U45" s="164"/>
      <c r="V45" s="164"/>
      <c r="W45" s="152"/>
      <c r="X45" s="164"/>
      <c r="Y45" s="164"/>
      <c r="Z45" s="164"/>
      <c r="AA45" s="164"/>
      <c r="AB45" s="152"/>
      <c r="AC45" s="126"/>
      <c r="AD45" s="126"/>
      <c r="AE45" s="232" t="s">
        <v>827</v>
      </c>
      <c r="AF45" s="152"/>
      <c r="AG45" s="147"/>
      <c r="AH45" s="147"/>
      <c r="AI45" s="147"/>
    </row>
    <row r="46" spans="1:35">
      <c r="A46" s="163" t="s">
        <v>821</v>
      </c>
      <c r="B46" s="152">
        <v>11</v>
      </c>
      <c r="C46" s="152"/>
      <c r="D46" s="152"/>
      <c r="E46" s="152"/>
      <c r="F46" s="164"/>
      <c r="G46" s="164"/>
      <c r="H46" s="152"/>
      <c r="I46" s="152"/>
      <c r="J46" s="152"/>
      <c r="K46" s="152"/>
      <c r="L46" s="164"/>
      <c r="M46" s="164"/>
      <c r="N46" s="164"/>
      <c r="O46" s="164"/>
      <c r="P46" s="164"/>
      <c r="Q46" s="152"/>
      <c r="R46" s="152"/>
      <c r="S46" s="152"/>
      <c r="T46" s="152"/>
      <c r="U46" s="164"/>
      <c r="V46" s="164"/>
      <c r="W46" s="152"/>
      <c r="X46" s="164"/>
      <c r="Y46" s="164"/>
      <c r="Z46" s="164"/>
      <c r="AA46" s="164"/>
      <c r="AB46" s="152"/>
      <c r="AC46" s="164"/>
      <c r="AD46" s="164"/>
      <c r="AE46" s="232" t="s">
        <v>821</v>
      </c>
      <c r="AF46" s="152"/>
      <c r="AG46" s="147"/>
      <c r="AH46" s="147"/>
      <c r="AI46" s="147"/>
    </row>
    <row r="47" spans="1:35">
      <c r="A47" s="163" t="s">
        <v>822</v>
      </c>
      <c r="B47" s="152">
        <v>12</v>
      </c>
      <c r="C47" s="152"/>
      <c r="D47" s="152"/>
      <c r="E47" s="152"/>
      <c r="F47" s="164"/>
      <c r="G47" s="164"/>
      <c r="H47" s="152"/>
      <c r="I47" s="152"/>
      <c r="J47" s="152"/>
      <c r="K47" s="152"/>
      <c r="L47" s="164"/>
      <c r="M47" s="164"/>
      <c r="N47" s="164"/>
      <c r="O47" s="164"/>
      <c r="P47" s="164"/>
      <c r="Q47" s="152"/>
      <c r="R47" s="152"/>
      <c r="S47" s="152"/>
      <c r="T47" s="152"/>
      <c r="U47" s="164"/>
      <c r="V47" s="164"/>
      <c r="W47" s="152"/>
      <c r="X47" s="164"/>
      <c r="Y47" s="164"/>
      <c r="Z47" s="164"/>
      <c r="AA47" s="164"/>
      <c r="AB47" s="152"/>
      <c r="AC47" s="126"/>
      <c r="AD47" s="126"/>
      <c r="AE47" s="232" t="s">
        <v>822</v>
      </c>
      <c r="AF47" s="152"/>
      <c r="AG47" s="147"/>
      <c r="AH47" s="147"/>
      <c r="AI47" s="147"/>
    </row>
    <row r="48" spans="1:35">
      <c r="A48" s="163" t="s">
        <v>823</v>
      </c>
      <c r="B48" s="152">
        <v>13</v>
      </c>
      <c r="C48" s="152"/>
      <c r="D48" s="169"/>
      <c r="E48" s="169"/>
      <c r="F48" s="169"/>
      <c r="G48" s="164"/>
      <c r="H48" s="169"/>
      <c r="I48" s="169"/>
      <c r="J48" s="169"/>
      <c r="K48" s="169"/>
      <c r="L48" s="169"/>
      <c r="M48" s="169"/>
      <c r="N48" s="169"/>
      <c r="O48" s="169"/>
      <c r="P48" s="169"/>
      <c r="Q48" s="169"/>
      <c r="R48" s="169"/>
      <c r="S48" s="169"/>
      <c r="T48" s="169"/>
      <c r="U48" s="169"/>
      <c r="V48" s="169"/>
      <c r="W48" s="169"/>
      <c r="X48" s="169"/>
      <c r="Y48" s="169"/>
      <c r="Z48" s="169"/>
      <c r="AA48" s="169"/>
      <c r="AB48" s="169"/>
      <c r="AC48" s="169"/>
      <c r="AD48" s="169"/>
      <c r="AE48" s="232" t="s">
        <v>823</v>
      </c>
      <c r="AF48" s="152"/>
      <c r="AG48" s="147"/>
      <c r="AH48" s="147"/>
      <c r="AI48" s="147"/>
    </row>
    <row r="49" spans="1:35">
      <c r="A49" s="163" t="s">
        <v>824</v>
      </c>
      <c r="B49" s="152">
        <v>14</v>
      </c>
      <c r="C49" s="152"/>
      <c r="D49" s="372"/>
      <c r="E49" s="372"/>
      <c r="F49" s="169"/>
      <c r="G49" s="164"/>
      <c r="H49" s="372"/>
      <c r="I49" s="372"/>
      <c r="J49" s="372"/>
      <c r="K49" s="372"/>
      <c r="L49" s="169"/>
      <c r="M49" s="169"/>
      <c r="N49" s="169"/>
      <c r="O49" s="169"/>
      <c r="P49" s="169"/>
      <c r="Q49" s="372"/>
      <c r="R49" s="372"/>
      <c r="S49" s="372"/>
      <c r="T49" s="372"/>
      <c r="U49" s="169"/>
      <c r="V49" s="169"/>
      <c r="W49" s="372"/>
      <c r="X49" s="169"/>
      <c r="Y49" s="169"/>
      <c r="Z49" s="169"/>
      <c r="AA49" s="169"/>
      <c r="AB49" s="372"/>
      <c r="AC49" s="372"/>
      <c r="AD49" s="372"/>
      <c r="AE49" s="232" t="s">
        <v>824</v>
      </c>
      <c r="AF49" s="152"/>
      <c r="AG49" s="147"/>
      <c r="AH49" s="147"/>
      <c r="AI49" s="147"/>
    </row>
    <row r="50" spans="1:35">
      <c r="A50" s="163" t="s">
        <v>825</v>
      </c>
      <c r="B50" s="152">
        <v>15</v>
      </c>
      <c r="C50" s="152"/>
      <c r="D50" s="169"/>
      <c r="E50" s="169"/>
      <c r="F50" s="169"/>
      <c r="G50" s="164"/>
      <c r="H50" s="169"/>
      <c r="I50" s="169"/>
      <c r="J50" s="169"/>
      <c r="K50" s="169"/>
      <c r="L50" s="169"/>
      <c r="M50" s="169"/>
      <c r="N50" s="169"/>
      <c r="O50" s="169"/>
      <c r="P50" s="169"/>
      <c r="Q50" s="169"/>
      <c r="R50" s="169"/>
      <c r="S50" s="169"/>
      <c r="T50" s="169"/>
      <c r="U50" s="169"/>
      <c r="V50" s="169"/>
      <c r="W50" s="169"/>
      <c r="X50" s="169"/>
      <c r="Y50" s="169"/>
      <c r="Z50" s="169"/>
      <c r="AA50" s="169"/>
      <c r="AB50" s="169"/>
      <c r="AC50" s="169"/>
      <c r="AD50" s="169"/>
      <c r="AE50" s="232" t="s">
        <v>825</v>
      </c>
      <c r="AF50" s="152"/>
      <c r="AG50" s="147"/>
      <c r="AH50" s="147"/>
      <c r="AI50" s="147"/>
    </row>
    <row r="51" spans="1:35">
      <c r="A51" s="163" t="s">
        <v>826</v>
      </c>
      <c r="B51" s="152">
        <v>16</v>
      </c>
      <c r="C51" s="372"/>
      <c r="D51" s="372"/>
      <c r="E51" s="372"/>
      <c r="F51" s="169"/>
      <c r="G51" s="164"/>
      <c r="H51" s="372"/>
      <c r="I51" s="372"/>
      <c r="J51" s="372"/>
      <c r="K51" s="372"/>
      <c r="L51" s="169"/>
      <c r="M51" s="169"/>
      <c r="N51" s="169"/>
      <c r="O51" s="169"/>
      <c r="P51" s="169"/>
      <c r="Q51" s="372"/>
      <c r="R51" s="372"/>
      <c r="S51" s="372"/>
      <c r="T51" s="372"/>
      <c r="U51" s="169"/>
      <c r="V51" s="169"/>
      <c r="W51" s="372"/>
      <c r="X51" s="169"/>
      <c r="Y51" s="169"/>
      <c r="Z51" s="169"/>
      <c r="AA51" s="169"/>
      <c r="AB51" s="372"/>
      <c r="AC51" s="372"/>
      <c r="AD51" s="372"/>
      <c r="AE51" s="232" t="s">
        <v>826</v>
      </c>
      <c r="AF51" s="152"/>
      <c r="AG51" s="147"/>
      <c r="AH51" s="147"/>
      <c r="AI51" s="147"/>
    </row>
    <row r="52" spans="1:35" ht="15.75" thickBot="1">
      <c r="A52" s="163" t="s">
        <v>827</v>
      </c>
      <c r="B52" s="152">
        <v>17</v>
      </c>
      <c r="C52" s="372"/>
      <c r="D52" s="169"/>
      <c r="E52" s="169"/>
      <c r="F52" s="169"/>
      <c r="G52" s="164"/>
      <c r="H52" s="169"/>
      <c r="I52" s="169"/>
      <c r="J52" s="169"/>
      <c r="K52" s="169"/>
      <c r="L52" s="169"/>
      <c r="M52" s="169"/>
      <c r="N52" s="169"/>
      <c r="O52" s="169"/>
      <c r="P52" s="169"/>
      <c r="Q52" s="169"/>
      <c r="R52" s="169"/>
      <c r="S52" s="169"/>
      <c r="T52" s="169"/>
      <c r="U52" s="169"/>
      <c r="V52" s="169"/>
      <c r="W52" s="169"/>
      <c r="X52" s="169"/>
      <c r="Y52" s="169"/>
      <c r="Z52" s="169"/>
      <c r="AA52" s="169"/>
      <c r="AB52" s="169"/>
      <c r="AC52" s="169"/>
      <c r="AD52" s="169"/>
      <c r="AE52" s="232" t="s">
        <v>827</v>
      </c>
      <c r="AF52" s="152"/>
      <c r="AG52" s="147"/>
      <c r="AH52" s="147"/>
      <c r="AI52" s="147"/>
    </row>
    <row r="53" spans="1:35" ht="16.5" thickBot="1">
      <c r="A53" s="175" t="s">
        <v>791</v>
      </c>
      <c r="B53" s="176">
        <f>SUM(C53:AD53)+AF53</f>
        <v>0</v>
      </c>
      <c r="C53" s="173">
        <f t="shared" ref="C53:AD53" si="4">SUM(C39:C52)</f>
        <v>0</v>
      </c>
      <c r="D53" s="173">
        <f t="shared" ref="D53" si="5">SUM(D39:D52)</f>
        <v>0</v>
      </c>
      <c r="E53" s="173">
        <f t="shared" si="4"/>
        <v>0</v>
      </c>
      <c r="F53" s="173">
        <f>SUM(F39:F52)</f>
        <v>0</v>
      </c>
      <c r="G53" s="273">
        <f t="shared" si="4"/>
        <v>0</v>
      </c>
      <c r="H53" s="173">
        <f t="shared" si="4"/>
        <v>0</v>
      </c>
      <c r="I53" s="173">
        <f>SUM(I39:I52)</f>
        <v>0</v>
      </c>
      <c r="J53" s="173">
        <f>SUM(J39:J52)</f>
        <v>0</v>
      </c>
      <c r="K53" s="173">
        <f>SUM(K39:K52)</f>
        <v>0</v>
      </c>
      <c r="L53" s="173">
        <f>SUM(L39:L52)</f>
        <v>0</v>
      </c>
      <c r="M53" s="173">
        <f>SUM(M39:M52)</f>
        <v>0</v>
      </c>
      <c r="N53" s="173">
        <f t="shared" si="4"/>
        <v>0</v>
      </c>
      <c r="O53" s="173">
        <f>SUM(O39:O52)</f>
        <v>0</v>
      </c>
      <c r="P53" s="173">
        <f>SUM(P39:P52)</f>
        <v>0</v>
      </c>
      <c r="Q53" s="173">
        <f t="shared" si="4"/>
        <v>0</v>
      </c>
      <c r="R53" s="173">
        <f t="shared" si="4"/>
        <v>0</v>
      </c>
      <c r="S53" s="173">
        <f t="shared" si="4"/>
        <v>0</v>
      </c>
      <c r="T53" s="173">
        <f t="shared" si="4"/>
        <v>0</v>
      </c>
      <c r="U53" s="173">
        <f>SUM(U39:U52)</f>
        <v>0</v>
      </c>
      <c r="V53" s="173">
        <f t="shared" si="4"/>
        <v>0</v>
      </c>
      <c r="W53" s="173">
        <f t="shared" ref="W53" si="6">SUM(W39:W52)</f>
        <v>0</v>
      </c>
      <c r="X53" s="173">
        <f t="shared" si="4"/>
        <v>0</v>
      </c>
      <c r="Y53" s="173">
        <f t="shared" si="4"/>
        <v>0</v>
      </c>
      <c r="Z53" s="173">
        <f t="shared" si="4"/>
        <v>0</v>
      </c>
      <c r="AA53" s="173">
        <f t="shared" si="4"/>
        <v>0</v>
      </c>
      <c r="AB53" s="173">
        <f t="shared" si="4"/>
        <v>0</v>
      </c>
      <c r="AC53" s="173">
        <f t="shared" si="4"/>
        <v>0</v>
      </c>
      <c r="AD53" s="173">
        <f t="shared" si="4"/>
        <v>0</v>
      </c>
      <c r="AE53" s="175" t="s">
        <v>791</v>
      </c>
      <c r="AF53" s="176">
        <f>SUM(AG53:AI53)</f>
        <v>0</v>
      </c>
      <c r="AG53" s="147">
        <f>SUM(AG39:AG52)</f>
        <v>0</v>
      </c>
      <c r="AH53" s="147">
        <f>SUM(AH39:AH52)</f>
        <v>0</v>
      </c>
      <c r="AI53" s="147">
        <f>SUM(AI39:AI52)</f>
        <v>0</v>
      </c>
    </row>
    <row r="54" spans="1:35" ht="15.75" thickBot="1"/>
    <row r="55" spans="1:35" ht="15.75" thickBot="1">
      <c r="A55" s="1024" t="s">
        <v>805</v>
      </c>
      <c r="B55" s="1025"/>
      <c r="C55" s="1025"/>
      <c r="D55" s="1025"/>
      <c r="E55" s="1025"/>
      <c r="F55" s="1025"/>
      <c r="G55" s="1025"/>
      <c r="H55" s="1025"/>
      <c r="I55" s="1025"/>
      <c r="J55" s="1025"/>
      <c r="K55" s="1025"/>
      <c r="L55" s="1025"/>
      <c r="M55" s="1025"/>
      <c r="N55" s="1025"/>
      <c r="O55" s="1025"/>
      <c r="P55" s="1025"/>
      <c r="Q55" s="1025"/>
      <c r="R55" s="1025"/>
      <c r="S55" s="1025"/>
      <c r="T55" s="1025" t="s">
        <v>820</v>
      </c>
      <c r="U55" s="1025"/>
      <c r="V55" s="1025"/>
      <c r="W55" s="1025"/>
      <c r="X55" s="1025"/>
      <c r="Y55" s="384"/>
    </row>
    <row r="56" spans="1:35" ht="72.75" customHeight="1">
      <c r="A56" s="155"/>
      <c r="B56" s="247" t="str">
        <f>B38</f>
        <v>October</v>
      </c>
      <c r="C56" s="866" t="s">
        <v>73</v>
      </c>
      <c r="D56" s="867" t="s">
        <v>74</v>
      </c>
      <c r="E56" s="867" t="s">
        <v>75</v>
      </c>
      <c r="F56" s="866" t="s">
        <v>76</v>
      </c>
      <c r="G56" s="868" t="s">
        <v>77</v>
      </c>
      <c r="H56" s="866" t="s">
        <v>78</v>
      </c>
      <c r="I56" s="867" t="s">
        <v>79</v>
      </c>
      <c r="J56" s="867" t="s">
        <v>80</v>
      </c>
      <c r="K56" s="867" t="s">
        <v>81</v>
      </c>
      <c r="L56" s="867" t="s">
        <v>82</v>
      </c>
      <c r="M56" s="868" t="s">
        <v>83</v>
      </c>
      <c r="N56" s="872" t="s">
        <v>84</v>
      </c>
      <c r="O56" s="872" t="s">
        <v>85</v>
      </c>
      <c r="P56" s="873" t="s">
        <v>86</v>
      </c>
      <c r="Q56" s="873" t="s">
        <v>87</v>
      </c>
      <c r="R56" s="878" t="s">
        <v>88</v>
      </c>
      <c r="S56" s="878" t="s">
        <v>89</v>
      </c>
      <c r="T56" s="880" t="s">
        <v>90</v>
      </c>
      <c r="U56" s="880" t="s">
        <v>91</v>
      </c>
      <c r="V56" s="866"/>
      <c r="W56" s="228"/>
      <c r="X56" s="155"/>
      <c r="Y56" s="247" t="s">
        <v>954</v>
      </c>
      <c r="Z56" s="638" t="s">
        <v>90</v>
      </c>
      <c r="AA56" s="638" t="s">
        <v>89</v>
      </c>
    </row>
    <row r="57" spans="1:35">
      <c r="A57" s="163" t="s">
        <v>821</v>
      </c>
      <c r="B57" s="247">
        <f t="shared" ref="B57:B70" si="7">B39</f>
        <v>4</v>
      </c>
      <c r="C57" s="865"/>
      <c r="D57" s="922"/>
      <c r="E57" s="922"/>
      <c r="F57" s="865"/>
      <c r="G57" s="865"/>
      <c r="H57" s="865"/>
      <c r="I57" s="922"/>
      <c r="J57" s="922"/>
      <c r="K57" s="922"/>
      <c r="L57" s="922"/>
      <c r="M57" s="865"/>
      <c r="N57" s="874"/>
      <c r="O57" s="874"/>
      <c r="P57" s="874"/>
      <c r="Q57" s="874"/>
      <c r="R57" s="923"/>
      <c r="S57" s="923"/>
      <c r="T57" s="924"/>
      <c r="U57" s="924"/>
      <c r="V57" s="922"/>
      <c r="W57" s="232"/>
      <c r="X57" s="163" t="s">
        <v>821</v>
      </c>
      <c r="Y57" s="152">
        <v>26</v>
      </c>
      <c r="Z57" s="905"/>
      <c r="AA57" s="905"/>
    </row>
    <row r="58" spans="1:35">
      <c r="A58" s="163" t="s">
        <v>822</v>
      </c>
      <c r="B58" s="247">
        <f t="shared" si="7"/>
        <v>5</v>
      </c>
      <c r="C58" s="865"/>
      <c r="D58" s="922"/>
      <c r="E58" s="922"/>
      <c r="F58" s="865"/>
      <c r="G58" s="865"/>
      <c r="H58" s="865"/>
      <c r="I58" s="922"/>
      <c r="J58" s="922"/>
      <c r="K58" s="922"/>
      <c r="L58" s="922"/>
      <c r="M58" s="865"/>
      <c r="N58" s="874"/>
      <c r="O58" s="874"/>
      <c r="P58" s="874"/>
      <c r="Q58" s="874"/>
      <c r="R58" s="923"/>
      <c r="S58" s="923"/>
      <c r="T58" s="881"/>
      <c r="U58" s="881"/>
      <c r="V58" s="922"/>
      <c r="W58" s="232"/>
      <c r="X58" s="163" t="s">
        <v>822</v>
      </c>
      <c r="Y58" s="152">
        <v>27</v>
      </c>
      <c r="Z58" s="905"/>
      <c r="AA58" s="905"/>
    </row>
    <row r="59" spans="1:35">
      <c r="A59" s="163" t="s">
        <v>823</v>
      </c>
      <c r="B59" s="247">
        <f t="shared" si="7"/>
        <v>6</v>
      </c>
      <c r="C59" s="865"/>
      <c r="D59" s="922"/>
      <c r="E59" s="922"/>
      <c r="F59" s="922"/>
      <c r="G59" s="922"/>
      <c r="H59" s="922"/>
      <c r="I59" s="922"/>
      <c r="J59" s="922"/>
      <c r="K59" s="922"/>
      <c r="L59" s="922"/>
      <c r="M59" s="865"/>
      <c r="N59" s="874"/>
      <c r="O59" s="874"/>
      <c r="P59" s="874"/>
      <c r="Q59" s="874"/>
      <c r="R59" s="923"/>
      <c r="S59" s="923"/>
      <c r="T59" s="881"/>
      <c r="U59" s="881"/>
      <c r="V59" s="922"/>
      <c r="W59" s="232"/>
      <c r="X59" s="163" t="s">
        <v>823</v>
      </c>
      <c r="Y59" s="152">
        <v>28</v>
      </c>
      <c r="Z59" s="905"/>
      <c r="AA59" s="905"/>
    </row>
    <row r="60" spans="1:35">
      <c r="A60" s="163" t="s">
        <v>824</v>
      </c>
      <c r="B60" s="247">
        <f t="shared" si="7"/>
        <v>7</v>
      </c>
      <c r="C60" s="865"/>
      <c r="D60" s="922"/>
      <c r="E60" s="922"/>
      <c r="F60" s="865"/>
      <c r="G60" s="922"/>
      <c r="H60" s="865"/>
      <c r="I60" s="922"/>
      <c r="J60" s="922"/>
      <c r="K60" s="922"/>
      <c r="L60" s="922"/>
      <c r="M60" s="865"/>
      <c r="N60" s="874"/>
      <c r="O60" s="874"/>
      <c r="P60" s="874"/>
      <c r="Q60" s="874"/>
      <c r="R60" s="923"/>
      <c r="S60" s="923"/>
      <c r="T60" s="881"/>
      <c r="U60" s="881"/>
      <c r="V60" s="922"/>
      <c r="W60" s="232"/>
      <c r="X60" s="163" t="s">
        <v>824</v>
      </c>
      <c r="Y60" s="152">
        <v>29</v>
      </c>
      <c r="Z60" s="905"/>
      <c r="AA60" s="905"/>
    </row>
    <row r="61" spans="1:35">
      <c r="A61" s="163" t="s">
        <v>825</v>
      </c>
      <c r="B61" s="247">
        <f t="shared" si="7"/>
        <v>8</v>
      </c>
      <c r="C61" s="865"/>
      <c r="D61" s="922"/>
      <c r="E61" s="922"/>
      <c r="F61" s="865"/>
      <c r="G61" s="922"/>
      <c r="H61" s="869"/>
      <c r="I61" s="922"/>
      <c r="J61" s="922"/>
      <c r="K61" s="922"/>
      <c r="L61" s="922"/>
      <c r="M61" s="869"/>
      <c r="N61" s="875"/>
      <c r="O61" s="875"/>
      <c r="P61" s="874"/>
      <c r="Q61" s="874"/>
      <c r="R61" s="923"/>
      <c r="S61" s="923"/>
      <c r="T61" s="881"/>
      <c r="U61" s="881"/>
      <c r="V61" s="922"/>
      <c r="W61" s="232"/>
      <c r="X61" s="163" t="s">
        <v>825</v>
      </c>
      <c r="Y61" s="152">
        <v>30</v>
      </c>
      <c r="Z61" s="905"/>
      <c r="AA61" s="905"/>
    </row>
    <row r="62" spans="1:35">
      <c r="A62" s="163" t="s">
        <v>826</v>
      </c>
      <c r="B62" s="247">
        <f t="shared" si="7"/>
        <v>9</v>
      </c>
      <c r="C62" s="865"/>
      <c r="D62" s="922"/>
      <c r="E62" s="922"/>
      <c r="F62" s="865"/>
      <c r="G62" s="922"/>
      <c r="H62" s="869"/>
      <c r="I62" s="922"/>
      <c r="J62" s="922"/>
      <c r="K62" s="922"/>
      <c r="L62" s="922"/>
      <c r="M62" s="869"/>
      <c r="N62" s="875"/>
      <c r="O62" s="875"/>
      <c r="P62" s="874"/>
      <c r="Q62" s="874"/>
      <c r="R62" s="923"/>
      <c r="S62" s="923"/>
      <c r="T62" s="881"/>
      <c r="U62" s="881"/>
      <c r="V62" s="922"/>
      <c r="W62" s="232"/>
      <c r="X62" s="163" t="s">
        <v>826</v>
      </c>
      <c r="Y62" s="152">
        <v>31</v>
      </c>
      <c r="Z62" s="905"/>
      <c r="AA62" s="905"/>
    </row>
    <row r="63" spans="1:35">
      <c r="A63" s="163" t="s">
        <v>827</v>
      </c>
      <c r="B63" s="247">
        <f t="shared" si="7"/>
        <v>10</v>
      </c>
      <c r="C63" s="865"/>
      <c r="D63" s="922"/>
      <c r="E63" s="922"/>
      <c r="F63" s="869"/>
      <c r="G63" s="869"/>
      <c r="H63" s="869"/>
      <c r="I63" s="922"/>
      <c r="J63" s="922"/>
      <c r="K63" s="922"/>
      <c r="L63" s="922"/>
      <c r="M63" s="865"/>
      <c r="N63" s="874"/>
      <c r="O63" s="874"/>
      <c r="P63" s="874"/>
      <c r="Q63" s="874"/>
      <c r="R63" s="923"/>
      <c r="S63" s="923"/>
      <c r="T63" s="881"/>
      <c r="U63" s="881"/>
      <c r="V63" s="870"/>
      <c r="W63" s="232"/>
      <c r="X63" s="163" t="s">
        <v>827</v>
      </c>
      <c r="Y63" s="152">
        <v>1</v>
      </c>
      <c r="Z63" s="905"/>
      <c r="AA63" s="905"/>
    </row>
    <row r="64" spans="1:35">
      <c r="A64" s="163" t="s">
        <v>821</v>
      </c>
      <c r="B64" s="247">
        <f t="shared" si="7"/>
        <v>11</v>
      </c>
      <c r="C64" s="865"/>
      <c r="D64" s="922"/>
      <c r="E64" s="922"/>
      <c r="F64" s="869"/>
      <c r="G64" s="869"/>
      <c r="H64" s="869"/>
      <c r="I64" s="922"/>
      <c r="J64" s="922"/>
      <c r="K64" s="922"/>
      <c r="L64" s="922"/>
      <c r="M64" s="865"/>
      <c r="N64" s="874"/>
      <c r="O64" s="874"/>
      <c r="P64" s="874"/>
      <c r="Q64" s="874"/>
      <c r="R64" s="923"/>
      <c r="S64" s="923"/>
      <c r="T64" s="881"/>
      <c r="U64" s="881"/>
      <c r="V64" s="922"/>
      <c r="W64" s="232"/>
      <c r="X64" s="163" t="s">
        <v>821</v>
      </c>
      <c r="Y64" s="152">
        <v>2</v>
      </c>
      <c r="Z64" s="905"/>
      <c r="AA64" s="905"/>
    </row>
    <row r="65" spans="1:27">
      <c r="A65" s="163" t="s">
        <v>822</v>
      </c>
      <c r="B65" s="247">
        <f t="shared" si="7"/>
        <v>12</v>
      </c>
      <c r="C65" s="865"/>
      <c r="D65" s="922"/>
      <c r="E65" s="922"/>
      <c r="F65" s="869"/>
      <c r="G65" s="869"/>
      <c r="H65" s="869"/>
      <c r="I65" s="922"/>
      <c r="J65" s="922"/>
      <c r="K65" s="922"/>
      <c r="L65" s="922"/>
      <c r="M65" s="865"/>
      <c r="N65" s="874"/>
      <c r="O65" s="874"/>
      <c r="P65" s="874"/>
      <c r="Q65" s="874"/>
      <c r="R65" s="923"/>
      <c r="S65" s="923"/>
      <c r="T65" s="881"/>
      <c r="U65" s="881"/>
      <c r="V65" s="870"/>
      <c r="W65" s="232"/>
      <c r="X65" s="163" t="s">
        <v>822</v>
      </c>
      <c r="Y65" s="152">
        <v>3</v>
      </c>
      <c r="Z65" s="905"/>
      <c r="AA65" s="905"/>
    </row>
    <row r="66" spans="1:27">
      <c r="A66" s="163" t="s">
        <v>823</v>
      </c>
      <c r="B66" s="247">
        <f t="shared" si="7"/>
        <v>13</v>
      </c>
      <c r="C66" s="865"/>
      <c r="D66" s="925"/>
      <c r="E66" s="925"/>
      <c r="F66" s="925"/>
      <c r="G66" s="922"/>
      <c r="H66" s="925"/>
      <c r="I66" s="925"/>
      <c r="J66" s="925"/>
      <c r="K66" s="925"/>
      <c r="L66" s="925"/>
      <c r="M66" s="925"/>
      <c r="N66" s="926"/>
      <c r="O66" s="926"/>
      <c r="P66" s="926"/>
      <c r="Q66" s="926"/>
      <c r="R66" s="927"/>
      <c r="S66" s="927"/>
      <c r="T66" s="928"/>
      <c r="U66" s="928"/>
      <c r="V66" s="925"/>
      <c r="W66" s="232"/>
      <c r="X66" s="163" t="s">
        <v>823</v>
      </c>
      <c r="Y66" s="152">
        <v>4</v>
      </c>
      <c r="Z66" s="929"/>
      <c r="AA66" s="929"/>
    </row>
    <row r="67" spans="1:27">
      <c r="A67" s="163" t="s">
        <v>824</v>
      </c>
      <c r="B67" s="247">
        <f t="shared" si="7"/>
        <v>14</v>
      </c>
      <c r="C67" s="865"/>
      <c r="D67" s="925"/>
      <c r="E67" s="925"/>
      <c r="F67" s="871"/>
      <c r="G67" s="922"/>
      <c r="H67" s="925"/>
      <c r="I67" s="925"/>
      <c r="J67" s="925"/>
      <c r="K67" s="925"/>
      <c r="L67" s="925"/>
      <c r="M67" s="871"/>
      <c r="N67" s="876"/>
      <c r="O67" s="876"/>
      <c r="P67" s="876"/>
      <c r="Q67" s="876"/>
      <c r="R67" s="927"/>
      <c r="S67" s="927"/>
      <c r="T67" s="882"/>
      <c r="U67" s="882"/>
      <c r="V67" s="871"/>
      <c r="W67" s="232"/>
      <c r="X67" s="163" t="s">
        <v>824</v>
      </c>
      <c r="Y67" s="152">
        <v>5</v>
      </c>
      <c r="Z67" s="929"/>
      <c r="AA67" s="929"/>
    </row>
    <row r="68" spans="1:27">
      <c r="A68" s="163" t="s">
        <v>825</v>
      </c>
      <c r="B68" s="247">
        <f t="shared" si="7"/>
        <v>15</v>
      </c>
      <c r="C68" s="865"/>
      <c r="D68" s="925"/>
      <c r="E68" s="925"/>
      <c r="F68" s="925"/>
      <c r="G68" s="922"/>
      <c r="H68" s="925"/>
      <c r="I68" s="925"/>
      <c r="J68" s="925"/>
      <c r="K68" s="925"/>
      <c r="L68" s="925"/>
      <c r="M68" s="925"/>
      <c r="N68" s="926"/>
      <c r="O68" s="926"/>
      <c r="P68" s="926"/>
      <c r="Q68" s="926"/>
      <c r="R68" s="927"/>
      <c r="S68" s="927"/>
      <c r="T68" s="928"/>
      <c r="U68" s="928"/>
      <c r="V68" s="925"/>
      <c r="W68" s="232"/>
      <c r="X68" s="163" t="s">
        <v>825</v>
      </c>
      <c r="Y68" s="152">
        <v>6</v>
      </c>
      <c r="Z68" s="929"/>
      <c r="AA68" s="929"/>
    </row>
    <row r="69" spans="1:27">
      <c r="A69" s="163" t="s">
        <v>826</v>
      </c>
      <c r="B69" s="247">
        <f t="shared" si="7"/>
        <v>16</v>
      </c>
      <c r="C69" s="871"/>
      <c r="D69" s="925"/>
      <c r="E69" s="925"/>
      <c r="F69" s="871"/>
      <c r="G69" s="922"/>
      <c r="H69" s="925"/>
      <c r="I69" s="925"/>
      <c r="J69" s="925"/>
      <c r="K69" s="925"/>
      <c r="L69" s="925"/>
      <c r="M69" s="871"/>
      <c r="N69" s="876"/>
      <c r="O69" s="876"/>
      <c r="P69" s="876"/>
      <c r="Q69" s="876"/>
      <c r="R69" s="927"/>
      <c r="S69" s="927"/>
      <c r="T69" s="882"/>
      <c r="U69" s="882"/>
      <c r="V69" s="871"/>
      <c r="W69" s="232"/>
      <c r="X69" s="163" t="s">
        <v>826</v>
      </c>
      <c r="Y69" s="152">
        <v>7</v>
      </c>
      <c r="Z69" s="929"/>
      <c r="AA69" s="929"/>
    </row>
    <row r="70" spans="1:27" ht="15.75" thickBot="1">
      <c r="A70" s="163" t="s">
        <v>827</v>
      </c>
      <c r="B70" s="247">
        <f t="shared" si="7"/>
        <v>17</v>
      </c>
      <c r="C70" s="871"/>
      <c r="D70" s="925"/>
      <c r="E70" s="925"/>
      <c r="F70" s="925"/>
      <c r="G70" s="922"/>
      <c r="H70" s="925"/>
      <c r="I70" s="925"/>
      <c r="J70" s="925"/>
      <c r="K70" s="925"/>
      <c r="L70" s="925"/>
      <c r="M70" s="925"/>
      <c r="N70" s="926"/>
      <c r="O70" s="926"/>
      <c r="P70" s="926"/>
      <c r="Q70" s="926"/>
      <c r="R70" s="927"/>
      <c r="S70" s="927"/>
      <c r="T70" s="928"/>
      <c r="U70" s="928"/>
      <c r="V70" s="925"/>
      <c r="W70" s="232"/>
      <c r="X70" s="163" t="s">
        <v>827</v>
      </c>
      <c r="Y70" s="152">
        <v>8</v>
      </c>
      <c r="Z70" s="929"/>
      <c r="AA70" s="929"/>
    </row>
    <row r="71" spans="1:27" ht="16.5" thickBot="1">
      <c r="A71" s="175" t="s">
        <v>791</v>
      </c>
      <c r="B71" s="176">
        <f>SUM(C71:W71)</f>
        <v>0</v>
      </c>
      <c r="C71" s="273">
        <f t="shared" ref="C71:V71" si="8">SUM(C57:C70)</f>
        <v>0</v>
      </c>
      <c r="D71" s="273">
        <f>SUM(D57:D70)</f>
        <v>0</v>
      </c>
      <c r="E71" s="273">
        <f t="shared" ref="E71:K71" si="9">SUM(E57:E70)</f>
        <v>0</v>
      </c>
      <c r="F71" s="273">
        <f t="shared" si="9"/>
        <v>0</v>
      </c>
      <c r="G71" s="273">
        <f t="shared" si="9"/>
        <v>0</v>
      </c>
      <c r="H71" s="273">
        <f t="shared" si="9"/>
        <v>0</v>
      </c>
      <c r="I71" s="273">
        <f>SUM(I57:I70)</f>
        <v>0</v>
      </c>
      <c r="J71" s="273">
        <f t="shared" si="9"/>
        <v>0</v>
      </c>
      <c r="K71" s="273">
        <f t="shared" si="9"/>
        <v>0</v>
      </c>
      <c r="L71" s="273">
        <f>SUM(L57:L70)</f>
        <v>0</v>
      </c>
      <c r="M71" s="273">
        <f t="shared" si="8"/>
        <v>0</v>
      </c>
      <c r="N71" s="877">
        <f>SUM(N57:N70)</f>
        <v>0</v>
      </c>
      <c r="O71" s="877">
        <f>SUM(O57:O70)</f>
        <v>0</v>
      </c>
      <c r="P71" s="877">
        <f t="shared" si="8"/>
        <v>0</v>
      </c>
      <c r="Q71" s="877">
        <f t="shared" si="8"/>
        <v>0</v>
      </c>
      <c r="R71" s="879">
        <f t="shared" si="8"/>
        <v>0</v>
      </c>
      <c r="S71" s="879">
        <f t="shared" si="8"/>
        <v>0</v>
      </c>
      <c r="T71" s="883">
        <f t="shared" si="8"/>
        <v>0</v>
      </c>
      <c r="U71" s="883">
        <f t="shared" ref="U71" si="10">SUM(U57:U70)</f>
        <v>0</v>
      </c>
      <c r="V71" s="273">
        <f t="shared" si="8"/>
        <v>0</v>
      </c>
      <c r="W71" s="175"/>
      <c r="X71" s="175" t="s">
        <v>791</v>
      </c>
      <c r="Y71" s="176">
        <f>SUM(Z71:AQ71)+AS71</f>
        <v>0</v>
      </c>
      <c r="Z71" s="173">
        <f>SUM(Z57:Z70)</f>
        <v>0</v>
      </c>
      <c r="AA71" s="173">
        <f>SUM(AA57:AA70)</f>
        <v>0</v>
      </c>
    </row>
    <row r="72" spans="1:27" ht="16.5" thickBot="1">
      <c r="A72" s="220"/>
      <c r="B72" s="453"/>
      <c r="C72" s="65"/>
      <c r="D72" s="573"/>
      <c r="E72" s="573"/>
      <c r="F72" s="573"/>
      <c r="G72" s="573"/>
      <c r="H72" s="573"/>
      <c r="I72" s="573"/>
      <c r="J72" s="65"/>
      <c r="K72" s="65"/>
      <c r="L72" s="65"/>
      <c r="M72" s="65"/>
      <c r="N72" s="65"/>
      <c r="O72" s="65"/>
      <c r="P72" s="65"/>
      <c r="Q72" s="65"/>
      <c r="R72" s="65"/>
      <c r="S72" s="65"/>
      <c r="T72" s="368"/>
      <c r="U72" s="358"/>
      <c r="V72" s="406"/>
      <c r="W72" s="406"/>
      <c r="X72" s="406"/>
    </row>
    <row r="73" spans="1:27" ht="15.75" customHeight="1" thickBot="1">
      <c r="A73" s="1046" t="s">
        <v>955</v>
      </c>
      <c r="B73" s="1047"/>
      <c r="C73" s="1047"/>
      <c r="D73" s="1047"/>
      <c r="E73" s="1047"/>
      <c r="F73" s="1047"/>
      <c r="G73" s="1047"/>
      <c r="H73" s="1047"/>
      <c r="I73" s="1047"/>
      <c r="J73" s="1049"/>
      <c r="K73" s="1049"/>
      <c r="L73" s="1049"/>
      <c r="M73" s="1049"/>
      <c r="N73" s="1049"/>
      <c r="O73" s="1049"/>
      <c r="P73" s="1049"/>
      <c r="Q73" s="1049"/>
      <c r="R73" s="1049"/>
      <c r="S73" s="1050"/>
      <c r="T73" s="1024" t="s">
        <v>820</v>
      </c>
      <c r="U73" s="1025"/>
      <c r="V73" s="1025"/>
      <c r="W73" s="1025"/>
      <c r="X73" s="1026"/>
    </row>
    <row r="74" spans="1:27" ht="74.25" customHeight="1">
      <c r="A74" s="155"/>
      <c r="B74" s="247" t="str">
        <f>B56</f>
        <v>October</v>
      </c>
      <c r="C74" s="930" t="s">
        <v>956</v>
      </c>
      <c r="D74" s="930" t="s">
        <v>612</v>
      </c>
      <c r="E74" s="931" t="s">
        <v>613</v>
      </c>
      <c r="F74" s="930" t="s">
        <v>614</v>
      </c>
      <c r="G74" s="930" t="s">
        <v>615</v>
      </c>
      <c r="H74" s="930" t="s">
        <v>616</v>
      </c>
      <c r="I74" s="930" t="s">
        <v>957</v>
      </c>
      <c r="J74" s="930" t="s">
        <v>618</v>
      </c>
      <c r="K74" s="930" t="s">
        <v>619</v>
      </c>
      <c r="L74" s="930" t="s">
        <v>620</v>
      </c>
      <c r="M74" s="930" t="s">
        <v>621</v>
      </c>
      <c r="N74" s="930" t="s">
        <v>622</v>
      </c>
      <c r="O74" s="930" t="s">
        <v>623</v>
      </c>
      <c r="P74" s="930" t="s">
        <v>625</v>
      </c>
      <c r="Q74" s="930" t="s">
        <v>624</v>
      </c>
      <c r="R74" s="930" t="s">
        <v>626</v>
      </c>
      <c r="S74" s="930" t="s">
        <v>627</v>
      </c>
      <c r="T74" s="930" t="s">
        <v>628</v>
      </c>
      <c r="U74" s="930" t="s">
        <v>629</v>
      </c>
      <c r="V74" s="930" t="s">
        <v>630</v>
      </c>
      <c r="W74" s="228"/>
      <c r="X74" s="247"/>
      <c r="Y74" s="930"/>
      <c r="Z74" s="369"/>
      <c r="AA74" s="369"/>
    </row>
    <row r="75" spans="1:27">
      <c r="A75" s="163" t="s">
        <v>821</v>
      </c>
      <c r="B75" s="247">
        <f t="shared" ref="B75:B88" si="11">B57</f>
        <v>4</v>
      </c>
      <c r="C75" s="164"/>
      <c r="D75" s="376"/>
      <c r="E75" s="164"/>
      <c r="F75" s="164"/>
      <c r="G75" s="164"/>
      <c r="H75" s="164"/>
      <c r="I75" s="164"/>
      <c r="J75" s="164"/>
      <c r="K75" s="164"/>
      <c r="L75" s="164"/>
      <c r="M75" s="164"/>
      <c r="N75" s="164"/>
      <c r="O75" s="164"/>
      <c r="P75" s="164"/>
      <c r="Q75" s="164"/>
      <c r="R75" s="164"/>
      <c r="S75" s="164"/>
      <c r="T75" s="164"/>
      <c r="U75" s="164"/>
      <c r="V75" s="164"/>
      <c r="W75" s="232" t="s">
        <v>821</v>
      </c>
      <c r="X75" s="152"/>
      <c r="Y75" s="147"/>
      <c r="Z75" s="147"/>
      <c r="AA75" s="147"/>
    </row>
    <row r="76" spans="1:27">
      <c r="A76" s="163" t="s">
        <v>822</v>
      </c>
      <c r="B76" s="247">
        <f t="shared" si="11"/>
        <v>5</v>
      </c>
      <c r="C76" s="164"/>
      <c r="D76" s="193"/>
      <c r="E76" s="164"/>
      <c r="F76" s="164"/>
      <c r="G76" s="164"/>
      <c r="H76" s="164"/>
      <c r="I76" s="164"/>
      <c r="J76" s="164"/>
      <c r="K76" s="164"/>
      <c r="L76" s="164"/>
      <c r="M76" s="164"/>
      <c r="N76" s="164"/>
      <c r="O76" s="164"/>
      <c r="P76" s="164"/>
      <c r="Q76" s="164"/>
      <c r="R76" s="164"/>
      <c r="S76" s="164"/>
      <c r="T76" s="164"/>
      <c r="U76" s="164"/>
      <c r="V76" s="164"/>
      <c r="W76" s="232" t="s">
        <v>822</v>
      </c>
      <c r="X76" s="152"/>
      <c r="Y76" s="147"/>
      <c r="Z76" s="147"/>
      <c r="AA76" s="147"/>
    </row>
    <row r="77" spans="1:27">
      <c r="A77" s="163" t="s">
        <v>823</v>
      </c>
      <c r="B77" s="247">
        <f t="shared" si="11"/>
        <v>6</v>
      </c>
      <c r="C77" s="164"/>
      <c r="D77" s="186"/>
      <c r="E77" s="164"/>
      <c r="F77" s="164"/>
      <c r="G77" s="164"/>
      <c r="H77" s="164"/>
      <c r="I77" s="164"/>
      <c r="J77" s="164"/>
      <c r="K77" s="164"/>
      <c r="L77" s="164"/>
      <c r="M77" s="164"/>
      <c r="N77" s="164"/>
      <c r="O77" s="164"/>
      <c r="P77" s="164"/>
      <c r="Q77" s="164"/>
      <c r="R77" s="164"/>
      <c r="S77" s="164"/>
      <c r="T77" s="164"/>
      <c r="U77" s="164"/>
      <c r="V77" s="164"/>
      <c r="W77" s="232" t="s">
        <v>823</v>
      </c>
      <c r="X77" s="152"/>
      <c r="Y77" s="147"/>
      <c r="Z77" s="147"/>
      <c r="AA77" s="147"/>
    </row>
    <row r="78" spans="1:27">
      <c r="A78" s="163" t="s">
        <v>824</v>
      </c>
      <c r="B78" s="247">
        <f t="shared" si="11"/>
        <v>7</v>
      </c>
      <c r="C78" s="164"/>
      <c r="D78" s="164"/>
      <c r="E78" s="164"/>
      <c r="F78" s="164"/>
      <c r="G78" s="218"/>
      <c r="H78" s="17"/>
      <c r="I78" s="218"/>
      <c r="J78" s="17"/>
      <c r="K78" s="164"/>
      <c r="L78" s="164"/>
      <c r="M78" s="164"/>
      <c r="N78" s="164"/>
      <c r="O78" s="164"/>
      <c r="P78" s="164"/>
      <c r="Q78" s="164"/>
      <c r="R78" s="164"/>
      <c r="S78" s="164"/>
      <c r="T78" s="164"/>
      <c r="U78" s="164"/>
      <c r="V78" s="164"/>
      <c r="W78" s="232" t="s">
        <v>824</v>
      </c>
      <c r="X78" s="152"/>
      <c r="Y78" s="147"/>
      <c r="Z78" s="147"/>
      <c r="AA78" s="147"/>
    </row>
    <row r="79" spans="1:27">
      <c r="A79" s="163" t="s">
        <v>825</v>
      </c>
      <c r="B79" s="247">
        <f t="shared" si="11"/>
        <v>8</v>
      </c>
      <c r="C79" s="164"/>
      <c r="D79" s="164"/>
      <c r="E79" s="164"/>
      <c r="F79" s="164"/>
      <c r="G79" s="218"/>
      <c r="H79" s="17"/>
      <c r="I79" s="218"/>
      <c r="J79" s="17"/>
      <c r="K79" s="164"/>
      <c r="L79" s="164"/>
      <c r="M79" s="164"/>
      <c r="N79" s="164"/>
      <c r="O79" s="164"/>
      <c r="P79" s="164"/>
      <c r="Q79" s="164"/>
      <c r="R79" s="164"/>
      <c r="S79" s="164"/>
      <c r="T79" s="164"/>
      <c r="U79" s="164"/>
      <c r="V79" s="164"/>
      <c r="W79" s="232" t="s">
        <v>825</v>
      </c>
      <c r="X79" s="152"/>
      <c r="Y79" s="147"/>
      <c r="Z79" s="147"/>
      <c r="AA79" s="147"/>
    </row>
    <row r="80" spans="1:27">
      <c r="A80" s="163" t="s">
        <v>826</v>
      </c>
      <c r="B80" s="247">
        <f t="shared" si="11"/>
        <v>9</v>
      </c>
      <c r="C80" s="164"/>
      <c r="D80" s="164"/>
      <c r="E80" s="164"/>
      <c r="F80" s="164"/>
      <c r="G80" s="218"/>
      <c r="H80" s="17"/>
      <c r="I80" s="218"/>
      <c r="J80" s="17"/>
      <c r="K80" s="164"/>
      <c r="L80" s="164"/>
      <c r="M80" s="164"/>
      <c r="N80" s="164"/>
      <c r="O80" s="164"/>
      <c r="P80" s="164"/>
      <c r="Q80" s="164"/>
      <c r="R80" s="164"/>
      <c r="S80" s="164"/>
      <c r="T80" s="164"/>
      <c r="U80" s="164"/>
      <c r="V80" s="164"/>
      <c r="W80" s="232" t="s">
        <v>826</v>
      </c>
      <c r="X80" s="152"/>
      <c r="Y80" s="147"/>
      <c r="Z80" s="147"/>
      <c r="AA80" s="147"/>
    </row>
    <row r="81" spans="1:29">
      <c r="A81" s="163" t="s">
        <v>827</v>
      </c>
      <c r="B81" s="247">
        <f t="shared" si="11"/>
        <v>10</v>
      </c>
      <c r="C81" s="164"/>
      <c r="D81" s="164"/>
      <c r="E81" s="164"/>
      <c r="F81" s="164"/>
      <c r="G81" s="218"/>
      <c r="H81" s="17"/>
      <c r="I81" s="218"/>
      <c r="J81" s="17"/>
      <c r="K81" s="164"/>
      <c r="L81" s="164"/>
      <c r="M81" s="164"/>
      <c r="N81" s="164"/>
      <c r="O81" s="164"/>
      <c r="P81" s="164"/>
      <c r="Q81" s="164"/>
      <c r="R81" s="164"/>
      <c r="S81" s="164"/>
      <c r="T81" s="164"/>
      <c r="U81" s="164"/>
      <c r="V81" s="164"/>
      <c r="W81" s="232" t="s">
        <v>827</v>
      </c>
      <c r="X81" s="152"/>
      <c r="Y81" s="147"/>
      <c r="Z81" s="147"/>
      <c r="AA81" s="147"/>
    </row>
    <row r="82" spans="1:29">
      <c r="A82" s="163" t="s">
        <v>821</v>
      </c>
      <c r="B82" s="247">
        <f t="shared" si="11"/>
        <v>11</v>
      </c>
      <c r="C82" s="164"/>
      <c r="D82" s="164"/>
      <c r="E82" s="164"/>
      <c r="F82" s="164"/>
      <c r="G82" s="218"/>
      <c r="H82" s="17"/>
      <c r="I82" s="218"/>
      <c r="J82" s="17"/>
      <c r="K82" s="164"/>
      <c r="L82" s="164"/>
      <c r="M82" s="164"/>
      <c r="N82" s="164"/>
      <c r="O82" s="164"/>
      <c r="P82" s="164"/>
      <c r="Q82" s="164"/>
      <c r="R82" s="164"/>
      <c r="S82" s="164"/>
      <c r="T82" s="164"/>
      <c r="U82" s="164"/>
      <c r="V82" s="164"/>
      <c r="W82" s="232" t="s">
        <v>821</v>
      </c>
      <c r="X82" s="152"/>
      <c r="Y82" s="147"/>
      <c r="Z82" s="147"/>
      <c r="AA82" s="147"/>
    </row>
    <row r="83" spans="1:29">
      <c r="A83" s="163" t="s">
        <v>822</v>
      </c>
      <c r="B83" s="247">
        <f t="shared" si="11"/>
        <v>12</v>
      </c>
      <c r="C83" s="164"/>
      <c r="D83" s="164"/>
      <c r="E83" s="164"/>
      <c r="F83" s="164"/>
      <c r="G83" s="218"/>
      <c r="H83" s="17"/>
      <c r="I83" s="218"/>
      <c r="J83" s="17"/>
      <c r="K83" s="164"/>
      <c r="L83" s="164"/>
      <c r="M83" s="164"/>
      <c r="N83" s="164"/>
      <c r="O83" s="164"/>
      <c r="P83" s="164"/>
      <c r="Q83" s="164"/>
      <c r="R83" s="164"/>
      <c r="S83" s="164"/>
      <c r="T83" s="164"/>
      <c r="U83" s="164"/>
      <c r="V83" s="164"/>
      <c r="W83" s="232" t="s">
        <v>822</v>
      </c>
      <c r="X83" s="152"/>
      <c r="Y83" s="147"/>
      <c r="Z83" s="147"/>
      <c r="AA83" s="147"/>
    </row>
    <row r="84" spans="1:29">
      <c r="A84" s="163" t="s">
        <v>823</v>
      </c>
      <c r="B84" s="247">
        <f t="shared" si="11"/>
        <v>13</v>
      </c>
      <c r="C84" s="164"/>
      <c r="D84" s="164"/>
      <c r="E84" s="164"/>
      <c r="F84" s="164"/>
      <c r="G84" s="218"/>
      <c r="H84" s="17"/>
      <c r="I84" s="218"/>
      <c r="J84" s="17"/>
      <c r="K84" s="164"/>
      <c r="L84" s="164"/>
      <c r="M84" s="164"/>
      <c r="N84" s="164"/>
      <c r="O84" s="164"/>
      <c r="P84" s="164"/>
      <c r="Q84" s="164"/>
      <c r="R84" s="164"/>
      <c r="S84" s="164"/>
      <c r="T84" s="164"/>
      <c r="U84" s="164"/>
      <c r="V84" s="164"/>
      <c r="W84" s="232" t="s">
        <v>823</v>
      </c>
      <c r="X84" s="152"/>
      <c r="Y84" s="147"/>
      <c r="Z84" s="147"/>
      <c r="AA84" s="147"/>
    </row>
    <row r="85" spans="1:29">
      <c r="A85" s="163" t="s">
        <v>824</v>
      </c>
      <c r="B85" s="247">
        <f t="shared" si="11"/>
        <v>14</v>
      </c>
      <c r="C85" s="164"/>
      <c r="D85" s="164"/>
      <c r="E85" s="164"/>
      <c r="F85" s="164"/>
      <c r="G85" s="218"/>
      <c r="H85" s="17"/>
      <c r="I85" s="218"/>
      <c r="J85" s="17"/>
      <c r="K85" s="164"/>
      <c r="L85" s="164"/>
      <c r="M85" s="164"/>
      <c r="N85" s="164"/>
      <c r="O85" s="164"/>
      <c r="P85" s="164"/>
      <c r="Q85" s="164"/>
      <c r="R85" s="164"/>
      <c r="S85" s="164"/>
      <c r="T85" s="164"/>
      <c r="U85" s="164"/>
      <c r="V85" s="164"/>
      <c r="W85" s="232" t="s">
        <v>824</v>
      </c>
      <c r="X85" s="152"/>
      <c r="Y85" s="147"/>
      <c r="Z85" s="147"/>
      <c r="AA85" s="147"/>
    </row>
    <row r="86" spans="1:29">
      <c r="A86" s="163" t="s">
        <v>825</v>
      </c>
      <c r="B86" s="247">
        <f t="shared" si="11"/>
        <v>15</v>
      </c>
      <c r="C86" s="164"/>
      <c r="D86" s="164"/>
      <c r="E86" s="164"/>
      <c r="F86" s="164"/>
      <c r="G86" s="218"/>
      <c r="H86" s="17"/>
      <c r="I86" s="218"/>
      <c r="J86" s="17"/>
      <c r="K86" s="164"/>
      <c r="L86" s="164"/>
      <c r="M86" s="164"/>
      <c r="N86" s="164"/>
      <c r="O86" s="164"/>
      <c r="P86" s="164"/>
      <c r="Q86" s="164"/>
      <c r="R86" s="164"/>
      <c r="S86" s="164"/>
      <c r="T86" s="164"/>
      <c r="U86" s="164"/>
      <c r="V86" s="164"/>
      <c r="W86" s="232" t="s">
        <v>825</v>
      </c>
      <c r="X86" s="152"/>
      <c r="Y86" s="147"/>
      <c r="Z86" s="147"/>
      <c r="AA86" s="147"/>
    </row>
    <row r="87" spans="1:29">
      <c r="A87" s="163" t="s">
        <v>826</v>
      </c>
      <c r="B87" s="247">
        <f t="shared" si="11"/>
        <v>16</v>
      </c>
      <c r="C87" s="164"/>
      <c r="D87" s="164"/>
      <c r="E87" s="164"/>
      <c r="F87" s="164"/>
      <c r="G87" s="218"/>
      <c r="H87" s="17"/>
      <c r="I87" s="218"/>
      <c r="J87" s="17"/>
      <c r="K87" s="164"/>
      <c r="L87" s="164"/>
      <c r="M87" s="164"/>
      <c r="N87" s="164"/>
      <c r="O87" s="164"/>
      <c r="P87" s="164"/>
      <c r="Q87" s="164"/>
      <c r="R87" s="164"/>
      <c r="S87" s="164"/>
      <c r="T87" s="164"/>
      <c r="U87" s="164"/>
      <c r="V87" s="164"/>
      <c r="W87" s="232" t="s">
        <v>826</v>
      </c>
      <c r="X87" s="152"/>
      <c r="Y87" s="147"/>
      <c r="Z87" s="147"/>
      <c r="AA87" s="147"/>
    </row>
    <row r="88" spans="1:29" ht="15.75" thickBot="1">
      <c r="A88" s="163" t="s">
        <v>827</v>
      </c>
      <c r="B88" s="247">
        <f t="shared" si="11"/>
        <v>17</v>
      </c>
      <c r="C88" s="164"/>
      <c r="D88" s="164"/>
      <c r="E88" s="164"/>
      <c r="F88" s="164"/>
      <c r="G88" s="218"/>
      <c r="H88" s="17"/>
      <c r="I88" s="218"/>
      <c r="J88" s="17"/>
      <c r="K88" s="164"/>
      <c r="L88" s="164"/>
      <c r="M88" s="164"/>
      <c r="N88" s="164"/>
      <c r="O88" s="164"/>
      <c r="P88" s="164"/>
      <c r="Q88" s="164"/>
      <c r="R88" s="164"/>
      <c r="S88" s="164"/>
      <c r="T88" s="164"/>
      <c r="U88" s="164"/>
      <c r="V88" s="164"/>
      <c r="W88" s="232" t="s">
        <v>827</v>
      </c>
      <c r="X88" s="152"/>
      <c r="Y88" s="147"/>
      <c r="Z88" s="147"/>
      <c r="AA88" s="147"/>
    </row>
    <row r="89" spans="1:29" ht="16.5" thickBot="1">
      <c r="A89" s="175" t="s">
        <v>791</v>
      </c>
      <c r="B89" s="176">
        <f>SUM(C89:V89)+X89</f>
        <v>0</v>
      </c>
      <c r="C89" s="164">
        <f t="shared" ref="C89:T89" si="12">SUM(C75:C88)</f>
        <v>0</v>
      </c>
      <c r="D89" s="177">
        <f>SUM(D75:D88)</f>
        <v>0</v>
      </c>
      <c r="E89" s="177">
        <f t="shared" si="12"/>
        <v>0</v>
      </c>
      <c r="F89" s="177">
        <f t="shared" si="12"/>
        <v>0</v>
      </c>
      <c r="G89" s="177">
        <f t="shared" si="12"/>
        <v>0</v>
      </c>
      <c r="H89" s="177">
        <f t="shared" si="12"/>
        <v>0</v>
      </c>
      <c r="I89" s="177">
        <f>SUM(I75:I88)</f>
        <v>0</v>
      </c>
      <c r="J89" s="177">
        <f t="shared" si="12"/>
        <v>0</v>
      </c>
      <c r="K89" s="177">
        <f t="shared" si="12"/>
        <v>0</v>
      </c>
      <c r="L89" s="177">
        <f t="shared" si="12"/>
        <v>0</v>
      </c>
      <c r="M89" s="177">
        <f t="shared" si="12"/>
        <v>0</v>
      </c>
      <c r="N89" s="177">
        <f t="shared" si="12"/>
        <v>0</v>
      </c>
      <c r="O89" s="164">
        <f t="shared" si="12"/>
        <v>0</v>
      </c>
      <c r="P89" s="164">
        <f>SUM(P75:P88)</f>
        <v>0</v>
      </c>
      <c r="Q89" s="164">
        <f t="shared" si="12"/>
        <v>0</v>
      </c>
      <c r="R89" s="164">
        <f t="shared" si="12"/>
        <v>0</v>
      </c>
      <c r="S89" s="164">
        <f t="shared" si="12"/>
        <v>0</v>
      </c>
      <c r="T89" s="164">
        <f t="shared" si="12"/>
        <v>0</v>
      </c>
      <c r="U89" s="164">
        <f>SUM(U75:U88)</f>
        <v>0</v>
      </c>
      <c r="V89" s="164">
        <f>SUM(V75:V88)</f>
        <v>0</v>
      </c>
      <c r="W89" s="175" t="s">
        <v>791</v>
      </c>
      <c r="X89" s="176">
        <f>SUM(Y89:AA89)</f>
        <v>0</v>
      </c>
      <c r="Y89" s="147">
        <f>SUM(Y75:Y88)</f>
        <v>0</v>
      </c>
      <c r="Z89" s="147">
        <f>SUM(Z75:Z88)</f>
        <v>0</v>
      </c>
      <c r="AA89" s="147">
        <f>SUM(AA75:AA88)</f>
        <v>0</v>
      </c>
    </row>
    <row r="90" spans="1:29" ht="15.75" thickBot="1"/>
    <row r="91" spans="1:29" ht="15.75" customHeight="1" thickBot="1">
      <c r="A91" s="1046" t="s">
        <v>565</v>
      </c>
      <c r="B91" s="1047"/>
      <c r="C91" s="1047"/>
      <c r="D91" s="1047"/>
      <c r="E91" s="1047"/>
      <c r="F91" s="1047"/>
      <c r="G91" s="1047"/>
      <c r="H91" s="1047"/>
      <c r="I91" s="1047"/>
      <c r="J91" s="1049"/>
      <c r="K91" s="1049"/>
      <c r="L91" s="1049"/>
      <c r="M91" s="1049"/>
      <c r="N91" s="1049"/>
      <c r="O91" s="1049"/>
      <c r="P91" s="1049"/>
      <c r="Q91" s="1049"/>
      <c r="R91" s="1049"/>
      <c r="S91" s="1050"/>
      <c r="T91" s="1024" t="s">
        <v>820</v>
      </c>
      <c r="U91" s="1025"/>
      <c r="V91" s="1025"/>
      <c r="W91" s="1025"/>
      <c r="X91" s="1026"/>
    </row>
    <row r="92" spans="1:29" ht="74.25" customHeight="1">
      <c r="A92" s="155"/>
      <c r="B92" s="247" t="str">
        <f>B74</f>
        <v>October</v>
      </c>
      <c r="C92" s="930" t="s">
        <v>486</v>
      </c>
      <c r="D92" s="930" t="s">
        <v>566</v>
      </c>
      <c r="E92" s="930" t="s">
        <v>760</v>
      </c>
      <c r="F92" s="930" t="s">
        <v>568</v>
      </c>
      <c r="G92" s="930" t="s">
        <v>569</v>
      </c>
      <c r="H92" s="930" t="s">
        <v>466</v>
      </c>
      <c r="I92" s="930" t="s">
        <v>417</v>
      </c>
      <c r="J92" s="930" t="s">
        <v>761</v>
      </c>
      <c r="K92" s="930" t="s">
        <v>231</v>
      </c>
      <c r="L92" s="930" t="s">
        <v>571</v>
      </c>
      <c r="M92" s="930" t="s">
        <v>762</v>
      </c>
      <c r="N92" s="930" t="s">
        <v>573</v>
      </c>
      <c r="O92" s="930" t="s">
        <v>396</v>
      </c>
      <c r="P92" s="930" t="s">
        <v>574</v>
      </c>
      <c r="Q92" s="930" t="s">
        <v>575</v>
      </c>
      <c r="R92" s="930" t="s">
        <v>576</v>
      </c>
      <c r="S92" s="930" t="s">
        <v>577</v>
      </c>
      <c r="T92" s="930" t="s">
        <v>578</v>
      </c>
      <c r="U92" s="930" t="s">
        <v>763</v>
      </c>
      <c r="V92" s="930"/>
      <c r="W92" s="930"/>
      <c r="X92" s="930"/>
      <c r="Y92" s="228"/>
      <c r="Z92" s="247"/>
      <c r="AA92" s="930"/>
      <c r="AB92" s="369"/>
      <c r="AC92" s="369"/>
    </row>
    <row r="93" spans="1:29">
      <c r="A93" s="163" t="s">
        <v>821</v>
      </c>
      <c r="B93" s="247">
        <f t="shared" ref="B93:B106" si="13">B75</f>
        <v>4</v>
      </c>
      <c r="C93" s="247"/>
      <c r="D93" s="247"/>
      <c r="E93" s="247"/>
      <c r="F93" s="247"/>
      <c r="G93" s="247"/>
      <c r="H93" s="247"/>
      <c r="I93" s="247"/>
      <c r="J93" s="247"/>
      <c r="K93" s="247"/>
      <c r="L93" s="247"/>
      <c r="M93" s="247"/>
      <c r="N93" s="247"/>
      <c r="O93" s="247"/>
      <c r="P93" s="247"/>
      <c r="Q93" s="247"/>
      <c r="R93" s="247"/>
      <c r="S93" s="247"/>
      <c r="T93" s="247"/>
      <c r="U93" s="247"/>
      <c r="V93" s="247"/>
      <c r="W93" s="247"/>
      <c r="X93" s="247"/>
      <c r="Y93" s="232" t="s">
        <v>821</v>
      </c>
      <c r="Z93" s="152"/>
      <c r="AA93" s="147"/>
      <c r="AB93" s="147"/>
      <c r="AC93" s="147"/>
    </row>
    <row r="94" spans="1:29">
      <c r="A94" s="163" t="s">
        <v>822</v>
      </c>
      <c r="B94" s="247">
        <f t="shared" si="13"/>
        <v>5</v>
      </c>
      <c r="C94" s="247"/>
      <c r="D94" s="247"/>
      <c r="E94" s="247"/>
      <c r="F94" s="247"/>
      <c r="G94" s="247"/>
      <c r="H94" s="247"/>
      <c r="I94" s="247"/>
      <c r="J94" s="247"/>
      <c r="K94" s="247"/>
      <c r="L94" s="247"/>
      <c r="M94" s="247"/>
      <c r="N94" s="247"/>
      <c r="O94" s="247"/>
      <c r="P94" s="247"/>
      <c r="Q94" s="247"/>
      <c r="R94" s="247"/>
      <c r="S94" s="247"/>
      <c r="T94" s="247"/>
      <c r="U94" s="247"/>
      <c r="V94" s="247"/>
      <c r="W94" s="247"/>
      <c r="X94" s="247"/>
      <c r="Y94" s="232" t="s">
        <v>822</v>
      </c>
      <c r="Z94" s="152"/>
      <c r="AA94" s="147"/>
      <c r="AB94" s="147"/>
      <c r="AC94" s="147"/>
    </row>
    <row r="95" spans="1:29">
      <c r="A95" s="163" t="s">
        <v>823</v>
      </c>
      <c r="B95" s="247">
        <f t="shared" si="13"/>
        <v>6</v>
      </c>
      <c r="C95" s="247"/>
      <c r="D95" s="247"/>
      <c r="E95" s="247"/>
      <c r="F95" s="247"/>
      <c r="G95" s="247"/>
      <c r="H95" s="247"/>
      <c r="I95" s="247"/>
      <c r="J95" s="247"/>
      <c r="K95" s="247"/>
      <c r="L95" s="247"/>
      <c r="M95" s="247"/>
      <c r="N95" s="247"/>
      <c r="O95" s="247"/>
      <c r="P95" s="247"/>
      <c r="Q95" s="247"/>
      <c r="R95" s="247"/>
      <c r="S95" s="247"/>
      <c r="T95" s="247"/>
      <c r="U95" s="247"/>
      <c r="V95" s="247"/>
      <c r="W95" s="247"/>
      <c r="X95" s="247"/>
      <c r="Y95" s="232" t="s">
        <v>823</v>
      </c>
      <c r="Z95" s="152"/>
      <c r="AA95" s="147"/>
      <c r="AB95" s="147"/>
      <c r="AC95" s="147"/>
    </row>
    <row r="96" spans="1:29">
      <c r="A96" s="163" t="s">
        <v>824</v>
      </c>
      <c r="B96" s="247">
        <f t="shared" si="13"/>
        <v>7</v>
      </c>
      <c r="C96" s="247"/>
      <c r="D96" s="247"/>
      <c r="E96" s="247"/>
      <c r="F96" s="247"/>
      <c r="G96" s="247"/>
      <c r="H96" s="247"/>
      <c r="I96" s="247"/>
      <c r="J96" s="247"/>
      <c r="K96" s="247"/>
      <c r="L96" s="247"/>
      <c r="M96" s="247"/>
      <c r="N96" s="247"/>
      <c r="O96" s="247"/>
      <c r="P96" s="247"/>
      <c r="Q96" s="247"/>
      <c r="R96" s="247"/>
      <c r="S96" s="247"/>
      <c r="T96" s="247"/>
      <c r="U96" s="247"/>
      <c r="V96" s="247"/>
      <c r="W96" s="247"/>
      <c r="X96" s="247"/>
      <c r="Y96" s="232" t="s">
        <v>824</v>
      </c>
      <c r="Z96" s="152"/>
      <c r="AA96" s="147"/>
      <c r="AB96" s="147"/>
      <c r="AC96" s="147"/>
    </row>
    <row r="97" spans="1:29">
      <c r="A97" s="163" t="s">
        <v>825</v>
      </c>
      <c r="B97" s="247">
        <f t="shared" si="13"/>
        <v>8</v>
      </c>
      <c r="C97" s="247"/>
      <c r="D97" s="247"/>
      <c r="E97" s="247"/>
      <c r="F97" s="247"/>
      <c r="G97" s="247"/>
      <c r="H97" s="247"/>
      <c r="I97" s="247"/>
      <c r="J97" s="247"/>
      <c r="K97" s="247"/>
      <c r="L97" s="247"/>
      <c r="M97" s="247"/>
      <c r="N97" s="247"/>
      <c r="O97" s="247"/>
      <c r="P97" s="247"/>
      <c r="Q97" s="247"/>
      <c r="R97" s="247"/>
      <c r="S97" s="247"/>
      <c r="T97" s="247"/>
      <c r="U97" s="247"/>
      <c r="V97" s="247"/>
      <c r="W97" s="247"/>
      <c r="X97" s="247"/>
      <c r="Y97" s="232" t="s">
        <v>825</v>
      </c>
      <c r="Z97" s="152"/>
      <c r="AA97" s="147"/>
      <c r="AB97" s="147"/>
      <c r="AC97" s="147"/>
    </row>
    <row r="98" spans="1:29">
      <c r="A98" s="163" t="s">
        <v>826</v>
      </c>
      <c r="B98" s="247">
        <f t="shared" si="13"/>
        <v>9</v>
      </c>
      <c r="C98" s="247"/>
      <c r="D98" s="247"/>
      <c r="E98" s="247"/>
      <c r="F98" s="247"/>
      <c r="G98" s="247"/>
      <c r="H98" s="247"/>
      <c r="I98" s="247"/>
      <c r="J98" s="247"/>
      <c r="K98" s="247"/>
      <c r="L98" s="247"/>
      <c r="M98" s="247"/>
      <c r="N98" s="247"/>
      <c r="O98" s="247"/>
      <c r="P98" s="247"/>
      <c r="Q98" s="247"/>
      <c r="R98" s="247"/>
      <c r="S98" s="247"/>
      <c r="T98" s="247"/>
      <c r="U98" s="247"/>
      <c r="V98" s="247"/>
      <c r="W98" s="247"/>
      <c r="X98" s="247"/>
      <c r="Y98" s="232" t="s">
        <v>826</v>
      </c>
      <c r="Z98" s="152"/>
      <c r="AA98" s="147"/>
      <c r="AB98" s="147"/>
      <c r="AC98" s="147"/>
    </row>
    <row r="99" spans="1:29">
      <c r="A99" s="163" t="s">
        <v>827</v>
      </c>
      <c r="B99" s="247">
        <f t="shared" si="13"/>
        <v>10</v>
      </c>
      <c r="C99" s="247"/>
      <c r="D99" s="247"/>
      <c r="E99" s="247"/>
      <c r="F99" s="247"/>
      <c r="G99" s="247"/>
      <c r="H99" s="247"/>
      <c r="I99" s="247"/>
      <c r="J99" s="247"/>
      <c r="K99" s="247"/>
      <c r="L99" s="247"/>
      <c r="M99" s="247"/>
      <c r="N99" s="247"/>
      <c r="O99" s="247"/>
      <c r="P99" s="247"/>
      <c r="Q99" s="247"/>
      <c r="R99" s="247"/>
      <c r="S99" s="247"/>
      <c r="T99" s="247"/>
      <c r="U99" s="247"/>
      <c r="V99" s="247"/>
      <c r="W99" s="247"/>
      <c r="X99" s="247"/>
      <c r="Y99" s="232" t="s">
        <v>827</v>
      </c>
      <c r="Z99" s="152"/>
      <c r="AA99" s="147"/>
      <c r="AB99" s="147"/>
      <c r="AC99" s="147"/>
    </row>
    <row r="100" spans="1:29">
      <c r="A100" s="163" t="s">
        <v>821</v>
      </c>
      <c r="B100" s="247">
        <f t="shared" si="13"/>
        <v>11</v>
      </c>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32" t="s">
        <v>821</v>
      </c>
      <c r="Z100" s="152"/>
      <c r="AA100" s="147"/>
      <c r="AB100" s="147"/>
      <c r="AC100" s="147"/>
    </row>
    <row r="101" spans="1:29">
      <c r="A101" s="163" t="s">
        <v>822</v>
      </c>
      <c r="B101" s="247">
        <f t="shared" si="13"/>
        <v>12</v>
      </c>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32" t="s">
        <v>822</v>
      </c>
      <c r="Z101" s="152"/>
      <c r="AA101" s="147"/>
      <c r="AB101" s="147"/>
      <c r="AC101" s="147"/>
    </row>
    <row r="102" spans="1:29">
      <c r="A102" s="163" t="s">
        <v>823</v>
      </c>
      <c r="B102" s="247">
        <f t="shared" si="13"/>
        <v>13</v>
      </c>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32" t="s">
        <v>823</v>
      </c>
      <c r="Z102" s="152"/>
      <c r="AA102" s="147"/>
      <c r="AB102" s="147"/>
      <c r="AC102" s="147"/>
    </row>
    <row r="103" spans="1:29">
      <c r="A103" s="163" t="s">
        <v>824</v>
      </c>
      <c r="B103" s="247">
        <f t="shared" si="13"/>
        <v>14</v>
      </c>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32" t="s">
        <v>824</v>
      </c>
      <c r="Z103" s="152"/>
      <c r="AA103" s="147"/>
      <c r="AB103" s="147"/>
      <c r="AC103" s="147"/>
    </row>
    <row r="104" spans="1:29">
      <c r="A104" s="163" t="s">
        <v>825</v>
      </c>
      <c r="B104" s="247">
        <f t="shared" si="13"/>
        <v>15</v>
      </c>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32" t="s">
        <v>825</v>
      </c>
      <c r="Z104" s="152"/>
      <c r="AA104" s="147"/>
      <c r="AB104" s="147"/>
      <c r="AC104" s="147"/>
    </row>
    <row r="105" spans="1:29">
      <c r="A105" s="163" t="s">
        <v>826</v>
      </c>
      <c r="B105" s="247">
        <f t="shared" si="13"/>
        <v>16</v>
      </c>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32" t="s">
        <v>826</v>
      </c>
      <c r="Z105" s="152"/>
      <c r="AA105" s="147"/>
      <c r="AB105" s="147"/>
      <c r="AC105" s="147"/>
    </row>
    <row r="106" spans="1:29" ht="15.75" thickBot="1">
      <c r="A106" s="163" t="s">
        <v>827</v>
      </c>
      <c r="B106" s="247">
        <f t="shared" si="13"/>
        <v>17</v>
      </c>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32" t="s">
        <v>827</v>
      </c>
      <c r="Z106" s="152"/>
      <c r="AA106" s="147"/>
      <c r="AB106" s="147"/>
      <c r="AC106" s="147"/>
    </row>
    <row r="107" spans="1:29" ht="16.5" thickBot="1">
      <c r="A107" s="175" t="s">
        <v>791</v>
      </c>
      <c r="B107" s="176">
        <f>SUM(C107:X107)+Z107</f>
        <v>0</v>
      </c>
      <c r="C107" s="177">
        <f t="shared" ref="C107:D107" si="14">SUM(C93:C106)</f>
        <v>0</v>
      </c>
      <c r="D107" s="177">
        <f t="shared" si="14"/>
        <v>0</v>
      </c>
      <c r="E107" s="177">
        <f>SUM(E93:E106)</f>
        <v>0</v>
      </c>
      <c r="F107" s="177">
        <f t="shared" ref="F107:I107" si="15">SUM(F93:F106)</f>
        <v>0</v>
      </c>
      <c r="G107" s="177">
        <f t="shared" si="15"/>
        <v>0</v>
      </c>
      <c r="H107" s="177">
        <f t="shared" si="15"/>
        <v>0</v>
      </c>
      <c r="I107" s="177">
        <f t="shared" si="15"/>
        <v>0</v>
      </c>
      <c r="J107" s="177">
        <f>SUM(J93:J106)</f>
        <v>0</v>
      </c>
      <c r="K107" s="177">
        <f t="shared" ref="K107:Q107" si="16">SUM(K93:K106)</f>
        <v>0</v>
      </c>
      <c r="L107" s="177">
        <f t="shared" ref="L107" si="17">SUM(L93:L106)</f>
        <v>0</v>
      </c>
      <c r="M107" s="177">
        <f t="shared" si="16"/>
        <v>0</v>
      </c>
      <c r="N107" s="177">
        <f t="shared" si="16"/>
        <v>0</v>
      </c>
      <c r="O107" s="177">
        <f t="shared" si="16"/>
        <v>0</v>
      </c>
      <c r="P107" s="177">
        <f t="shared" si="16"/>
        <v>0</v>
      </c>
      <c r="Q107" s="177">
        <f t="shared" si="16"/>
        <v>0</v>
      </c>
      <c r="R107" s="177">
        <f>SUM(R93:R106)</f>
        <v>0</v>
      </c>
      <c r="S107" s="177">
        <f t="shared" ref="S107:V107" si="18">SUM(S93:S106)</f>
        <v>0</v>
      </c>
      <c r="T107" s="177">
        <f t="shared" si="18"/>
        <v>0</v>
      </c>
      <c r="U107" s="177">
        <f t="shared" si="18"/>
        <v>0</v>
      </c>
      <c r="V107" s="177">
        <f t="shared" si="18"/>
        <v>0</v>
      </c>
      <c r="W107" s="177">
        <f>SUM(W93:W106)</f>
        <v>0</v>
      </c>
      <c r="X107" s="177">
        <f>SUM(X93:X106)</f>
        <v>0</v>
      </c>
      <c r="Y107" s="175" t="s">
        <v>791</v>
      </c>
      <c r="Z107" s="176">
        <f>SUM(AA107:AC107)</f>
        <v>0</v>
      </c>
      <c r="AA107" s="147">
        <f>SUM(AA93:AA106)</f>
        <v>0</v>
      </c>
      <c r="AB107" s="147">
        <f>SUM(AB93:AB106)</f>
        <v>0</v>
      </c>
      <c r="AC107" s="147">
        <f>SUM(AC93:AC106)</f>
        <v>0</v>
      </c>
    </row>
    <row r="108" spans="1:29" ht="15.75" thickBot="1"/>
    <row r="109" spans="1:29" ht="15.75" customHeight="1" thickBot="1">
      <c r="A109" s="1046" t="s">
        <v>804</v>
      </c>
      <c r="B109" s="1047"/>
      <c r="C109" s="1047"/>
      <c r="D109" s="1047"/>
      <c r="E109" s="1047"/>
      <c r="F109" s="1047"/>
      <c r="G109" s="1047"/>
      <c r="H109" s="1047"/>
      <c r="I109" s="1047"/>
      <c r="J109" s="1049"/>
      <c r="K109" s="1049"/>
      <c r="L109" s="1049"/>
      <c r="M109" s="1049"/>
      <c r="N109" s="1049"/>
      <c r="O109" s="1049"/>
      <c r="P109" s="1049"/>
      <c r="Q109" s="1049"/>
      <c r="R109" s="1049"/>
      <c r="S109" s="1050"/>
      <c r="T109" s="1024" t="s">
        <v>820</v>
      </c>
      <c r="U109" s="1025"/>
      <c r="V109" s="1025"/>
      <c r="W109" s="1025"/>
      <c r="X109" s="1026"/>
    </row>
    <row r="110" spans="1:29" ht="74.25" customHeight="1">
      <c r="A110" s="155"/>
      <c r="B110" s="247" t="s">
        <v>1896</v>
      </c>
      <c r="C110" s="932" t="s">
        <v>958</v>
      </c>
      <c r="D110" s="933" t="s">
        <v>959</v>
      </c>
      <c r="E110" s="932" t="s">
        <v>960</v>
      </c>
      <c r="F110" s="932" t="s">
        <v>70</v>
      </c>
      <c r="G110" s="932" t="s">
        <v>71</v>
      </c>
      <c r="H110" s="932"/>
      <c r="I110" s="932"/>
      <c r="J110" s="932"/>
      <c r="K110" s="932"/>
      <c r="L110" s="932"/>
      <c r="M110" s="932"/>
      <c r="N110" s="932"/>
      <c r="O110" s="932"/>
      <c r="P110" s="932"/>
      <c r="Q110" s="932"/>
      <c r="R110" s="932"/>
      <c r="S110" s="932"/>
      <c r="T110" s="228"/>
      <c r="U110" s="247"/>
      <c r="V110" s="369"/>
      <c r="W110" s="369"/>
      <c r="X110" s="369"/>
    </row>
    <row r="111" spans="1:29">
      <c r="A111" s="163" t="s">
        <v>821</v>
      </c>
      <c r="B111" s="152">
        <v>15</v>
      </c>
      <c r="C111" s="164"/>
      <c r="D111" s="169"/>
      <c r="E111" s="376"/>
      <c r="F111" s="377"/>
      <c r="G111" s="378"/>
      <c r="H111" s="378"/>
      <c r="I111" s="164"/>
      <c r="J111" s="164"/>
      <c r="K111" s="164"/>
      <c r="L111" s="164"/>
      <c r="M111" s="164"/>
      <c r="N111" s="164"/>
      <c r="O111" s="164"/>
      <c r="P111" s="164"/>
      <c r="Q111" s="164"/>
      <c r="R111" s="164"/>
      <c r="S111" s="164"/>
      <c r="T111" s="232" t="s">
        <v>821</v>
      </c>
      <c r="U111" s="152"/>
      <c r="V111" s="147"/>
      <c r="W111" s="147"/>
      <c r="X111" s="147"/>
    </row>
    <row r="112" spans="1:29">
      <c r="A112" s="163" t="s">
        <v>822</v>
      </c>
      <c r="B112" s="152">
        <v>16</v>
      </c>
      <c r="C112" s="164"/>
      <c r="D112" s="164"/>
      <c r="E112" s="164"/>
      <c r="F112" s="164"/>
      <c r="G112" s="164"/>
      <c r="H112" s="17"/>
      <c r="I112" s="164"/>
      <c r="J112" s="164"/>
      <c r="K112" s="164"/>
      <c r="L112" s="164"/>
      <c r="M112" s="164"/>
      <c r="N112" s="164"/>
      <c r="O112" s="164"/>
      <c r="P112" s="164"/>
      <c r="Q112" s="164"/>
      <c r="R112" s="164"/>
      <c r="S112" s="164"/>
      <c r="T112" s="232" t="s">
        <v>822</v>
      </c>
      <c r="U112" s="152"/>
      <c r="V112" s="147"/>
      <c r="W112" s="147"/>
      <c r="X112" s="147"/>
    </row>
    <row r="113" spans="1:86">
      <c r="A113" s="163" t="s">
        <v>823</v>
      </c>
      <c r="B113" s="152">
        <v>17</v>
      </c>
      <c r="C113" s="164"/>
      <c r="D113" s="186"/>
      <c r="E113" s="186"/>
      <c r="F113" s="206"/>
      <c r="G113" s="379"/>
      <c r="H113" s="379"/>
      <c r="I113" s="164"/>
      <c r="J113" s="164"/>
      <c r="K113" s="164"/>
      <c r="L113" s="164"/>
      <c r="M113" s="164"/>
      <c r="N113" s="164"/>
      <c r="O113" s="164"/>
      <c r="P113" s="164"/>
      <c r="Q113" s="164"/>
      <c r="R113" s="164"/>
      <c r="S113" s="164"/>
      <c r="T113" s="232" t="s">
        <v>823</v>
      </c>
      <c r="U113" s="152"/>
      <c r="V113" s="147"/>
      <c r="W113" s="147"/>
      <c r="X113" s="147"/>
    </row>
    <row r="114" spans="1:86">
      <c r="A114" s="163" t="s">
        <v>824</v>
      </c>
      <c r="B114" s="152">
        <v>18</v>
      </c>
      <c r="C114" s="164"/>
      <c r="D114" s="164"/>
      <c r="E114" s="164"/>
      <c r="F114" s="218"/>
      <c r="G114" s="17"/>
      <c r="H114" s="17"/>
      <c r="I114" s="164"/>
      <c r="J114" s="164"/>
      <c r="K114" s="164"/>
      <c r="L114" s="164"/>
      <c r="M114" s="164"/>
      <c r="N114" s="164"/>
      <c r="O114" s="164"/>
      <c r="P114" s="164"/>
      <c r="Q114" s="164"/>
      <c r="R114" s="164"/>
      <c r="S114" s="164"/>
      <c r="T114" s="232" t="s">
        <v>824</v>
      </c>
      <c r="U114" s="152"/>
      <c r="V114" s="147"/>
      <c r="W114" s="147"/>
      <c r="X114" s="147"/>
    </row>
    <row r="115" spans="1:86">
      <c r="A115" s="163" t="s">
        <v>825</v>
      </c>
      <c r="B115" s="152">
        <v>19</v>
      </c>
      <c r="C115" s="164"/>
      <c r="D115" s="164"/>
      <c r="E115" s="164"/>
      <c r="F115" s="218"/>
      <c r="G115" s="17"/>
      <c r="H115" s="17"/>
      <c r="I115" s="164"/>
      <c r="J115" s="164"/>
      <c r="K115" s="164"/>
      <c r="L115" s="164"/>
      <c r="M115" s="164"/>
      <c r="N115" s="164"/>
      <c r="O115" s="164"/>
      <c r="P115" s="164"/>
      <c r="Q115" s="164"/>
      <c r="R115" s="164"/>
      <c r="S115" s="164"/>
      <c r="T115" s="232" t="s">
        <v>825</v>
      </c>
      <c r="U115" s="152"/>
      <c r="V115" s="147"/>
      <c r="W115" s="147"/>
      <c r="X115" s="147"/>
    </row>
    <row r="116" spans="1:86">
      <c r="A116" s="163" t="s">
        <v>826</v>
      </c>
      <c r="B116" s="152">
        <v>20</v>
      </c>
      <c r="C116" s="164"/>
      <c r="D116" s="164"/>
      <c r="E116" s="164"/>
      <c r="F116" s="218"/>
      <c r="G116" s="17"/>
      <c r="H116" s="17"/>
      <c r="I116" s="164"/>
      <c r="J116" s="164"/>
      <c r="K116" s="164"/>
      <c r="L116" s="164"/>
      <c r="M116" s="164"/>
      <c r="N116" s="164"/>
      <c r="O116" s="164"/>
      <c r="P116" s="164"/>
      <c r="Q116" s="164"/>
      <c r="R116" s="164"/>
      <c r="S116" s="164"/>
      <c r="T116" s="232" t="s">
        <v>826</v>
      </c>
      <c r="U116" s="152"/>
      <c r="V116" s="147"/>
      <c r="W116" s="147"/>
      <c r="X116" s="147"/>
    </row>
    <row r="117" spans="1:86">
      <c r="A117" s="163" t="s">
        <v>827</v>
      </c>
      <c r="B117" s="152">
        <v>21</v>
      </c>
      <c r="C117" s="164"/>
      <c r="D117" s="164"/>
      <c r="E117" s="164"/>
      <c r="F117" s="218"/>
      <c r="G117" s="17"/>
      <c r="H117" s="17"/>
      <c r="I117" s="164"/>
      <c r="J117" s="164"/>
      <c r="K117" s="164"/>
      <c r="L117" s="164"/>
      <c r="M117" s="164"/>
      <c r="N117" s="164"/>
      <c r="O117" s="164"/>
      <c r="P117" s="164"/>
      <c r="Q117" s="164"/>
      <c r="R117" s="164"/>
      <c r="S117" s="164"/>
      <c r="T117" s="232" t="s">
        <v>827</v>
      </c>
      <c r="U117" s="152"/>
      <c r="V117" s="147"/>
      <c r="W117" s="147"/>
      <c r="X117" s="147"/>
    </row>
    <row r="118" spans="1:86">
      <c r="A118" s="163" t="s">
        <v>821</v>
      </c>
      <c r="B118" s="152">
        <v>22</v>
      </c>
      <c r="C118" s="164"/>
      <c r="D118" s="164"/>
      <c r="E118" s="164"/>
      <c r="F118" s="218"/>
      <c r="G118" s="17"/>
      <c r="H118" s="17"/>
      <c r="I118" s="164"/>
      <c r="J118" s="164"/>
      <c r="K118" s="164"/>
      <c r="L118" s="164"/>
      <c r="M118" s="164"/>
      <c r="N118" s="164"/>
      <c r="O118" s="164"/>
      <c r="P118" s="164"/>
      <c r="Q118" s="164"/>
      <c r="R118" s="164"/>
      <c r="S118" s="164"/>
      <c r="T118" s="232" t="s">
        <v>821</v>
      </c>
      <c r="U118" s="152"/>
      <c r="V118" s="147"/>
      <c r="W118" s="147"/>
      <c r="X118" s="147"/>
    </row>
    <row r="119" spans="1:86">
      <c r="A119" s="163" t="s">
        <v>822</v>
      </c>
      <c r="B119" s="152">
        <v>23</v>
      </c>
      <c r="C119" s="164"/>
      <c r="D119" s="164"/>
      <c r="E119" s="164"/>
      <c r="F119" s="218"/>
      <c r="G119" s="17"/>
      <c r="H119" s="17"/>
      <c r="I119" s="164"/>
      <c r="J119" s="164"/>
      <c r="K119" s="164"/>
      <c r="L119" s="164"/>
      <c r="M119" s="164"/>
      <c r="N119" s="164"/>
      <c r="O119" s="164"/>
      <c r="P119" s="164"/>
      <c r="Q119" s="164"/>
      <c r="R119" s="164"/>
      <c r="S119" s="164"/>
      <c r="T119" s="232" t="s">
        <v>822</v>
      </c>
      <c r="U119" s="152"/>
      <c r="V119" s="147"/>
      <c r="W119" s="147"/>
      <c r="X119" s="147"/>
    </row>
    <row r="120" spans="1:86">
      <c r="A120" s="163" t="s">
        <v>823</v>
      </c>
      <c r="B120" s="152">
        <v>24</v>
      </c>
      <c r="C120" s="164"/>
      <c r="D120" s="164"/>
      <c r="E120" s="164"/>
      <c r="F120" s="218"/>
      <c r="G120" s="17"/>
      <c r="H120" s="17"/>
      <c r="I120" s="164"/>
      <c r="J120" s="164"/>
      <c r="K120" s="164"/>
      <c r="L120" s="164"/>
      <c r="M120" s="164"/>
      <c r="N120" s="164"/>
      <c r="O120" s="164"/>
      <c r="P120" s="164"/>
      <c r="Q120" s="164"/>
      <c r="R120" s="164"/>
      <c r="S120" s="164"/>
      <c r="T120" s="232" t="s">
        <v>823</v>
      </c>
      <c r="U120" s="152"/>
      <c r="V120" s="147"/>
      <c r="W120" s="147"/>
      <c r="X120" s="147"/>
    </row>
    <row r="121" spans="1:86">
      <c r="A121" s="163" t="s">
        <v>824</v>
      </c>
      <c r="B121" s="152">
        <v>25</v>
      </c>
      <c r="C121" s="164"/>
      <c r="D121" s="164"/>
      <c r="E121" s="164"/>
      <c r="F121" s="218"/>
      <c r="G121" s="17"/>
      <c r="H121" s="17"/>
      <c r="I121" s="164"/>
      <c r="J121" s="164"/>
      <c r="K121" s="164"/>
      <c r="L121" s="164"/>
      <c r="M121" s="164"/>
      <c r="N121" s="164"/>
      <c r="O121" s="164"/>
      <c r="P121" s="164"/>
      <c r="Q121" s="164"/>
      <c r="R121" s="164"/>
      <c r="S121" s="164"/>
      <c r="T121" s="232" t="s">
        <v>824</v>
      </c>
      <c r="U121" s="152"/>
      <c r="V121" s="147"/>
      <c r="W121" s="147"/>
      <c r="X121" s="147"/>
    </row>
    <row r="122" spans="1:86">
      <c r="A122" s="163" t="s">
        <v>825</v>
      </c>
      <c r="B122" s="152">
        <v>26</v>
      </c>
      <c r="C122" s="164"/>
      <c r="D122" s="164"/>
      <c r="E122" s="164"/>
      <c r="F122" s="218"/>
      <c r="G122" s="17"/>
      <c r="H122" s="17"/>
      <c r="I122" s="164"/>
      <c r="J122" s="164"/>
      <c r="K122" s="164"/>
      <c r="L122" s="164"/>
      <c r="M122" s="164"/>
      <c r="N122" s="164"/>
      <c r="O122" s="164"/>
      <c r="P122" s="164"/>
      <c r="Q122" s="164"/>
      <c r="R122" s="164"/>
      <c r="S122" s="164"/>
      <c r="T122" s="232" t="s">
        <v>825</v>
      </c>
      <c r="U122" s="152"/>
      <c r="V122" s="147"/>
      <c r="W122" s="147"/>
      <c r="X122" s="147"/>
    </row>
    <row r="123" spans="1:86">
      <c r="A123" s="163" t="s">
        <v>826</v>
      </c>
      <c r="B123" s="152">
        <v>27</v>
      </c>
      <c r="C123" s="164"/>
      <c r="D123" s="164"/>
      <c r="E123" s="164"/>
      <c r="F123" s="218"/>
      <c r="G123" s="17"/>
      <c r="H123" s="17"/>
      <c r="I123" s="164"/>
      <c r="J123" s="164"/>
      <c r="K123" s="164"/>
      <c r="L123" s="164"/>
      <c r="M123" s="164"/>
      <c r="N123" s="164"/>
      <c r="O123" s="164"/>
      <c r="P123" s="164"/>
      <c r="Q123" s="164"/>
      <c r="R123" s="164"/>
      <c r="S123" s="164"/>
      <c r="T123" s="232" t="s">
        <v>826</v>
      </c>
      <c r="U123" s="152"/>
      <c r="V123" s="147"/>
      <c r="W123" s="147"/>
      <c r="X123" s="147"/>
    </row>
    <row r="124" spans="1:86" ht="15.75" thickBot="1">
      <c r="A124" s="163" t="s">
        <v>827</v>
      </c>
      <c r="B124" s="152">
        <v>28</v>
      </c>
      <c r="C124" s="164"/>
      <c r="D124" s="164"/>
      <c r="E124" s="164"/>
      <c r="F124" s="218"/>
      <c r="G124" s="17"/>
      <c r="H124" s="17"/>
      <c r="I124" s="164"/>
      <c r="J124" s="164"/>
      <c r="K124" s="164"/>
      <c r="L124" s="164"/>
      <c r="M124" s="164"/>
      <c r="N124" s="164"/>
      <c r="O124" s="164"/>
      <c r="P124" s="164"/>
      <c r="Q124" s="164"/>
      <c r="R124" s="164"/>
      <c r="S124" s="164"/>
      <c r="T124" s="232" t="s">
        <v>827</v>
      </c>
      <c r="U124" s="152"/>
      <c r="V124" s="147"/>
      <c r="W124" s="147"/>
      <c r="X124" s="147"/>
    </row>
    <row r="125" spans="1:86" ht="16.5" thickBot="1">
      <c r="A125" s="175" t="s">
        <v>791</v>
      </c>
      <c r="B125" s="176">
        <f>SUM(C125:S125)+U125</f>
        <v>0</v>
      </c>
      <c r="C125" s="164">
        <f t="shared" ref="C125:Q125" si="19">SUM(C111:C124)</f>
        <v>0</v>
      </c>
      <c r="D125" s="177">
        <f t="shared" si="19"/>
        <v>0</v>
      </c>
      <c r="E125" s="177">
        <f t="shared" si="19"/>
        <v>0</v>
      </c>
      <c r="F125" s="177">
        <f t="shared" si="19"/>
        <v>0</v>
      </c>
      <c r="G125" s="177">
        <f t="shared" si="19"/>
        <v>0</v>
      </c>
      <c r="H125" s="177">
        <f t="shared" si="19"/>
        <v>0</v>
      </c>
      <c r="I125" s="177">
        <f t="shared" si="19"/>
        <v>0</v>
      </c>
      <c r="J125" s="177">
        <f t="shared" si="19"/>
        <v>0</v>
      </c>
      <c r="K125" s="177">
        <f t="shared" si="19"/>
        <v>0</v>
      </c>
      <c r="L125" s="177">
        <f t="shared" si="19"/>
        <v>0</v>
      </c>
      <c r="M125" s="164">
        <f t="shared" si="19"/>
        <v>0</v>
      </c>
      <c r="N125" s="164">
        <f t="shared" si="19"/>
        <v>0</v>
      </c>
      <c r="O125" s="164">
        <f t="shared" si="19"/>
        <v>0</v>
      </c>
      <c r="P125" s="164">
        <f t="shared" si="19"/>
        <v>0</v>
      </c>
      <c r="Q125" s="164">
        <f t="shared" si="19"/>
        <v>0</v>
      </c>
      <c r="R125" s="164">
        <f>SUM(R111:R124)</f>
        <v>0</v>
      </c>
      <c r="S125" s="164">
        <f>SUM(S111:S124)</f>
        <v>0</v>
      </c>
      <c r="T125" s="175" t="s">
        <v>791</v>
      </c>
      <c r="U125" s="176">
        <f>SUM(V125:X125)</f>
        <v>0</v>
      </c>
      <c r="V125" s="147">
        <f>SUM(V111:V124)</f>
        <v>0</v>
      </c>
      <c r="W125" s="147">
        <f>SUM(W111:W124)</f>
        <v>0</v>
      </c>
      <c r="X125" s="147">
        <f>SUM(X111:X124)</f>
        <v>0</v>
      </c>
    </row>
    <row r="126" spans="1:86" ht="16.5" thickBot="1">
      <c r="A126" s="220"/>
      <c r="B126" s="453"/>
      <c r="C126" s="65"/>
      <c r="D126" s="65"/>
      <c r="E126" s="65"/>
      <c r="F126" s="65"/>
      <c r="G126" s="65"/>
      <c r="H126" s="65"/>
      <c r="I126" s="65"/>
      <c r="J126" s="65"/>
      <c r="K126" s="65"/>
      <c r="L126" s="65"/>
      <c r="M126" s="65"/>
      <c r="N126" s="65"/>
      <c r="O126" s="65"/>
      <c r="P126" s="65"/>
      <c r="Q126" s="65"/>
      <c r="R126" s="65"/>
      <c r="S126" s="65"/>
      <c r="T126" s="368"/>
      <c r="U126" s="358"/>
      <c r="V126" s="406"/>
      <c r="W126" s="406"/>
      <c r="X126" s="406"/>
    </row>
    <row r="127" spans="1:86" ht="15.75" thickBot="1">
      <c r="A127" s="1046" t="s">
        <v>961</v>
      </c>
      <c r="B127" s="1047"/>
      <c r="C127" s="1047"/>
      <c r="D127" s="1047"/>
      <c r="E127" s="1047"/>
      <c r="F127" s="1047"/>
      <c r="G127" s="1047"/>
      <c r="H127" s="1047"/>
      <c r="I127" s="1047"/>
      <c r="J127" s="1047"/>
      <c r="K127" s="1047"/>
      <c r="L127" s="1047"/>
      <c r="M127" s="1047"/>
      <c r="N127" s="1047"/>
      <c r="O127" s="1047"/>
      <c r="P127" s="1047"/>
      <c r="Q127" s="1047"/>
      <c r="R127" s="1047"/>
      <c r="S127" s="1051"/>
      <c r="T127" s="1024" t="s">
        <v>820</v>
      </c>
      <c r="U127" s="1025"/>
      <c r="V127" s="1025"/>
      <c r="W127" s="1025"/>
      <c r="X127" s="1026"/>
    </row>
    <row r="128" spans="1:86" ht="34.5">
      <c r="A128" s="155"/>
      <c r="B128" s="247" t="str">
        <f>B110</f>
        <v xml:space="preserve">November </v>
      </c>
      <c r="C128" s="934" t="s">
        <v>93</v>
      </c>
      <c r="D128" s="934" t="s">
        <v>94</v>
      </c>
      <c r="E128" s="935"/>
      <c r="F128" s="934"/>
      <c r="G128" s="934"/>
      <c r="H128" s="934"/>
      <c r="I128" s="936"/>
      <c r="J128" s="934"/>
      <c r="K128" s="937"/>
      <c r="L128" s="161"/>
      <c r="M128" s="162"/>
      <c r="N128" s="162"/>
      <c r="O128" s="934"/>
      <c r="P128" s="934"/>
      <c r="Q128" s="162"/>
      <c r="R128" s="934"/>
      <c r="S128" s="934"/>
      <c r="T128" s="228"/>
      <c r="U128" s="247"/>
      <c r="V128" s="369"/>
      <c r="W128" s="369"/>
      <c r="X128" s="369"/>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row>
    <row r="129" spans="1:24">
      <c r="A129" s="163" t="s">
        <v>821</v>
      </c>
      <c r="B129" s="247">
        <f t="shared" ref="B129:B142" si="20">B111</f>
        <v>15</v>
      </c>
      <c r="C129" s="164"/>
      <c r="D129" s="164"/>
      <c r="E129" s="165"/>
      <c r="F129" s="164"/>
      <c r="G129" s="164"/>
      <c r="H129" s="164"/>
      <c r="I129" s="164"/>
      <c r="J129" s="164"/>
      <c r="K129" s="166"/>
      <c r="L129" s="166"/>
      <c r="M129" s="166"/>
      <c r="N129" s="166"/>
      <c r="O129" s="164"/>
      <c r="P129" s="164"/>
      <c r="Q129" s="166"/>
      <c r="R129" s="164"/>
      <c r="S129" s="164"/>
      <c r="T129" s="232" t="s">
        <v>821</v>
      </c>
      <c r="U129" s="152"/>
      <c r="V129" s="147"/>
      <c r="W129" s="147"/>
      <c r="X129" s="147"/>
    </row>
    <row r="130" spans="1:24">
      <c r="A130" s="163" t="s">
        <v>822</v>
      </c>
      <c r="B130" s="247">
        <f t="shared" si="20"/>
        <v>16</v>
      </c>
      <c r="C130" s="164"/>
      <c r="D130" s="164"/>
      <c r="E130" s="165"/>
      <c r="F130" s="164"/>
      <c r="G130" s="164"/>
      <c r="H130" s="164"/>
      <c r="I130" s="164"/>
      <c r="J130" s="164"/>
      <c r="K130" s="166"/>
      <c r="L130" s="166"/>
      <c r="M130" s="166"/>
      <c r="N130" s="166"/>
      <c r="O130" s="164"/>
      <c r="P130" s="164"/>
      <c r="Q130" s="166"/>
      <c r="R130" s="164"/>
      <c r="S130" s="164"/>
      <c r="T130" s="232" t="s">
        <v>822</v>
      </c>
      <c r="U130" s="152"/>
      <c r="V130" s="147"/>
      <c r="W130" s="147"/>
      <c r="X130" s="147"/>
    </row>
    <row r="131" spans="1:24">
      <c r="A131" s="163" t="s">
        <v>823</v>
      </c>
      <c r="B131" s="247">
        <f t="shared" si="20"/>
        <v>17</v>
      </c>
      <c r="C131" s="164"/>
      <c r="D131" s="164"/>
      <c r="E131" s="165"/>
      <c r="F131" s="164"/>
      <c r="G131" s="164"/>
      <c r="H131" s="164"/>
      <c r="I131" s="164"/>
      <c r="J131" s="164"/>
      <c r="K131" s="166"/>
      <c r="L131" s="166"/>
      <c r="M131" s="166"/>
      <c r="N131" s="166"/>
      <c r="O131" s="164"/>
      <c r="P131" s="164"/>
      <c r="Q131" s="166"/>
      <c r="R131" s="164"/>
      <c r="S131" s="164"/>
      <c r="T131" s="232" t="s">
        <v>823</v>
      </c>
      <c r="U131" s="152"/>
      <c r="V131" s="147"/>
      <c r="W131" s="147"/>
      <c r="X131" s="147"/>
    </row>
    <row r="132" spans="1:24">
      <c r="A132" s="163" t="s">
        <v>824</v>
      </c>
      <c r="B132" s="247">
        <f t="shared" si="20"/>
        <v>18</v>
      </c>
      <c r="C132" s="164"/>
      <c r="D132" s="164"/>
      <c r="E132" s="165"/>
      <c r="F132" s="164"/>
      <c r="G132" s="164"/>
      <c r="H132" s="164"/>
      <c r="I132" s="164"/>
      <c r="J132" s="164"/>
      <c r="K132" s="166"/>
      <c r="L132" s="166"/>
      <c r="M132" s="166"/>
      <c r="N132" s="166"/>
      <c r="O132" s="164"/>
      <c r="P132" s="164"/>
      <c r="Q132" s="166"/>
      <c r="R132" s="164"/>
      <c r="S132" s="164"/>
      <c r="T132" s="232" t="s">
        <v>824</v>
      </c>
      <c r="U132" s="152"/>
      <c r="V132" s="147"/>
      <c r="W132" s="147"/>
      <c r="X132" s="147"/>
    </row>
    <row r="133" spans="1:24">
      <c r="A133" s="163" t="s">
        <v>825</v>
      </c>
      <c r="B133" s="247">
        <f t="shared" si="20"/>
        <v>19</v>
      </c>
      <c r="C133" s="164"/>
      <c r="D133" s="164"/>
      <c r="E133" s="165"/>
      <c r="F133" s="164"/>
      <c r="G133" s="164"/>
      <c r="H133" s="164"/>
      <c r="I133" s="164"/>
      <c r="J133" s="164"/>
      <c r="K133" s="166"/>
      <c r="L133" s="166"/>
      <c r="M133" s="166"/>
      <c r="N133" s="166"/>
      <c r="O133" s="164"/>
      <c r="P133" s="164"/>
      <c r="Q133" s="166"/>
      <c r="R133" s="164"/>
      <c r="S133" s="164"/>
      <c r="T133" s="232" t="s">
        <v>825</v>
      </c>
      <c r="U133" s="152"/>
      <c r="V133" s="147"/>
      <c r="W133" s="147"/>
      <c r="X133" s="147"/>
    </row>
    <row r="134" spans="1:24">
      <c r="A134" s="163" t="s">
        <v>826</v>
      </c>
      <c r="B134" s="247">
        <f t="shared" si="20"/>
        <v>20</v>
      </c>
      <c r="C134" s="164"/>
      <c r="D134" s="164"/>
      <c r="E134" s="165"/>
      <c r="F134" s="164"/>
      <c r="G134" s="164"/>
      <c r="H134" s="164"/>
      <c r="I134" s="164"/>
      <c r="J134" s="164"/>
      <c r="K134" s="166"/>
      <c r="L134" s="166"/>
      <c r="M134" s="166"/>
      <c r="N134" s="166"/>
      <c r="O134" s="164"/>
      <c r="P134" s="164"/>
      <c r="Q134" s="166"/>
      <c r="R134" s="164"/>
      <c r="S134" s="164"/>
      <c r="T134" s="232" t="s">
        <v>826</v>
      </c>
      <c r="U134" s="152"/>
      <c r="V134" s="147"/>
      <c r="W134" s="147"/>
      <c r="X134" s="147"/>
    </row>
    <row r="135" spans="1:24">
      <c r="A135" s="163" t="s">
        <v>827</v>
      </c>
      <c r="B135" s="247">
        <f t="shared" si="20"/>
        <v>21</v>
      </c>
      <c r="C135" s="164"/>
      <c r="D135" s="164"/>
      <c r="E135" s="165"/>
      <c r="F135" s="164"/>
      <c r="G135" s="164"/>
      <c r="H135" s="164"/>
      <c r="I135" s="164"/>
      <c r="J135" s="164"/>
      <c r="K135" s="166"/>
      <c r="L135" s="166"/>
      <c r="M135" s="166"/>
      <c r="N135" s="166"/>
      <c r="O135" s="164"/>
      <c r="P135" s="164"/>
      <c r="Q135" s="166"/>
      <c r="R135" s="164"/>
      <c r="S135" s="164"/>
      <c r="T135" s="232" t="s">
        <v>827</v>
      </c>
      <c r="U135" s="152"/>
      <c r="V135" s="147"/>
      <c r="W135" s="147"/>
      <c r="X135" s="147"/>
    </row>
    <row r="136" spans="1:24">
      <c r="A136" s="163" t="s">
        <v>821</v>
      </c>
      <c r="B136" s="247">
        <f t="shared" si="20"/>
        <v>22</v>
      </c>
      <c r="C136" s="126"/>
      <c r="D136" s="126"/>
      <c r="E136" s="371"/>
      <c r="F136" s="126"/>
      <c r="G136" s="126"/>
      <c r="H136" s="126"/>
      <c r="I136" s="126"/>
      <c r="J136" s="126"/>
      <c r="K136" s="375"/>
      <c r="L136" s="375"/>
      <c r="M136" s="375"/>
      <c r="N136" s="375"/>
      <c r="O136" s="126"/>
      <c r="P136" s="126"/>
      <c r="Q136" s="375"/>
      <c r="R136" s="126"/>
      <c r="S136" s="126"/>
      <c r="T136" s="232" t="s">
        <v>821</v>
      </c>
      <c r="U136" s="152"/>
      <c r="V136" s="147"/>
      <c r="W136" s="147"/>
      <c r="X136" s="147"/>
    </row>
    <row r="137" spans="1:24">
      <c r="A137" s="163" t="s">
        <v>822</v>
      </c>
      <c r="B137" s="247">
        <f t="shared" si="20"/>
        <v>23</v>
      </c>
      <c r="C137" s="126"/>
      <c r="D137" s="126"/>
      <c r="E137" s="371"/>
      <c r="F137" s="126"/>
      <c r="G137" s="126"/>
      <c r="H137" s="126"/>
      <c r="I137" s="126"/>
      <c r="J137" s="126"/>
      <c r="K137" s="375"/>
      <c r="L137" s="375"/>
      <c r="M137" s="375"/>
      <c r="N137" s="375"/>
      <c r="O137" s="126"/>
      <c r="P137" s="126"/>
      <c r="Q137" s="375"/>
      <c r="R137" s="126"/>
      <c r="S137" s="126"/>
      <c r="T137" s="232" t="s">
        <v>822</v>
      </c>
      <c r="U137" s="152"/>
      <c r="V137" s="147"/>
      <c r="W137" s="147"/>
      <c r="X137" s="147"/>
    </row>
    <row r="138" spans="1:24">
      <c r="A138" s="163" t="s">
        <v>823</v>
      </c>
      <c r="B138" s="247">
        <f t="shared" si="20"/>
        <v>24</v>
      </c>
      <c r="C138" s="126"/>
      <c r="D138" s="126"/>
      <c r="E138" s="371"/>
      <c r="F138" s="126"/>
      <c r="G138" s="126"/>
      <c r="H138" s="126"/>
      <c r="I138" s="126"/>
      <c r="J138" s="126"/>
      <c r="K138" s="375"/>
      <c r="L138" s="375"/>
      <c r="M138" s="375"/>
      <c r="N138" s="375"/>
      <c r="O138" s="126"/>
      <c r="P138" s="126"/>
      <c r="Q138" s="375"/>
      <c r="R138" s="126"/>
      <c r="S138" s="126"/>
      <c r="T138" s="232" t="s">
        <v>823</v>
      </c>
      <c r="U138" s="152"/>
      <c r="V138" s="147"/>
      <c r="W138" s="147"/>
      <c r="X138" s="147"/>
    </row>
    <row r="139" spans="1:24">
      <c r="A139" s="163" t="s">
        <v>824</v>
      </c>
      <c r="B139" s="247">
        <f t="shared" si="20"/>
        <v>25</v>
      </c>
      <c r="C139" s="126"/>
      <c r="D139" s="126"/>
      <c r="E139" s="371"/>
      <c r="F139" s="126"/>
      <c r="G139" s="126"/>
      <c r="H139" s="126"/>
      <c r="I139" s="126"/>
      <c r="J139" s="126"/>
      <c r="K139" s="375"/>
      <c r="L139" s="375"/>
      <c r="M139" s="375"/>
      <c r="N139" s="375"/>
      <c r="O139" s="126"/>
      <c r="P139" s="126"/>
      <c r="Q139" s="375"/>
      <c r="R139" s="126"/>
      <c r="S139" s="126"/>
      <c r="T139" s="232" t="s">
        <v>824</v>
      </c>
      <c r="U139" s="152"/>
      <c r="V139" s="147"/>
      <c r="W139" s="147"/>
      <c r="X139" s="147"/>
    </row>
    <row r="140" spans="1:24">
      <c r="A140" s="163" t="s">
        <v>825</v>
      </c>
      <c r="B140" s="247">
        <f t="shared" si="20"/>
        <v>26</v>
      </c>
      <c r="C140" s="126"/>
      <c r="D140" s="126"/>
      <c r="E140" s="371"/>
      <c r="F140" s="126"/>
      <c r="G140" s="126"/>
      <c r="H140" s="126"/>
      <c r="I140" s="126"/>
      <c r="J140" s="126"/>
      <c r="K140" s="375"/>
      <c r="L140" s="375"/>
      <c r="M140" s="375"/>
      <c r="N140" s="375"/>
      <c r="O140" s="126"/>
      <c r="P140" s="126"/>
      <c r="Q140" s="375"/>
      <c r="R140" s="126"/>
      <c r="S140" s="126"/>
      <c r="T140" s="232" t="s">
        <v>825</v>
      </c>
      <c r="U140" s="152"/>
      <c r="V140" s="147"/>
      <c r="W140" s="147"/>
      <c r="X140" s="147"/>
    </row>
    <row r="141" spans="1:24">
      <c r="A141" s="163" t="s">
        <v>826</v>
      </c>
      <c r="B141" s="247">
        <f t="shared" si="20"/>
        <v>27</v>
      </c>
      <c r="C141" s="126"/>
      <c r="D141" s="126"/>
      <c r="E141" s="371"/>
      <c r="F141" s="126"/>
      <c r="G141" s="126"/>
      <c r="H141" s="126"/>
      <c r="I141" s="126"/>
      <c r="J141" s="126"/>
      <c r="K141" s="375"/>
      <c r="L141" s="375"/>
      <c r="M141" s="375"/>
      <c r="N141" s="375"/>
      <c r="O141" s="126"/>
      <c r="P141" s="126"/>
      <c r="Q141" s="375"/>
      <c r="R141" s="126"/>
      <c r="S141" s="126"/>
      <c r="T141" s="232" t="s">
        <v>826</v>
      </c>
      <c r="U141" s="152"/>
      <c r="V141" s="147"/>
      <c r="W141" s="147"/>
      <c r="X141" s="147"/>
    </row>
    <row r="142" spans="1:24" ht="15.75" thickBot="1">
      <c r="A142" s="163" t="s">
        <v>827</v>
      </c>
      <c r="B142" s="247">
        <f t="shared" si="20"/>
        <v>28</v>
      </c>
      <c r="C142" s="126"/>
      <c r="D142" s="126"/>
      <c r="E142" s="371"/>
      <c r="F142" s="126"/>
      <c r="G142" s="126"/>
      <c r="H142" s="126"/>
      <c r="I142" s="126"/>
      <c r="J142" s="126"/>
      <c r="K142" s="375"/>
      <c r="L142" s="375"/>
      <c r="M142" s="375"/>
      <c r="N142" s="375"/>
      <c r="O142" s="126"/>
      <c r="P142" s="126"/>
      <c r="Q142" s="375"/>
      <c r="R142" s="126"/>
      <c r="S142" s="126"/>
      <c r="T142" s="232" t="s">
        <v>827</v>
      </c>
      <c r="U142" s="152"/>
      <c r="V142" s="147"/>
      <c r="W142" s="147"/>
      <c r="X142" s="147"/>
    </row>
    <row r="143" spans="1:24" ht="16.5" thickBot="1">
      <c r="A143" s="175" t="s">
        <v>791</v>
      </c>
      <c r="B143" s="176">
        <f>SUM(C143:S143)+U143</f>
        <v>0</v>
      </c>
      <c r="C143" s="177">
        <f t="shared" ref="C143:K143" si="21">SUM(C129:C142)</f>
        <v>0</v>
      </c>
      <c r="D143" s="177">
        <f t="shared" si="21"/>
        <v>0</v>
      </c>
      <c r="E143" s="177">
        <f t="shared" si="21"/>
        <v>0</v>
      </c>
      <c r="F143" s="177">
        <f t="shared" si="21"/>
        <v>0</v>
      </c>
      <c r="G143" s="177">
        <f t="shared" si="21"/>
        <v>0</v>
      </c>
      <c r="H143" s="177">
        <f t="shared" si="21"/>
        <v>0</v>
      </c>
      <c r="I143" s="177">
        <f t="shared" si="21"/>
        <v>0</v>
      </c>
      <c r="J143" s="177">
        <f t="shared" si="21"/>
        <v>0</v>
      </c>
      <c r="K143" s="177">
        <f t="shared" si="21"/>
        <v>0</v>
      </c>
      <c r="L143" s="177">
        <f t="shared" ref="L143:S143" si="22">SUM(L129:L142)</f>
        <v>0</v>
      </c>
      <c r="M143" s="177">
        <f t="shared" si="22"/>
        <v>0</v>
      </c>
      <c r="N143" s="177">
        <f t="shared" si="22"/>
        <v>0</v>
      </c>
      <c r="O143" s="177">
        <f>SUM(O129:O142)</f>
        <v>0</v>
      </c>
      <c r="P143" s="177">
        <f>SUM(P129:P142)</f>
        <v>0</v>
      </c>
      <c r="Q143" s="177">
        <f t="shared" si="22"/>
        <v>0</v>
      </c>
      <c r="R143" s="177">
        <f t="shared" si="22"/>
        <v>0</v>
      </c>
      <c r="S143" s="177">
        <f t="shared" si="22"/>
        <v>0</v>
      </c>
      <c r="T143" s="175" t="s">
        <v>791</v>
      </c>
      <c r="U143" s="176">
        <f>SUM(V143:X143)</f>
        <v>0</v>
      </c>
      <c r="V143" s="147">
        <f>SUM(V129:V142)</f>
        <v>0</v>
      </c>
      <c r="W143" s="147">
        <f>SUM(W129:W142)</f>
        <v>0</v>
      </c>
      <c r="X143" s="147">
        <f>SUM(X129:X142)</f>
        <v>0</v>
      </c>
    </row>
    <row r="144" spans="1:24" ht="15.75" thickBot="1"/>
    <row r="145" spans="1:46" ht="15.75" thickBot="1">
      <c r="A145" s="1046" t="s">
        <v>672</v>
      </c>
      <c r="B145" s="1047"/>
      <c r="C145" s="1047"/>
      <c r="D145" s="1047"/>
      <c r="E145" s="1047"/>
      <c r="F145" s="1047"/>
      <c r="G145" s="1047"/>
      <c r="H145" s="1047"/>
      <c r="I145" s="1047"/>
      <c r="J145" s="1047"/>
      <c r="K145" s="1047"/>
      <c r="L145" s="1047"/>
      <c r="M145" s="1047"/>
      <c r="N145" s="1047"/>
      <c r="O145" s="1047"/>
      <c r="P145" s="1047"/>
      <c r="Q145" s="1047"/>
      <c r="R145" s="1047"/>
      <c r="S145" s="1048"/>
      <c r="T145" s="1024" t="s">
        <v>820</v>
      </c>
      <c r="U145" s="1025"/>
      <c r="V145" s="1025"/>
      <c r="W145" s="1025"/>
      <c r="X145" s="1026"/>
    </row>
    <row r="146" spans="1:46" ht="50.25">
      <c r="A146" s="155"/>
      <c r="B146" s="247" t="str">
        <f>B128</f>
        <v xml:space="preserve">November </v>
      </c>
      <c r="C146" s="288" t="s">
        <v>595</v>
      </c>
      <c r="D146" s="289" t="s">
        <v>598</v>
      </c>
      <c r="E146" s="290" t="s">
        <v>599</v>
      </c>
      <c r="F146" s="289" t="s">
        <v>600</v>
      </c>
      <c r="G146" s="289" t="s">
        <v>601</v>
      </c>
      <c r="H146" s="291" t="s">
        <v>602</v>
      </c>
      <c r="I146" s="291" t="s">
        <v>603</v>
      </c>
      <c r="J146" s="291" t="s">
        <v>604</v>
      </c>
      <c r="K146" s="292" t="s">
        <v>605</v>
      </c>
      <c r="L146" s="288" t="s">
        <v>962</v>
      </c>
      <c r="M146" s="289" t="s">
        <v>607</v>
      </c>
      <c r="N146" s="290" t="s">
        <v>596</v>
      </c>
      <c r="O146" s="209" t="s">
        <v>608</v>
      </c>
      <c r="P146" s="209"/>
      <c r="Q146" s="207"/>
      <c r="R146" s="189"/>
      <c r="S146" s="190"/>
      <c r="T146" s="228"/>
      <c r="U146" s="247"/>
      <c r="V146" s="369"/>
      <c r="W146" s="369"/>
      <c r="X146" s="369"/>
    </row>
    <row r="147" spans="1:46">
      <c r="A147" s="163" t="s">
        <v>821</v>
      </c>
      <c r="B147" s="247">
        <f t="shared" ref="B147:B160" si="23">B129</f>
        <v>15</v>
      </c>
      <c r="C147" s="17"/>
      <c r="D147" s="17"/>
      <c r="E147" s="17"/>
      <c r="F147" s="17"/>
      <c r="G147" s="17"/>
      <c r="H147" s="17"/>
      <c r="I147" s="17"/>
      <c r="J147" s="164"/>
      <c r="K147" s="684"/>
      <c r="L147" s="685"/>
      <c r="M147" s="685"/>
      <c r="N147" s="685"/>
      <c r="O147" s="685"/>
      <c r="P147" s="758"/>
      <c r="Q147" s="685"/>
      <c r="R147" s="753"/>
      <c r="S147" s="754"/>
      <c r="T147" s="232" t="s">
        <v>821</v>
      </c>
      <c r="U147" s="152"/>
      <c r="V147" s="147"/>
      <c r="W147" s="147"/>
      <c r="X147" s="147"/>
    </row>
    <row r="148" spans="1:46">
      <c r="A148" s="163" t="s">
        <v>822</v>
      </c>
      <c r="B148" s="247">
        <f t="shared" si="23"/>
        <v>16</v>
      </c>
      <c r="C148" s="17"/>
      <c r="D148" s="17"/>
      <c r="E148" s="17"/>
      <c r="F148" s="17"/>
      <c r="G148" s="17"/>
      <c r="H148" s="4"/>
      <c r="I148" s="17"/>
      <c r="J148" s="164"/>
      <c r="K148" s="684"/>
      <c r="L148" s="685"/>
      <c r="M148" s="685"/>
      <c r="N148" s="685"/>
      <c r="O148" s="685"/>
      <c r="P148" s="758"/>
      <c r="Q148" s="685"/>
      <c r="R148" s="157"/>
      <c r="S148" s="181"/>
      <c r="T148" s="232" t="s">
        <v>822</v>
      </c>
      <c r="U148" s="152"/>
      <c r="V148" s="147"/>
      <c r="W148" s="147"/>
      <c r="X148" s="147"/>
    </row>
    <row r="149" spans="1:46">
      <c r="A149" s="163" t="s">
        <v>823</v>
      </c>
      <c r="B149" s="247">
        <f t="shared" si="23"/>
        <v>17</v>
      </c>
      <c r="C149" s="17"/>
      <c r="D149" s="17"/>
      <c r="E149" s="17"/>
      <c r="F149" s="17"/>
      <c r="G149" s="17"/>
      <c r="H149" s="17"/>
      <c r="I149" s="17"/>
      <c r="J149" s="164"/>
      <c r="K149" s="684"/>
      <c r="L149" s="685"/>
      <c r="M149" s="685"/>
      <c r="N149" s="685"/>
      <c r="O149" s="685"/>
      <c r="P149" s="758"/>
      <c r="Q149" s="685"/>
      <c r="R149" s="17"/>
      <c r="S149" s="755"/>
      <c r="T149" s="232" t="s">
        <v>823</v>
      </c>
      <c r="U149" s="152"/>
      <c r="V149" s="147"/>
      <c r="W149" s="147"/>
      <c r="X149" s="147"/>
      <c r="Y149" s="216"/>
      <c r="Z149" s="216"/>
      <c r="AA149" s="216"/>
      <c r="AB149" s="216"/>
      <c r="AC149" s="216"/>
      <c r="AD149" s="216"/>
      <c r="AE149" s="216"/>
      <c r="AF149" s="216"/>
      <c r="AG149" s="216"/>
      <c r="AH149" s="216"/>
      <c r="AI149" s="216"/>
      <c r="AJ149" s="216"/>
      <c r="AK149" s="216"/>
      <c r="AL149" s="216"/>
      <c r="AM149" s="216"/>
      <c r="AN149" s="216"/>
      <c r="AO149" s="216"/>
      <c r="AP149" s="216"/>
      <c r="AQ149" s="216"/>
      <c r="AR149" s="216"/>
      <c r="AS149" s="216"/>
      <c r="AT149" s="216"/>
    </row>
    <row r="150" spans="1:46">
      <c r="A150" s="163" t="s">
        <v>824</v>
      </c>
      <c r="B150" s="247">
        <f t="shared" si="23"/>
        <v>18</v>
      </c>
      <c r="C150" s="17"/>
      <c r="D150" s="17"/>
      <c r="E150" s="17"/>
      <c r="F150" s="17"/>
      <c r="G150" s="17"/>
      <c r="H150" s="17"/>
      <c r="I150" s="17"/>
      <c r="J150" s="17"/>
      <c r="K150" s="684"/>
      <c r="L150" s="685"/>
      <c r="M150" s="685"/>
      <c r="N150" s="685"/>
      <c r="O150" s="685"/>
      <c r="P150" s="758"/>
      <c r="Q150" s="685"/>
      <c r="R150" s="17"/>
      <c r="S150" s="755"/>
      <c r="T150" s="232" t="s">
        <v>824</v>
      </c>
      <c r="U150" s="152"/>
      <c r="V150" s="147"/>
      <c r="W150" s="147"/>
      <c r="X150" s="147"/>
    </row>
    <row r="151" spans="1:46">
      <c r="A151" s="163" t="s">
        <v>825</v>
      </c>
      <c r="B151" s="247">
        <f t="shared" si="23"/>
        <v>19</v>
      </c>
      <c r="C151" s="17"/>
      <c r="D151" s="17"/>
      <c r="E151" s="17"/>
      <c r="F151" s="17"/>
      <c r="G151" s="17"/>
      <c r="H151" s="17"/>
      <c r="I151" s="17"/>
      <c r="J151" s="17"/>
      <c r="K151" s="684"/>
      <c r="L151" s="685"/>
      <c r="M151" s="685"/>
      <c r="N151" s="685"/>
      <c r="O151" s="685"/>
      <c r="P151" s="758"/>
      <c r="Q151" s="685"/>
      <c r="R151" s="17"/>
      <c r="S151" s="755"/>
      <c r="T151" s="232" t="s">
        <v>825</v>
      </c>
      <c r="U151" s="152"/>
      <c r="V151" s="147"/>
      <c r="W151" s="147"/>
      <c r="X151" s="147"/>
    </row>
    <row r="152" spans="1:46">
      <c r="A152" s="163" t="s">
        <v>826</v>
      </c>
      <c r="B152" s="247">
        <f t="shared" si="23"/>
        <v>20</v>
      </c>
      <c r="C152" s="17"/>
      <c r="D152" s="17"/>
      <c r="E152" s="17"/>
      <c r="F152" s="17"/>
      <c r="G152" s="17"/>
      <c r="H152" s="17"/>
      <c r="I152" s="17"/>
      <c r="J152" s="17"/>
      <c r="K152" s="684"/>
      <c r="L152" s="685"/>
      <c r="M152" s="685"/>
      <c r="N152" s="685"/>
      <c r="O152" s="685"/>
      <c r="P152" s="758"/>
      <c r="Q152" s="685"/>
      <c r="R152" s="17"/>
      <c r="S152" s="755"/>
      <c r="T152" s="232" t="s">
        <v>826</v>
      </c>
      <c r="U152" s="152"/>
      <c r="V152" s="147"/>
      <c r="W152" s="147"/>
      <c r="X152" s="147"/>
    </row>
    <row r="153" spans="1:46">
      <c r="A153" s="163" t="s">
        <v>827</v>
      </c>
      <c r="B153" s="247">
        <f t="shared" si="23"/>
        <v>21</v>
      </c>
      <c r="C153" s="17"/>
      <c r="D153" s="17"/>
      <c r="E153" s="17"/>
      <c r="F153" s="17"/>
      <c r="G153" s="17"/>
      <c r="H153" s="17"/>
      <c r="I153" s="17"/>
      <c r="J153" s="17"/>
      <c r="K153" s="684"/>
      <c r="L153" s="685"/>
      <c r="M153" s="685"/>
      <c r="N153" s="685"/>
      <c r="O153" s="685"/>
      <c r="P153" s="758"/>
      <c r="Q153" s="685"/>
      <c r="R153" s="17"/>
      <c r="S153" s="755"/>
      <c r="T153" s="232" t="s">
        <v>827</v>
      </c>
      <c r="U153" s="152"/>
      <c r="V153" s="147"/>
      <c r="W153" s="147"/>
      <c r="X153" s="147"/>
    </row>
    <row r="154" spans="1:46">
      <c r="A154" s="163" t="s">
        <v>821</v>
      </c>
      <c r="B154" s="247">
        <f t="shared" si="23"/>
        <v>22</v>
      </c>
      <c r="C154" s="17"/>
      <c r="D154" s="17"/>
      <c r="E154" s="17"/>
      <c r="F154" s="17"/>
      <c r="G154" s="17"/>
      <c r="H154" s="17"/>
      <c r="I154" s="17"/>
      <c r="J154" s="17"/>
      <c r="K154" s="684"/>
      <c r="L154" s="685"/>
      <c r="M154" s="685"/>
      <c r="N154" s="685"/>
      <c r="O154" s="685"/>
      <c r="P154" s="758"/>
      <c r="Q154" s="685"/>
      <c r="R154" s="17"/>
      <c r="S154" s="755"/>
      <c r="T154" s="232" t="s">
        <v>821</v>
      </c>
      <c r="U154" s="152"/>
      <c r="V154" s="147"/>
      <c r="W154" s="147"/>
      <c r="X154" s="147"/>
    </row>
    <row r="155" spans="1:46">
      <c r="A155" s="163" t="s">
        <v>822</v>
      </c>
      <c r="B155" s="247">
        <f t="shared" si="23"/>
        <v>23</v>
      </c>
      <c r="C155" s="17"/>
      <c r="D155" s="17"/>
      <c r="E155" s="17"/>
      <c r="F155" s="17"/>
      <c r="G155" s="17"/>
      <c r="H155" s="17"/>
      <c r="I155" s="17"/>
      <c r="J155" s="17"/>
      <c r="K155" s="684"/>
      <c r="L155" s="685"/>
      <c r="M155" s="685"/>
      <c r="N155" s="685"/>
      <c r="O155" s="685"/>
      <c r="P155" s="758"/>
      <c r="Q155" s="685"/>
      <c r="R155" s="17"/>
      <c r="S155" s="755"/>
      <c r="T155" s="232" t="s">
        <v>822</v>
      </c>
      <c r="U155" s="152"/>
      <c r="V155" s="147"/>
      <c r="W155" s="147"/>
      <c r="X155" s="147"/>
    </row>
    <row r="156" spans="1:46">
      <c r="A156" s="163" t="s">
        <v>823</v>
      </c>
      <c r="B156" s="247">
        <f t="shared" si="23"/>
        <v>24</v>
      </c>
      <c r="C156" s="17"/>
      <c r="D156" s="17"/>
      <c r="E156" s="17"/>
      <c r="F156" s="17"/>
      <c r="G156" s="17"/>
      <c r="H156" s="17"/>
      <c r="I156" s="17"/>
      <c r="J156" s="17"/>
      <c r="K156" s="684"/>
      <c r="L156" s="685"/>
      <c r="M156" s="685"/>
      <c r="N156" s="685"/>
      <c r="O156" s="685"/>
      <c r="P156" s="758"/>
      <c r="Q156" s="685"/>
      <c r="R156" s="378"/>
      <c r="S156" s="756"/>
      <c r="T156" s="232" t="s">
        <v>823</v>
      </c>
      <c r="U156" s="152"/>
      <c r="V156" s="147"/>
      <c r="W156" s="147"/>
      <c r="X156" s="147"/>
    </row>
    <row r="157" spans="1:46">
      <c r="A157" s="163" t="s">
        <v>824</v>
      </c>
      <c r="B157" s="247">
        <f t="shared" si="23"/>
        <v>25</v>
      </c>
      <c r="C157" s="17"/>
      <c r="D157" s="17"/>
      <c r="E157" s="17"/>
      <c r="F157" s="17"/>
      <c r="G157" s="17"/>
      <c r="H157" s="17"/>
      <c r="I157" s="17"/>
      <c r="J157" s="17"/>
      <c r="K157" s="684"/>
      <c r="L157" s="685"/>
      <c r="M157" s="685"/>
      <c r="N157" s="685"/>
      <c r="O157" s="685"/>
      <c r="P157" s="758"/>
      <c r="Q157" s="685"/>
      <c r="R157" s="378"/>
      <c r="S157" s="756"/>
      <c r="T157" s="232" t="s">
        <v>824</v>
      </c>
      <c r="U157" s="152"/>
      <c r="V157" s="147"/>
      <c r="W157" s="147"/>
      <c r="X157" s="147"/>
    </row>
    <row r="158" spans="1:46">
      <c r="A158" s="163" t="s">
        <v>825</v>
      </c>
      <c r="B158" s="247">
        <f t="shared" si="23"/>
        <v>26</v>
      </c>
      <c r="C158" s="17"/>
      <c r="D158" s="17"/>
      <c r="E158" s="17"/>
      <c r="F158" s="17"/>
      <c r="G158" s="17"/>
      <c r="H158" s="17"/>
      <c r="I158" s="17"/>
      <c r="J158" s="17"/>
      <c r="K158" s="684"/>
      <c r="L158" s="685"/>
      <c r="M158" s="685"/>
      <c r="N158" s="685"/>
      <c r="O158" s="685"/>
      <c r="P158" s="758"/>
      <c r="Q158" s="685"/>
      <c r="R158" s="378"/>
      <c r="S158" s="756"/>
      <c r="T158" s="232" t="s">
        <v>825</v>
      </c>
      <c r="U158" s="152"/>
      <c r="V158" s="147"/>
      <c r="W158" s="147"/>
      <c r="X158" s="147"/>
    </row>
    <row r="159" spans="1:46">
      <c r="A159" s="163" t="s">
        <v>826</v>
      </c>
      <c r="B159" s="247">
        <f t="shared" si="23"/>
        <v>27</v>
      </c>
      <c r="C159" s="17"/>
      <c r="D159" s="17"/>
      <c r="E159" s="17"/>
      <c r="F159" s="17"/>
      <c r="G159" s="17"/>
      <c r="H159" s="17"/>
      <c r="I159" s="17"/>
      <c r="J159" s="17"/>
      <c r="K159" s="684"/>
      <c r="L159" s="685"/>
      <c r="M159" s="685"/>
      <c r="N159" s="685"/>
      <c r="O159" s="685"/>
      <c r="P159" s="758"/>
      <c r="Q159" s="685"/>
      <c r="R159" s="378"/>
      <c r="S159" s="756"/>
      <c r="T159" s="232" t="s">
        <v>826</v>
      </c>
      <c r="U159" s="152"/>
      <c r="V159" s="147"/>
      <c r="W159" s="147"/>
      <c r="X159" s="147"/>
    </row>
    <row r="160" spans="1:46" ht="15.75" thickBot="1">
      <c r="A160" s="163" t="s">
        <v>827</v>
      </c>
      <c r="B160" s="247">
        <f t="shared" si="23"/>
        <v>28</v>
      </c>
      <c r="C160" s="17"/>
      <c r="D160" s="17"/>
      <c r="E160" s="17"/>
      <c r="F160" s="17"/>
      <c r="G160" s="17"/>
      <c r="H160" s="17"/>
      <c r="I160" s="17"/>
      <c r="J160" s="17"/>
      <c r="K160" s="684"/>
      <c r="L160" s="685"/>
      <c r="M160" s="685"/>
      <c r="N160" s="685"/>
      <c r="O160" s="685"/>
      <c r="P160" s="758"/>
      <c r="Q160" s="685"/>
      <c r="R160" s="757"/>
      <c r="S160" s="756"/>
      <c r="T160" s="232" t="s">
        <v>827</v>
      </c>
      <c r="U160" s="152"/>
      <c r="V160" s="147"/>
      <c r="W160" s="147"/>
      <c r="X160" s="147"/>
    </row>
    <row r="161" spans="1:24" ht="16.5" thickBot="1">
      <c r="A161" s="195"/>
      <c r="B161" s="383">
        <f>SUM(C161:AA161)+AC161+AH161</f>
        <v>0</v>
      </c>
      <c r="C161" s="177">
        <f>SUM(C147:C160)</f>
        <v>0</v>
      </c>
      <c r="D161" s="177">
        <f>SUM(D147:D160)</f>
        <v>0</v>
      </c>
      <c r="E161" s="177">
        <f>SUM(E147:E160)</f>
        <v>0</v>
      </c>
      <c r="F161" s="177">
        <f>SUM(F147:F160)</f>
        <v>0</v>
      </c>
      <c r="G161" s="177">
        <f>SUM(G147:G160)</f>
        <v>0</v>
      </c>
      <c r="H161" s="177">
        <f t="shared" ref="H161:S161" si="24">SUM(H147:H160)</f>
        <v>0</v>
      </c>
      <c r="I161" s="177">
        <f t="shared" si="24"/>
        <v>0</v>
      </c>
      <c r="J161" s="177">
        <f>SUM(J147:J160)</f>
        <v>0</v>
      </c>
      <c r="K161" s="177">
        <f t="shared" si="24"/>
        <v>0</v>
      </c>
      <c r="L161" s="197">
        <f t="shared" si="24"/>
        <v>0</v>
      </c>
      <c r="M161" s="197">
        <f t="shared" si="24"/>
        <v>0</v>
      </c>
      <c r="N161" s="197">
        <f t="shared" si="24"/>
        <v>0</v>
      </c>
      <c r="O161" s="197">
        <f t="shared" si="24"/>
        <v>0</v>
      </c>
      <c r="P161" s="197">
        <f t="shared" si="24"/>
        <v>0</v>
      </c>
      <c r="Q161" s="197">
        <f t="shared" si="24"/>
        <v>0</v>
      </c>
      <c r="R161" s="197">
        <f t="shared" si="24"/>
        <v>0</v>
      </c>
      <c r="S161" s="198">
        <f t="shared" si="24"/>
        <v>0</v>
      </c>
      <c r="T161" s="175" t="s">
        <v>791</v>
      </c>
      <c r="U161" s="176">
        <f>SUM(V161:X161)</f>
        <v>0</v>
      </c>
      <c r="V161" s="147">
        <f>SUM(V147:V160)</f>
        <v>0</v>
      </c>
      <c r="W161" s="147">
        <f>SUM(W147:W160)</f>
        <v>0</v>
      </c>
      <c r="X161" s="147">
        <f>SUM(X147:X160)</f>
        <v>0</v>
      </c>
    </row>
    <row r="162" spans="1:24" ht="15.75" thickBot="1"/>
    <row r="163" spans="1:24" ht="15.75" thickBot="1">
      <c r="A163" s="1046" t="s">
        <v>963</v>
      </c>
      <c r="B163" s="1047"/>
      <c r="C163" s="1047"/>
      <c r="D163" s="1047"/>
      <c r="E163" s="1047"/>
      <c r="F163" s="1047"/>
      <c r="G163" s="1047"/>
      <c r="H163" s="1047"/>
      <c r="I163" s="1047"/>
      <c r="J163" s="1047"/>
      <c r="K163" s="1047"/>
      <c r="L163" s="1047"/>
      <c r="M163" s="1047"/>
      <c r="N163" s="1047"/>
      <c r="O163" s="1047"/>
      <c r="P163" s="1047"/>
      <c r="Q163" s="1047"/>
      <c r="R163" s="1047"/>
      <c r="S163" s="1048"/>
      <c r="T163" s="1024" t="s">
        <v>820</v>
      </c>
      <c r="U163" s="1025"/>
      <c r="V163" s="1025"/>
      <c r="W163" s="1025"/>
      <c r="X163" s="1026"/>
    </row>
    <row r="164" spans="1:24" ht="76.5" customHeight="1">
      <c r="A164" s="155"/>
      <c r="B164" s="247" t="str">
        <f>B2</f>
        <v>Jan</v>
      </c>
      <c r="C164" s="934" t="s">
        <v>323</v>
      </c>
      <c r="D164" s="157"/>
      <c r="E164" s="157"/>
      <c r="F164" s="157"/>
      <c r="G164" s="934"/>
      <c r="H164" s="934"/>
      <c r="I164" s="934"/>
      <c r="J164" s="934"/>
      <c r="K164" s="938"/>
      <c r="L164" s="934"/>
      <c r="M164" s="934"/>
      <c r="N164" s="939" t="s">
        <v>964</v>
      </c>
      <c r="O164" s="188"/>
      <c r="P164" s="206"/>
      <c r="Q164" s="151"/>
      <c r="R164" s="934"/>
      <c r="S164" s="190"/>
      <c r="T164" s="228"/>
      <c r="U164" s="247"/>
      <c r="V164" s="369"/>
      <c r="W164" s="369"/>
      <c r="X164" s="369"/>
    </row>
    <row r="165" spans="1:24">
      <c r="A165" s="163" t="s">
        <v>821</v>
      </c>
      <c r="B165" s="247">
        <f t="shared" ref="B165:B178" si="25">B3</f>
        <v>10</v>
      </c>
      <c r="C165" s="164">
        <v>8.5</v>
      </c>
      <c r="D165" s="164"/>
      <c r="E165" s="164"/>
      <c r="F165" s="164"/>
      <c r="G165" s="164"/>
      <c r="H165" s="164"/>
      <c r="I165" s="164"/>
      <c r="J165" s="164"/>
      <c r="K165" s="165"/>
      <c r="L165" s="166"/>
      <c r="M165" s="166"/>
      <c r="N165" s="341"/>
      <c r="O165" s="166"/>
      <c r="P165" s="218"/>
      <c r="Q165" s="152"/>
      <c r="R165" s="166"/>
      <c r="S165" s="184"/>
      <c r="T165" s="232" t="s">
        <v>821</v>
      </c>
      <c r="U165" s="152"/>
      <c r="V165" s="147"/>
      <c r="W165" s="147"/>
      <c r="X165" s="147"/>
    </row>
    <row r="166" spans="1:24">
      <c r="A166" s="163" t="s">
        <v>822</v>
      </c>
      <c r="B166" s="247">
        <f t="shared" si="25"/>
        <v>11</v>
      </c>
      <c r="C166" s="164"/>
      <c r="D166" s="164"/>
      <c r="E166" s="164"/>
      <c r="F166" s="164"/>
      <c r="G166" s="164"/>
      <c r="H166" s="164"/>
      <c r="I166" s="164"/>
      <c r="J166" s="164"/>
      <c r="K166" s="165"/>
      <c r="L166" s="166"/>
      <c r="M166" s="166"/>
      <c r="N166" s="341"/>
      <c r="O166" s="166"/>
      <c r="P166" s="218"/>
      <c r="Q166" s="152"/>
      <c r="R166" s="166"/>
      <c r="S166" s="190"/>
      <c r="T166" s="232" t="s">
        <v>822</v>
      </c>
      <c r="U166" s="152"/>
      <c r="V166" s="147"/>
      <c r="W166" s="147"/>
      <c r="X166" s="147"/>
    </row>
    <row r="167" spans="1:24">
      <c r="A167" s="163" t="s">
        <v>823</v>
      </c>
      <c r="B167" s="247">
        <f t="shared" si="25"/>
        <v>12</v>
      </c>
      <c r="C167" s="164"/>
      <c r="D167" s="164"/>
      <c r="E167" s="164"/>
      <c r="F167" s="164"/>
      <c r="G167" s="164"/>
      <c r="H167" s="164"/>
      <c r="I167" s="164"/>
      <c r="J167" s="164"/>
      <c r="K167" s="165"/>
      <c r="L167" s="166"/>
      <c r="M167" s="166"/>
      <c r="N167" s="341"/>
      <c r="O167" s="341"/>
      <c r="P167" s="218"/>
      <c r="Q167" s="152"/>
      <c r="R167" s="166"/>
      <c r="S167" s="191"/>
      <c r="T167" s="232" t="s">
        <v>823</v>
      </c>
      <c r="U167" s="152"/>
      <c r="V167" s="147"/>
      <c r="W167" s="147"/>
      <c r="X167" s="147"/>
    </row>
    <row r="168" spans="1:24">
      <c r="A168" s="163" t="s">
        <v>824</v>
      </c>
      <c r="B168" s="247">
        <f t="shared" si="25"/>
        <v>13</v>
      </c>
      <c r="C168" s="164">
        <v>8.5</v>
      </c>
      <c r="D168" s="164"/>
      <c r="E168" s="164"/>
      <c r="F168" s="164"/>
      <c r="G168" s="164"/>
      <c r="H168" s="164"/>
      <c r="I168" s="164"/>
      <c r="J168" s="164"/>
      <c r="K168" s="165"/>
      <c r="L168" s="166"/>
      <c r="M168" s="166"/>
      <c r="N168" s="341"/>
      <c r="O168" s="166"/>
      <c r="P168" s="218"/>
      <c r="Q168" s="152"/>
      <c r="R168" s="166"/>
      <c r="S168" s="191"/>
      <c r="T168" s="232" t="s">
        <v>824</v>
      </c>
      <c r="U168" s="152"/>
      <c r="V168" s="147"/>
      <c r="W168" s="147"/>
      <c r="X168" s="147"/>
    </row>
    <row r="169" spans="1:24">
      <c r="A169" s="163" t="s">
        <v>825</v>
      </c>
      <c r="B169" s="247">
        <f t="shared" si="25"/>
        <v>14</v>
      </c>
      <c r="C169" s="164"/>
      <c r="D169" s="164"/>
      <c r="E169" s="164"/>
      <c r="F169" s="164"/>
      <c r="G169" s="164"/>
      <c r="H169" s="164"/>
      <c r="I169" s="164"/>
      <c r="J169" s="164"/>
      <c r="K169" s="165"/>
      <c r="L169" s="166"/>
      <c r="M169" s="166"/>
      <c r="N169" s="341"/>
      <c r="O169" s="166"/>
      <c r="P169" s="218"/>
      <c r="Q169" s="152"/>
      <c r="R169" s="166"/>
      <c r="S169" s="191"/>
      <c r="T169" s="232" t="s">
        <v>825</v>
      </c>
      <c r="U169" s="152"/>
      <c r="V169" s="147"/>
      <c r="W169" s="147"/>
      <c r="X169" s="147"/>
    </row>
    <row r="170" spans="1:24">
      <c r="A170" s="163" t="s">
        <v>826</v>
      </c>
      <c r="B170" s="247">
        <f t="shared" si="25"/>
        <v>15</v>
      </c>
      <c r="C170" s="164"/>
      <c r="D170" s="164"/>
      <c r="E170" s="164"/>
      <c r="F170" s="164"/>
      <c r="G170" s="164"/>
      <c r="H170" s="164"/>
      <c r="I170" s="164"/>
      <c r="J170" s="164"/>
      <c r="K170" s="165"/>
      <c r="L170" s="166"/>
      <c r="M170" s="166"/>
      <c r="N170" s="341"/>
      <c r="O170" s="166"/>
      <c r="P170" s="218"/>
      <c r="Q170" s="152"/>
      <c r="R170" s="166"/>
      <c r="S170" s="191"/>
      <c r="T170" s="232" t="s">
        <v>826</v>
      </c>
      <c r="U170" s="152"/>
      <c r="V170" s="147"/>
      <c r="W170" s="147"/>
      <c r="X170" s="147"/>
    </row>
    <row r="171" spans="1:24">
      <c r="A171" s="163" t="s">
        <v>827</v>
      </c>
      <c r="B171" s="247">
        <f t="shared" si="25"/>
        <v>16</v>
      </c>
      <c r="C171" s="164">
        <v>8.5</v>
      </c>
      <c r="D171" s="164"/>
      <c r="E171" s="164"/>
      <c r="F171" s="164"/>
      <c r="G171" s="164"/>
      <c r="H171" s="164"/>
      <c r="I171" s="164"/>
      <c r="J171" s="164"/>
      <c r="K171" s="165"/>
      <c r="L171" s="166"/>
      <c r="M171" s="166"/>
      <c r="N171" s="341"/>
      <c r="O171" s="166"/>
      <c r="P171" s="218"/>
      <c r="Q171" s="152"/>
      <c r="R171" s="166"/>
      <c r="S171" s="191"/>
      <c r="T171" s="232" t="s">
        <v>827</v>
      </c>
      <c r="U171" s="152"/>
      <c r="V171" s="147"/>
      <c r="W171" s="147"/>
      <c r="X171" s="147"/>
    </row>
    <row r="172" spans="1:24">
      <c r="A172" s="163" t="s">
        <v>821</v>
      </c>
      <c r="B172" s="247">
        <f t="shared" si="25"/>
        <v>17</v>
      </c>
      <c r="C172" s="905">
        <v>8.5</v>
      </c>
      <c r="D172" s="164"/>
      <c r="E172" s="164"/>
      <c r="F172" s="164"/>
      <c r="G172" s="164"/>
      <c r="H172" s="164"/>
      <c r="I172" s="164"/>
      <c r="J172" s="164"/>
      <c r="K172" s="165"/>
      <c r="L172" s="166"/>
      <c r="M172" s="166"/>
      <c r="N172" s="341"/>
      <c r="O172" s="166"/>
      <c r="P172" s="218"/>
      <c r="Q172" s="152"/>
      <c r="R172" s="166"/>
      <c r="S172" s="191"/>
      <c r="T172" s="232" t="s">
        <v>821</v>
      </c>
      <c r="U172" s="152"/>
      <c r="V172" s="147"/>
      <c r="W172" s="147"/>
      <c r="X172" s="147"/>
    </row>
    <row r="173" spans="1:24">
      <c r="A173" s="163" t="s">
        <v>822</v>
      </c>
      <c r="B173" s="247">
        <f t="shared" si="25"/>
        <v>18</v>
      </c>
      <c r="C173" s="164"/>
      <c r="D173" s="164"/>
      <c r="E173" s="164"/>
      <c r="F173" s="164"/>
      <c r="G173" s="164"/>
      <c r="H173" s="164"/>
      <c r="I173" s="164"/>
      <c r="J173" s="164"/>
      <c r="K173" s="165"/>
      <c r="L173" s="166"/>
      <c r="M173" s="166"/>
      <c r="N173" s="341"/>
      <c r="O173" s="166"/>
      <c r="P173" s="218"/>
      <c r="Q173" s="152"/>
      <c r="R173" s="166"/>
      <c r="S173" s="191"/>
      <c r="T173" s="232" t="s">
        <v>822</v>
      </c>
      <c r="U173" s="152"/>
      <c r="V173" s="147"/>
      <c r="W173" s="147"/>
      <c r="X173" s="147"/>
    </row>
    <row r="174" spans="1:24">
      <c r="A174" s="163" t="s">
        <v>823</v>
      </c>
      <c r="B174" s="247">
        <f t="shared" si="25"/>
        <v>19</v>
      </c>
      <c r="C174" s="164"/>
      <c r="D174" s="164"/>
      <c r="E174" s="164"/>
      <c r="F174" s="164"/>
      <c r="G174" s="164"/>
      <c r="H174" s="164"/>
      <c r="I174" s="164"/>
      <c r="J174" s="164"/>
      <c r="K174" s="165"/>
      <c r="L174" s="166"/>
      <c r="M174" s="166"/>
      <c r="N174" s="341"/>
      <c r="O174" s="166"/>
      <c r="P174" s="218"/>
      <c r="Q174" s="152"/>
      <c r="R174" s="166"/>
      <c r="S174" s="194"/>
      <c r="T174" s="232" t="s">
        <v>823</v>
      </c>
      <c r="U174" s="152"/>
      <c r="V174" s="147"/>
      <c r="W174" s="147"/>
      <c r="X174" s="147"/>
    </row>
    <row r="175" spans="1:24">
      <c r="A175" s="163" t="s">
        <v>824</v>
      </c>
      <c r="B175" s="247">
        <f t="shared" si="25"/>
        <v>20</v>
      </c>
      <c r="C175" s="164"/>
      <c r="D175" s="164"/>
      <c r="E175" s="164"/>
      <c r="F175" s="164"/>
      <c r="G175" s="164"/>
      <c r="H175" s="164"/>
      <c r="I175" s="164"/>
      <c r="J175" s="164"/>
      <c r="K175" s="165"/>
      <c r="L175" s="166"/>
      <c r="M175" s="166"/>
      <c r="N175" s="341"/>
      <c r="O175" s="166"/>
      <c r="P175" s="218"/>
      <c r="Q175" s="152"/>
      <c r="R175" s="166"/>
      <c r="S175" s="194"/>
      <c r="T175" s="232" t="s">
        <v>824</v>
      </c>
      <c r="U175" s="152"/>
      <c r="V175" s="147"/>
      <c r="W175" s="147"/>
      <c r="X175" s="147"/>
    </row>
    <row r="176" spans="1:24">
      <c r="A176" s="163" t="s">
        <v>825</v>
      </c>
      <c r="B176" s="247">
        <f t="shared" si="25"/>
        <v>21</v>
      </c>
      <c r="C176" s="164"/>
      <c r="D176" s="164"/>
      <c r="E176" s="164"/>
      <c r="F176" s="164"/>
      <c r="G176" s="164"/>
      <c r="H176" s="164"/>
      <c r="I176" s="164"/>
      <c r="J176" s="164"/>
      <c r="K176" s="165"/>
      <c r="L176" s="166"/>
      <c r="M176" s="166"/>
      <c r="N176" s="341"/>
      <c r="O176" s="166"/>
      <c r="P176" s="218"/>
      <c r="Q176" s="152"/>
      <c r="R176" s="166"/>
      <c r="S176" s="194"/>
      <c r="T176" s="232" t="s">
        <v>825</v>
      </c>
      <c r="U176" s="152"/>
      <c r="V176" s="147"/>
      <c r="W176" s="147"/>
      <c r="X176" s="147"/>
    </row>
    <row r="177" spans="1:25">
      <c r="A177" s="163" t="s">
        <v>826</v>
      </c>
      <c r="B177" s="247">
        <f t="shared" si="25"/>
        <v>22</v>
      </c>
      <c r="C177" s="164"/>
      <c r="D177" s="164"/>
      <c r="E177" s="164"/>
      <c r="F177" s="164"/>
      <c r="G177" s="164"/>
      <c r="H177" s="164"/>
      <c r="I177" s="164"/>
      <c r="J177" s="164"/>
      <c r="K177" s="165"/>
      <c r="L177" s="166"/>
      <c r="M177" s="166"/>
      <c r="N177" s="341"/>
      <c r="O177" s="166"/>
      <c r="P177" s="218"/>
      <c r="Q177" s="152"/>
      <c r="R177" s="166"/>
      <c r="S177" s="194"/>
      <c r="T177" s="232" t="s">
        <v>826</v>
      </c>
      <c r="U177" s="152"/>
      <c r="V177" s="147"/>
      <c r="W177" s="147"/>
      <c r="X177" s="147"/>
    </row>
    <row r="178" spans="1:25" ht="15.75" thickBot="1">
      <c r="A178" s="163" t="s">
        <v>827</v>
      </c>
      <c r="B178" s="247">
        <f t="shared" si="25"/>
        <v>23</v>
      </c>
      <c r="C178" s="164"/>
      <c r="D178" s="164"/>
      <c r="E178" s="164"/>
      <c r="F178" s="164"/>
      <c r="G178" s="164"/>
      <c r="H178" s="164"/>
      <c r="I178" s="164"/>
      <c r="J178" s="164"/>
      <c r="K178" s="165"/>
      <c r="L178" s="166"/>
      <c r="M178" s="166"/>
      <c r="N178" s="341"/>
      <c r="O178" s="166"/>
      <c r="P178" s="218"/>
      <c r="Q178" s="152"/>
      <c r="R178" s="166"/>
      <c r="S178" s="194"/>
      <c r="T178" s="232" t="s">
        <v>827</v>
      </c>
      <c r="U178" s="152"/>
      <c r="V178" s="147"/>
      <c r="W178" s="147"/>
      <c r="X178" s="147"/>
    </row>
    <row r="179" spans="1:25" ht="16.5" thickBot="1">
      <c r="A179" s="195"/>
      <c r="B179" s="383">
        <f>SUM(C179:S179)+U179</f>
        <v>34</v>
      </c>
      <c r="C179" s="197">
        <f>SUM(C165:C178)</f>
        <v>34</v>
      </c>
      <c r="D179" s="197">
        <f t="shared" ref="D179:P179" si="26">SUM(D165:D178)</f>
        <v>0</v>
      </c>
      <c r="E179" s="197">
        <f t="shared" si="26"/>
        <v>0</v>
      </c>
      <c r="F179" s="197">
        <f t="shared" si="26"/>
        <v>0</v>
      </c>
      <c r="G179" s="197">
        <f t="shared" si="26"/>
        <v>0</v>
      </c>
      <c r="H179" s="197">
        <f t="shared" si="26"/>
        <v>0</v>
      </c>
      <c r="I179" s="197">
        <f t="shared" si="26"/>
        <v>0</v>
      </c>
      <c r="J179" s="197">
        <f>SUM(J165:J178)</f>
        <v>0</v>
      </c>
      <c r="K179" s="197">
        <f t="shared" si="26"/>
        <v>0</v>
      </c>
      <c r="L179" s="197">
        <f t="shared" si="26"/>
        <v>0</v>
      </c>
      <c r="M179" s="197">
        <f t="shared" si="26"/>
        <v>0</v>
      </c>
      <c r="N179" s="340">
        <f t="shared" si="26"/>
        <v>0</v>
      </c>
      <c r="O179" s="197">
        <f t="shared" si="26"/>
        <v>0</v>
      </c>
      <c r="P179" s="197">
        <f t="shared" si="26"/>
        <v>0</v>
      </c>
      <c r="Q179" s="197"/>
      <c r="R179" s="197"/>
      <c r="S179" s="197"/>
      <c r="T179" s="175" t="s">
        <v>791</v>
      </c>
      <c r="U179" s="176">
        <f>SUM(V179:X179)</f>
        <v>0</v>
      </c>
      <c r="V179" s="147">
        <f>SUM(V165:V178)</f>
        <v>0</v>
      </c>
      <c r="W179" s="147">
        <f>SUM(W165:W178)</f>
        <v>0</v>
      </c>
      <c r="X179" s="147">
        <f>SUM(X165:X178)</f>
        <v>0</v>
      </c>
    </row>
    <row r="180" spans="1:25" ht="15.75" thickBot="1">
      <c r="A180" s="380"/>
      <c r="C180" s="65"/>
      <c r="D180" s="65"/>
      <c r="E180" s="65"/>
      <c r="F180" s="65"/>
      <c r="G180" s="65"/>
      <c r="H180" s="65"/>
      <c r="I180" s="65"/>
      <c r="J180" s="65"/>
      <c r="K180" s="65"/>
      <c r="L180" s="65"/>
      <c r="M180" s="65"/>
      <c r="N180" s="65"/>
      <c r="O180" s="65"/>
      <c r="P180" s="65"/>
      <c r="Q180" s="65"/>
      <c r="R180" s="65"/>
      <c r="S180" s="381"/>
    </row>
    <row r="181" spans="1:25" ht="15.75" thickBot="1">
      <c r="A181" s="1024" t="s">
        <v>694</v>
      </c>
      <c r="B181" s="1025"/>
      <c r="C181" s="1025"/>
      <c r="D181" s="1025"/>
      <c r="E181" s="1025"/>
      <c r="F181" s="1025"/>
      <c r="G181" s="1025"/>
      <c r="H181" s="1025"/>
      <c r="I181" s="1025"/>
      <c r="J181" s="1025"/>
      <c r="K181" s="1025"/>
      <c r="L181" s="1025"/>
      <c r="M181" s="1025"/>
      <c r="N181" s="1025"/>
      <c r="O181" s="1025"/>
      <c r="P181" s="1025"/>
      <c r="Q181" s="1025"/>
      <c r="R181" s="1025"/>
      <c r="S181" s="1025"/>
      <c r="T181" s="1025" t="s">
        <v>820</v>
      </c>
      <c r="U181" s="1025"/>
      <c r="V181" s="1025"/>
      <c r="W181" s="1025"/>
      <c r="X181" s="1025"/>
      <c r="Y181" s="384"/>
    </row>
    <row r="182" spans="1:25" ht="59.25" customHeight="1">
      <c r="A182" s="155"/>
      <c r="B182" s="247" t="str">
        <f>B164</f>
        <v>Jan</v>
      </c>
      <c r="C182" s="387" t="s">
        <v>965</v>
      </c>
      <c r="D182" s="562" t="s">
        <v>966</v>
      </c>
      <c r="E182" s="562" t="s">
        <v>967</v>
      </c>
      <c r="F182" s="562" t="s">
        <v>968</v>
      </c>
      <c r="G182" s="370" t="s">
        <v>969</v>
      </c>
      <c r="H182" s="373" t="s">
        <v>35</v>
      </c>
      <c r="I182" s="373" t="s">
        <v>37</v>
      </c>
      <c r="J182" s="373" t="s">
        <v>31</v>
      </c>
      <c r="K182" s="373"/>
      <c r="L182" s="370"/>
      <c r="M182" s="370"/>
      <c r="N182" s="370"/>
      <c r="O182" s="370"/>
      <c r="P182" s="370"/>
      <c r="Q182" s="373"/>
      <c r="R182" s="373"/>
      <c r="S182" s="373"/>
      <c r="T182" s="228"/>
      <c r="U182" s="247"/>
      <c r="V182" s="369"/>
      <c r="W182" s="369"/>
      <c r="X182" s="369"/>
    </row>
    <row r="183" spans="1:25">
      <c r="A183" s="163" t="s">
        <v>821</v>
      </c>
      <c r="B183" s="247">
        <f t="shared" ref="B183:B196" si="27">B165</f>
        <v>10</v>
      </c>
      <c r="C183" s="152"/>
      <c r="D183" s="152"/>
      <c r="E183" s="152"/>
      <c r="F183" s="152"/>
      <c r="G183" s="152"/>
      <c r="H183" s="152"/>
      <c r="I183" s="152"/>
      <c r="J183" s="152"/>
      <c r="K183" s="152"/>
      <c r="L183" s="152"/>
      <c r="M183" s="152"/>
      <c r="N183" s="152"/>
      <c r="O183" s="152"/>
      <c r="P183" s="152"/>
      <c r="Q183" s="152"/>
      <c r="R183" s="164"/>
      <c r="S183" s="164"/>
      <c r="T183" s="232" t="s">
        <v>821</v>
      </c>
      <c r="U183" s="152"/>
      <c r="V183" s="147"/>
      <c r="W183" s="147"/>
      <c r="X183" s="147"/>
    </row>
    <row r="184" spans="1:25">
      <c r="A184" s="163" t="s">
        <v>822</v>
      </c>
      <c r="B184" s="247">
        <f t="shared" si="27"/>
        <v>11</v>
      </c>
      <c r="C184" s="152"/>
      <c r="D184" s="152"/>
      <c r="E184" s="152"/>
      <c r="F184" s="152"/>
      <c r="G184" s="152"/>
      <c r="H184" s="152"/>
      <c r="I184" s="152"/>
      <c r="J184" s="152"/>
      <c r="K184" s="152"/>
      <c r="L184" s="152"/>
      <c r="M184" s="152"/>
      <c r="N184" s="152"/>
      <c r="O184" s="152"/>
      <c r="P184" s="152"/>
      <c r="Q184" s="152"/>
      <c r="R184" s="164"/>
      <c r="S184" s="164"/>
      <c r="T184" s="232" t="s">
        <v>822</v>
      </c>
      <c r="U184" s="152"/>
      <c r="V184" s="147"/>
      <c r="W184" s="147"/>
      <c r="X184" s="147"/>
    </row>
    <row r="185" spans="1:25">
      <c r="A185" s="163" t="s">
        <v>823</v>
      </c>
      <c r="B185" s="247">
        <f t="shared" si="27"/>
        <v>12</v>
      </c>
      <c r="C185" s="152"/>
      <c r="D185" s="152"/>
      <c r="E185" s="152"/>
      <c r="F185" s="152"/>
      <c r="G185" s="152"/>
      <c r="H185" s="152"/>
      <c r="I185" s="152"/>
      <c r="J185" s="152"/>
      <c r="K185" s="152"/>
      <c r="L185" s="152"/>
      <c r="M185" s="152"/>
      <c r="N185" s="152"/>
      <c r="O185" s="152"/>
      <c r="P185" s="152"/>
      <c r="Q185" s="152"/>
      <c r="R185" s="164"/>
      <c r="S185" s="164"/>
      <c r="T185" s="232" t="s">
        <v>823</v>
      </c>
      <c r="U185" s="152"/>
      <c r="V185" s="147"/>
      <c r="W185" s="147"/>
      <c r="X185" s="147"/>
    </row>
    <row r="186" spans="1:25">
      <c r="A186" s="163" t="s">
        <v>824</v>
      </c>
      <c r="B186" s="247">
        <f t="shared" si="27"/>
        <v>13</v>
      </c>
      <c r="C186" s="152"/>
      <c r="D186" s="152"/>
      <c r="E186" s="152"/>
      <c r="F186" s="152"/>
      <c r="G186" s="152"/>
      <c r="H186" s="152"/>
      <c r="I186" s="152"/>
      <c r="J186" s="152"/>
      <c r="K186" s="152"/>
      <c r="L186" s="152"/>
      <c r="M186" s="152"/>
      <c r="N186" s="152"/>
      <c r="O186" s="152"/>
      <c r="P186" s="152"/>
      <c r="Q186" s="152"/>
      <c r="R186" s="164"/>
      <c r="S186" s="164"/>
      <c r="T186" s="232" t="s">
        <v>824</v>
      </c>
      <c r="U186" s="152"/>
      <c r="V186" s="147"/>
      <c r="W186" s="147"/>
      <c r="X186" s="147"/>
    </row>
    <row r="187" spans="1:25">
      <c r="A187" s="163" t="s">
        <v>825</v>
      </c>
      <c r="B187" s="247">
        <f t="shared" si="27"/>
        <v>14</v>
      </c>
      <c r="C187" s="152"/>
      <c r="D187" s="152"/>
      <c r="E187" s="152"/>
      <c r="F187" s="152"/>
      <c r="G187" s="152"/>
      <c r="H187" s="152"/>
      <c r="I187" s="152"/>
      <c r="J187" s="152"/>
      <c r="K187" s="152"/>
      <c r="L187" s="152"/>
      <c r="M187" s="152"/>
      <c r="N187" s="152"/>
      <c r="O187" s="152"/>
      <c r="P187" s="152"/>
      <c r="Q187" s="152"/>
      <c r="R187" s="164"/>
      <c r="S187" s="164"/>
      <c r="T187" s="232" t="s">
        <v>825</v>
      </c>
      <c r="U187" s="152"/>
      <c r="V187" s="147"/>
      <c r="W187" s="147"/>
      <c r="X187" s="147"/>
    </row>
    <row r="188" spans="1:25">
      <c r="A188" s="163" t="s">
        <v>826</v>
      </c>
      <c r="B188" s="247">
        <f t="shared" si="27"/>
        <v>15</v>
      </c>
      <c r="C188" s="152"/>
      <c r="D188" s="152"/>
      <c r="E188" s="152"/>
      <c r="F188" s="152"/>
      <c r="G188" s="152"/>
      <c r="H188" s="152"/>
      <c r="I188" s="152"/>
      <c r="J188" s="152"/>
      <c r="K188" s="152"/>
      <c r="L188" s="152"/>
      <c r="M188" s="152"/>
      <c r="N188" s="152"/>
      <c r="O188" s="152"/>
      <c r="P188" s="152"/>
      <c r="Q188" s="152"/>
      <c r="R188" s="164"/>
      <c r="S188" s="164"/>
      <c r="T188" s="232" t="s">
        <v>826</v>
      </c>
      <c r="U188" s="152"/>
      <c r="V188" s="147"/>
      <c r="W188" s="147"/>
      <c r="X188" s="147"/>
    </row>
    <row r="189" spans="1:25">
      <c r="A189" s="163" t="s">
        <v>827</v>
      </c>
      <c r="B189" s="247">
        <f t="shared" si="27"/>
        <v>16</v>
      </c>
      <c r="C189" s="152"/>
      <c r="D189" s="152"/>
      <c r="E189" s="152"/>
      <c r="F189" s="152"/>
      <c r="G189" s="152"/>
      <c r="H189" s="152"/>
      <c r="I189" s="152"/>
      <c r="J189" s="152"/>
      <c r="K189" s="152"/>
      <c r="L189" s="152"/>
      <c r="M189" s="152"/>
      <c r="N189" s="152"/>
      <c r="O189" s="152"/>
      <c r="P189" s="152"/>
      <c r="Q189" s="152"/>
      <c r="R189" s="126"/>
      <c r="S189" s="126"/>
      <c r="T189" s="232" t="s">
        <v>827</v>
      </c>
      <c r="U189" s="152"/>
      <c r="V189" s="147"/>
      <c r="W189" s="147"/>
      <c r="X189" s="147"/>
    </row>
    <row r="190" spans="1:25">
      <c r="A190" s="163" t="s">
        <v>821</v>
      </c>
      <c r="B190" s="247">
        <f t="shared" si="27"/>
        <v>17</v>
      </c>
      <c r="C190" s="152"/>
      <c r="D190" s="152"/>
      <c r="E190" s="152"/>
      <c r="F190" s="152"/>
      <c r="G190" s="152"/>
      <c r="H190" s="152"/>
      <c r="I190" s="152"/>
      <c r="J190" s="152"/>
      <c r="K190" s="152"/>
      <c r="L190" s="152"/>
      <c r="M190" s="152"/>
      <c r="N190" s="152"/>
      <c r="O190" s="152"/>
      <c r="P190" s="152"/>
      <c r="Q190" s="152"/>
      <c r="R190" s="164"/>
      <c r="S190" s="164"/>
      <c r="T190" s="232" t="s">
        <v>821</v>
      </c>
      <c r="U190" s="152"/>
      <c r="V190" s="147"/>
      <c r="W190" s="147"/>
      <c r="X190" s="147"/>
    </row>
    <row r="191" spans="1:25">
      <c r="A191" s="163" t="s">
        <v>822</v>
      </c>
      <c r="B191" s="247">
        <f t="shared" si="27"/>
        <v>18</v>
      </c>
      <c r="C191" s="152"/>
      <c r="D191" s="152"/>
      <c r="E191" s="152"/>
      <c r="F191" s="152"/>
      <c r="G191" s="152"/>
      <c r="H191" s="152"/>
      <c r="I191" s="152"/>
      <c r="J191" s="152"/>
      <c r="K191" s="152"/>
      <c r="L191" s="152"/>
      <c r="M191" s="152"/>
      <c r="N191" s="152"/>
      <c r="O191" s="152"/>
      <c r="P191" s="152"/>
      <c r="Q191" s="152"/>
      <c r="R191" s="126"/>
      <c r="S191" s="126"/>
      <c r="T191" s="232" t="s">
        <v>822</v>
      </c>
      <c r="U191" s="152"/>
      <c r="V191" s="147"/>
      <c r="W191" s="147"/>
      <c r="X191" s="147"/>
    </row>
    <row r="192" spans="1:25">
      <c r="A192" s="163" t="s">
        <v>823</v>
      </c>
      <c r="B192" s="247">
        <f t="shared" si="27"/>
        <v>19</v>
      </c>
      <c r="C192" s="152"/>
      <c r="D192" s="152"/>
      <c r="E192" s="152"/>
      <c r="F192" s="152"/>
      <c r="G192" s="152"/>
      <c r="H192" s="152"/>
      <c r="I192" s="152"/>
      <c r="J192" s="152"/>
      <c r="K192" s="152"/>
      <c r="L192" s="152"/>
      <c r="M192" s="152"/>
      <c r="N192" s="152"/>
      <c r="O192" s="152"/>
      <c r="P192" s="152"/>
      <c r="Q192" s="152"/>
      <c r="R192" s="169"/>
      <c r="S192" s="169"/>
      <c r="T192" s="232" t="s">
        <v>823</v>
      </c>
      <c r="U192" s="152"/>
      <c r="V192" s="147"/>
      <c r="W192" s="147"/>
      <c r="X192" s="147"/>
    </row>
    <row r="193" spans="1:24">
      <c r="A193" s="163" t="s">
        <v>824</v>
      </c>
      <c r="B193" s="247">
        <f t="shared" si="27"/>
        <v>20</v>
      </c>
      <c r="C193" s="152"/>
      <c r="D193" s="152"/>
      <c r="E193" s="152"/>
      <c r="F193" s="152"/>
      <c r="G193" s="152"/>
      <c r="H193" s="152"/>
      <c r="I193" s="152"/>
      <c r="J193" s="152"/>
      <c r="K193" s="152"/>
      <c r="L193" s="152"/>
      <c r="M193" s="152"/>
      <c r="N193" s="152"/>
      <c r="O193" s="152"/>
      <c r="P193" s="152"/>
      <c r="Q193" s="152"/>
      <c r="R193" s="372"/>
      <c r="S193" s="372"/>
      <c r="T193" s="232" t="s">
        <v>824</v>
      </c>
      <c r="U193" s="152"/>
      <c r="V193" s="147"/>
      <c r="W193" s="147"/>
      <c r="X193" s="147"/>
    </row>
    <row r="194" spans="1:24">
      <c r="A194" s="163" t="s">
        <v>825</v>
      </c>
      <c r="B194" s="247">
        <f t="shared" si="27"/>
        <v>21</v>
      </c>
      <c r="C194" s="152"/>
      <c r="D194" s="152"/>
      <c r="E194" s="152"/>
      <c r="F194" s="152"/>
      <c r="G194" s="152"/>
      <c r="H194" s="152"/>
      <c r="I194" s="152"/>
      <c r="J194" s="152"/>
      <c r="K194" s="152"/>
      <c r="L194" s="152"/>
      <c r="M194" s="152"/>
      <c r="N194" s="152"/>
      <c r="O194" s="152"/>
      <c r="P194" s="152"/>
      <c r="Q194" s="152"/>
      <c r="R194" s="169"/>
      <c r="S194" s="169"/>
      <c r="T194" s="232" t="s">
        <v>825</v>
      </c>
      <c r="U194" s="152"/>
      <c r="V194" s="147"/>
      <c r="W194" s="147"/>
      <c r="X194" s="147"/>
    </row>
    <row r="195" spans="1:24">
      <c r="A195" s="163" t="s">
        <v>826</v>
      </c>
      <c r="B195" s="247">
        <f t="shared" si="27"/>
        <v>22</v>
      </c>
      <c r="C195" s="152"/>
      <c r="D195" s="152"/>
      <c r="E195" s="152"/>
      <c r="F195" s="152"/>
      <c r="G195" s="152"/>
      <c r="H195" s="152"/>
      <c r="I195" s="152"/>
      <c r="J195" s="152"/>
      <c r="K195" s="152"/>
      <c r="L195" s="152"/>
      <c r="M195" s="152"/>
      <c r="N195" s="152"/>
      <c r="O195" s="152"/>
      <c r="P195" s="152"/>
      <c r="Q195" s="152"/>
      <c r="R195" s="372"/>
      <c r="S195" s="372"/>
      <c r="T195" s="232" t="s">
        <v>826</v>
      </c>
      <c r="U195" s="152"/>
      <c r="V195" s="147"/>
      <c r="W195" s="147"/>
      <c r="X195" s="147"/>
    </row>
    <row r="196" spans="1:24" ht="15.75" thickBot="1">
      <c r="A196" s="163" t="s">
        <v>827</v>
      </c>
      <c r="B196" s="247">
        <f t="shared" si="27"/>
        <v>23</v>
      </c>
      <c r="C196" s="152"/>
      <c r="D196" s="152"/>
      <c r="E196" s="152"/>
      <c r="F196" s="152"/>
      <c r="G196" s="152"/>
      <c r="H196" s="152"/>
      <c r="I196" s="152"/>
      <c r="J196" s="152"/>
      <c r="K196" s="152"/>
      <c r="L196" s="152"/>
      <c r="M196" s="152"/>
      <c r="N196" s="152"/>
      <c r="O196" s="152"/>
      <c r="P196" s="152"/>
      <c r="Q196" s="152"/>
      <c r="R196" s="169"/>
      <c r="S196" s="169"/>
      <c r="T196" s="232" t="s">
        <v>827</v>
      </c>
      <c r="U196" s="152"/>
      <c r="V196" s="147"/>
      <c r="W196" s="147"/>
      <c r="X196" s="147"/>
    </row>
    <row r="197" spans="1:24" ht="16.5" thickBot="1">
      <c r="A197" s="175" t="s">
        <v>791</v>
      </c>
      <c r="B197" s="176">
        <f>SUM(C197:S197)+U197</f>
        <v>0</v>
      </c>
      <c r="C197" s="173">
        <f t="shared" ref="C197:S197" si="28">SUM(C183:C196)</f>
        <v>0</v>
      </c>
      <c r="D197" s="173">
        <f>SUM(D183:D196)</f>
        <v>0</v>
      </c>
      <c r="E197" s="173">
        <f>SUM(E183:E196)</f>
        <v>0</v>
      </c>
      <c r="F197" s="173">
        <f>SUM(F183:F196)</f>
        <v>0</v>
      </c>
      <c r="G197" s="173">
        <f t="shared" si="28"/>
        <v>0</v>
      </c>
      <c r="H197" s="173">
        <f t="shared" si="28"/>
        <v>0</v>
      </c>
      <c r="I197" s="173">
        <f t="shared" si="28"/>
        <v>0</v>
      </c>
      <c r="J197" s="173">
        <f t="shared" si="28"/>
        <v>0</v>
      </c>
      <c r="K197" s="173">
        <f t="shared" si="28"/>
        <v>0</v>
      </c>
      <c r="L197" s="173">
        <f t="shared" si="28"/>
        <v>0</v>
      </c>
      <c r="M197" s="173">
        <f t="shared" si="28"/>
        <v>0</v>
      </c>
      <c r="N197" s="173">
        <f t="shared" si="28"/>
        <v>0</v>
      </c>
      <c r="O197" s="173">
        <f t="shared" si="28"/>
        <v>0</v>
      </c>
      <c r="P197" s="173">
        <f t="shared" si="28"/>
        <v>0</v>
      </c>
      <c r="Q197" s="173">
        <f t="shared" si="28"/>
        <v>0</v>
      </c>
      <c r="R197" s="173">
        <f t="shared" si="28"/>
        <v>0</v>
      </c>
      <c r="S197" s="173">
        <f t="shared" si="28"/>
        <v>0</v>
      </c>
      <c r="T197" s="175" t="s">
        <v>791</v>
      </c>
      <c r="U197" s="176">
        <f>SUM(V197:X197)</f>
        <v>0</v>
      </c>
      <c r="V197" s="147">
        <f>SUM(V183:V196)</f>
        <v>0</v>
      </c>
      <c r="W197" s="147">
        <f>SUM(W183:W196)</f>
        <v>0</v>
      </c>
      <c r="X197" s="147">
        <f>SUM(X183:X196)</f>
        <v>0</v>
      </c>
    </row>
    <row r="198" spans="1:24" ht="15.75" thickBot="1"/>
    <row r="199" spans="1:24" ht="15.75" customHeight="1" thickBot="1">
      <c r="A199" s="1046" t="s">
        <v>438</v>
      </c>
      <c r="B199" s="1047"/>
      <c r="C199" s="1047"/>
      <c r="D199" s="1047"/>
      <c r="E199" s="1047"/>
      <c r="F199" s="1047"/>
      <c r="G199" s="1047"/>
      <c r="H199" s="1047"/>
      <c r="I199" s="1047"/>
      <c r="J199" s="1049"/>
      <c r="K199" s="1049"/>
      <c r="L199" s="1049"/>
      <c r="M199" s="1049"/>
      <c r="N199" s="1049"/>
      <c r="O199" s="1049"/>
      <c r="P199" s="1049"/>
      <c r="Q199" s="1049"/>
      <c r="R199" s="1049"/>
      <c r="S199" s="1050"/>
      <c r="T199" s="1024" t="s">
        <v>820</v>
      </c>
      <c r="U199" s="1025"/>
      <c r="V199" s="1025"/>
      <c r="W199" s="1025"/>
      <c r="X199" s="1026"/>
    </row>
    <row r="200" spans="1:24" ht="74.25" customHeight="1">
      <c r="A200" s="155"/>
      <c r="B200" s="247" t="str">
        <f>B182</f>
        <v>Jan</v>
      </c>
      <c r="C200" s="932" t="s">
        <v>439</v>
      </c>
      <c r="D200" s="933"/>
      <c r="E200" s="932"/>
      <c r="F200" s="932"/>
      <c r="G200" s="932"/>
      <c r="H200" s="932"/>
      <c r="I200" s="932"/>
      <c r="J200" s="932"/>
      <c r="K200" s="932"/>
      <c r="L200" s="932"/>
      <c r="M200" s="932"/>
      <c r="N200" s="932"/>
      <c r="O200" s="932"/>
      <c r="P200" s="932"/>
      <c r="Q200" s="932"/>
      <c r="R200" s="932"/>
      <c r="S200" s="932"/>
      <c r="T200" s="228"/>
      <c r="U200" s="247"/>
      <c r="V200" s="369"/>
      <c r="W200" s="369"/>
      <c r="X200" s="369"/>
    </row>
    <row r="201" spans="1:24">
      <c r="A201" s="163" t="s">
        <v>821</v>
      </c>
      <c r="B201" s="247">
        <f t="shared" ref="B201:B214" si="29">B183</f>
        <v>10</v>
      </c>
      <c r="C201" s="164"/>
      <c r="D201" s="169"/>
      <c r="E201" s="376"/>
      <c r="F201" s="377"/>
      <c r="G201" s="378"/>
      <c r="H201" s="378"/>
      <c r="I201" s="164"/>
      <c r="J201" s="164"/>
      <c r="K201" s="164"/>
      <c r="L201" s="164"/>
      <c r="M201" s="164"/>
      <c r="N201" s="164"/>
      <c r="O201" s="164"/>
      <c r="P201" s="164"/>
      <c r="Q201" s="164"/>
      <c r="R201" s="164"/>
      <c r="S201" s="164"/>
      <c r="T201" s="232" t="s">
        <v>821</v>
      </c>
      <c r="U201" s="152"/>
      <c r="V201" s="147"/>
      <c r="W201" s="147"/>
      <c r="X201" s="147"/>
    </row>
    <row r="202" spans="1:24">
      <c r="A202" s="163" t="s">
        <v>822</v>
      </c>
      <c r="B202" s="247">
        <f t="shared" si="29"/>
        <v>11</v>
      </c>
      <c r="C202" s="164"/>
      <c r="D202" s="164"/>
      <c r="E202" s="164"/>
      <c r="F202" s="164"/>
      <c r="G202" s="164"/>
      <c r="H202" s="17"/>
      <c r="I202" s="164"/>
      <c r="J202" s="164"/>
      <c r="K202" s="164"/>
      <c r="L202" s="164"/>
      <c r="M202" s="164"/>
      <c r="N202" s="164"/>
      <c r="O202" s="164"/>
      <c r="P202" s="164"/>
      <c r="Q202" s="164"/>
      <c r="R202" s="164"/>
      <c r="S202" s="164"/>
      <c r="T202" s="232" t="s">
        <v>822</v>
      </c>
      <c r="U202" s="152"/>
      <c r="V202" s="147"/>
      <c r="W202" s="147"/>
      <c r="X202" s="147"/>
    </row>
    <row r="203" spans="1:24">
      <c r="A203" s="163" t="s">
        <v>823</v>
      </c>
      <c r="B203" s="247">
        <f t="shared" si="29"/>
        <v>12</v>
      </c>
      <c r="C203" s="164"/>
      <c r="D203" s="186"/>
      <c r="E203" s="186"/>
      <c r="F203" s="206"/>
      <c r="G203" s="379"/>
      <c r="H203" s="379"/>
      <c r="I203" s="164"/>
      <c r="J203" s="164"/>
      <c r="K203" s="164"/>
      <c r="L203" s="164"/>
      <c r="M203" s="164"/>
      <c r="N203" s="164"/>
      <c r="O203" s="164"/>
      <c r="P203" s="164"/>
      <c r="Q203" s="164"/>
      <c r="R203" s="164"/>
      <c r="S203" s="164"/>
      <c r="T203" s="232" t="s">
        <v>823</v>
      </c>
      <c r="U203" s="152"/>
      <c r="V203" s="147"/>
      <c r="W203" s="147"/>
      <c r="X203" s="147"/>
    </row>
    <row r="204" spans="1:24">
      <c r="A204" s="163" t="s">
        <v>824</v>
      </c>
      <c r="B204" s="247">
        <f t="shared" si="29"/>
        <v>13</v>
      </c>
      <c r="C204" s="164"/>
      <c r="D204" s="164"/>
      <c r="E204" s="164"/>
      <c r="F204" s="218"/>
      <c r="G204" s="17"/>
      <c r="H204" s="17"/>
      <c r="I204" s="164"/>
      <c r="J204" s="164"/>
      <c r="K204" s="164"/>
      <c r="L204" s="164"/>
      <c r="M204" s="164"/>
      <c r="N204" s="164"/>
      <c r="O204" s="164"/>
      <c r="P204" s="164"/>
      <c r="Q204" s="164"/>
      <c r="R204" s="164"/>
      <c r="S204" s="164"/>
      <c r="T204" s="232" t="s">
        <v>824</v>
      </c>
      <c r="U204" s="152"/>
      <c r="V204" s="147"/>
      <c r="W204" s="147"/>
      <c r="X204" s="147"/>
    </row>
    <row r="205" spans="1:24">
      <c r="A205" s="163" t="s">
        <v>825</v>
      </c>
      <c r="B205" s="247">
        <f t="shared" si="29"/>
        <v>14</v>
      </c>
      <c r="C205" s="164"/>
      <c r="D205" s="164"/>
      <c r="E205" s="164"/>
      <c r="F205" s="218"/>
      <c r="G205" s="17"/>
      <c r="H205" s="17"/>
      <c r="I205" s="164"/>
      <c r="J205" s="164"/>
      <c r="K205" s="164"/>
      <c r="L205" s="164"/>
      <c r="M205" s="164"/>
      <c r="N205" s="164"/>
      <c r="O205" s="164"/>
      <c r="P205" s="164"/>
      <c r="Q205" s="164"/>
      <c r="R205" s="164"/>
      <c r="S205" s="164"/>
      <c r="T205" s="232" t="s">
        <v>825</v>
      </c>
      <c r="U205" s="152"/>
      <c r="V205" s="147"/>
      <c r="W205" s="147"/>
      <c r="X205" s="147"/>
    </row>
    <row r="206" spans="1:24">
      <c r="A206" s="163" t="s">
        <v>826</v>
      </c>
      <c r="B206" s="247">
        <f t="shared" si="29"/>
        <v>15</v>
      </c>
      <c r="C206" s="164"/>
      <c r="D206" s="164"/>
      <c r="E206" s="164"/>
      <c r="F206" s="218"/>
      <c r="G206" s="17"/>
      <c r="H206" s="17"/>
      <c r="I206" s="164"/>
      <c r="J206" s="164"/>
      <c r="K206" s="164"/>
      <c r="L206" s="164"/>
      <c r="M206" s="164"/>
      <c r="N206" s="164"/>
      <c r="O206" s="164"/>
      <c r="P206" s="164"/>
      <c r="Q206" s="164"/>
      <c r="R206" s="164"/>
      <c r="S206" s="164"/>
      <c r="T206" s="232" t="s">
        <v>826</v>
      </c>
      <c r="U206" s="152"/>
      <c r="V206" s="147"/>
      <c r="W206" s="147"/>
      <c r="X206" s="147"/>
    </row>
    <row r="207" spans="1:24">
      <c r="A207" s="163" t="s">
        <v>827</v>
      </c>
      <c r="B207" s="247">
        <f t="shared" si="29"/>
        <v>16</v>
      </c>
      <c r="C207" s="164"/>
      <c r="D207" s="164"/>
      <c r="E207" s="164"/>
      <c r="F207" s="218"/>
      <c r="G207" s="17"/>
      <c r="H207" s="17"/>
      <c r="I207" s="164"/>
      <c r="J207" s="164"/>
      <c r="K207" s="164"/>
      <c r="L207" s="164"/>
      <c r="M207" s="164"/>
      <c r="N207" s="164"/>
      <c r="O207" s="164"/>
      <c r="P207" s="164"/>
      <c r="Q207" s="164"/>
      <c r="R207" s="164"/>
      <c r="S207" s="164"/>
      <c r="T207" s="232" t="s">
        <v>827</v>
      </c>
      <c r="U207" s="152"/>
      <c r="V207" s="147"/>
      <c r="W207" s="147"/>
      <c r="X207" s="147"/>
    </row>
    <row r="208" spans="1:24">
      <c r="A208" s="163" t="s">
        <v>821</v>
      </c>
      <c r="B208" s="247">
        <f t="shared" si="29"/>
        <v>17</v>
      </c>
      <c r="C208" s="164"/>
      <c r="D208" s="164"/>
      <c r="E208" s="164"/>
      <c r="F208" s="218"/>
      <c r="G208" s="17"/>
      <c r="H208" s="17"/>
      <c r="I208" s="164"/>
      <c r="J208" s="164"/>
      <c r="K208" s="164"/>
      <c r="L208" s="164"/>
      <c r="M208" s="164"/>
      <c r="N208" s="164"/>
      <c r="O208" s="164"/>
      <c r="P208" s="164"/>
      <c r="Q208" s="164"/>
      <c r="R208" s="164"/>
      <c r="S208" s="164"/>
      <c r="T208" s="232" t="s">
        <v>821</v>
      </c>
      <c r="U208" s="152"/>
      <c r="V208" s="147"/>
      <c r="W208" s="147"/>
      <c r="X208" s="147"/>
    </row>
    <row r="209" spans="1:35">
      <c r="A209" s="163" t="s">
        <v>822</v>
      </c>
      <c r="B209" s="247">
        <f t="shared" si="29"/>
        <v>18</v>
      </c>
      <c r="C209" s="164"/>
      <c r="D209" s="164"/>
      <c r="E209" s="164"/>
      <c r="F209" s="218"/>
      <c r="G209" s="17"/>
      <c r="H209" s="17"/>
      <c r="I209" s="164"/>
      <c r="J209" s="164"/>
      <c r="K209" s="164"/>
      <c r="L209" s="164"/>
      <c r="M209" s="164"/>
      <c r="N209" s="164"/>
      <c r="O209" s="164"/>
      <c r="P209" s="164"/>
      <c r="Q209" s="164"/>
      <c r="R209" s="164"/>
      <c r="S209" s="164"/>
      <c r="T209" s="232" t="s">
        <v>822</v>
      </c>
      <c r="U209" s="152"/>
      <c r="V209" s="147"/>
      <c r="W209" s="147"/>
      <c r="X209" s="147"/>
    </row>
    <row r="210" spans="1:35">
      <c r="A210" s="163" t="s">
        <v>823</v>
      </c>
      <c r="B210" s="247">
        <f t="shared" si="29"/>
        <v>19</v>
      </c>
      <c r="C210" s="164"/>
      <c r="D210" s="164"/>
      <c r="E210" s="164"/>
      <c r="F210" s="218"/>
      <c r="G210" s="17"/>
      <c r="H210" s="17"/>
      <c r="I210" s="164"/>
      <c r="J210" s="164"/>
      <c r="K210" s="164"/>
      <c r="L210" s="164"/>
      <c r="M210" s="164"/>
      <c r="N210" s="164"/>
      <c r="O210" s="164"/>
      <c r="P210" s="164"/>
      <c r="Q210" s="164"/>
      <c r="R210" s="164"/>
      <c r="S210" s="164"/>
      <c r="T210" s="232" t="s">
        <v>823</v>
      </c>
      <c r="U210" s="152"/>
      <c r="V210" s="147"/>
      <c r="W210" s="147"/>
      <c r="X210" s="147"/>
    </row>
    <row r="211" spans="1:35">
      <c r="A211" s="163" t="s">
        <v>824</v>
      </c>
      <c r="B211" s="247">
        <f t="shared" si="29"/>
        <v>20</v>
      </c>
      <c r="C211" s="164"/>
      <c r="D211" s="164"/>
      <c r="E211" s="164"/>
      <c r="F211" s="218"/>
      <c r="G211" s="17"/>
      <c r="H211" s="17"/>
      <c r="I211" s="164"/>
      <c r="J211" s="164"/>
      <c r="K211" s="164"/>
      <c r="L211" s="164"/>
      <c r="M211" s="164"/>
      <c r="N211" s="164"/>
      <c r="O211" s="164"/>
      <c r="P211" s="164"/>
      <c r="Q211" s="164"/>
      <c r="R211" s="164"/>
      <c r="S211" s="164"/>
      <c r="T211" s="232" t="s">
        <v>824</v>
      </c>
      <c r="U211" s="152"/>
      <c r="V211" s="147"/>
      <c r="W211" s="147"/>
      <c r="X211" s="147"/>
    </row>
    <row r="212" spans="1:35">
      <c r="A212" s="163" t="s">
        <v>825</v>
      </c>
      <c r="B212" s="247">
        <f t="shared" si="29"/>
        <v>21</v>
      </c>
      <c r="C212" s="164"/>
      <c r="D212" s="164"/>
      <c r="E212" s="164"/>
      <c r="F212" s="218"/>
      <c r="G212" s="17"/>
      <c r="H212" s="17"/>
      <c r="I212" s="164"/>
      <c r="J212" s="164"/>
      <c r="K212" s="164"/>
      <c r="L212" s="164"/>
      <c r="M212" s="164"/>
      <c r="N212" s="164"/>
      <c r="O212" s="164"/>
      <c r="P212" s="164"/>
      <c r="Q212" s="164"/>
      <c r="R212" s="164"/>
      <c r="S212" s="164"/>
      <c r="T212" s="232" t="s">
        <v>825</v>
      </c>
      <c r="U212" s="152"/>
      <c r="V212" s="147"/>
      <c r="W212" s="147"/>
      <c r="X212" s="147"/>
    </row>
    <row r="213" spans="1:35">
      <c r="A213" s="163" t="s">
        <v>826</v>
      </c>
      <c r="B213" s="247">
        <f t="shared" si="29"/>
        <v>22</v>
      </c>
      <c r="C213" s="164"/>
      <c r="D213" s="164"/>
      <c r="E213" s="164"/>
      <c r="F213" s="218"/>
      <c r="G213" s="17"/>
      <c r="H213" s="17"/>
      <c r="I213" s="164"/>
      <c r="J213" s="164"/>
      <c r="K213" s="164"/>
      <c r="L213" s="164"/>
      <c r="M213" s="164"/>
      <c r="N213" s="164"/>
      <c r="O213" s="164"/>
      <c r="P213" s="164"/>
      <c r="Q213" s="164"/>
      <c r="R213" s="164"/>
      <c r="S213" s="164"/>
      <c r="T213" s="232" t="s">
        <v>826</v>
      </c>
      <c r="U213" s="152"/>
      <c r="V213" s="147"/>
      <c r="W213" s="147"/>
      <c r="X213" s="147"/>
    </row>
    <row r="214" spans="1:35" ht="15.75" thickBot="1">
      <c r="A214" s="163" t="s">
        <v>827</v>
      </c>
      <c r="B214" s="247">
        <f t="shared" si="29"/>
        <v>23</v>
      </c>
      <c r="C214" s="164"/>
      <c r="D214" s="164"/>
      <c r="E214" s="164"/>
      <c r="F214" s="218"/>
      <c r="G214" s="17"/>
      <c r="H214" s="17"/>
      <c r="I214" s="164"/>
      <c r="J214" s="164"/>
      <c r="K214" s="164"/>
      <c r="L214" s="164"/>
      <c r="M214" s="164"/>
      <c r="N214" s="164"/>
      <c r="O214" s="164"/>
      <c r="P214" s="164"/>
      <c r="Q214" s="164"/>
      <c r="R214" s="164"/>
      <c r="S214" s="164"/>
      <c r="T214" s="232" t="s">
        <v>827</v>
      </c>
      <c r="U214" s="152"/>
      <c r="V214" s="147"/>
      <c r="W214" s="147"/>
      <c r="X214" s="147"/>
    </row>
    <row r="215" spans="1:35" ht="16.5" thickBot="1">
      <c r="A215" s="175" t="s">
        <v>791</v>
      </c>
      <c r="B215" s="176">
        <f>SUM(C215:S215)+U215</f>
        <v>0</v>
      </c>
      <c r="C215" s="177">
        <f t="shared" ref="C215:Q215" si="30">SUM(C201:C214)</f>
        <v>0</v>
      </c>
      <c r="D215" s="177">
        <f t="shared" si="30"/>
        <v>0</v>
      </c>
      <c r="E215" s="177">
        <f t="shared" si="30"/>
        <v>0</v>
      </c>
      <c r="F215" s="177">
        <f t="shared" si="30"/>
        <v>0</v>
      </c>
      <c r="G215" s="177">
        <f t="shared" si="30"/>
        <v>0</v>
      </c>
      <c r="H215" s="177">
        <f t="shared" si="30"/>
        <v>0</v>
      </c>
      <c r="I215" s="177">
        <f t="shared" si="30"/>
        <v>0</v>
      </c>
      <c r="J215" s="177">
        <f t="shared" si="30"/>
        <v>0</v>
      </c>
      <c r="K215" s="177">
        <f t="shared" si="30"/>
        <v>0</v>
      </c>
      <c r="L215" s="177">
        <f t="shared" si="30"/>
        <v>0</v>
      </c>
      <c r="M215" s="177">
        <f t="shared" si="30"/>
        <v>0</v>
      </c>
      <c r="N215" s="177">
        <f t="shared" si="30"/>
        <v>0</v>
      </c>
      <c r="O215" s="177">
        <f t="shared" si="30"/>
        <v>0</v>
      </c>
      <c r="P215" s="177">
        <f t="shared" si="30"/>
        <v>0</v>
      </c>
      <c r="Q215" s="177">
        <f t="shared" si="30"/>
        <v>0</v>
      </c>
      <c r="R215" s="177">
        <f>SUM(R201:R214)</f>
        <v>0</v>
      </c>
      <c r="S215" s="177">
        <f>SUM(S201:S214)</f>
        <v>0</v>
      </c>
      <c r="T215" s="175" t="s">
        <v>791</v>
      </c>
      <c r="U215" s="176">
        <f>SUM(V215:X215)</f>
        <v>0</v>
      </c>
      <c r="V215" s="147">
        <f>SUM(V201:V214)</f>
        <v>0</v>
      </c>
      <c r="W215" s="147">
        <f>SUM(W201:W214)</f>
        <v>0</v>
      </c>
      <c r="X215" s="147">
        <f>SUM(X201:X214)</f>
        <v>0</v>
      </c>
    </row>
    <row r="216" spans="1:35" ht="15.75" thickBot="1">
      <c r="A216" s="380"/>
      <c r="C216" s="65"/>
      <c r="D216" s="65"/>
      <c r="E216" s="65"/>
      <c r="F216" s="65"/>
      <c r="G216" s="65"/>
      <c r="H216" s="65"/>
      <c r="I216" s="65"/>
      <c r="J216" s="65"/>
      <c r="K216" s="65"/>
      <c r="L216" s="65"/>
      <c r="M216" s="65"/>
      <c r="N216" s="65"/>
      <c r="O216" s="65"/>
      <c r="P216" s="65"/>
      <c r="Q216" s="65"/>
      <c r="R216" s="65"/>
      <c r="S216" s="381"/>
    </row>
    <row r="217" spans="1:35" ht="15.75" thickBot="1">
      <c r="A217" s="1024" t="s">
        <v>970</v>
      </c>
      <c r="B217" s="1025"/>
      <c r="C217" s="1025"/>
      <c r="D217" s="1025"/>
      <c r="E217" s="1025"/>
      <c r="F217" s="1025"/>
      <c r="G217" s="1025"/>
      <c r="H217" s="1025"/>
      <c r="I217" s="1025"/>
      <c r="J217" s="1025"/>
      <c r="K217" s="1025"/>
      <c r="L217" s="1025"/>
      <c r="M217" s="1025"/>
      <c r="N217" s="1025"/>
      <c r="O217" s="1025"/>
      <c r="P217" s="1025"/>
      <c r="Q217" s="1025"/>
      <c r="R217" s="1025"/>
      <c r="S217" s="1026"/>
      <c r="T217" s="1024" t="s">
        <v>820</v>
      </c>
      <c r="U217" s="1025"/>
      <c r="V217" s="1025"/>
      <c r="W217" s="1025"/>
      <c r="X217" s="1026"/>
    </row>
    <row r="218" spans="1:35" ht="74.25" customHeight="1">
      <c r="A218" s="155"/>
      <c r="B218" s="247" t="s">
        <v>889</v>
      </c>
      <c r="C218" s="934" t="s">
        <v>357</v>
      </c>
      <c r="D218" s="940" t="s">
        <v>358</v>
      </c>
      <c r="E218" s="940" t="s">
        <v>503</v>
      </c>
      <c r="F218" s="293" t="s">
        <v>361</v>
      </c>
      <c r="G218" s="934" t="s">
        <v>971</v>
      </c>
      <c r="H218" s="934" t="s">
        <v>972</v>
      </c>
      <c r="I218" s="934" t="s">
        <v>973</v>
      </c>
      <c r="J218" s="934" t="s">
        <v>365</v>
      </c>
      <c r="K218" s="934" t="s">
        <v>366</v>
      </c>
      <c r="L218" s="934" t="s">
        <v>367</v>
      </c>
      <c r="M218" s="934" t="s">
        <v>368</v>
      </c>
      <c r="N218" s="463" t="s">
        <v>375</v>
      </c>
      <c r="O218" s="934" t="s">
        <v>369</v>
      </c>
      <c r="P218" s="934" t="s">
        <v>370</v>
      </c>
      <c r="Q218" s="934" t="s">
        <v>974</v>
      </c>
      <c r="R218" s="934" t="s">
        <v>975</v>
      </c>
      <c r="S218" s="158" t="s">
        <v>372</v>
      </c>
      <c r="T218" s="158" t="s">
        <v>373</v>
      </c>
      <c r="U218" s="158" t="s">
        <v>976</v>
      </c>
      <c r="V218" s="231" t="s">
        <v>977</v>
      </c>
      <c r="W218" s="382"/>
      <c r="X218" s="189"/>
      <c r="Y218" s="189"/>
      <c r="Z218" s="190"/>
      <c r="AA218" s="941"/>
      <c r="AB218" s="228"/>
      <c r="AC218" s="247" t="s">
        <v>978</v>
      </c>
      <c r="AD218" s="369" t="s">
        <v>979</v>
      </c>
      <c r="AE218" s="369" t="s">
        <v>980</v>
      </c>
      <c r="AF218" s="369"/>
      <c r="AH218" s="247" t="s">
        <v>981</v>
      </c>
      <c r="AI218" s="463" t="s">
        <v>375</v>
      </c>
    </row>
    <row r="219" spans="1:35">
      <c r="A219" s="163" t="s">
        <v>821</v>
      </c>
      <c r="B219" s="152">
        <v>17</v>
      </c>
      <c r="C219" s="164"/>
      <c r="D219" s="166"/>
      <c r="E219" s="166"/>
      <c r="F219" s="166"/>
      <c r="G219" s="164"/>
      <c r="H219" s="164"/>
      <c r="I219" s="164"/>
      <c r="J219" s="164"/>
      <c r="K219" s="164"/>
      <c r="L219" s="164"/>
      <c r="M219" s="164"/>
      <c r="N219" s="147"/>
      <c r="O219" s="164"/>
      <c r="P219" s="164"/>
      <c r="Q219" s="164"/>
      <c r="R219" s="164"/>
      <c r="S219" s="165"/>
      <c r="T219" s="165"/>
      <c r="U219" s="165"/>
      <c r="V219" s="264"/>
      <c r="W219" s="17"/>
      <c r="X219" s="164"/>
      <c r="Y219" s="164"/>
      <c r="Z219" s="184"/>
      <c r="AA219" s="17"/>
      <c r="AB219" s="232" t="s">
        <v>821</v>
      </c>
      <c r="AC219" s="152">
        <v>27</v>
      </c>
      <c r="AD219" s="147"/>
      <c r="AE219" s="147"/>
      <c r="AF219" s="147"/>
      <c r="AH219" s="152"/>
      <c r="AI219" s="147"/>
    </row>
    <row r="220" spans="1:35">
      <c r="A220" s="163" t="s">
        <v>822</v>
      </c>
      <c r="B220" s="152">
        <v>18</v>
      </c>
      <c r="C220" s="164"/>
      <c r="D220" s="166"/>
      <c r="E220" s="166"/>
      <c r="F220" s="166"/>
      <c r="G220" s="164"/>
      <c r="H220" s="164"/>
      <c r="I220" s="164"/>
      <c r="J220" s="164"/>
      <c r="K220" s="164"/>
      <c r="L220" s="164"/>
      <c r="M220" s="164"/>
      <c r="N220" s="147"/>
      <c r="O220" s="164"/>
      <c r="P220" s="164"/>
      <c r="Q220" s="164"/>
      <c r="R220" s="164"/>
      <c r="S220" s="165"/>
      <c r="T220" s="165"/>
      <c r="U220" s="165"/>
      <c r="V220" s="152"/>
      <c r="W220" s="17"/>
      <c r="X220" s="164"/>
      <c r="Y220" s="164"/>
      <c r="Z220" s="190"/>
      <c r="AA220" s="17"/>
      <c r="AB220" s="232" t="s">
        <v>822</v>
      </c>
      <c r="AC220" s="152">
        <v>28</v>
      </c>
      <c r="AD220" s="147"/>
      <c r="AE220" s="147"/>
      <c r="AF220" s="147"/>
      <c r="AH220" s="152"/>
      <c r="AI220" s="147"/>
    </row>
    <row r="221" spans="1:35">
      <c r="A221" s="163" t="s">
        <v>823</v>
      </c>
      <c r="B221" s="152">
        <v>19</v>
      </c>
      <c r="C221" s="164"/>
      <c r="D221" s="166"/>
      <c r="E221" s="166"/>
      <c r="F221" s="166"/>
      <c r="G221" s="164"/>
      <c r="H221" s="164"/>
      <c r="I221" s="164"/>
      <c r="J221" s="164"/>
      <c r="K221" s="164"/>
      <c r="L221" s="164"/>
      <c r="M221" s="164"/>
      <c r="N221" s="147"/>
      <c r="O221" s="164"/>
      <c r="P221" s="164"/>
      <c r="Q221" s="164"/>
      <c r="R221" s="164"/>
      <c r="S221" s="165"/>
      <c r="T221" s="165"/>
      <c r="U221" s="165"/>
      <c r="V221" s="152"/>
      <c r="W221" s="17"/>
      <c r="X221" s="17"/>
      <c r="Y221" s="164"/>
      <c r="Z221" s="191"/>
      <c r="AA221" s="17"/>
      <c r="AB221" s="232" t="s">
        <v>823</v>
      </c>
      <c r="AC221" s="152">
        <v>29</v>
      </c>
      <c r="AD221" s="147"/>
      <c r="AE221" s="147"/>
      <c r="AF221" s="147"/>
      <c r="AH221" s="152"/>
      <c r="AI221" s="147"/>
    </row>
    <row r="222" spans="1:35">
      <c r="A222" s="163" t="s">
        <v>824</v>
      </c>
      <c r="B222" s="152">
        <v>20</v>
      </c>
      <c r="C222" s="164"/>
      <c r="D222" s="166"/>
      <c r="E222" s="166"/>
      <c r="F222" s="166"/>
      <c r="G222" s="164"/>
      <c r="H222" s="164"/>
      <c r="I222" s="164"/>
      <c r="J222" s="164"/>
      <c r="K222" s="164"/>
      <c r="L222" s="164"/>
      <c r="M222" s="164"/>
      <c r="N222" s="147"/>
      <c r="O222" s="164"/>
      <c r="P222" s="164"/>
      <c r="Q222" s="164"/>
      <c r="R222" s="164"/>
      <c r="S222" s="165"/>
      <c r="T222" s="165"/>
      <c r="U222" s="165"/>
      <c r="V222" s="152"/>
      <c r="W222" s="17"/>
      <c r="X222" s="17"/>
      <c r="Y222" s="164"/>
      <c r="Z222" s="191"/>
      <c r="AA222" s="17"/>
      <c r="AB222" s="232" t="s">
        <v>824</v>
      </c>
      <c r="AC222" s="152">
        <v>30</v>
      </c>
      <c r="AD222" s="147"/>
      <c r="AE222" s="147"/>
      <c r="AF222" s="147"/>
      <c r="AH222" s="152"/>
      <c r="AI222" s="147"/>
    </row>
    <row r="223" spans="1:35">
      <c r="A223" s="163" t="s">
        <v>825</v>
      </c>
      <c r="B223" s="152">
        <v>21</v>
      </c>
      <c r="C223" s="164"/>
      <c r="D223" s="166"/>
      <c r="E223" s="166"/>
      <c r="F223" s="166"/>
      <c r="G223" s="164"/>
      <c r="H223" s="164"/>
      <c r="I223" s="164"/>
      <c r="J223" s="164"/>
      <c r="K223" s="164"/>
      <c r="L223" s="164"/>
      <c r="M223" s="164"/>
      <c r="N223" s="147"/>
      <c r="O223" s="164"/>
      <c r="P223" s="164"/>
      <c r="Q223" s="164"/>
      <c r="R223" s="164"/>
      <c r="S223" s="165"/>
      <c r="T223" s="165"/>
      <c r="U223" s="165"/>
      <c r="V223" s="152"/>
      <c r="W223" s="17"/>
      <c r="X223" s="17"/>
      <c r="Y223" s="164"/>
      <c r="Z223" s="191"/>
      <c r="AA223" s="17"/>
      <c r="AB223" s="232" t="s">
        <v>825</v>
      </c>
      <c r="AC223" s="152">
        <v>31</v>
      </c>
      <c r="AD223" s="147"/>
      <c r="AE223" s="147"/>
      <c r="AF223" s="147"/>
      <c r="AH223" s="152"/>
      <c r="AI223" s="147"/>
    </row>
    <row r="224" spans="1:35">
      <c r="A224" s="163" t="s">
        <v>826</v>
      </c>
      <c r="B224" s="152">
        <v>22</v>
      </c>
      <c r="C224" s="164"/>
      <c r="D224" s="166"/>
      <c r="E224" s="166"/>
      <c r="F224" s="166"/>
      <c r="G224" s="164"/>
      <c r="H224" s="164"/>
      <c r="I224" s="164"/>
      <c r="J224" s="164"/>
      <c r="K224" s="164"/>
      <c r="L224" s="164"/>
      <c r="M224" s="164"/>
      <c r="N224" s="147"/>
      <c r="O224" s="164"/>
      <c r="P224" s="164"/>
      <c r="Q224" s="164"/>
      <c r="R224" s="164"/>
      <c r="S224" s="165"/>
      <c r="T224" s="165"/>
      <c r="U224" s="165"/>
      <c r="V224" s="152"/>
      <c r="W224" s="17"/>
      <c r="X224" s="17"/>
      <c r="Y224" s="164"/>
      <c r="Z224" s="191"/>
      <c r="AA224" s="17"/>
      <c r="AB224" s="232" t="s">
        <v>826</v>
      </c>
      <c r="AC224" s="152">
        <v>1</v>
      </c>
      <c r="AD224" s="147"/>
      <c r="AE224" s="147"/>
      <c r="AF224" s="147"/>
      <c r="AH224" s="152"/>
      <c r="AI224" s="147"/>
    </row>
    <row r="225" spans="1:38">
      <c r="A225" s="163" t="s">
        <v>827</v>
      </c>
      <c r="B225" s="152">
        <v>23</v>
      </c>
      <c r="C225" s="164"/>
      <c r="D225" s="166"/>
      <c r="E225" s="166"/>
      <c r="F225" s="166"/>
      <c r="G225" s="164"/>
      <c r="H225" s="164"/>
      <c r="I225" s="164"/>
      <c r="J225" s="164"/>
      <c r="K225" s="164"/>
      <c r="L225" s="164"/>
      <c r="M225" s="164"/>
      <c r="N225" s="147"/>
      <c r="O225" s="164"/>
      <c r="P225" s="164"/>
      <c r="Q225" s="164"/>
      <c r="R225" s="164"/>
      <c r="S225" s="165"/>
      <c r="T225" s="165"/>
      <c r="U225" s="165"/>
      <c r="V225" s="152"/>
      <c r="W225" s="17"/>
      <c r="X225" s="17"/>
      <c r="Y225" s="164"/>
      <c r="Z225" s="191"/>
      <c r="AA225" s="17"/>
      <c r="AB225" s="232" t="s">
        <v>827</v>
      </c>
      <c r="AC225" s="152">
        <v>2</v>
      </c>
      <c r="AD225" s="147"/>
      <c r="AE225" s="147"/>
      <c r="AF225" s="147"/>
      <c r="AH225" s="152"/>
      <c r="AI225" s="147"/>
    </row>
    <row r="226" spans="1:38">
      <c r="A226" s="163" t="s">
        <v>821</v>
      </c>
      <c r="B226" s="152">
        <v>24</v>
      </c>
      <c r="C226" s="164"/>
      <c r="D226" s="166"/>
      <c r="E226" s="166"/>
      <c r="F226" s="166"/>
      <c r="G226" s="164"/>
      <c r="H226" s="164"/>
      <c r="I226" s="164"/>
      <c r="J226" s="164"/>
      <c r="K226" s="164"/>
      <c r="L226" s="164"/>
      <c r="M226" s="164"/>
      <c r="N226" s="147"/>
      <c r="O226" s="164"/>
      <c r="P226" s="164"/>
      <c r="Q226" s="164"/>
      <c r="R226" s="164"/>
      <c r="S226" s="165"/>
      <c r="T226" s="165"/>
      <c r="U226" s="165"/>
      <c r="V226" s="152"/>
      <c r="W226" s="17"/>
      <c r="X226" s="17"/>
      <c r="Y226" s="164"/>
      <c r="Z226" s="191"/>
      <c r="AA226" s="17"/>
      <c r="AB226" s="232" t="s">
        <v>821</v>
      </c>
      <c r="AC226" s="152">
        <v>3</v>
      </c>
      <c r="AD226" s="147"/>
      <c r="AE226" s="147"/>
      <c r="AF226" s="147"/>
      <c r="AH226" s="152"/>
      <c r="AI226" s="147"/>
    </row>
    <row r="227" spans="1:38">
      <c r="A227" s="163" t="s">
        <v>822</v>
      </c>
      <c r="B227" s="152">
        <v>25</v>
      </c>
      <c r="C227" s="164"/>
      <c r="D227" s="166"/>
      <c r="E227" s="166"/>
      <c r="F227" s="166"/>
      <c r="G227" s="164"/>
      <c r="H227" s="164"/>
      <c r="I227" s="164"/>
      <c r="J227" s="164"/>
      <c r="K227" s="164"/>
      <c r="L227" s="164"/>
      <c r="M227" s="164"/>
      <c r="N227" s="147"/>
      <c r="O227" s="164"/>
      <c r="P227" s="164"/>
      <c r="Q227" s="164"/>
      <c r="R227" s="164"/>
      <c r="S227" s="165"/>
      <c r="T227" s="165"/>
      <c r="U227" s="165"/>
      <c r="V227" s="152"/>
      <c r="W227" s="17"/>
      <c r="X227" s="17"/>
      <c r="Y227" s="164"/>
      <c r="Z227" s="191"/>
      <c r="AA227" s="17"/>
      <c r="AB227" s="232" t="s">
        <v>822</v>
      </c>
      <c r="AC227" s="152">
        <v>4</v>
      </c>
      <c r="AD227" s="147"/>
      <c r="AE227" s="147"/>
      <c r="AF227" s="147"/>
      <c r="AH227" s="152"/>
      <c r="AI227" s="147"/>
    </row>
    <row r="228" spans="1:38">
      <c r="A228" s="163" t="s">
        <v>823</v>
      </c>
      <c r="B228" s="152">
        <v>26</v>
      </c>
      <c r="C228" s="164"/>
      <c r="D228" s="166"/>
      <c r="E228" s="166"/>
      <c r="F228" s="166"/>
      <c r="G228" s="164"/>
      <c r="H228" s="164"/>
      <c r="I228" s="164"/>
      <c r="J228" s="164"/>
      <c r="K228" s="164"/>
      <c r="L228" s="164"/>
      <c r="M228" s="164"/>
      <c r="N228" s="147"/>
      <c r="O228" s="164"/>
      <c r="P228" s="164"/>
      <c r="Q228" s="164"/>
      <c r="R228" s="164"/>
      <c r="S228" s="165"/>
      <c r="T228" s="165"/>
      <c r="U228" s="165"/>
      <c r="V228" s="152"/>
      <c r="W228" s="17"/>
      <c r="X228" s="17"/>
      <c r="Y228" s="164"/>
      <c r="Z228" s="194"/>
      <c r="AA228" s="17"/>
      <c r="AB228" s="232" t="s">
        <v>823</v>
      </c>
      <c r="AC228" s="152">
        <v>5</v>
      </c>
      <c r="AD228" s="147"/>
      <c r="AE228" s="147"/>
      <c r="AF228" s="147"/>
      <c r="AH228" s="152"/>
      <c r="AI228" s="147"/>
    </row>
    <row r="229" spans="1:38">
      <c r="A229" s="942" t="s">
        <v>824</v>
      </c>
      <c r="B229" s="152">
        <v>27</v>
      </c>
      <c r="C229" s="164"/>
      <c r="D229" s="166"/>
      <c r="E229" s="166"/>
      <c r="F229" s="166"/>
      <c r="G229" s="164"/>
      <c r="H229" s="164"/>
      <c r="I229" s="164"/>
      <c r="J229" s="164"/>
      <c r="K229" s="164"/>
      <c r="L229" s="164"/>
      <c r="M229" s="164"/>
      <c r="N229" s="147"/>
      <c r="O229" s="164"/>
      <c r="P229" s="164"/>
      <c r="Q229" s="164"/>
      <c r="R229" s="164"/>
      <c r="S229" s="165"/>
      <c r="T229" s="165"/>
      <c r="U229" s="165"/>
      <c r="V229" s="152"/>
      <c r="W229" s="17"/>
      <c r="X229" s="17"/>
      <c r="Y229" s="164"/>
      <c r="Z229" s="194"/>
      <c r="AA229" s="17"/>
      <c r="AB229" s="232" t="s">
        <v>824</v>
      </c>
      <c r="AC229" s="152">
        <v>6</v>
      </c>
      <c r="AD229" s="147"/>
      <c r="AE229" s="147"/>
      <c r="AF229" s="147"/>
      <c r="AH229" s="152"/>
      <c r="AI229" s="147"/>
    </row>
    <row r="230" spans="1:38">
      <c r="A230" s="163" t="s">
        <v>825</v>
      </c>
      <c r="B230" s="152">
        <v>28</v>
      </c>
      <c r="C230" s="164"/>
      <c r="D230" s="166"/>
      <c r="E230" s="166"/>
      <c r="F230" s="166"/>
      <c r="G230" s="164"/>
      <c r="H230" s="164"/>
      <c r="I230" s="164"/>
      <c r="J230" s="164"/>
      <c r="K230" s="164"/>
      <c r="L230" s="164"/>
      <c r="M230" s="164"/>
      <c r="N230" s="147"/>
      <c r="O230" s="164"/>
      <c r="P230" s="164"/>
      <c r="Q230" s="164"/>
      <c r="R230" s="164"/>
      <c r="S230" s="165"/>
      <c r="T230" s="165"/>
      <c r="U230" s="165"/>
      <c r="V230" s="152"/>
      <c r="W230" s="17"/>
      <c r="X230" s="164"/>
      <c r="Y230" s="164"/>
      <c r="Z230" s="194"/>
      <c r="AA230" s="17"/>
      <c r="AB230" s="232" t="s">
        <v>825</v>
      </c>
      <c r="AC230" s="152">
        <v>7</v>
      </c>
      <c r="AD230" s="147"/>
      <c r="AE230" s="147"/>
      <c r="AF230" s="147"/>
      <c r="AH230" s="152"/>
      <c r="AI230" s="147"/>
    </row>
    <row r="231" spans="1:38">
      <c r="A231" s="163" t="s">
        <v>826</v>
      </c>
      <c r="B231" s="152">
        <v>29</v>
      </c>
      <c r="C231" s="164"/>
      <c r="D231" s="166"/>
      <c r="E231" s="166"/>
      <c r="F231" s="166"/>
      <c r="G231" s="164"/>
      <c r="H231" s="164"/>
      <c r="I231" s="164"/>
      <c r="J231" s="164"/>
      <c r="K231" s="164"/>
      <c r="L231" s="164"/>
      <c r="M231" s="164"/>
      <c r="N231" s="147"/>
      <c r="O231" s="164"/>
      <c r="P231" s="164"/>
      <c r="Q231" s="164"/>
      <c r="R231" s="164"/>
      <c r="S231" s="165"/>
      <c r="T231" s="165"/>
      <c r="U231" s="165"/>
      <c r="V231" s="234"/>
      <c r="W231" s="17"/>
      <c r="X231" s="164"/>
      <c r="Y231" s="164"/>
      <c r="Z231" s="194"/>
      <c r="AA231" s="17"/>
      <c r="AB231" s="232" t="s">
        <v>826</v>
      </c>
      <c r="AC231" s="152">
        <v>8</v>
      </c>
      <c r="AD231" s="147"/>
      <c r="AE231" s="147"/>
      <c r="AF231" s="147"/>
      <c r="AH231" s="152"/>
      <c r="AI231" s="147"/>
    </row>
    <row r="232" spans="1:38" ht="15.75" thickBot="1">
      <c r="A232" s="163" t="s">
        <v>827</v>
      </c>
      <c r="B232" s="152">
        <v>30</v>
      </c>
      <c r="C232" s="164"/>
      <c r="D232" s="166"/>
      <c r="E232" s="166"/>
      <c r="F232" s="166"/>
      <c r="G232" s="164"/>
      <c r="H232" s="164"/>
      <c r="I232" s="164"/>
      <c r="J232" s="164"/>
      <c r="K232" s="164"/>
      <c r="L232" s="164"/>
      <c r="M232" s="164"/>
      <c r="N232" s="147"/>
      <c r="O232" s="164"/>
      <c r="P232" s="164"/>
      <c r="Q232" s="164"/>
      <c r="R232" s="164"/>
      <c r="S232" s="165"/>
      <c r="T232" s="165"/>
      <c r="U232" s="165"/>
      <c r="V232" s="152"/>
      <c r="W232" s="17"/>
      <c r="X232" s="164"/>
      <c r="Y232" s="164"/>
      <c r="Z232" s="194"/>
      <c r="AA232" s="17"/>
      <c r="AB232" s="232" t="s">
        <v>827</v>
      </c>
      <c r="AC232" s="152">
        <v>9</v>
      </c>
      <c r="AD232" s="147"/>
      <c r="AE232" s="147"/>
      <c r="AF232" s="147"/>
      <c r="AH232" s="152"/>
      <c r="AI232" s="147"/>
    </row>
    <row r="233" spans="1:38" ht="16.5" thickBot="1">
      <c r="A233" s="195"/>
      <c r="B233" s="383">
        <f>SUM(C233:AA233)+AC233+AH233</f>
        <v>0</v>
      </c>
      <c r="C233" s="177">
        <f>SUM(C219:C232)</f>
        <v>0</v>
      </c>
      <c r="D233" s="177">
        <f>SUM(D219:D232)</f>
        <v>0</v>
      </c>
      <c r="E233" s="177">
        <f>SUM(E219:E232)</f>
        <v>0</v>
      </c>
      <c r="F233" s="177">
        <f t="shared" ref="F233:Z233" si="31">SUM(F219:F232)</f>
        <v>0</v>
      </c>
      <c r="G233" s="177">
        <f>SUM(G219:G232)</f>
        <v>0</v>
      </c>
      <c r="H233" s="177">
        <f>SUM(H219:H232)</f>
        <v>0</v>
      </c>
      <c r="I233" s="177">
        <f t="shared" si="31"/>
        <v>0</v>
      </c>
      <c r="J233" s="177">
        <f t="shared" si="31"/>
        <v>0</v>
      </c>
      <c r="K233" s="177">
        <f t="shared" si="31"/>
        <v>0</v>
      </c>
      <c r="L233" s="177">
        <f t="shared" si="31"/>
        <v>0</v>
      </c>
      <c r="M233" s="177">
        <f t="shared" si="31"/>
        <v>0</v>
      </c>
      <c r="N233" s="147">
        <f>SUM(N219:N232)</f>
        <v>0</v>
      </c>
      <c r="O233" s="177">
        <f t="shared" si="31"/>
        <v>0</v>
      </c>
      <c r="P233" s="177">
        <f>SUM(P219:P232)</f>
        <v>0</v>
      </c>
      <c r="Q233" s="177">
        <f>SUM(Q219:Q232)</f>
        <v>0</v>
      </c>
      <c r="R233" s="177">
        <f>SUM(R219:R232)</f>
        <v>0</v>
      </c>
      <c r="S233" s="177">
        <f t="shared" si="31"/>
        <v>0</v>
      </c>
      <c r="T233" s="177">
        <f>SUM(T219:T232)</f>
        <v>0</v>
      </c>
      <c r="U233" s="177">
        <f>SUM(U219:U232)</f>
        <v>0</v>
      </c>
      <c r="V233" s="177">
        <f t="shared" si="31"/>
        <v>0</v>
      </c>
      <c r="W233" s="177">
        <f t="shared" si="31"/>
        <v>0</v>
      </c>
      <c r="X233" s="177">
        <f t="shared" si="31"/>
        <v>0</v>
      </c>
      <c r="Y233" s="177">
        <f t="shared" si="31"/>
        <v>0</v>
      </c>
      <c r="Z233" s="177">
        <f t="shared" si="31"/>
        <v>0</v>
      </c>
      <c r="AA233" s="196"/>
      <c r="AB233" s="175" t="s">
        <v>791</v>
      </c>
      <c r="AC233" s="176">
        <f>SUM(AD233:AF233)</f>
        <v>0</v>
      </c>
      <c r="AD233" s="147">
        <f>SUM(AD219:AD232)</f>
        <v>0</v>
      </c>
      <c r="AE233" s="147">
        <f>SUM(AE219:AE232)</f>
        <v>0</v>
      </c>
      <c r="AF233" s="147">
        <f>SUM(AF219:AF232)</f>
        <v>0</v>
      </c>
      <c r="AH233" s="176">
        <f>SUM(AI233:AK233)</f>
        <v>0</v>
      </c>
      <c r="AI233" s="147">
        <f>SUM(AI219:AI232)</f>
        <v>0</v>
      </c>
    </row>
    <row r="234" spans="1:38">
      <c r="R234" s="65"/>
      <c r="S234" s="65"/>
      <c r="W234" s="65"/>
      <c r="X234" s="65"/>
      <c r="Y234" s="65"/>
      <c r="Z234" s="65"/>
      <c r="AA234" s="65"/>
      <c r="AB234" s="65"/>
      <c r="AC234" s="65"/>
      <c r="AD234" s="65"/>
      <c r="AE234" s="65"/>
      <c r="AF234" s="65"/>
      <c r="AG234" s="65"/>
      <c r="AH234" s="65"/>
      <c r="AI234" s="65"/>
      <c r="AJ234" s="65"/>
      <c r="AK234" s="65"/>
      <c r="AL234" s="65"/>
    </row>
    <row r="235" spans="1:38" ht="15.75" thickBot="1"/>
    <row r="236" spans="1:38" ht="15.75" thickBot="1">
      <c r="A236" s="1024" t="s">
        <v>488</v>
      </c>
      <c r="B236" s="1025"/>
      <c r="C236" s="1025"/>
      <c r="D236" s="1025"/>
      <c r="E236" s="1025"/>
      <c r="F236" s="1025"/>
      <c r="G236" s="1025"/>
      <c r="H236" s="1025"/>
      <c r="I236" s="1025"/>
      <c r="J236" s="1025"/>
      <c r="K236" s="1025"/>
      <c r="L236" s="1025"/>
      <c r="M236" s="1025"/>
      <c r="N236" s="1025"/>
      <c r="O236" s="1025"/>
      <c r="P236" s="1025"/>
      <c r="Q236" s="1025"/>
      <c r="R236" s="1025"/>
      <c r="S236" s="1025"/>
      <c r="T236" s="1025" t="s">
        <v>820</v>
      </c>
      <c r="U236" s="1025"/>
      <c r="V236" s="1025"/>
      <c r="W236" s="1025"/>
      <c r="X236" s="1025"/>
      <c r="Y236" s="384"/>
    </row>
    <row r="237" spans="1:38" ht="59.25" customHeight="1">
      <c r="A237" s="155"/>
      <c r="B237" s="247" t="s">
        <v>901</v>
      </c>
      <c r="C237" s="387" t="s">
        <v>982</v>
      </c>
      <c r="D237" s="562" t="s">
        <v>983</v>
      </c>
      <c r="E237" s="562" t="s">
        <v>984</v>
      </c>
      <c r="F237" s="636" t="s">
        <v>985</v>
      </c>
      <c r="G237" s="638" t="s">
        <v>986</v>
      </c>
      <c r="H237" s="637" t="s">
        <v>987</v>
      </c>
      <c r="I237" s="636"/>
      <c r="J237" s="636"/>
      <c r="K237" s="636"/>
      <c r="L237" s="638"/>
      <c r="M237" s="638"/>
      <c r="N237" s="638"/>
      <c r="O237" s="638"/>
      <c r="P237" s="638"/>
      <c r="Q237" s="636"/>
      <c r="R237" s="636"/>
      <c r="S237" s="636"/>
      <c r="T237" s="228"/>
      <c r="U237" s="247"/>
      <c r="V237" s="369"/>
      <c r="W237" s="369"/>
      <c r="X237" s="369"/>
    </row>
    <row r="238" spans="1:38">
      <c r="A238" s="163" t="s">
        <v>821</v>
      </c>
      <c r="B238" s="152">
        <v>9</v>
      </c>
      <c r="C238" s="152"/>
      <c r="D238" s="152"/>
      <c r="E238" s="164"/>
      <c r="F238" s="152"/>
      <c r="G238" s="164"/>
      <c r="H238" s="152"/>
      <c r="I238" s="152"/>
      <c r="J238" s="152"/>
      <c r="K238" s="152"/>
      <c r="L238" s="164"/>
      <c r="M238" s="164"/>
      <c r="N238" s="164"/>
      <c r="O238" s="164"/>
      <c r="P238" s="164"/>
      <c r="Q238" s="152"/>
      <c r="R238" s="164"/>
      <c r="S238" s="164"/>
      <c r="T238" s="232" t="s">
        <v>821</v>
      </c>
      <c r="U238" s="152"/>
      <c r="V238" s="147"/>
      <c r="W238" s="147"/>
      <c r="X238" s="147"/>
    </row>
    <row r="239" spans="1:38">
      <c r="A239" s="163" t="s">
        <v>822</v>
      </c>
      <c r="B239" s="152">
        <v>10</v>
      </c>
      <c r="C239" s="152"/>
      <c r="D239" s="152"/>
      <c r="E239" s="164"/>
      <c r="F239" s="152"/>
      <c r="G239" s="164"/>
      <c r="H239" s="152"/>
      <c r="I239" s="152"/>
      <c r="J239" s="152"/>
      <c r="K239" s="152"/>
      <c r="L239" s="164"/>
      <c r="M239" s="164"/>
      <c r="N239" s="164"/>
      <c r="O239" s="164"/>
      <c r="P239" s="164"/>
      <c r="Q239" s="152"/>
      <c r="R239" s="164"/>
      <c r="S239" s="164"/>
      <c r="T239" s="232" t="s">
        <v>822</v>
      </c>
      <c r="U239" s="152"/>
      <c r="V239" s="147"/>
      <c r="W239" s="147"/>
      <c r="X239" s="147"/>
    </row>
    <row r="240" spans="1:38">
      <c r="A240" s="163" t="s">
        <v>823</v>
      </c>
      <c r="B240" s="152">
        <v>11</v>
      </c>
      <c r="C240" s="152"/>
      <c r="D240" s="193"/>
      <c r="E240" s="193"/>
      <c r="F240" s="193"/>
      <c r="G240" s="164"/>
      <c r="H240" s="152"/>
      <c r="I240" s="152"/>
      <c r="J240" s="152"/>
      <c r="K240" s="152"/>
      <c r="L240" s="164"/>
      <c r="M240" s="164"/>
      <c r="N240" s="164"/>
      <c r="O240" s="164"/>
      <c r="P240" s="164"/>
      <c r="Q240" s="152"/>
      <c r="R240" s="164"/>
      <c r="S240" s="164"/>
      <c r="T240" s="232" t="s">
        <v>823</v>
      </c>
      <c r="U240" s="152"/>
      <c r="V240" s="147"/>
      <c r="W240" s="147"/>
      <c r="X240" s="147"/>
    </row>
    <row r="241" spans="1:25">
      <c r="A241" s="163" t="s">
        <v>824</v>
      </c>
      <c r="B241" s="152">
        <v>12</v>
      </c>
      <c r="C241" s="152"/>
      <c r="D241" s="152"/>
      <c r="E241" s="164"/>
      <c r="F241" s="152"/>
      <c r="G241" s="164"/>
      <c r="H241" s="152"/>
      <c r="I241" s="152"/>
      <c r="J241" s="152"/>
      <c r="K241" s="152"/>
      <c r="L241" s="164"/>
      <c r="M241" s="164"/>
      <c r="N241" s="164"/>
      <c r="O241" s="164"/>
      <c r="P241" s="164"/>
      <c r="Q241" s="152"/>
      <c r="R241" s="164"/>
      <c r="S241" s="164"/>
      <c r="T241" s="232" t="s">
        <v>824</v>
      </c>
      <c r="U241" s="152"/>
      <c r="V241" s="147"/>
      <c r="W241" s="147"/>
      <c r="X241" s="147"/>
    </row>
    <row r="242" spans="1:25">
      <c r="A242" s="163" t="s">
        <v>825</v>
      </c>
      <c r="B242" s="152">
        <v>13</v>
      </c>
      <c r="C242" s="152"/>
      <c r="D242" s="152"/>
      <c r="E242" s="164"/>
      <c r="F242" s="152"/>
      <c r="G242" s="164"/>
      <c r="H242" s="152"/>
      <c r="I242" s="152"/>
      <c r="J242" s="152"/>
      <c r="K242" s="152"/>
      <c r="L242" s="164"/>
      <c r="M242" s="164"/>
      <c r="N242" s="164"/>
      <c r="O242" s="164"/>
      <c r="P242" s="164"/>
      <c r="Q242" s="152"/>
      <c r="R242" s="164"/>
      <c r="S242" s="164"/>
      <c r="T242" s="232" t="s">
        <v>825</v>
      </c>
      <c r="U242" s="152"/>
      <c r="V242" s="147"/>
      <c r="W242" s="147"/>
      <c r="X242" s="147"/>
    </row>
    <row r="243" spans="1:25">
      <c r="A243" s="163" t="s">
        <v>826</v>
      </c>
      <c r="B243" s="152">
        <v>14</v>
      </c>
      <c r="C243" s="152"/>
      <c r="D243" s="152"/>
      <c r="E243" s="164"/>
      <c r="F243" s="152"/>
      <c r="G243" s="164"/>
      <c r="H243" s="152"/>
      <c r="I243" s="152"/>
      <c r="J243" s="152"/>
      <c r="K243" s="152"/>
      <c r="L243" s="164"/>
      <c r="M243" s="164"/>
      <c r="N243" s="164"/>
      <c r="O243" s="164"/>
      <c r="P243" s="164"/>
      <c r="Q243" s="152"/>
      <c r="R243" s="164"/>
      <c r="S243" s="164"/>
      <c r="T243" s="232" t="s">
        <v>826</v>
      </c>
      <c r="U243" s="152"/>
      <c r="V243" s="147"/>
      <c r="W243" s="147"/>
      <c r="X243" s="147"/>
    </row>
    <row r="244" spans="1:25">
      <c r="A244" s="163" t="s">
        <v>827</v>
      </c>
      <c r="B244" s="152">
        <v>15</v>
      </c>
      <c r="C244" s="152"/>
      <c r="D244" s="152"/>
      <c r="E244" s="152"/>
      <c r="F244" s="152"/>
      <c r="G244" s="152"/>
      <c r="H244" s="152"/>
      <c r="I244" s="152"/>
      <c r="J244" s="152"/>
      <c r="K244" s="152"/>
      <c r="L244" s="164"/>
      <c r="M244" s="164"/>
      <c r="N244" s="164"/>
      <c r="O244" s="164"/>
      <c r="P244" s="164"/>
      <c r="Q244" s="152"/>
      <c r="R244" s="126"/>
      <c r="S244" s="126"/>
      <c r="T244" s="232" t="s">
        <v>827</v>
      </c>
      <c r="U244" s="152"/>
      <c r="V244" s="147"/>
      <c r="W244" s="147"/>
      <c r="X244" s="147"/>
    </row>
    <row r="245" spans="1:25">
      <c r="A245" s="163" t="s">
        <v>821</v>
      </c>
      <c r="B245" s="152">
        <v>16</v>
      </c>
      <c r="C245" s="152"/>
      <c r="D245" s="152"/>
      <c r="E245" s="164"/>
      <c r="F245" s="152"/>
      <c r="G245" s="164"/>
      <c r="H245" s="152"/>
      <c r="I245" s="152"/>
      <c r="J245" s="152"/>
      <c r="K245" s="152"/>
      <c r="L245" s="164"/>
      <c r="M245" s="164"/>
      <c r="N245" s="164"/>
      <c r="O245" s="164"/>
      <c r="P245" s="164"/>
      <c r="Q245" s="152"/>
      <c r="R245" s="164"/>
      <c r="S245" s="164"/>
      <c r="T245" s="232" t="s">
        <v>821</v>
      </c>
      <c r="U245" s="152"/>
      <c r="V245" s="147"/>
      <c r="W245" s="147"/>
      <c r="X245" s="147"/>
    </row>
    <row r="246" spans="1:25">
      <c r="A246" s="163" t="s">
        <v>822</v>
      </c>
      <c r="B246" s="152">
        <v>17</v>
      </c>
      <c r="C246" s="152"/>
      <c r="D246" s="152"/>
      <c r="E246" s="164"/>
      <c r="F246" s="152"/>
      <c r="G246" s="164"/>
      <c r="H246" s="152"/>
      <c r="I246" s="152"/>
      <c r="J246" s="152"/>
      <c r="K246" s="152"/>
      <c r="L246" s="164"/>
      <c r="M246" s="164"/>
      <c r="N246" s="164"/>
      <c r="O246" s="164"/>
      <c r="P246" s="164"/>
      <c r="Q246" s="152"/>
      <c r="R246" s="126"/>
      <c r="S246" s="126"/>
      <c r="T246" s="232" t="s">
        <v>822</v>
      </c>
      <c r="U246" s="152"/>
      <c r="V246" s="147"/>
      <c r="W246" s="147"/>
      <c r="X246" s="147"/>
    </row>
    <row r="247" spans="1:25">
      <c r="A247" s="163" t="s">
        <v>823</v>
      </c>
      <c r="B247" s="152">
        <v>18</v>
      </c>
      <c r="C247" s="152"/>
      <c r="D247" s="152"/>
      <c r="E247" s="164"/>
      <c r="F247" s="169"/>
      <c r="G247" s="169"/>
      <c r="H247" s="169"/>
      <c r="I247" s="169"/>
      <c r="J247" s="169"/>
      <c r="K247" s="169"/>
      <c r="L247" s="169"/>
      <c r="M247" s="169"/>
      <c r="N247" s="169"/>
      <c r="O247" s="169"/>
      <c r="P247" s="169"/>
      <c r="Q247" s="169"/>
      <c r="R247" s="169"/>
      <c r="S247" s="169"/>
      <c r="T247" s="232" t="s">
        <v>823</v>
      </c>
      <c r="U247" s="152"/>
      <c r="V247" s="147"/>
      <c r="W247" s="147"/>
      <c r="X247" s="147"/>
    </row>
    <row r="248" spans="1:25">
      <c r="A248" s="163" t="s">
        <v>824</v>
      </c>
      <c r="B248" s="152">
        <v>19</v>
      </c>
      <c r="C248" s="152"/>
      <c r="D248" s="152"/>
      <c r="E248" s="164"/>
      <c r="F248" s="372"/>
      <c r="G248" s="169"/>
      <c r="H248" s="372"/>
      <c r="I248" s="372"/>
      <c r="J248" s="372"/>
      <c r="K248" s="372"/>
      <c r="L248" s="169"/>
      <c r="M248" s="169"/>
      <c r="N248" s="169"/>
      <c r="O248" s="169"/>
      <c r="P248" s="169"/>
      <c r="Q248" s="372"/>
      <c r="R248" s="372"/>
      <c r="S248" s="372"/>
      <c r="T248" s="232" t="s">
        <v>824</v>
      </c>
      <c r="U248" s="152"/>
      <c r="V248" s="147"/>
      <c r="W248" s="147"/>
      <c r="X248" s="147"/>
    </row>
    <row r="249" spans="1:25">
      <c r="A249" s="163" t="s">
        <v>825</v>
      </c>
      <c r="B249" s="152">
        <v>20</v>
      </c>
      <c r="C249" s="152"/>
      <c r="D249" s="152"/>
      <c r="E249" s="164"/>
      <c r="F249" s="169"/>
      <c r="G249" s="169"/>
      <c r="H249" s="169"/>
      <c r="I249" s="169"/>
      <c r="J249" s="169"/>
      <c r="K249" s="169"/>
      <c r="L249" s="169"/>
      <c r="M249" s="169"/>
      <c r="N249" s="169"/>
      <c r="O249" s="169"/>
      <c r="P249" s="169"/>
      <c r="Q249" s="169"/>
      <c r="R249" s="169"/>
      <c r="S249" s="169"/>
      <c r="T249" s="232" t="s">
        <v>825</v>
      </c>
      <c r="U249" s="152"/>
      <c r="V249" s="147"/>
      <c r="W249" s="147"/>
      <c r="X249" s="147"/>
    </row>
    <row r="250" spans="1:25">
      <c r="A250" s="163" t="s">
        <v>826</v>
      </c>
      <c r="B250" s="152">
        <v>21</v>
      </c>
      <c r="C250" s="372"/>
      <c r="D250" s="372"/>
      <c r="E250" s="164"/>
      <c r="F250" s="372"/>
      <c r="G250" s="169"/>
      <c r="H250" s="372"/>
      <c r="I250" s="372"/>
      <c r="J250" s="372"/>
      <c r="K250" s="372"/>
      <c r="L250" s="169"/>
      <c r="M250" s="169"/>
      <c r="N250" s="169"/>
      <c r="O250" s="169"/>
      <c r="P250" s="169"/>
      <c r="Q250" s="372"/>
      <c r="R250" s="372"/>
      <c r="S250" s="372"/>
      <c r="T250" s="232" t="s">
        <v>826</v>
      </c>
      <c r="U250" s="152"/>
      <c r="V250" s="147"/>
      <c r="W250" s="147"/>
      <c r="X250" s="147"/>
    </row>
    <row r="251" spans="1:25" ht="15.75" thickBot="1">
      <c r="A251" s="163" t="s">
        <v>827</v>
      </c>
      <c r="B251" s="152">
        <v>22</v>
      </c>
      <c r="C251" s="372"/>
      <c r="D251" s="169"/>
      <c r="E251" s="164"/>
      <c r="F251" s="169"/>
      <c r="G251" s="169"/>
      <c r="H251" s="169"/>
      <c r="I251" s="169"/>
      <c r="J251" s="169"/>
      <c r="K251" s="169"/>
      <c r="L251" s="169"/>
      <c r="M251" s="169"/>
      <c r="N251" s="169"/>
      <c r="O251" s="169"/>
      <c r="P251" s="169"/>
      <c r="Q251" s="169"/>
      <c r="R251" s="169"/>
      <c r="S251" s="169"/>
      <c r="T251" s="232" t="s">
        <v>827</v>
      </c>
      <c r="U251" s="152"/>
      <c r="V251" s="147"/>
      <c r="W251" s="147"/>
      <c r="X251" s="147"/>
    </row>
    <row r="252" spans="1:25" ht="16.5" thickBot="1">
      <c r="A252" s="175" t="s">
        <v>791</v>
      </c>
      <c r="B252" s="176">
        <f>SUM(C252:S252)+U252</f>
        <v>0</v>
      </c>
      <c r="C252" s="173">
        <f t="shared" ref="C252:S252" si="32">SUM(C238:C251)</f>
        <v>0</v>
      </c>
      <c r="D252" s="173">
        <f t="shared" si="32"/>
        <v>0</v>
      </c>
      <c r="E252" s="273">
        <f t="shared" si="32"/>
        <v>0</v>
      </c>
      <c r="F252" s="173">
        <f t="shared" si="32"/>
        <v>0</v>
      </c>
      <c r="G252" s="173">
        <f t="shared" si="32"/>
        <v>0</v>
      </c>
      <c r="H252" s="173">
        <f t="shared" si="32"/>
        <v>0</v>
      </c>
      <c r="I252" s="173">
        <f t="shared" si="32"/>
        <v>0</v>
      </c>
      <c r="J252" s="173">
        <f t="shared" si="32"/>
        <v>0</v>
      </c>
      <c r="K252" s="173">
        <f t="shared" si="32"/>
        <v>0</v>
      </c>
      <c r="L252" s="173">
        <f t="shared" si="32"/>
        <v>0</v>
      </c>
      <c r="M252" s="173">
        <f t="shared" si="32"/>
        <v>0</v>
      </c>
      <c r="N252" s="173">
        <f t="shared" si="32"/>
        <v>0</v>
      </c>
      <c r="O252" s="173">
        <f t="shared" si="32"/>
        <v>0</v>
      </c>
      <c r="P252" s="173">
        <f t="shared" si="32"/>
        <v>0</v>
      </c>
      <c r="Q252" s="173">
        <f t="shared" si="32"/>
        <v>0</v>
      </c>
      <c r="R252" s="173">
        <f t="shared" si="32"/>
        <v>0</v>
      </c>
      <c r="S252" s="173">
        <f t="shared" si="32"/>
        <v>0</v>
      </c>
      <c r="T252" s="175" t="s">
        <v>791</v>
      </c>
      <c r="U252" s="176">
        <f>SUM(V252:X252)</f>
        <v>0</v>
      </c>
      <c r="V252" s="147">
        <f>SUM(V238:V251)</f>
        <v>0</v>
      </c>
      <c r="W252" s="147">
        <f>SUM(W238:W251)</f>
        <v>0</v>
      </c>
      <c r="X252" s="147">
        <f>SUM(X238:X251)</f>
        <v>0</v>
      </c>
    </row>
    <row r="253" spans="1:25" ht="15.75" thickBot="1"/>
    <row r="254" spans="1:25" ht="15.75" thickBot="1">
      <c r="A254" s="1024" t="s">
        <v>988</v>
      </c>
      <c r="B254" s="1025"/>
      <c r="C254" s="1025"/>
      <c r="D254" s="1025"/>
      <c r="E254" s="1025"/>
      <c r="F254" s="1025"/>
      <c r="G254" s="1025"/>
      <c r="H254" s="1025"/>
      <c r="I254" s="1025"/>
      <c r="J254" s="1025"/>
      <c r="K254" s="1025"/>
      <c r="L254" s="1025"/>
      <c r="M254" s="1025"/>
      <c r="N254" s="1025"/>
      <c r="O254" s="1025"/>
      <c r="P254" s="1025"/>
      <c r="Q254" s="1025"/>
      <c r="R254" s="1025"/>
      <c r="S254" s="1025"/>
      <c r="T254" s="1025" t="s">
        <v>820</v>
      </c>
      <c r="U254" s="1025"/>
      <c r="V254" s="1025"/>
      <c r="W254" s="1025"/>
      <c r="X254" s="1025"/>
      <c r="Y254" s="384"/>
    </row>
    <row r="255" spans="1:25" ht="59.25" customHeight="1">
      <c r="A255" s="155"/>
      <c r="B255" s="247" t="s">
        <v>896</v>
      </c>
      <c r="C255" s="387" t="s">
        <v>46</v>
      </c>
      <c r="D255" s="562" t="s">
        <v>47</v>
      </c>
      <c r="E255" s="562" t="s">
        <v>547</v>
      </c>
      <c r="F255" s="636" t="s">
        <v>49</v>
      </c>
      <c r="G255" s="638" t="s">
        <v>989</v>
      </c>
      <c r="H255" s="637"/>
      <c r="I255" s="636"/>
      <c r="J255" s="636"/>
      <c r="K255" s="636"/>
      <c r="L255" s="638"/>
      <c r="M255" s="638"/>
      <c r="N255" s="638"/>
      <c r="O255" s="638"/>
      <c r="P255" s="638"/>
      <c r="Q255" s="636"/>
      <c r="R255" s="636"/>
      <c r="S255" s="636"/>
      <c r="T255" s="228"/>
      <c r="U255" s="247"/>
      <c r="V255" s="369"/>
      <c r="W255" s="369"/>
      <c r="X255" s="369"/>
    </row>
    <row r="256" spans="1:25">
      <c r="A256" s="163" t="s">
        <v>821</v>
      </c>
      <c r="B256" s="152">
        <v>12</v>
      </c>
      <c r="C256" s="152"/>
      <c r="D256" s="152"/>
      <c r="E256" s="164"/>
      <c r="F256" s="152"/>
      <c r="G256" s="164"/>
      <c r="H256" s="152"/>
      <c r="I256" s="152"/>
      <c r="J256" s="152"/>
      <c r="K256" s="152"/>
      <c r="L256" s="164"/>
      <c r="M256" s="164"/>
      <c r="N256" s="164"/>
      <c r="O256" s="164"/>
      <c r="P256" s="164"/>
      <c r="Q256" s="152"/>
      <c r="R256" s="164"/>
      <c r="S256" s="164"/>
      <c r="T256" s="232" t="s">
        <v>821</v>
      </c>
      <c r="U256" s="152"/>
      <c r="V256" s="147"/>
      <c r="W256" s="147"/>
      <c r="X256" s="147"/>
    </row>
    <row r="257" spans="1:25">
      <c r="A257" s="163" t="s">
        <v>822</v>
      </c>
      <c r="B257" s="152">
        <v>13</v>
      </c>
      <c r="C257" s="152"/>
      <c r="D257" s="152"/>
      <c r="E257" s="164"/>
      <c r="F257" s="152"/>
      <c r="G257" s="164"/>
      <c r="H257" s="152"/>
      <c r="I257" s="152"/>
      <c r="J257" s="152"/>
      <c r="K257" s="152"/>
      <c r="L257" s="164"/>
      <c r="M257" s="164"/>
      <c r="N257" s="164"/>
      <c r="O257" s="164"/>
      <c r="P257" s="164"/>
      <c r="Q257" s="152"/>
      <c r="R257" s="164"/>
      <c r="S257" s="164"/>
      <c r="T257" s="232" t="s">
        <v>822</v>
      </c>
      <c r="U257" s="152"/>
      <c r="V257" s="147"/>
      <c r="W257" s="147"/>
      <c r="X257" s="147"/>
    </row>
    <row r="258" spans="1:25">
      <c r="A258" s="163" t="s">
        <v>823</v>
      </c>
      <c r="B258" s="152">
        <v>14</v>
      </c>
      <c r="C258" s="152"/>
      <c r="D258" s="193"/>
      <c r="E258" s="193"/>
      <c r="F258" s="193"/>
      <c r="G258" s="164"/>
      <c r="H258" s="152"/>
      <c r="I258" s="152"/>
      <c r="J258" s="152"/>
      <c r="K258" s="152"/>
      <c r="L258" s="164"/>
      <c r="M258" s="164"/>
      <c r="N258" s="164"/>
      <c r="O258" s="164"/>
      <c r="P258" s="164"/>
      <c r="Q258" s="152"/>
      <c r="R258" s="164"/>
      <c r="S258" s="164"/>
      <c r="T258" s="232" t="s">
        <v>823</v>
      </c>
      <c r="U258" s="152"/>
      <c r="V258" s="147"/>
      <c r="W258" s="147"/>
      <c r="X258" s="147"/>
    </row>
    <row r="259" spans="1:25">
      <c r="A259" s="163" t="s">
        <v>824</v>
      </c>
      <c r="B259" s="152">
        <v>15</v>
      </c>
      <c r="C259" s="152"/>
      <c r="D259" s="152"/>
      <c r="E259" s="164"/>
      <c r="F259" s="152"/>
      <c r="G259" s="164"/>
      <c r="H259" s="152"/>
      <c r="I259" s="152"/>
      <c r="J259" s="152"/>
      <c r="K259" s="152"/>
      <c r="L259" s="164"/>
      <c r="M259" s="164"/>
      <c r="N259" s="164"/>
      <c r="O259" s="164"/>
      <c r="P259" s="164"/>
      <c r="Q259" s="152"/>
      <c r="R259" s="164"/>
      <c r="S259" s="164"/>
      <c r="T259" s="232" t="s">
        <v>824</v>
      </c>
      <c r="U259" s="152"/>
      <c r="V259" s="147"/>
      <c r="W259" s="147"/>
      <c r="X259" s="147"/>
    </row>
    <row r="260" spans="1:25">
      <c r="A260" s="163" t="s">
        <v>825</v>
      </c>
      <c r="B260" s="152">
        <v>16</v>
      </c>
      <c r="C260" s="152"/>
      <c r="D260" s="152"/>
      <c r="E260" s="164"/>
      <c r="F260" s="152"/>
      <c r="G260" s="164"/>
      <c r="H260" s="152"/>
      <c r="I260" s="152"/>
      <c r="J260" s="152"/>
      <c r="K260" s="152"/>
      <c r="L260" s="164"/>
      <c r="M260" s="164"/>
      <c r="N260" s="164"/>
      <c r="O260" s="164"/>
      <c r="P260" s="164"/>
      <c r="Q260" s="152"/>
      <c r="R260" s="164"/>
      <c r="S260" s="164"/>
      <c r="T260" s="232" t="s">
        <v>825</v>
      </c>
      <c r="U260" s="152"/>
      <c r="V260" s="147"/>
      <c r="W260" s="147"/>
      <c r="X260" s="147"/>
    </row>
    <row r="261" spans="1:25">
      <c r="A261" s="163" t="s">
        <v>826</v>
      </c>
      <c r="B261" s="152">
        <v>17</v>
      </c>
      <c r="C261" s="152"/>
      <c r="D261" s="152"/>
      <c r="E261" s="164"/>
      <c r="F261" s="152"/>
      <c r="G261" s="164"/>
      <c r="H261" s="152"/>
      <c r="I261" s="152"/>
      <c r="J261" s="152"/>
      <c r="K261" s="152"/>
      <c r="L261" s="164"/>
      <c r="M261" s="164"/>
      <c r="N261" s="164"/>
      <c r="O261" s="164"/>
      <c r="P261" s="164"/>
      <c r="Q261" s="152"/>
      <c r="R261" s="164"/>
      <c r="S261" s="164"/>
      <c r="T261" s="232" t="s">
        <v>826</v>
      </c>
      <c r="U261" s="152"/>
      <c r="V261" s="147"/>
      <c r="W261" s="147"/>
      <c r="X261" s="147"/>
    </row>
    <row r="262" spans="1:25">
      <c r="A262" s="163" t="s">
        <v>827</v>
      </c>
      <c r="B262" s="152">
        <v>18</v>
      </c>
      <c r="C262" s="152"/>
      <c r="D262" s="152"/>
      <c r="E262" s="164"/>
      <c r="F262" s="152"/>
      <c r="G262" s="164"/>
      <c r="H262" s="152"/>
      <c r="I262" s="152"/>
      <c r="J262" s="152"/>
      <c r="K262" s="152"/>
      <c r="L262" s="164"/>
      <c r="M262" s="164"/>
      <c r="N262" s="164"/>
      <c r="O262" s="164"/>
      <c r="P262" s="164"/>
      <c r="Q262" s="152"/>
      <c r="R262" s="126"/>
      <c r="S262" s="126"/>
      <c r="T262" s="232" t="s">
        <v>827</v>
      </c>
      <c r="U262" s="152"/>
      <c r="V262" s="147"/>
      <c r="W262" s="147"/>
      <c r="X262" s="147"/>
    </row>
    <row r="263" spans="1:25">
      <c r="A263" s="163" t="s">
        <v>821</v>
      </c>
      <c r="B263" s="152">
        <v>19</v>
      </c>
      <c r="C263" s="152"/>
      <c r="D263" s="152"/>
      <c r="E263" s="164"/>
      <c r="F263" s="152"/>
      <c r="G263" s="164"/>
      <c r="H263" s="152"/>
      <c r="I263" s="152"/>
      <c r="J263" s="152"/>
      <c r="K263" s="152"/>
      <c r="L263" s="164"/>
      <c r="M263" s="164"/>
      <c r="N263" s="164"/>
      <c r="O263" s="164"/>
      <c r="P263" s="164"/>
      <c r="Q263" s="152"/>
      <c r="R263" s="164"/>
      <c r="S263" s="164"/>
      <c r="T263" s="232" t="s">
        <v>821</v>
      </c>
      <c r="U263" s="152"/>
      <c r="V263" s="147"/>
      <c r="W263" s="147"/>
      <c r="X263" s="147"/>
    </row>
    <row r="264" spans="1:25">
      <c r="A264" s="163" t="s">
        <v>822</v>
      </c>
      <c r="B264" s="152">
        <v>20</v>
      </c>
      <c r="C264" s="152"/>
      <c r="D264" s="152"/>
      <c r="E264" s="164"/>
      <c r="F264" s="152"/>
      <c r="G264" s="164"/>
      <c r="H264" s="152"/>
      <c r="I264" s="152"/>
      <c r="J264" s="152"/>
      <c r="K264" s="152"/>
      <c r="L264" s="164"/>
      <c r="M264" s="164"/>
      <c r="N264" s="164"/>
      <c r="O264" s="164"/>
      <c r="P264" s="164"/>
      <c r="Q264" s="152"/>
      <c r="R264" s="126"/>
      <c r="S264" s="126"/>
      <c r="T264" s="232" t="s">
        <v>822</v>
      </c>
      <c r="U264" s="152"/>
      <c r="V264" s="147"/>
      <c r="W264" s="147"/>
      <c r="X264" s="147"/>
    </row>
    <row r="265" spans="1:25">
      <c r="A265" s="163" t="s">
        <v>823</v>
      </c>
      <c r="B265" s="152">
        <v>21</v>
      </c>
      <c r="C265" s="152"/>
      <c r="D265" s="152"/>
      <c r="E265" s="164"/>
      <c r="F265" s="169"/>
      <c r="G265" s="169"/>
      <c r="H265" s="169"/>
      <c r="I265" s="169"/>
      <c r="J265" s="169"/>
      <c r="K265" s="169"/>
      <c r="L265" s="169"/>
      <c r="M265" s="169"/>
      <c r="N265" s="169"/>
      <c r="O265" s="169"/>
      <c r="P265" s="169"/>
      <c r="Q265" s="169"/>
      <c r="R265" s="169"/>
      <c r="S265" s="169"/>
      <c r="T265" s="232" t="s">
        <v>823</v>
      </c>
      <c r="U265" s="152"/>
      <c r="V265" s="147"/>
      <c r="W265" s="147"/>
      <c r="X265" s="147"/>
    </row>
    <row r="266" spans="1:25">
      <c r="A266" s="163" t="s">
        <v>824</v>
      </c>
      <c r="B266" s="152">
        <v>22</v>
      </c>
      <c r="C266" s="152"/>
      <c r="D266" s="152"/>
      <c r="E266" s="164"/>
      <c r="F266" s="372"/>
      <c r="G266" s="169"/>
      <c r="H266" s="372"/>
      <c r="I266" s="372"/>
      <c r="J266" s="372"/>
      <c r="K266" s="372"/>
      <c r="L266" s="169"/>
      <c r="M266" s="169"/>
      <c r="N266" s="169"/>
      <c r="O266" s="169"/>
      <c r="P266" s="169"/>
      <c r="Q266" s="372"/>
      <c r="R266" s="372"/>
      <c r="S266" s="372"/>
      <c r="T266" s="232" t="s">
        <v>824</v>
      </c>
      <c r="U266" s="152"/>
      <c r="V266" s="147"/>
      <c r="W266" s="147"/>
      <c r="X266" s="147"/>
    </row>
    <row r="267" spans="1:25">
      <c r="A267" s="163" t="s">
        <v>825</v>
      </c>
      <c r="B267" s="152">
        <v>23</v>
      </c>
      <c r="C267" s="152"/>
      <c r="D267" s="152"/>
      <c r="E267" s="164"/>
      <c r="F267" s="169"/>
      <c r="G267" s="169"/>
      <c r="H267" s="169"/>
      <c r="I267" s="169"/>
      <c r="J267" s="169"/>
      <c r="K267" s="169"/>
      <c r="L267" s="169"/>
      <c r="M267" s="169"/>
      <c r="N267" s="169"/>
      <c r="O267" s="169"/>
      <c r="P267" s="169"/>
      <c r="Q267" s="169"/>
      <c r="R267" s="169"/>
      <c r="S267" s="169"/>
      <c r="T267" s="232" t="s">
        <v>825</v>
      </c>
      <c r="U267" s="152"/>
      <c r="V267" s="147"/>
      <c r="W267" s="147"/>
      <c r="X267" s="147"/>
    </row>
    <row r="268" spans="1:25">
      <c r="A268" s="163" t="s">
        <v>826</v>
      </c>
      <c r="B268" s="152">
        <v>24</v>
      </c>
      <c r="C268" s="372"/>
      <c r="D268" s="372"/>
      <c r="E268" s="164"/>
      <c r="F268" s="372"/>
      <c r="G268" s="169"/>
      <c r="H268" s="372"/>
      <c r="I268" s="372"/>
      <c r="J268" s="372"/>
      <c r="K268" s="372"/>
      <c r="L268" s="169"/>
      <c r="M268" s="169"/>
      <c r="N268" s="169"/>
      <c r="O268" s="169"/>
      <c r="P268" s="169"/>
      <c r="Q268" s="372"/>
      <c r="R268" s="372"/>
      <c r="S268" s="372"/>
      <c r="T268" s="232" t="s">
        <v>826</v>
      </c>
      <c r="U268" s="152"/>
      <c r="V268" s="147"/>
      <c r="W268" s="147"/>
      <c r="X268" s="147"/>
    </row>
    <row r="269" spans="1:25" ht="15.75" thickBot="1">
      <c r="A269" s="163" t="s">
        <v>827</v>
      </c>
      <c r="B269" s="152">
        <v>25</v>
      </c>
      <c r="C269" s="372"/>
      <c r="D269" s="169"/>
      <c r="E269" s="164"/>
      <c r="F269" s="169"/>
      <c r="G269" s="169"/>
      <c r="H269" s="169"/>
      <c r="I269" s="169"/>
      <c r="J269" s="169"/>
      <c r="K269" s="169"/>
      <c r="L269" s="169"/>
      <c r="M269" s="169"/>
      <c r="N269" s="169"/>
      <c r="O269" s="169"/>
      <c r="P269" s="169"/>
      <c r="Q269" s="169"/>
      <c r="R269" s="169"/>
      <c r="S269" s="169"/>
      <c r="T269" s="232" t="s">
        <v>827</v>
      </c>
      <c r="U269" s="152"/>
      <c r="V269" s="147"/>
      <c r="W269" s="147"/>
      <c r="X269" s="147"/>
    </row>
    <row r="270" spans="1:25" ht="16.5" thickBot="1">
      <c r="A270" s="175" t="s">
        <v>791</v>
      </c>
      <c r="B270" s="176">
        <f>SUM(C270:S270)+U270</f>
        <v>0</v>
      </c>
      <c r="C270" s="173">
        <f t="shared" ref="C270:S270" si="33">SUM(C256:C269)</f>
        <v>0</v>
      </c>
      <c r="D270" s="173">
        <f t="shared" si="33"/>
        <v>0</v>
      </c>
      <c r="E270" s="273">
        <f t="shared" si="33"/>
        <v>0</v>
      </c>
      <c r="F270" s="173">
        <f t="shared" si="33"/>
        <v>0</v>
      </c>
      <c r="G270" s="173">
        <f t="shared" si="33"/>
        <v>0</v>
      </c>
      <c r="H270" s="173">
        <f t="shared" si="33"/>
        <v>0</v>
      </c>
      <c r="I270" s="173">
        <f t="shared" si="33"/>
        <v>0</v>
      </c>
      <c r="J270" s="173">
        <f t="shared" si="33"/>
        <v>0</v>
      </c>
      <c r="K270" s="173">
        <f t="shared" si="33"/>
        <v>0</v>
      </c>
      <c r="L270" s="173">
        <f t="shared" si="33"/>
        <v>0</v>
      </c>
      <c r="M270" s="173">
        <f t="shared" si="33"/>
        <v>0</v>
      </c>
      <c r="N270" s="173">
        <f t="shared" si="33"/>
        <v>0</v>
      </c>
      <c r="O270" s="173">
        <f t="shared" si="33"/>
        <v>0</v>
      </c>
      <c r="P270" s="173">
        <f t="shared" si="33"/>
        <v>0</v>
      </c>
      <c r="Q270" s="173">
        <f t="shared" si="33"/>
        <v>0</v>
      </c>
      <c r="R270" s="173">
        <f t="shared" si="33"/>
        <v>0</v>
      </c>
      <c r="S270" s="173">
        <f t="shared" si="33"/>
        <v>0</v>
      </c>
      <c r="T270" s="175" t="s">
        <v>791</v>
      </c>
      <c r="U270" s="176">
        <f>SUM(V270:X270)</f>
        <v>0</v>
      </c>
      <c r="V270" s="147">
        <f>SUM(V256:V269)</f>
        <v>0</v>
      </c>
      <c r="W270" s="147">
        <f>SUM(W256:W269)</f>
        <v>0</v>
      </c>
      <c r="X270" s="147">
        <f>SUM(X256:X269)</f>
        <v>0</v>
      </c>
    </row>
    <row r="271" spans="1:25" ht="15.75" thickBot="1"/>
    <row r="272" spans="1:25" ht="15.75" thickBot="1">
      <c r="A272" s="1024" t="s">
        <v>52</v>
      </c>
      <c r="B272" s="1025"/>
      <c r="C272" s="1025"/>
      <c r="D272" s="1025"/>
      <c r="E272" s="1025"/>
      <c r="F272" s="1025"/>
      <c r="G272" s="1025"/>
      <c r="H272" s="1025"/>
      <c r="I272" s="1025"/>
      <c r="J272" s="1025"/>
      <c r="K272" s="1025"/>
      <c r="L272" s="1025"/>
      <c r="M272" s="1025"/>
      <c r="N272" s="1025"/>
      <c r="O272" s="1025"/>
      <c r="P272" s="1025"/>
      <c r="Q272" s="1025"/>
      <c r="R272" s="1025"/>
      <c r="S272" s="1025"/>
      <c r="T272" s="1025" t="s">
        <v>820</v>
      </c>
      <c r="U272" s="1025"/>
      <c r="V272" s="1025"/>
      <c r="W272" s="1025"/>
      <c r="X272" s="1025"/>
      <c r="Y272" s="384"/>
    </row>
    <row r="273" spans="1:24" ht="59.25" customHeight="1">
      <c r="A273" s="155"/>
      <c r="B273" s="247" t="s">
        <v>896</v>
      </c>
      <c r="C273" s="387" t="s">
        <v>53</v>
      </c>
      <c r="D273" s="562" t="s">
        <v>54</v>
      </c>
      <c r="E273" s="562" t="s">
        <v>990</v>
      </c>
      <c r="F273" s="687" t="s">
        <v>991</v>
      </c>
      <c r="G273" s="688" t="s">
        <v>992</v>
      </c>
      <c r="H273" s="637"/>
      <c r="I273" s="636"/>
      <c r="J273" s="636"/>
      <c r="K273" s="636"/>
      <c r="L273" s="638"/>
      <c r="M273" s="638"/>
      <c r="N273" s="638"/>
      <c r="O273" s="638"/>
      <c r="P273" s="638"/>
      <c r="Q273" s="636"/>
      <c r="R273" s="636"/>
      <c r="S273" s="636"/>
      <c r="T273" s="228"/>
      <c r="U273" s="247"/>
      <c r="V273" s="369"/>
      <c r="W273" s="369"/>
      <c r="X273" s="369"/>
    </row>
    <row r="274" spans="1:24">
      <c r="A274" s="163" t="s">
        <v>821</v>
      </c>
      <c r="B274" s="152">
        <v>12</v>
      </c>
      <c r="C274" s="152"/>
      <c r="D274" s="152"/>
      <c r="E274" s="164"/>
      <c r="F274" s="689"/>
      <c r="G274" s="690"/>
      <c r="H274" s="152"/>
      <c r="I274" s="152"/>
      <c r="J274" s="152"/>
      <c r="K274" s="152"/>
      <c r="L274" s="164"/>
      <c r="M274" s="164"/>
      <c r="N274" s="164"/>
      <c r="O274" s="164"/>
      <c r="P274" s="164"/>
      <c r="Q274" s="152"/>
      <c r="R274" s="164"/>
      <c r="S274" s="164"/>
      <c r="T274" s="232" t="s">
        <v>821</v>
      </c>
      <c r="U274" s="152"/>
      <c r="V274" s="147"/>
      <c r="W274" s="147"/>
      <c r="X274" s="147"/>
    </row>
    <row r="275" spans="1:24">
      <c r="A275" s="163" t="s">
        <v>822</v>
      </c>
      <c r="B275" s="152">
        <v>13</v>
      </c>
      <c r="C275" s="152"/>
      <c r="D275" s="152"/>
      <c r="E275" s="164"/>
      <c r="F275" s="689"/>
      <c r="G275" s="690"/>
      <c r="H275" s="152"/>
      <c r="I275" s="152"/>
      <c r="J275" s="152"/>
      <c r="K275" s="152"/>
      <c r="L275" s="164"/>
      <c r="M275" s="164"/>
      <c r="N275" s="164"/>
      <c r="O275" s="164"/>
      <c r="P275" s="164"/>
      <c r="Q275" s="152"/>
      <c r="R275" s="164"/>
      <c r="S275" s="164"/>
      <c r="T275" s="232" t="s">
        <v>822</v>
      </c>
      <c r="U275" s="152"/>
      <c r="V275" s="147"/>
      <c r="W275" s="147"/>
      <c r="X275" s="147"/>
    </row>
    <row r="276" spans="1:24">
      <c r="A276" s="163" t="s">
        <v>823</v>
      </c>
      <c r="B276" s="152">
        <v>14</v>
      </c>
      <c r="C276" s="152"/>
      <c r="D276" s="152"/>
      <c r="E276" s="164"/>
      <c r="F276" s="691"/>
      <c r="G276" s="690"/>
      <c r="H276" s="152"/>
      <c r="I276" s="152"/>
      <c r="J276" s="152"/>
      <c r="K276" s="152"/>
      <c r="L276" s="164"/>
      <c r="M276" s="164"/>
      <c r="N276" s="164"/>
      <c r="O276" s="164"/>
      <c r="P276" s="164"/>
      <c r="Q276" s="152"/>
      <c r="R276" s="164"/>
      <c r="S276" s="164"/>
      <c r="T276" s="232" t="s">
        <v>823</v>
      </c>
      <c r="U276" s="152"/>
      <c r="V276" s="147"/>
      <c r="W276" s="147"/>
      <c r="X276" s="147"/>
    </row>
    <row r="277" spans="1:24">
      <c r="A277" s="163" t="s">
        <v>824</v>
      </c>
      <c r="B277" s="152">
        <v>15</v>
      </c>
      <c r="C277" s="152"/>
      <c r="D277" s="152"/>
      <c r="E277" s="164"/>
      <c r="F277" s="689"/>
      <c r="G277" s="690"/>
      <c r="H277" s="152"/>
      <c r="I277" s="152"/>
      <c r="J277" s="152"/>
      <c r="K277" s="152"/>
      <c r="L277" s="164"/>
      <c r="M277" s="164"/>
      <c r="N277" s="164"/>
      <c r="O277" s="164"/>
      <c r="P277" s="164"/>
      <c r="Q277" s="152"/>
      <c r="R277" s="164"/>
      <c r="S277" s="164"/>
      <c r="T277" s="232" t="s">
        <v>824</v>
      </c>
      <c r="U277" s="152"/>
      <c r="V277" s="147"/>
      <c r="W277" s="147"/>
      <c r="X277" s="147"/>
    </row>
    <row r="278" spans="1:24">
      <c r="A278" s="163" t="s">
        <v>825</v>
      </c>
      <c r="B278" s="152">
        <v>16</v>
      </c>
      <c r="C278" s="193"/>
      <c r="D278" s="193"/>
      <c r="E278" s="164"/>
      <c r="F278" s="689"/>
      <c r="G278" s="689"/>
      <c r="H278" s="152"/>
      <c r="I278" s="152"/>
      <c r="J278" s="152"/>
      <c r="K278" s="152"/>
      <c r="L278" s="164"/>
      <c r="M278" s="164"/>
      <c r="N278" s="164"/>
      <c r="O278" s="164"/>
      <c r="P278" s="164"/>
      <c r="Q278" s="152"/>
      <c r="R278" s="164"/>
      <c r="S278" s="164"/>
      <c r="T278" s="232" t="s">
        <v>825</v>
      </c>
      <c r="U278" s="152"/>
      <c r="V278" s="147"/>
      <c r="W278" s="147"/>
      <c r="X278" s="147"/>
    </row>
    <row r="279" spans="1:24">
      <c r="A279" s="163" t="s">
        <v>826</v>
      </c>
      <c r="B279" s="152">
        <v>17</v>
      </c>
      <c r="C279" s="193"/>
      <c r="D279" s="193"/>
      <c r="E279" s="164"/>
      <c r="F279" s="689"/>
      <c r="G279" s="689"/>
      <c r="H279" s="152"/>
      <c r="I279" s="152"/>
      <c r="J279" s="152"/>
      <c r="K279" s="152"/>
      <c r="L279" s="164"/>
      <c r="M279" s="164"/>
      <c r="N279" s="164"/>
      <c r="O279" s="164"/>
      <c r="P279" s="164"/>
      <c r="Q279" s="152"/>
      <c r="R279" s="164"/>
      <c r="S279" s="164"/>
      <c r="T279" s="232" t="s">
        <v>826</v>
      </c>
      <c r="U279" s="152"/>
      <c r="V279" s="147"/>
      <c r="W279" s="147"/>
      <c r="X279" s="147"/>
    </row>
    <row r="280" spans="1:24">
      <c r="A280" s="163" t="s">
        <v>827</v>
      </c>
      <c r="B280" s="152">
        <v>18</v>
      </c>
      <c r="C280" s="193"/>
      <c r="D280" s="193"/>
      <c r="E280" s="164"/>
      <c r="F280" s="689"/>
      <c r="G280" s="689"/>
      <c r="H280" s="152"/>
      <c r="I280" s="152"/>
      <c r="J280" s="152"/>
      <c r="K280" s="152"/>
      <c r="L280" s="164"/>
      <c r="M280" s="164"/>
      <c r="N280" s="164"/>
      <c r="O280" s="164"/>
      <c r="P280" s="164"/>
      <c r="Q280" s="152"/>
      <c r="R280" s="126"/>
      <c r="S280" s="126"/>
      <c r="T280" s="232" t="s">
        <v>827</v>
      </c>
      <c r="U280" s="152"/>
      <c r="V280" s="147"/>
      <c r="W280" s="147"/>
      <c r="X280" s="147"/>
    </row>
    <row r="281" spans="1:24">
      <c r="A281" s="163" t="s">
        <v>821</v>
      </c>
      <c r="B281" s="152">
        <v>19</v>
      </c>
      <c r="C281" s="193"/>
      <c r="D281" s="152"/>
      <c r="E281" s="164"/>
      <c r="F281" s="689"/>
      <c r="G281" s="692"/>
      <c r="H281" s="152"/>
      <c r="I281" s="152"/>
      <c r="J281" s="152"/>
      <c r="K281" s="152"/>
      <c r="L281" s="164"/>
      <c r="M281" s="164"/>
      <c r="N281" s="164"/>
      <c r="O281" s="164"/>
      <c r="P281" s="164"/>
      <c r="Q281" s="152"/>
      <c r="R281" s="164"/>
      <c r="S281" s="164"/>
      <c r="T281" s="232" t="s">
        <v>821</v>
      </c>
      <c r="U281" s="152"/>
      <c r="V281" s="147"/>
      <c r="W281" s="147"/>
      <c r="X281" s="147"/>
    </row>
    <row r="282" spans="1:24">
      <c r="A282" s="163" t="s">
        <v>822</v>
      </c>
      <c r="B282" s="152">
        <v>20</v>
      </c>
      <c r="C282" s="152"/>
      <c r="D282" s="152"/>
      <c r="E282" s="164"/>
      <c r="F282" s="689"/>
      <c r="G282" s="690"/>
      <c r="H282" s="152"/>
      <c r="I282" s="152"/>
      <c r="J282" s="152"/>
      <c r="K282" s="152"/>
      <c r="L282" s="164"/>
      <c r="M282" s="164"/>
      <c r="N282" s="164"/>
      <c r="O282" s="164"/>
      <c r="P282" s="164"/>
      <c r="Q282" s="152"/>
      <c r="R282" s="126"/>
      <c r="S282" s="126"/>
      <c r="T282" s="232" t="s">
        <v>822</v>
      </c>
      <c r="U282" s="152"/>
      <c r="V282" s="147"/>
      <c r="W282" s="147"/>
      <c r="X282" s="147"/>
    </row>
    <row r="283" spans="1:24">
      <c r="A283" s="163" t="s">
        <v>823</v>
      </c>
      <c r="B283" s="152">
        <v>21</v>
      </c>
      <c r="C283" s="152"/>
      <c r="D283" s="152"/>
      <c r="E283" s="164"/>
      <c r="F283" s="693"/>
      <c r="G283" s="693"/>
      <c r="H283" s="169"/>
      <c r="I283" s="169"/>
      <c r="J283" s="169"/>
      <c r="K283" s="169"/>
      <c r="L283" s="169"/>
      <c r="M283" s="169"/>
      <c r="N283" s="169"/>
      <c r="O283" s="169"/>
      <c r="P283" s="169"/>
      <c r="Q283" s="169"/>
      <c r="R283" s="169"/>
      <c r="S283" s="169"/>
      <c r="T283" s="232" t="s">
        <v>823</v>
      </c>
      <c r="U283" s="152"/>
      <c r="V283" s="147"/>
      <c r="W283" s="147"/>
      <c r="X283" s="147"/>
    </row>
    <row r="284" spans="1:24">
      <c r="A284" s="163" t="s">
        <v>824</v>
      </c>
      <c r="B284" s="152">
        <v>22</v>
      </c>
      <c r="C284" s="152"/>
      <c r="D284" s="152"/>
      <c r="E284" s="164"/>
      <c r="F284" s="694"/>
      <c r="G284" s="693"/>
      <c r="H284" s="372"/>
      <c r="I284" s="372"/>
      <c r="J284" s="372"/>
      <c r="K284" s="372"/>
      <c r="L284" s="169"/>
      <c r="M284" s="169"/>
      <c r="N284" s="169"/>
      <c r="O284" s="169"/>
      <c r="P284" s="169"/>
      <c r="Q284" s="372"/>
      <c r="R284" s="372"/>
      <c r="S284" s="372"/>
      <c r="T284" s="232" t="s">
        <v>824</v>
      </c>
      <c r="U284" s="152"/>
      <c r="V284" s="147"/>
      <c r="W284" s="147"/>
      <c r="X284" s="147"/>
    </row>
    <row r="285" spans="1:24">
      <c r="A285" s="163" t="s">
        <v>825</v>
      </c>
      <c r="B285" s="152">
        <v>23</v>
      </c>
      <c r="C285" s="152"/>
      <c r="D285" s="152"/>
      <c r="E285" s="164"/>
      <c r="F285" s="693"/>
      <c r="G285" s="693"/>
      <c r="H285" s="169"/>
      <c r="I285" s="169"/>
      <c r="J285" s="169"/>
      <c r="K285" s="169"/>
      <c r="L285" s="169"/>
      <c r="M285" s="169"/>
      <c r="N285" s="169"/>
      <c r="O285" s="169"/>
      <c r="P285" s="169"/>
      <c r="Q285" s="169"/>
      <c r="R285" s="169"/>
      <c r="S285" s="169"/>
      <c r="T285" s="232" t="s">
        <v>825</v>
      </c>
      <c r="U285" s="152"/>
      <c r="V285" s="147"/>
      <c r="W285" s="147"/>
      <c r="X285" s="147"/>
    </row>
    <row r="286" spans="1:24">
      <c r="A286" s="163" t="s">
        <v>826</v>
      </c>
      <c r="B286" s="152">
        <v>24</v>
      </c>
      <c r="C286" s="372"/>
      <c r="D286" s="372"/>
      <c r="E286" s="164"/>
      <c r="F286" s="694"/>
      <c r="G286" s="693"/>
      <c r="H286" s="372"/>
      <c r="I286" s="372"/>
      <c r="J286" s="372"/>
      <c r="K286" s="372"/>
      <c r="L286" s="169"/>
      <c r="M286" s="169"/>
      <c r="N286" s="169"/>
      <c r="O286" s="169"/>
      <c r="P286" s="169"/>
      <c r="Q286" s="372"/>
      <c r="R286" s="372"/>
      <c r="S286" s="372"/>
      <c r="T286" s="232" t="s">
        <v>826</v>
      </c>
      <c r="U286" s="152"/>
      <c r="V286" s="147"/>
      <c r="W286" s="147"/>
      <c r="X286" s="147"/>
    </row>
    <row r="287" spans="1:24" ht="15.75" thickBot="1">
      <c r="A287" s="163" t="s">
        <v>827</v>
      </c>
      <c r="B287" s="152">
        <v>25</v>
      </c>
      <c r="C287" s="372"/>
      <c r="D287" s="169"/>
      <c r="E287" s="164"/>
      <c r="F287" s="693"/>
      <c r="G287" s="693"/>
      <c r="H287" s="169"/>
      <c r="I287" s="169"/>
      <c r="J287" s="169"/>
      <c r="K287" s="169"/>
      <c r="L287" s="169"/>
      <c r="M287" s="169"/>
      <c r="N287" s="169"/>
      <c r="O287" s="169"/>
      <c r="P287" s="169"/>
      <c r="Q287" s="169"/>
      <c r="R287" s="169"/>
      <c r="S287" s="169"/>
      <c r="T287" s="232" t="s">
        <v>827</v>
      </c>
      <c r="U287" s="152"/>
      <c r="V287" s="147"/>
      <c r="W287" s="147"/>
      <c r="X287" s="147"/>
    </row>
    <row r="288" spans="1:24" ht="16.5" thickBot="1">
      <c r="A288" s="175" t="s">
        <v>791</v>
      </c>
      <c r="B288" s="176">
        <f>SUM(C288:D288)</f>
        <v>0</v>
      </c>
      <c r="C288" s="173">
        <f t="shared" ref="C288:S288" si="34">SUM(C274:C287)</f>
        <v>0</v>
      </c>
      <c r="D288" s="173">
        <f t="shared" si="34"/>
        <v>0</v>
      </c>
      <c r="E288" s="273">
        <f t="shared" si="34"/>
        <v>0</v>
      </c>
      <c r="F288" s="695">
        <f t="shared" si="34"/>
        <v>0</v>
      </c>
      <c r="G288" s="695">
        <f t="shared" si="34"/>
        <v>0</v>
      </c>
      <c r="H288" s="173">
        <f t="shared" si="34"/>
        <v>0</v>
      </c>
      <c r="I288" s="173">
        <f t="shared" si="34"/>
        <v>0</v>
      </c>
      <c r="J288" s="173">
        <f t="shared" si="34"/>
        <v>0</v>
      </c>
      <c r="K288" s="173">
        <f t="shared" si="34"/>
        <v>0</v>
      </c>
      <c r="L288" s="173">
        <f t="shared" si="34"/>
        <v>0</v>
      </c>
      <c r="M288" s="173">
        <f t="shared" si="34"/>
        <v>0</v>
      </c>
      <c r="N288" s="173">
        <f t="shared" si="34"/>
        <v>0</v>
      </c>
      <c r="O288" s="173">
        <f t="shared" si="34"/>
        <v>0</v>
      </c>
      <c r="P288" s="173">
        <f t="shared" si="34"/>
        <v>0</v>
      </c>
      <c r="Q288" s="173">
        <f t="shared" si="34"/>
        <v>0</v>
      </c>
      <c r="R288" s="173">
        <f t="shared" si="34"/>
        <v>0</v>
      </c>
      <c r="S288" s="173">
        <f t="shared" si="34"/>
        <v>0</v>
      </c>
      <c r="T288" s="175" t="s">
        <v>791</v>
      </c>
      <c r="U288" s="176">
        <f>SUM(V288:X288)</f>
        <v>0</v>
      </c>
      <c r="V288" s="147">
        <f>SUM(V274:V287)</f>
        <v>0</v>
      </c>
      <c r="W288" s="147">
        <f>SUM(W274:W287)</f>
        <v>0</v>
      </c>
      <c r="X288" s="147">
        <f>SUM(X274:X287)</f>
        <v>0</v>
      </c>
    </row>
    <row r="289" spans="1:38" ht="15.75" thickBot="1">
      <c r="R289" s="65"/>
      <c r="S289" s="65"/>
      <c r="W289" s="65"/>
      <c r="X289" s="65"/>
      <c r="Y289" s="65"/>
      <c r="Z289" s="65"/>
      <c r="AA289" s="65"/>
      <c r="AB289" s="65"/>
      <c r="AC289" s="65"/>
      <c r="AD289" s="65"/>
      <c r="AE289" s="65"/>
      <c r="AF289" s="65"/>
      <c r="AG289" s="65"/>
      <c r="AH289" s="65"/>
      <c r="AI289" s="65"/>
      <c r="AJ289" s="65"/>
      <c r="AK289" s="65"/>
      <c r="AL289" s="65"/>
    </row>
    <row r="290" spans="1:38" ht="15.75" thickBot="1">
      <c r="A290" s="1052" t="s">
        <v>451</v>
      </c>
      <c r="B290" s="1053"/>
      <c r="C290" s="1053"/>
      <c r="D290" s="1053"/>
      <c r="E290" s="1053"/>
      <c r="F290" s="1053"/>
      <c r="G290" s="1053"/>
      <c r="H290" s="1053"/>
      <c r="I290" s="1053"/>
      <c r="J290" s="1053"/>
      <c r="K290" s="1053"/>
      <c r="L290" s="1053"/>
      <c r="M290" s="1053"/>
      <c r="N290" s="1053"/>
      <c r="O290" s="1053"/>
      <c r="P290" s="1053"/>
      <c r="Q290" s="1053"/>
      <c r="R290" s="1053"/>
      <c r="S290" s="1054"/>
      <c r="T290" s="1025" t="s">
        <v>820</v>
      </c>
      <c r="U290" s="1025"/>
      <c r="V290" s="1025"/>
      <c r="W290" s="1025"/>
      <c r="X290" s="1025"/>
      <c r="Y290" s="384"/>
    </row>
    <row r="291" spans="1:38" ht="59.25" customHeight="1">
      <c r="A291" s="579"/>
      <c r="B291" s="247" t="s">
        <v>901</v>
      </c>
      <c r="C291" s="943" t="s">
        <v>993</v>
      </c>
      <c r="D291" s="943"/>
      <c r="E291" s="943"/>
      <c r="F291" s="943"/>
      <c r="G291" s="943"/>
      <c r="H291" s="943"/>
      <c r="I291" s="943"/>
      <c r="J291" s="943"/>
      <c r="K291" s="943"/>
      <c r="L291" s="943"/>
      <c r="M291" s="943"/>
      <c r="N291" s="944"/>
      <c r="O291" s="944"/>
      <c r="P291" s="944"/>
      <c r="Q291" s="944"/>
      <c r="R291" s="944"/>
      <c r="S291" s="944"/>
      <c r="T291" s="228"/>
      <c r="U291" s="247"/>
      <c r="V291" s="369"/>
      <c r="W291" s="369"/>
      <c r="X291" s="369"/>
    </row>
    <row r="292" spans="1:38">
      <c r="A292" s="580" t="s">
        <v>823</v>
      </c>
      <c r="B292" s="152">
        <v>9</v>
      </c>
      <c r="C292" s="479"/>
      <c r="D292" s="479"/>
      <c r="E292" s="479"/>
      <c r="F292" s="479"/>
      <c r="G292" s="581"/>
      <c r="H292" s="581"/>
      <c r="I292" s="479"/>
      <c r="J292" s="479"/>
      <c r="K292" s="479"/>
      <c r="L292" s="479"/>
      <c r="M292" s="479"/>
      <c r="N292" s="479"/>
      <c r="O292" s="479"/>
      <c r="P292" s="479"/>
      <c r="Q292" s="479"/>
      <c r="R292" s="479"/>
      <c r="S292" s="479"/>
      <c r="T292" s="232" t="s">
        <v>821</v>
      </c>
      <c r="U292" s="152"/>
      <c r="V292" s="147"/>
      <c r="W292" s="147"/>
      <c r="X292" s="147"/>
    </row>
    <row r="293" spans="1:38">
      <c r="A293" s="580" t="s">
        <v>824</v>
      </c>
      <c r="B293" s="152">
        <v>10</v>
      </c>
      <c r="C293" s="479"/>
      <c r="D293" s="479"/>
      <c r="E293" s="479"/>
      <c r="F293" s="479"/>
      <c r="G293" s="581"/>
      <c r="H293" s="581"/>
      <c r="I293" s="479"/>
      <c r="J293" s="479"/>
      <c r="K293" s="479"/>
      <c r="L293" s="479"/>
      <c r="M293" s="479"/>
      <c r="N293" s="479"/>
      <c r="O293" s="479"/>
      <c r="P293" s="479"/>
      <c r="Q293" s="479"/>
      <c r="R293" s="479"/>
      <c r="S293" s="479"/>
      <c r="T293" s="232" t="s">
        <v>822</v>
      </c>
      <c r="U293" s="152"/>
      <c r="V293" s="147"/>
      <c r="W293" s="147"/>
      <c r="X293" s="147"/>
    </row>
    <row r="294" spans="1:38">
      <c r="A294" s="580" t="s">
        <v>825</v>
      </c>
      <c r="B294" s="152">
        <v>11</v>
      </c>
      <c r="C294" s="479"/>
      <c r="D294" s="479"/>
      <c r="E294" s="479"/>
      <c r="F294" s="479"/>
      <c r="G294" s="581"/>
      <c r="H294" s="581"/>
      <c r="I294" s="479"/>
      <c r="J294" s="479"/>
      <c r="K294" s="479"/>
      <c r="L294" s="479"/>
      <c r="M294" s="479"/>
      <c r="N294" s="479"/>
      <c r="O294" s="479"/>
      <c r="P294" s="479"/>
      <c r="Q294" s="479"/>
      <c r="R294" s="479"/>
      <c r="S294" s="479"/>
      <c r="T294" s="232" t="s">
        <v>823</v>
      </c>
      <c r="U294" s="152"/>
      <c r="V294" s="147"/>
      <c r="W294" s="147"/>
      <c r="X294" s="147"/>
    </row>
    <row r="295" spans="1:38">
      <c r="A295" s="580" t="s">
        <v>826</v>
      </c>
      <c r="B295" s="152">
        <v>12</v>
      </c>
      <c r="C295" s="479"/>
      <c r="D295" s="479"/>
      <c r="E295" s="479"/>
      <c r="F295" s="479"/>
      <c r="G295" s="581"/>
      <c r="H295" s="581"/>
      <c r="I295" s="479"/>
      <c r="J295" s="479"/>
      <c r="K295" s="479"/>
      <c r="L295" s="479"/>
      <c r="M295" s="479"/>
      <c r="N295" s="479"/>
      <c r="O295" s="479"/>
      <c r="P295" s="479"/>
      <c r="Q295" s="479"/>
      <c r="R295" s="479"/>
      <c r="S295" s="479"/>
      <c r="T295" s="232" t="s">
        <v>824</v>
      </c>
      <c r="U295" s="152"/>
      <c r="V295" s="147"/>
      <c r="W295" s="147"/>
      <c r="X295" s="147"/>
    </row>
    <row r="296" spans="1:38">
      <c r="A296" s="580" t="s">
        <v>827</v>
      </c>
      <c r="B296" s="152">
        <v>13</v>
      </c>
      <c r="C296" s="479"/>
      <c r="D296" s="479"/>
      <c r="E296" s="479"/>
      <c r="F296" s="479"/>
      <c r="G296" s="581"/>
      <c r="H296" s="581"/>
      <c r="I296" s="479"/>
      <c r="J296" s="479"/>
      <c r="K296" s="479"/>
      <c r="L296" s="479"/>
      <c r="M296" s="479"/>
      <c r="N296" s="479"/>
      <c r="O296" s="479"/>
      <c r="P296" s="479"/>
      <c r="Q296" s="479"/>
      <c r="R296" s="479"/>
      <c r="S296" s="479"/>
      <c r="T296" s="232" t="s">
        <v>825</v>
      </c>
      <c r="U296" s="152"/>
      <c r="V296" s="147"/>
      <c r="W296" s="147"/>
      <c r="X296" s="147"/>
    </row>
    <row r="297" spans="1:38">
      <c r="A297" s="580" t="s">
        <v>821</v>
      </c>
      <c r="B297" s="152">
        <v>14</v>
      </c>
      <c r="C297" s="479"/>
      <c r="D297" s="479"/>
      <c r="E297" s="479"/>
      <c r="F297" s="479"/>
      <c r="G297" s="581"/>
      <c r="H297" s="581"/>
      <c r="I297" s="479"/>
      <c r="J297" s="479"/>
      <c r="K297" s="479"/>
      <c r="L297" s="479"/>
      <c r="M297" s="479"/>
      <c r="N297" s="479"/>
      <c r="O297" s="479"/>
      <c r="P297" s="479"/>
      <c r="Q297" s="479"/>
      <c r="R297" s="479"/>
      <c r="S297" s="479"/>
      <c r="T297" s="232" t="s">
        <v>826</v>
      </c>
      <c r="U297" s="152"/>
      <c r="V297" s="147"/>
      <c r="W297" s="147"/>
      <c r="X297" s="147"/>
    </row>
    <row r="298" spans="1:38">
      <c r="A298" s="580" t="s">
        <v>822</v>
      </c>
      <c r="B298" s="152">
        <v>15</v>
      </c>
      <c r="C298" s="479"/>
      <c r="D298" s="479"/>
      <c r="E298" s="479"/>
      <c r="F298" s="479"/>
      <c r="G298" s="581"/>
      <c r="H298" s="581"/>
      <c r="I298" s="479"/>
      <c r="J298" s="479"/>
      <c r="K298" s="479"/>
      <c r="L298" s="479"/>
      <c r="M298" s="479"/>
      <c r="N298" s="479"/>
      <c r="O298" s="479"/>
      <c r="P298" s="479"/>
      <c r="Q298" s="479"/>
      <c r="R298" s="479"/>
      <c r="S298" s="479"/>
      <c r="T298" s="232" t="s">
        <v>827</v>
      </c>
      <c r="U298" s="152"/>
      <c r="V298" s="147"/>
      <c r="W298" s="147"/>
      <c r="X298" s="147"/>
    </row>
    <row r="299" spans="1:38">
      <c r="A299" s="614" t="s">
        <v>823</v>
      </c>
      <c r="B299" s="152">
        <v>16</v>
      </c>
      <c r="C299" s="615"/>
      <c r="D299" s="615"/>
      <c r="E299" s="615"/>
      <c r="F299" s="615"/>
      <c r="G299" s="616"/>
      <c r="H299" s="616"/>
      <c r="I299" s="615"/>
      <c r="J299" s="615"/>
      <c r="K299" s="615"/>
      <c r="L299" s="615"/>
      <c r="M299" s="615"/>
      <c r="N299" s="615"/>
      <c r="O299" s="615"/>
      <c r="P299" s="615"/>
      <c r="Q299" s="615"/>
      <c r="R299" s="615"/>
      <c r="S299" s="615"/>
      <c r="T299" s="232" t="s">
        <v>821</v>
      </c>
      <c r="U299" s="152"/>
      <c r="V299" s="147"/>
      <c r="W299" s="147"/>
      <c r="X299" s="147"/>
    </row>
    <row r="300" spans="1:38">
      <c r="A300" s="614" t="s">
        <v>824</v>
      </c>
      <c r="B300" s="152">
        <v>17</v>
      </c>
      <c r="C300" s="615"/>
      <c r="D300" s="615"/>
      <c r="E300" s="615"/>
      <c r="F300" s="615"/>
      <c r="G300" s="616"/>
      <c r="H300" s="616"/>
      <c r="I300" s="615"/>
      <c r="J300" s="615"/>
      <c r="K300" s="615"/>
      <c r="L300" s="615"/>
      <c r="M300" s="615"/>
      <c r="N300" s="615"/>
      <c r="O300" s="615"/>
      <c r="P300" s="615"/>
      <c r="Q300" s="615"/>
      <c r="R300" s="615"/>
      <c r="S300" s="615"/>
      <c r="T300" s="232" t="s">
        <v>822</v>
      </c>
      <c r="U300" s="152"/>
      <c r="V300" s="147"/>
      <c r="W300" s="147"/>
      <c r="X300" s="147"/>
    </row>
    <row r="301" spans="1:38">
      <c r="A301" s="614" t="s">
        <v>825</v>
      </c>
      <c r="B301" s="152">
        <v>18</v>
      </c>
      <c r="C301" s="623"/>
      <c r="D301" s="615"/>
      <c r="E301" s="615"/>
      <c r="F301" s="615"/>
      <c r="G301" s="616"/>
      <c r="H301" s="616"/>
      <c r="I301" s="615"/>
      <c r="J301" s="615"/>
      <c r="K301" s="615"/>
      <c r="L301" s="615"/>
      <c r="M301" s="623"/>
      <c r="N301" s="615"/>
      <c r="O301" s="615"/>
      <c r="P301" s="615"/>
      <c r="Q301" s="615"/>
      <c r="R301" s="615"/>
      <c r="S301" s="615"/>
      <c r="T301" s="232" t="s">
        <v>823</v>
      </c>
      <c r="U301" s="152"/>
      <c r="V301" s="147"/>
      <c r="W301" s="147"/>
      <c r="X301" s="147"/>
    </row>
    <row r="302" spans="1:38">
      <c r="A302" s="614" t="s">
        <v>826</v>
      </c>
      <c r="B302" s="152">
        <v>19</v>
      </c>
      <c r="C302" s="615"/>
      <c r="D302" s="615"/>
      <c r="E302" s="615"/>
      <c r="F302" s="615"/>
      <c r="G302" s="616"/>
      <c r="H302" s="616"/>
      <c r="I302" s="615"/>
      <c r="J302" s="615"/>
      <c r="K302" s="615"/>
      <c r="L302" s="615"/>
      <c r="M302" s="615"/>
      <c r="N302" s="615"/>
      <c r="O302" s="615"/>
      <c r="P302" s="615"/>
      <c r="Q302" s="615"/>
      <c r="R302" s="615"/>
      <c r="S302" s="615"/>
      <c r="T302" s="232" t="s">
        <v>824</v>
      </c>
      <c r="U302" s="152"/>
      <c r="V302" s="147"/>
      <c r="W302" s="147"/>
      <c r="X302" s="147"/>
    </row>
    <row r="303" spans="1:38">
      <c r="A303" s="614" t="s">
        <v>827</v>
      </c>
      <c r="B303" s="152">
        <v>20</v>
      </c>
      <c r="C303" s="623"/>
      <c r="D303" s="615"/>
      <c r="E303" s="615"/>
      <c r="F303" s="615"/>
      <c r="G303" s="616"/>
      <c r="H303" s="616"/>
      <c r="I303" s="615"/>
      <c r="J303" s="615"/>
      <c r="K303" s="615"/>
      <c r="L303" s="615"/>
      <c r="M303" s="615"/>
      <c r="N303" s="615"/>
      <c r="O303" s="615"/>
      <c r="P303" s="615"/>
      <c r="Q303" s="615"/>
      <c r="R303" s="615"/>
      <c r="S303" s="615"/>
      <c r="T303" s="232" t="s">
        <v>825</v>
      </c>
      <c r="U303" s="152"/>
      <c r="V303" s="147"/>
      <c r="W303" s="147"/>
      <c r="X303" s="147"/>
    </row>
    <row r="304" spans="1:38">
      <c r="A304" s="614" t="s">
        <v>821</v>
      </c>
      <c r="B304" s="152">
        <v>21</v>
      </c>
      <c r="C304" s="615"/>
      <c r="D304" s="615"/>
      <c r="E304" s="615"/>
      <c r="F304" s="615"/>
      <c r="G304" s="616"/>
      <c r="H304" s="616"/>
      <c r="I304" s="615"/>
      <c r="J304" s="615"/>
      <c r="K304" s="615"/>
      <c r="L304" s="615"/>
      <c r="M304" s="615"/>
      <c r="N304" s="615"/>
      <c r="O304" s="615"/>
      <c r="P304" s="615"/>
      <c r="Q304" s="615"/>
      <c r="R304" s="615"/>
      <c r="S304" s="615"/>
      <c r="T304" s="232" t="s">
        <v>826</v>
      </c>
      <c r="U304" s="152"/>
      <c r="V304" s="147"/>
      <c r="W304" s="147"/>
      <c r="X304" s="147"/>
    </row>
    <row r="305" spans="1:24" ht="15.75" thickBot="1">
      <c r="A305" s="614" t="s">
        <v>822</v>
      </c>
      <c r="B305" s="152">
        <v>22</v>
      </c>
      <c r="C305" s="615"/>
      <c r="D305" s="615"/>
      <c r="E305" s="615"/>
      <c r="F305" s="615"/>
      <c r="G305" s="616"/>
      <c r="H305" s="616"/>
      <c r="I305" s="615"/>
      <c r="J305" s="615"/>
      <c r="K305" s="615"/>
      <c r="L305" s="615"/>
      <c r="M305" s="615"/>
      <c r="N305" s="615"/>
      <c r="O305" s="615"/>
      <c r="P305" s="615"/>
      <c r="Q305" s="615"/>
      <c r="R305" s="615"/>
      <c r="S305" s="615"/>
      <c r="T305" s="232" t="s">
        <v>827</v>
      </c>
      <c r="U305" s="152"/>
      <c r="V305" s="147"/>
      <c r="W305" s="147"/>
      <c r="X305" s="147"/>
    </row>
    <row r="306" spans="1:24" ht="16.5" thickBot="1">
      <c r="A306" s="618" t="s">
        <v>791</v>
      </c>
      <c r="B306" s="619">
        <f>SUM(C306:S306)+V306</f>
        <v>0</v>
      </c>
      <c r="C306" s="617">
        <f>SUM(C292:C305)</f>
        <v>0</v>
      </c>
      <c r="D306" s="617">
        <f>SUM(D292:D305)</f>
        <v>0</v>
      </c>
      <c r="E306" s="617">
        <f>SUM(E292:E305)</f>
        <v>0</v>
      </c>
      <c r="F306" s="620">
        <f>SUM(F292:F303)</f>
        <v>0</v>
      </c>
      <c r="G306" s="620">
        <f>SUM(G292:G303)</f>
        <v>0</v>
      </c>
      <c r="H306" s="620">
        <f>SUM(H292:H303)</f>
        <v>0</v>
      </c>
      <c r="I306" s="620">
        <f>SUM(I292:I303)</f>
        <v>0</v>
      </c>
      <c r="J306" s="620">
        <f>SUM(J292:J305)</f>
        <v>0</v>
      </c>
      <c r="K306" s="620">
        <f>SUM(K292:K305)</f>
        <v>0</v>
      </c>
      <c r="L306" s="620">
        <f>SUM(L292:L305)</f>
        <v>0</v>
      </c>
      <c r="M306" s="620">
        <f>SUM(M292:M305)</f>
        <v>0</v>
      </c>
      <c r="N306" s="620">
        <f t="shared" ref="N306:S306" si="35">SUM(N292:N303)</f>
        <v>0</v>
      </c>
      <c r="O306" s="620">
        <f t="shared" si="35"/>
        <v>0</v>
      </c>
      <c r="P306" s="615">
        <f t="shared" si="35"/>
        <v>0</v>
      </c>
      <c r="Q306" s="615">
        <f t="shared" si="35"/>
        <v>0</v>
      </c>
      <c r="R306" s="615">
        <f t="shared" si="35"/>
        <v>0</v>
      </c>
      <c r="S306" s="615">
        <f t="shared" si="35"/>
        <v>0</v>
      </c>
      <c r="T306" s="175" t="s">
        <v>791</v>
      </c>
      <c r="U306" s="176">
        <f>SUM(V306:X306)</f>
        <v>0</v>
      </c>
      <c r="V306" s="147">
        <f>SUM(V292:V305)</f>
        <v>0</v>
      </c>
      <c r="W306" s="147">
        <f>SUM(W292:W305)</f>
        <v>0</v>
      </c>
      <c r="X306" s="147">
        <f>SUM(X292:X305)</f>
        <v>0</v>
      </c>
    </row>
    <row r="308" spans="1:24" ht="15.75" thickBot="1"/>
    <row r="309" spans="1:24" ht="15.75" thickBot="1">
      <c r="A309" s="1046" t="s">
        <v>590</v>
      </c>
      <c r="B309" s="1047"/>
      <c r="C309" s="1047"/>
      <c r="D309" s="1047"/>
      <c r="E309" s="1047"/>
      <c r="F309" s="1047"/>
      <c r="G309" s="1047"/>
      <c r="H309" s="1047"/>
      <c r="I309" s="1047"/>
      <c r="J309" s="1047"/>
      <c r="K309" s="1047"/>
      <c r="L309" s="1047"/>
      <c r="M309" s="1047"/>
      <c r="N309" s="1047"/>
      <c r="O309" s="1047"/>
      <c r="P309" s="1047"/>
      <c r="Q309" s="1047"/>
      <c r="R309" s="1047"/>
      <c r="S309" s="1048"/>
      <c r="T309" s="1024" t="s">
        <v>820</v>
      </c>
      <c r="U309" s="1025"/>
      <c r="V309" s="1025"/>
      <c r="W309" s="1025"/>
      <c r="X309" s="1026"/>
    </row>
    <row r="310" spans="1:24" ht="76.5" customHeight="1">
      <c r="A310" s="155"/>
      <c r="B310" s="247" t="s">
        <v>896</v>
      </c>
      <c r="C310" s="934" t="s">
        <v>994</v>
      </c>
      <c r="D310" s="157"/>
      <c r="E310" s="157"/>
      <c r="F310" s="157"/>
      <c r="G310" s="934"/>
      <c r="H310" s="934"/>
      <c r="I310" s="934"/>
      <c r="J310" s="934"/>
      <c r="K310" s="938"/>
      <c r="L310" s="934"/>
      <c r="M310" s="934"/>
      <c r="N310" s="939" t="s">
        <v>964</v>
      </c>
      <c r="O310" s="188"/>
      <c r="P310" s="206"/>
      <c r="Q310" s="151"/>
      <c r="R310" s="934"/>
      <c r="S310" s="190"/>
      <c r="T310" s="228"/>
      <c r="U310" s="247"/>
      <c r="V310" s="369"/>
      <c r="W310" s="369"/>
      <c r="X310" s="369"/>
    </row>
    <row r="311" spans="1:24">
      <c r="A311" s="163" t="s">
        <v>821</v>
      </c>
      <c r="B311" s="152">
        <v>12</v>
      </c>
      <c r="C311" s="164"/>
      <c r="D311" s="164"/>
      <c r="E311" s="164"/>
      <c r="F311" s="164"/>
      <c r="G311" s="164"/>
      <c r="H311" s="164"/>
      <c r="I311" s="164"/>
      <c r="J311" s="164"/>
      <c r="K311" s="165"/>
      <c r="L311" s="166"/>
      <c r="M311" s="166"/>
      <c r="N311" s="341"/>
      <c r="O311" s="166"/>
      <c r="P311" s="218"/>
      <c r="Q311" s="152"/>
      <c r="R311" s="166"/>
      <c r="S311" s="184"/>
      <c r="T311" s="232" t="s">
        <v>821</v>
      </c>
      <c r="U311" s="152"/>
      <c r="V311" s="147"/>
      <c r="W311" s="147"/>
      <c r="X311" s="147"/>
    </row>
    <row r="312" spans="1:24">
      <c r="A312" s="163" t="s">
        <v>822</v>
      </c>
      <c r="B312" s="152">
        <v>13</v>
      </c>
      <c r="C312" s="164"/>
      <c r="D312" s="164"/>
      <c r="E312" s="164"/>
      <c r="F312" s="164"/>
      <c r="G312" s="164"/>
      <c r="H312" s="164"/>
      <c r="I312" s="164"/>
      <c r="J312" s="164"/>
      <c r="K312" s="165"/>
      <c r="L312" s="166"/>
      <c r="M312" s="166"/>
      <c r="N312" s="341"/>
      <c r="O312" s="166"/>
      <c r="P312" s="218"/>
      <c r="Q312" s="152"/>
      <c r="R312" s="166"/>
      <c r="S312" s="190"/>
      <c r="T312" s="232" t="s">
        <v>822</v>
      </c>
      <c r="U312" s="152"/>
      <c r="V312" s="147"/>
      <c r="W312" s="147"/>
      <c r="X312" s="147"/>
    </row>
    <row r="313" spans="1:24">
      <c r="A313" s="163" t="s">
        <v>823</v>
      </c>
      <c r="B313" s="152">
        <v>14</v>
      </c>
      <c r="C313" s="164"/>
      <c r="D313" s="164"/>
      <c r="E313" s="164"/>
      <c r="F313" s="164"/>
      <c r="G313" s="164"/>
      <c r="H313" s="164"/>
      <c r="I313" s="164"/>
      <c r="J313" s="164"/>
      <c r="K313" s="165"/>
      <c r="L313" s="166"/>
      <c r="M313" s="166"/>
      <c r="N313" s="341"/>
      <c r="O313" s="341"/>
      <c r="P313" s="218"/>
      <c r="Q313" s="152"/>
      <c r="R313" s="166"/>
      <c r="S313" s="191"/>
      <c r="T313" s="232" t="s">
        <v>823</v>
      </c>
      <c r="U313" s="152"/>
      <c r="V313" s="147"/>
      <c r="W313" s="147"/>
      <c r="X313" s="147"/>
    </row>
    <row r="314" spans="1:24">
      <c r="A314" s="163" t="s">
        <v>824</v>
      </c>
      <c r="B314" s="152">
        <v>15</v>
      </c>
      <c r="C314" s="164"/>
      <c r="D314" s="164"/>
      <c r="E314" s="164"/>
      <c r="F314" s="164"/>
      <c r="G314" s="164"/>
      <c r="H314" s="164"/>
      <c r="I314" s="164"/>
      <c r="J314" s="164"/>
      <c r="K314" s="165"/>
      <c r="L314" s="166"/>
      <c r="M314" s="166"/>
      <c r="N314" s="341"/>
      <c r="O314" s="166"/>
      <c r="P314" s="218"/>
      <c r="Q314" s="152"/>
      <c r="R314" s="166"/>
      <c r="S314" s="191"/>
      <c r="T314" s="232" t="s">
        <v>824</v>
      </c>
      <c r="U314" s="152"/>
      <c r="V314" s="147"/>
      <c r="W314" s="147"/>
      <c r="X314" s="147"/>
    </row>
    <row r="315" spans="1:24">
      <c r="A315" s="163" t="s">
        <v>825</v>
      </c>
      <c r="B315" s="152">
        <v>16</v>
      </c>
      <c r="C315" s="164"/>
      <c r="D315" s="164"/>
      <c r="E315" s="164"/>
      <c r="F315" s="164"/>
      <c r="G315" s="164"/>
      <c r="H315" s="164"/>
      <c r="I315" s="164"/>
      <c r="J315" s="164"/>
      <c r="K315" s="165"/>
      <c r="L315" s="166"/>
      <c r="M315" s="166"/>
      <c r="N315" s="341"/>
      <c r="O315" s="166"/>
      <c r="P315" s="218"/>
      <c r="Q315" s="152"/>
      <c r="R315" s="166"/>
      <c r="S315" s="191"/>
      <c r="T315" s="232" t="s">
        <v>825</v>
      </c>
      <c r="U315" s="152"/>
      <c r="V315" s="147"/>
      <c r="W315" s="147"/>
      <c r="X315" s="147"/>
    </row>
    <row r="316" spans="1:24">
      <c r="A316" s="163" t="s">
        <v>826</v>
      </c>
      <c r="B316" s="152">
        <v>17</v>
      </c>
      <c r="C316" s="164"/>
      <c r="D316" s="164"/>
      <c r="E316" s="164"/>
      <c r="F316" s="164"/>
      <c r="G316" s="164"/>
      <c r="H316" s="164"/>
      <c r="I316" s="164"/>
      <c r="J316" s="164"/>
      <c r="K316" s="165"/>
      <c r="L316" s="166"/>
      <c r="M316" s="166"/>
      <c r="N316" s="341"/>
      <c r="O316" s="166"/>
      <c r="P316" s="218"/>
      <c r="Q316" s="152"/>
      <c r="R316" s="166"/>
      <c r="S316" s="191"/>
      <c r="T316" s="232" t="s">
        <v>826</v>
      </c>
      <c r="U316" s="152"/>
      <c r="V316" s="147"/>
      <c r="W316" s="147"/>
      <c r="X316" s="147"/>
    </row>
    <row r="317" spans="1:24">
      <c r="A317" s="163" t="s">
        <v>827</v>
      </c>
      <c r="B317" s="152">
        <v>18</v>
      </c>
      <c r="C317" s="164"/>
      <c r="D317" s="164"/>
      <c r="E317" s="164"/>
      <c r="F317" s="164"/>
      <c r="G317" s="164"/>
      <c r="H317" s="164"/>
      <c r="I317" s="164"/>
      <c r="J317" s="164"/>
      <c r="K317" s="165"/>
      <c r="L317" s="166"/>
      <c r="M317" s="166"/>
      <c r="N317" s="341"/>
      <c r="O317" s="166"/>
      <c r="P317" s="218"/>
      <c r="Q317" s="152"/>
      <c r="R317" s="166"/>
      <c r="S317" s="191"/>
      <c r="T317" s="232" t="s">
        <v>827</v>
      </c>
      <c r="U317" s="152"/>
      <c r="V317" s="147"/>
      <c r="W317" s="147"/>
      <c r="X317" s="147"/>
    </row>
    <row r="318" spans="1:24">
      <c r="A318" s="163" t="s">
        <v>821</v>
      </c>
      <c r="B318" s="152">
        <v>19</v>
      </c>
      <c r="C318" s="905"/>
      <c r="D318" s="164"/>
      <c r="E318" s="164"/>
      <c r="F318" s="164"/>
      <c r="G318" s="164"/>
      <c r="H318" s="164"/>
      <c r="I318" s="164"/>
      <c r="J318" s="164"/>
      <c r="K318" s="165"/>
      <c r="L318" s="166"/>
      <c r="M318" s="166"/>
      <c r="N318" s="341"/>
      <c r="O318" s="166"/>
      <c r="P318" s="218"/>
      <c r="Q318" s="152"/>
      <c r="R318" s="166"/>
      <c r="S318" s="191"/>
      <c r="T318" s="232" t="s">
        <v>821</v>
      </c>
      <c r="U318" s="152"/>
      <c r="V318" s="147"/>
      <c r="W318" s="147"/>
      <c r="X318" s="147"/>
    </row>
    <row r="319" spans="1:24">
      <c r="A319" s="163" t="s">
        <v>822</v>
      </c>
      <c r="B319" s="152">
        <v>20</v>
      </c>
      <c r="C319" s="164"/>
      <c r="D319" s="164"/>
      <c r="E319" s="164"/>
      <c r="F319" s="164"/>
      <c r="G319" s="164"/>
      <c r="H319" s="164"/>
      <c r="I319" s="164"/>
      <c r="J319" s="164"/>
      <c r="K319" s="165"/>
      <c r="L319" s="166"/>
      <c r="M319" s="166"/>
      <c r="N319" s="341"/>
      <c r="O319" s="166"/>
      <c r="P319" s="218"/>
      <c r="Q319" s="152"/>
      <c r="R319" s="166"/>
      <c r="S319" s="191"/>
      <c r="T319" s="232" t="s">
        <v>822</v>
      </c>
      <c r="U319" s="152"/>
      <c r="V319" s="147"/>
      <c r="W319" s="147"/>
      <c r="X319" s="147"/>
    </row>
    <row r="320" spans="1:24">
      <c r="A320" s="163" t="s">
        <v>823</v>
      </c>
      <c r="B320" s="152">
        <v>21</v>
      </c>
      <c r="C320" s="164"/>
      <c r="D320" s="164"/>
      <c r="E320" s="164"/>
      <c r="F320" s="164"/>
      <c r="G320" s="164"/>
      <c r="H320" s="164"/>
      <c r="I320" s="164"/>
      <c r="J320" s="164"/>
      <c r="K320" s="165"/>
      <c r="L320" s="166"/>
      <c r="M320" s="166"/>
      <c r="N320" s="341"/>
      <c r="O320" s="166"/>
      <c r="P320" s="218"/>
      <c r="Q320" s="152"/>
      <c r="R320" s="166"/>
      <c r="S320" s="194"/>
      <c r="T320" s="232" t="s">
        <v>823</v>
      </c>
      <c r="U320" s="152"/>
      <c r="V320" s="147"/>
      <c r="W320" s="147"/>
      <c r="X320" s="147"/>
    </row>
    <row r="321" spans="1:24">
      <c r="A321" s="163" t="s">
        <v>824</v>
      </c>
      <c r="B321" s="152">
        <v>22</v>
      </c>
      <c r="C321" s="164"/>
      <c r="D321" s="164"/>
      <c r="E321" s="164"/>
      <c r="F321" s="164"/>
      <c r="G321" s="164"/>
      <c r="H321" s="164"/>
      <c r="I321" s="164"/>
      <c r="J321" s="164"/>
      <c r="K321" s="165"/>
      <c r="L321" s="166"/>
      <c r="M321" s="166"/>
      <c r="N321" s="341"/>
      <c r="O321" s="166"/>
      <c r="P321" s="218"/>
      <c r="Q321" s="152"/>
      <c r="R321" s="166"/>
      <c r="S321" s="194"/>
      <c r="T321" s="232" t="s">
        <v>824</v>
      </c>
      <c r="U321" s="152"/>
      <c r="V321" s="147"/>
      <c r="W321" s="147"/>
      <c r="X321" s="147"/>
    </row>
    <row r="322" spans="1:24">
      <c r="A322" s="163" t="s">
        <v>825</v>
      </c>
      <c r="B322" s="152">
        <v>23</v>
      </c>
      <c r="C322" s="164"/>
      <c r="D322" s="164"/>
      <c r="E322" s="164"/>
      <c r="F322" s="164"/>
      <c r="G322" s="164"/>
      <c r="H322" s="164"/>
      <c r="I322" s="164"/>
      <c r="J322" s="164"/>
      <c r="K322" s="165"/>
      <c r="L322" s="166"/>
      <c r="M322" s="166"/>
      <c r="N322" s="341"/>
      <c r="O322" s="166"/>
      <c r="P322" s="218"/>
      <c r="Q322" s="152"/>
      <c r="R322" s="166"/>
      <c r="S322" s="194"/>
      <c r="T322" s="232" t="s">
        <v>825</v>
      </c>
      <c r="U322" s="152"/>
      <c r="V322" s="147"/>
      <c r="W322" s="147"/>
      <c r="X322" s="147"/>
    </row>
    <row r="323" spans="1:24">
      <c r="A323" s="163" t="s">
        <v>826</v>
      </c>
      <c r="B323" s="152">
        <v>24</v>
      </c>
      <c r="C323" s="164"/>
      <c r="D323" s="164"/>
      <c r="E323" s="164"/>
      <c r="F323" s="164"/>
      <c r="G323" s="164"/>
      <c r="H323" s="164"/>
      <c r="I323" s="164"/>
      <c r="J323" s="164"/>
      <c r="K323" s="165"/>
      <c r="L323" s="166"/>
      <c r="M323" s="166"/>
      <c r="N323" s="341"/>
      <c r="O323" s="166"/>
      <c r="P323" s="218"/>
      <c r="Q323" s="152"/>
      <c r="R323" s="166"/>
      <c r="S323" s="194"/>
      <c r="T323" s="232" t="s">
        <v>826</v>
      </c>
      <c r="U323" s="152"/>
      <c r="V323" s="147"/>
      <c r="W323" s="147"/>
      <c r="X323" s="147"/>
    </row>
    <row r="324" spans="1:24" ht="15.75" thickBot="1">
      <c r="A324" s="163" t="s">
        <v>827</v>
      </c>
      <c r="B324" s="152">
        <v>25</v>
      </c>
      <c r="C324" s="164"/>
      <c r="D324" s="164"/>
      <c r="E324" s="164"/>
      <c r="F324" s="164"/>
      <c r="G324" s="164"/>
      <c r="H324" s="164"/>
      <c r="I324" s="164"/>
      <c r="J324" s="164"/>
      <c r="K324" s="165"/>
      <c r="L324" s="166"/>
      <c r="M324" s="166"/>
      <c r="N324" s="341"/>
      <c r="O324" s="166"/>
      <c r="P324" s="218"/>
      <c r="Q324" s="152"/>
      <c r="R324" s="166"/>
      <c r="S324" s="194"/>
      <c r="T324" s="232" t="s">
        <v>827</v>
      </c>
      <c r="U324" s="152"/>
      <c r="V324" s="147"/>
      <c r="W324" s="147"/>
      <c r="X324" s="147"/>
    </row>
    <row r="325" spans="1:24" ht="16.5" thickBot="1">
      <c r="A325" s="195"/>
      <c r="B325" s="383">
        <f>SUM(C325:S325)+U325</f>
        <v>0</v>
      </c>
      <c r="C325" s="197">
        <f>SUM(C311:C324)</f>
        <v>0</v>
      </c>
      <c r="D325" s="197">
        <f t="shared" ref="D325:I325" si="36">SUM(D311:D324)</f>
        <v>0</v>
      </c>
      <c r="E325" s="197">
        <f t="shared" si="36"/>
        <v>0</v>
      </c>
      <c r="F325" s="197">
        <f t="shared" si="36"/>
        <v>0</v>
      </c>
      <c r="G325" s="197">
        <f t="shared" si="36"/>
        <v>0</v>
      </c>
      <c r="H325" s="197">
        <f t="shared" si="36"/>
        <v>0</v>
      </c>
      <c r="I325" s="197">
        <f t="shared" si="36"/>
        <v>0</v>
      </c>
      <c r="J325" s="197">
        <f>SUM(J311:J324)</f>
        <v>0</v>
      </c>
      <c r="K325" s="197">
        <f t="shared" ref="K325:P325" si="37">SUM(K311:K324)</f>
        <v>0</v>
      </c>
      <c r="L325" s="197">
        <f t="shared" si="37"/>
        <v>0</v>
      </c>
      <c r="M325" s="197">
        <f t="shared" si="37"/>
        <v>0</v>
      </c>
      <c r="N325" s="340">
        <f t="shared" si="37"/>
        <v>0</v>
      </c>
      <c r="O325" s="197">
        <f t="shared" si="37"/>
        <v>0</v>
      </c>
      <c r="P325" s="197">
        <f t="shared" si="37"/>
        <v>0</v>
      </c>
      <c r="Q325" s="197"/>
      <c r="R325" s="197"/>
      <c r="S325" s="197"/>
      <c r="T325" s="175" t="s">
        <v>791</v>
      </c>
      <c r="U325" s="176">
        <f>SUM(V325:X325)</f>
        <v>0</v>
      </c>
      <c r="V325" s="147">
        <f>SUM(V311:V324)</f>
        <v>0</v>
      </c>
      <c r="W325" s="147">
        <f>SUM(W311:W324)</f>
        <v>0</v>
      </c>
      <c r="X325" s="147">
        <f>SUM(X311:X324)</f>
        <v>0</v>
      </c>
    </row>
    <row r="326" spans="1:24" ht="15.75" thickBot="1">
      <c r="A326" s="380"/>
      <c r="C326" s="65"/>
      <c r="D326" s="65"/>
      <c r="E326" s="65"/>
      <c r="F326" s="65"/>
      <c r="G326" s="65"/>
      <c r="H326" s="65"/>
      <c r="I326" s="65"/>
      <c r="J326" s="65"/>
      <c r="K326" s="65"/>
      <c r="L326" s="65"/>
      <c r="M326" s="65"/>
      <c r="N326" s="65"/>
      <c r="O326" s="65"/>
      <c r="P326" s="65"/>
      <c r="Q326" s="65"/>
      <c r="R326" s="65"/>
      <c r="S326" s="381"/>
    </row>
    <row r="327" spans="1:24" ht="15.75" customHeight="1" thickBot="1">
      <c r="A327" s="1046" t="s">
        <v>592</v>
      </c>
      <c r="B327" s="1047"/>
      <c r="C327" s="1047"/>
      <c r="D327" s="1047"/>
      <c r="E327" s="1047"/>
      <c r="F327" s="1047"/>
      <c r="G327" s="1047"/>
      <c r="H327" s="1047"/>
      <c r="I327" s="1047"/>
      <c r="J327" s="1049"/>
      <c r="K327" s="1049"/>
      <c r="L327" s="1049"/>
      <c r="M327" s="1049"/>
      <c r="N327" s="1049"/>
      <c r="O327" s="1049"/>
      <c r="P327" s="1049"/>
      <c r="Q327" s="1049"/>
      <c r="R327" s="1049"/>
      <c r="S327" s="1050"/>
      <c r="T327" s="1024" t="s">
        <v>820</v>
      </c>
      <c r="U327" s="1025"/>
      <c r="V327" s="1025"/>
      <c r="W327" s="1025"/>
      <c r="X327" s="1026"/>
    </row>
    <row r="328" spans="1:24" ht="74.25" customHeight="1">
      <c r="A328" s="155"/>
      <c r="B328" s="247" t="s">
        <v>896</v>
      </c>
      <c r="C328" s="932" t="s">
        <v>995</v>
      </c>
      <c r="D328" s="933"/>
      <c r="E328" s="932"/>
      <c r="F328" s="932"/>
      <c r="G328" s="932"/>
      <c r="H328" s="932"/>
      <c r="I328" s="932"/>
      <c r="J328" s="932"/>
      <c r="K328" s="932"/>
      <c r="L328" s="932"/>
      <c r="M328" s="932"/>
      <c r="N328" s="932"/>
      <c r="O328" s="932"/>
      <c r="P328" s="932"/>
      <c r="Q328" s="932"/>
      <c r="R328" s="932"/>
      <c r="S328" s="932"/>
      <c r="T328" s="228"/>
      <c r="U328" s="247"/>
      <c r="V328" s="369"/>
      <c r="W328" s="369"/>
      <c r="X328" s="369"/>
    </row>
    <row r="329" spans="1:24">
      <c r="A329" s="163" t="s">
        <v>821</v>
      </c>
      <c r="B329" s="152">
        <v>12</v>
      </c>
      <c r="C329" s="164"/>
      <c r="D329" s="169"/>
      <c r="E329" s="376"/>
      <c r="F329" s="377"/>
      <c r="G329" s="378"/>
      <c r="H329" s="378"/>
      <c r="I329" s="164"/>
      <c r="J329" s="164"/>
      <c r="K329" s="164"/>
      <c r="L329" s="164"/>
      <c r="M329" s="164"/>
      <c r="N329" s="164"/>
      <c r="O329" s="164"/>
      <c r="P329" s="164"/>
      <c r="Q329" s="164"/>
      <c r="R329" s="164"/>
      <c r="S329" s="164"/>
      <c r="T329" s="232" t="s">
        <v>821</v>
      </c>
      <c r="U329" s="152"/>
      <c r="V329" s="147"/>
      <c r="W329" s="147"/>
      <c r="X329" s="147"/>
    </row>
    <row r="330" spans="1:24">
      <c r="A330" s="163" t="s">
        <v>822</v>
      </c>
      <c r="B330" s="152">
        <v>13</v>
      </c>
      <c r="C330" s="164"/>
      <c r="D330" s="164"/>
      <c r="E330" s="193"/>
      <c r="F330" s="164"/>
      <c r="G330" s="17"/>
      <c r="H330" s="17"/>
      <c r="I330" s="164"/>
      <c r="J330" s="164"/>
      <c r="K330" s="164"/>
      <c r="L330" s="164"/>
      <c r="M330" s="164"/>
      <c r="N330" s="164"/>
      <c r="O330" s="164"/>
      <c r="P330" s="164"/>
      <c r="Q330" s="164"/>
      <c r="R330" s="164"/>
      <c r="S330" s="164"/>
      <c r="T330" s="232" t="s">
        <v>822</v>
      </c>
      <c r="U330" s="152"/>
      <c r="V330" s="147"/>
      <c r="W330" s="147"/>
      <c r="X330" s="147"/>
    </row>
    <row r="331" spans="1:24">
      <c r="A331" s="163" t="s">
        <v>823</v>
      </c>
      <c r="B331" s="152">
        <v>14</v>
      </c>
      <c r="D331" s="186"/>
      <c r="E331" s="186"/>
      <c r="F331" s="206"/>
      <c r="G331" s="379"/>
      <c r="H331" s="379"/>
      <c r="I331" s="164"/>
      <c r="J331" s="164"/>
      <c r="K331" s="164"/>
      <c r="L331" s="164"/>
      <c r="M331" s="164"/>
      <c r="N331" s="164"/>
      <c r="O331" s="164"/>
      <c r="P331" s="164"/>
      <c r="Q331" s="164"/>
      <c r="R331" s="164"/>
      <c r="S331" s="164"/>
      <c r="T331" s="232" t="s">
        <v>823</v>
      </c>
      <c r="U331" s="152"/>
      <c r="V331" s="147"/>
      <c r="W331" s="147"/>
      <c r="X331" s="147"/>
    </row>
    <row r="332" spans="1:24">
      <c r="A332" s="163" t="s">
        <v>824</v>
      </c>
      <c r="B332" s="152">
        <v>15</v>
      </c>
      <c r="C332" s="164"/>
      <c r="D332" s="164"/>
      <c r="E332" s="164"/>
      <c r="F332" s="218"/>
      <c r="G332" s="17"/>
      <c r="H332" s="17"/>
      <c r="I332" s="164"/>
      <c r="J332" s="164"/>
      <c r="K332" s="164"/>
      <c r="L332" s="164"/>
      <c r="M332" s="164"/>
      <c r="N332" s="164"/>
      <c r="O332" s="164"/>
      <c r="P332" s="164"/>
      <c r="Q332" s="164"/>
      <c r="R332" s="164"/>
      <c r="S332" s="164"/>
      <c r="T332" s="232" t="s">
        <v>824</v>
      </c>
      <c r="U332" s="152"/>
      <c r="V332" s="147"/>
      <c r="W332" s="147"/>
      <c r="X332" s="147"/>
    </row>
    <row r="333" spans="1:24">
      <c r="A333" s="163" t="s">
        <v>825</v>
      </c>
      <c r="B333" s="152">
        <v>16</v>
      </c>
      <c r="C333" s="164"/>
      <c r="D333" s="164"/>
      <c r="E333" s="164"/>
      <c r="F333" s="218"/>
      <c r="G333" s="17"/>
      <c r="H333" s="17"/>
      <c r="I333" s="164"/>
      <c r="J333" s="164"/>
      <c r="K333" s="164"/>
      <c r="L333" s="164"/>
      <c r="M333" s="164"/>
      <c r="N333" s="164"/>
      <c r="O333" s="164"/>
      <c r="P333" s="164"/>
      <c r="Q333" s="164"/>
      <c r="R333" s="164"/>
      <c r="S333" s="164"/>
      <c r="T333" s="232" t="s">
        <v>825</v>
      </c>
      <c r="U333" s="152"/>
      <c r="V333" s="147"/>
      <c r="W333" s="147"/>
      <c r="X333" s="147"/>
    </row>
    <row r="334" spans="1:24">
      <c r="A334" s="163" t="s">
        <v>826</v>
      </c>
      <c r="B334" s="152">
        <v>17</v>
      </c>
      <c r="C334" s="164"/>
      <c r="D334" s="164"/>
      <c r="E334" s="164"/>
      <c r="F334" s="218"/>
      <c r="G334" s="17"/>
      <c r="H334" s="17"/>
      <c r="I334" s="164"/>
      <c r="J334" s="164"/>
      <c r="K334" s="164"/>
      <c r="L334" s="164"/>
      <c r="M334" s="164"/>
      <c r="N334" s="164"/>
      <c r="O334" s="164"/>
      <c r="P334" s="164"/>
      <c r="Q334" s="164"/>
      <c r="R334" s="164"/>
      <c r="S334" s="164"/>
      <c r="T334" s="232" t="s">
        <v>826</v>
      </c>
      <c r="U334" s="152"/>
      <c r="V334" s="147"/>
      <c r="W334" s="147"/>
      <c r="X334" s="147"/>
    </row>
    <row r="335" spans="1:24">
      <c r="A335" s="163" t="s">
        <v>827</v>
      </c>
      <c r="B335" s="152">
        <v>18</v>
      </c>
      <c r="C335" s="164"/>
      <c r="D335" s="164"/>
      <c r="E335" s="164"/>
      <c r="F335" s="218"/>
      <c r="G335" s="17"/>
      <c r="H335" s="17"/>
      <c r="I335" s="164"/>
      <c r="J335" s="164"/>
      <c r="K335" s="164"/>
      <c r="L335" s="164"/>
      <c r="M335" s="164"/>
      <c r="N335" s="164"/>
      <c r="O335" s="164"/>
      <c r="P335" s="164"/>
      <c r="Q335" s="164"/>
      <c r="R335" s="164"/>
      <c r="S335" s="164"/>
      <c r="T335" s="232" t="s">
        <v>827</v>
      </c>
      <c r="U335" s="152"/>
      <c r="V335" s="147"/>
      <c r="W335" s="147"/>
      <c r="X335" s="147"/>
    </row>
    <row r="336" spans="1:24">
      <c r="A336" s="163" t="s">
        <v>821</v>
      </c>
      <c r="B336" s="152">
        <v>19</v>
      </c>
      <c r="C336" s="164"/>
      <c r="D336" s="164"/>
      <c r="E336" s="164"/>
      <c r="F336" s="218"/>
      <c r="G336" s="17"/>
      <c r="H336" s="17"/>
      <c r="I336" s="164"/>
      <c r="J336" s="164"/>
      <c r="K336" s="164"/>
      <c r="L336" s="164"/>
      <c r="M336" s="164"/>
      <c r="N336" s="164"/>
      <c r="O336" s="164"/>
      <c r="P336" s="164"/>
      <c r="Q336" s="164"/>
      <c r="R336" s="164"/>
      <c r="S336" s="164"/>
      <c r="T336" s="232" t="s">
        <v>821</v>
      </c>
      <c r="U336" s="152"/>
      <c r="V336" s="147"/>
      <c r="W336" s="147"/>
      <c r="X336" s="147"/>
    </row>
    <row r="337" spans="1:24">
      <c r="A337" s="163" t="s">
        <v>822</v>
      </c>
      <c r="B337" s="152">
        <v>20</v>
      </c>
      <c r="C337" s="164"/>
      <c r="D337" s="164"/>
      <c r="E337" s="164"/>
      <c r="F337" s="218"/>
      <c r="G337" s="17"/>
      <c r="H337" s="17"/>
      <c r="I337" s="164"/>
      <c r="J337" s="164"/>
      <c r="K337" s="164"/>
      <c r="L337" s="164"/>
      <c r="M337" s="164"/>
      <c r="N337" s="164"/>
      <c r="O337" s="164"/>
      <c r="P337" s="164"/>
      <c r="Q337" s="164"/>
      <c r="R337" s="164"/>
      <c r="S337" s="164"/>
      <c r="T337" s="232" t="s">
        <v>822</v>
      </c>
      <c r="U337" s="152"/>
      <c r="V337" s="147"/>
      <c r="W337" s="147"/>
      <c r="X337" s="147"/>
    </row>
    <row r="338" spans="1:24">
      <c r="A338" s="163" t="s">
        <v>823</v>
      </c>
      <c r="B338" s="152">
        <v>21</v>
      </c>
      <c r="C338" s="164"/>
      <c r="D338" s="164"/>
      <c r="E338" s="164"/>
      <c r="F338" s="218"/>
      <c r="G338" s="17"/>
      <c r="H338" s="17"/>
      <c r="I338" s="164"/>
      <c r="J338" s="164"/>
      <c r="K338" s="164"/>
      <c r="L338" s="164"/>
      <c r="M338" s="164"/>
      <c r="N338" s="164"/>
      <c r="O338" s="164"/>
      <c r="P338" s="164"/>
      <c r="Q338" s="164"/>
      <c r="R338" s="164"/>
      <c r="S338" s="164"/>
      <c r="T338" s="232" t="s">
        <v>823</v>
      </c>
      <c r="U338" s="152"/>
      <c r="V338" s="147"/>
      <c r="W338" s="147"/>
      <c r="X338" s="147"/>
    </row>
    <row r="339" spans="1:24">
      <c r="A339" s="163" t="s">
        <v>824</v>
      </c>
      <c r="B339" s="152">
        <v>22</v>
      </c>
      <c r="C339" s="164"/>
      <c r="D339" s="164"/>
      <c r="E339" s="164"/>
      <c r="F339" s="218"/>
      <c r="G339" s="17"/>
      <c r="H339" s="17"/>
      <c r="I339" s="164"/>
      <c r="J339" s="164"/>
      <c r="K339" s="164"/>
      <c r="L339" s="164"/>
      <c r="M339" s="164"/>
      <c r="N339" s="164"/>
      <c r="O339" s="164"/>
      <c r="P339" s="164"/>
      <c r="Q339" s="164"/>
      <c r="R339" s="164"/>
      <c r="S339" s="164"/>
      <c r="T339" s="232" t="s">
        <v>824</v>
      </c>
      <c r="U339" s="152"/>
      <c r="V339" s="147"/>
      <c r="W339" s="147"/>
      <c r="X339" s="147"/>
    </row>
    <row r="340" spans="1:24">
      <c r="A340" s="163" t="s">
        <v>825</v>
      </c>
      <c r="B340" s="152">
        <v>23</v>
      </c>
      <c r="C340" s="164"/>
      <c r="D340" s="164"/>
      <c r="E340" s="164"/>
      <c r="F340" s="218"/>
      <c r="G340" s="17"/>
      <c r="H340" s="17"/>
      <c r="I340" s="164"/>
      <c r="J340" s="164"/>
      <c r="K340" s="164"/>
      <c r="L340" s="164"/>
      <c r="M340" s="164"/>
      <c r="N340" s="164"/>
      <c r="O340" s="164"/>
      <c r="P340" s="164"/>
      <c r="Q340" s="164"/>
      <c r="R340" s="164"/>
      <c r="S340" s="164"/>
      <c r="T340" s="232" t="s">
        <v>825</v>
      </c>
      <c r="U340" s="152"/>
      <c r="V340" s="147"/>
      <c r="W340" s="147"/>
      <c r="X340" s="147"/>
    </row>
    <row r="341" spans="1:24">
      <c r="A341" s="163" t="s">
        <v>826</v>
      </c>
      <c r="B341" s="152">
        <v>24</v>
      </c>
      <c r="C341" s="164"/>
      <c r="D341" s="164"/>
      <c r="E341" s="164"/>
      <c r="F341" s="218"/>
      <c r="G341" s="17"/>
      <c r="H341" s="17"/>
      <c r="I341" s="164"/>
      <c r="J341" s="164"/>
      <c r="K341" s="164"/>
      <c r="L341" s="164"/>
      <c r="M341" s="164"/>
      <c r="N341" s="164"/>
      <c r="O341" s="164"/>
      <c r="P341" s="164"/>
      <c r="Q341" s="164"/>
      <c r="R341" s="164"/>
      <c r="S341" s="164"/>
      <c r="T341" s="232" t="s">
        <v>826</v>
      </c>
      <c r="U341" s="152"/>
      <c r="V341" s="147"/>
      <c r="W341" s="147"/>
      <c r="X341" s="147"/>
    </row>
    <row r="342" spans="1:24" ht="15.75" thickBot="1">
      <c r="A342" s="163" t="s">
        <v>827</v>
      </c>
      <c r="B342" s="152">
        <v>25</v>
      </c>
      <c r="C342" s="164"/>
      <c r="D342" s="164"/>
      <c r="E342" s="164"/>
      <c r="F342" s="218"/>
      <c r="G342" s="17"/>
      <c r="H342" s="17"/>
      <c r="I342" s="164"/>
      <c r="J342" s="164"/>
      <c r="K342" s="164"/>
      <c r="L342" s="164"/>
      <c r="M342" s="164"/>
      <c r="N342" s="164"/>
      <c r="O342" s="164"/>
      <c r="P342" s="164"/>
      <c r="Q342" s="164"/>
      <c r="R342" s="164"/>
      <c r="S342" s="164"/>
      <c r="T342" s="232" t="s">
        <v>827</v>
      </c>
      <c r="U342" s="152"/>
      <c r="V342" s="147"/>
      <c r="W342" s="147"/>
      <c r="X342" s="147"/>
    </row>
    <row r="343" spans="1:24" ht="16.5" thickBot="1">
      <c r="A343" s="175" t="s">
        <v>791</v>
      </c>
      <c r="B343" s="176">
        <f>SUM(C343:S343)+U343</f>
        <v>0</v>
      </c>
      <c r="C343" s="164">
        <f t="shared" ref="C343:Q343" si="38">SUM(C329:C342)</f>
        <v>0</v>
      </c>
      <c r="D343" s="177">
        <f t="shared" si="38"/>
        <v>0</v>
      </c>
      <c r="E343" s="177">
        <f t="shared" si="38"/>
        <v>0</v>
      </c>
      <c r="F343" s="177">
        <f t="shared" si="38"/>
        <v>0</v>
      </c>
      <c r="G343" s="177">
        <f t="shared" si="38"/>
        <v>0</v>
      </c>
      <c r="H343" s="177">
        <f t="shared" si="38"/>
        <v>0</v>
      </c>
      <c r="I343" s="177">
        <f t="shared" si="38"/>
        <v>0</v>
      </c>
      <c r="J343" s="177">
        <f t="shared" si="38"/>
        <v>0</v>
      </c>
      <c r="K343" s="177">
        <f t="shared" si="38"/>
        <v>0</v>
      </c>
      <c r="L343" s="177">
        <f t="shared" si="38"/>
        <v>0</v>
      </c>
      <c r="M343" s="164">
        <f t="shared" si="38"/>
        <v>0</v>
      </c>
      <c r="N343" s="164">
        <f t="shared" si="38"/>
        <v>0</v>
      </c>
      <c r="O343" s="164">
        <f t="shared" si="38"/>
        <v>0</v>
      </c>
      <c r="P343" s="164">
        <f t="shared" si="38"/>
        <v>0</v>
      </c>
      <c r="Q343" s="164">
        <f t="shared" si="38"/>
        <v>0</v>
      </c>
      <c r="R343" s="164">
        <f>SUM(R329:R342)</f>
        <v>0</v>
      </c>
      <c r="S343" s="164">
        <f>SUM(S329:S342)</f>
        <v>0</v>
      </c>
      <c r="T343" s="175" t="s">
        <v>791</v>
      </c>
      <c r="U343" s="176">
        <f>SUM(V343:X343)</f>
        <v>0</v>
      </c>
      <c r="V343" s="147">
        <f>SUM(V329:V342)</f>
        <v>0</v>
      </c>
      <c r="W343" s="147">
        <f>SUM(W329:W342)</f>
        <v>0</v>
      </c>
      <c r="X343" s="147">
        <f>SUM(X329:X342)</f>
        <v>0</v>
      </c>
    </row>
    <row r="344" spans="1:24">
      <c r="A344" s="380"/>
      <c r="C344" s="65"/>
      <c r="D344" s="65"/>
      <c r="E344" s="65"/>
      <c r="F344" s="65"/>
      <c r="G344" s="65"/>
      <c r="H344" s="65"/>
      <c r="I344" s="65"/>
      <c r="J344" s="65"/>
      <c r="K344" s="65"/>
      <c r="L344" s="65"/>
      <c r="M344" s="65"/>
      <c r="N344" s="65"/>
      <c r="O344" s="65"/>
      <c r="P344" s="65"/>
      <c r="Q344" s="65"/>
      <c r="R344" s="65"/>
      <c r="S344" s="381"/>
    </row>
    <row r="345" spans="1:24">
      <c r="A345" s="380"/>
      <c r="C345" s="65"/>
      <c r="D345" s="65"/>
      <c r="E345" s="65"/>
      <c r="F345" s="65"/>
      <c r="G345" s="65"/>
      <c r="H345" s="65"/>
      <c r="I345" s="65"/>
      <c r="J345" s="65"/>
      <c r="K345" s="65"/>
      <c r="L345" s="65"/>
      <c r="M345" s="65"/>
      <c r="N345" s="65"/>
      <c r="O345" s="65"/>
      <c r="P345" s="65"/>
      <c r="Q345" s="65"/>
      <c r="R345" s="65"/>
      <c r="S345" s="381"/>
    </row>
    <row r="346" spans="1:24">
      <c r="A346" s="380"/>
      <c r="C346" s="65"/>
      <c r="D346" s="65"/>
      <c r="E346" s="65"/>
      <c r="F346" s="65"/>
      <c r="G346" s="65"/>
      <c r="H346" s="65"/>
      <c r="I346" s="65"/>
      <c r="J346" s="65"/>
      <c r="K346" s="65"/>
      <c r="L346" s="65"/>
      <c r="M346" s="65"/>
      <c r="N346" s="65"/>
      <c r="O346" s="65"/>
      <c r="P346" s="65"/>
      <c r="Q346" s="65"/>
      <c r="R346" s="65"/>
      <c r="S346" s="381"/>
    </row>
    <row r="347" spans="1:24" s="452" customFormat="1" ht="15.75" thickBot="1"/>
    <row r="348" spans="1:24" ht="15.75" thickBot="1">
      <c r="A348" s="1024" t="s">
        <v>996</v>
      </c>
      <c r="B348" s="1025"/>
      <c r="C348" s="1025"/>
      <c r="D348" s="1025"/>
      <c r="E348" s="1025"/>
      <c r="F348" s="1025"/>
      <c r="G348" s="1025"/>
      <c r="H348" s="1025"/>
      <c r="I348" s="1025"/>
      <c r="J348" s="1025"/>
      <c r="K348" s="1025"/>
      <c r="L348" s="1025"/>
      <c r="M348" s="1025"/>
      <c r="N348" s="1025"/>
      <c r="O348" s="1025"/>
      <c r="P348" s="1025"/>
      <c r="Q348" s="1025"/>
      <c r="R348" s="1025"/>
      <c r="S348" s="1026"/>
      <c r="T348" s="1024" t="s">
        <v>820</v>
      </c>
      <c r="U348" s="1025"/>
      <c r="V348" s="1025"/>
      <c r="W348" s="1025"/>
      <c r="X348" s="1026"/>
    </row>
    <row r="349" spans="1:24" s="42" customFormat="1" ht="72" customHeight="1">
      <c r="A349" s="155"/>
      <c r="B349" s="151"/>
      <c r="C349" s="157"/>
      <c r="D349" s="158"/>
      <c r="E349" s="158"/>
      <c r="F349" s="159"/>
      <c r="G349" s="157"/>
      <c r="H349" s="157"/>
      <c r="I349" s="157"/>
      <c r="J349" s="157"/>
      <c r="K349" s="157"/>
      <c r="L349" s="157"/>
      <c r="M349" s="157"/>
      <c r="N349" s="157"/>
      <c r="O349" s="157"/>
      <c r="P349" s="157"/>
      <c r="Q349" s="158"/>
      <c r="R349" s="157"/>
      <c r="S349" s="157"/>
      <c r="T349" s="228"/>
      <c r="U349" s="247"/>
      <c r="V349" s="369"/>
      <c r="W349" s="369"/>
      <c r="X349" s="369"/>
    </row>
    <row r="350" spans="1:24">
      <c r="A350" s="163" t="s">
        <v>821</v>
      </c>
      <c r="B350" s="152"/>
      <c r="C350" s="164"/>
      <c r="D350" s="164"/>
      <c r="E350" s="165"/>
      <c r="F350" s="166"/>
      <c r="G350" s="164"/>
      <c r="H350" s="164"/>
      <c r="I350" s="164"/>
      <c r="J350" s="164"/>
      <c r="K350" s="164"/>
      <c r="L350" s="164"/>
      <c r="M350" s="164"/>
      <c r="N350" s="164"/>
      <c r="O350" s="164"/>
      <c r="P350" s="164"/>
      <c r="Q350" s="165"/>
      <c r="R350" s="167"/>
      <c r="S350" s="167"/>
      <c r="T350" s="232" t="s">
        <v>821</v>
      </c>
      <c r="U350" s="152"/>
      <c r="V350" s="147"/>
      <c r="W350" s="147"/>
      <c r="X350" s="147"/>
    </row>
    <row r="351" spans="1:24">
      <c r="A351" s="163" t="s">
        <v>822</v>
      </c>
      <c r="B351" s="152"/>
      <c r="C351" s="168"/>
      <c r="D351" s="164"/>
      <c r="E351" s="164"/>
      <c r="F351" s="164"/>
      <c r="G351" s="164"/>
      <c r="H351" s="164"/>
      <c r="I351" s="164"/>
      <c r="J351" s="164"/>
      <c r="K351" s="164"/>
      <c r="L351" s="164"/>
      <c r="M351" s="164"/>
      <c r="N351" s="164"/>
      <c r="O351" s="164"/>
      <c r="P351" s="164"/>
      <c r="Q351" s="165"/>
      <c r="R351" s="167"/>
      <c r="S351" s="167"/>
      <c r="T351" s="232" t="s">
        <v>822</v>
      </c>
      <c r="U351" s="152"/>
      <c r="V351" s="147"/>
      <c r="W351" s="147"/>
      <c r="X351" s="147"/>
    </row>
    <row r="352" spans="1:24">
      <c r="A352" s="163" t="s">
        <v>823</v>
      </c>
      <c r="B352" s="152"/>
      <c r="C352" s="168"/>
      <c r="D352" s="164"/>
      <c r="E352" s="164"/>
      <c r="F352" s="164"/>
      <c r="G352" s="164"/>
      <c r="H352" s="164"/>
      <c r="I352" s="164"/>
      <c r="J352" s="164"/>
      <c r="K352" s="164"/>
      <c r="L352" s="164"/>
      <c r="M352" s="164"/>
      <c r="N352" s="164"/>
      <c r="O352" s="164"/>
      <c r="P352" s="164"/>
      <c r="Q352" s="165"/>
      <c r="R352" s="164"/>
      <c r="S352" s="164"/>
      <c r="T352" s="232" t="s">
        <v>823</v>
      </c>
      <c r="U352" s="152"/>
      <c r="V352" s="147"/>
      <c r="W352" s="147"/>
      <c r="X352" s="147"/>
    </row>
    <row r="353" spans="1:24">
      <c r="A353" s="163" t="s">
        <v>824</v>
      </c>
      <c r="B353" s="152"/>
      <c r="C353" s="168"/>
      <c r="D353" s="164"/>
      <c r="E353" s="164"/>
      <c r="F353" s="164"/>
      <c r="G353" s="164"/>
      <c r="H353" s="164"/>
      <c r="I353" s="164"/>
      <c r="J353" s="164"/>
      <c r="K353" s="164"/>
      <c r="L353" s="164"/>
      <c r="M353" s="164"/>
      <c r="N353" s="164"/>
      <c r="O353" s="164"/>
      <c r="P353" s="164"/>
      <c r="Q353" s="165"/>
      <c r="R353" s="164"/>
      <c r="S353" s="164"/>
      <c r="T353" s="232" t="s">
        <v>824</v>
      </c>
      <c r="U353" s="152"/>
      <c r="V353" s="147"/>
      <c r="W353" s="147"/>
      <c r="X353" s="147"/>
    </row>
    <row r="354" spans="1:24">
      <c r="A354" s="163" t="s">
        <v>825</v>
      </c>
      <c r="B354" s="152"/>
      <c r="C354" s="168"/>
      <c r="D354" s="164"/>
      <c r="E354" s="164"/>
      <c r="F354" s="164"/>
      <c r="G354" s="164"/>
      <c r="H354" s="164"/>
      <c r="I354" s="164"/>
      <c r="J354" s="164"/>
      <c r="K354" s="164"/>
      <c r="L354" s="164"/>
      <c r="M354" s="164"/>
      <c r="N354" s="164"/>
      <c r="O354" s="164"/>
      <c r="P354" s="164"/>
      <c r="Q354" s="165"/>
      <c r="R354" s="164"/>
      <c r="S354" s="164"/>
      <c r="T354" s="232" t="s">
        <v>825</v>
      </c>
      <c r="U354" s="152"/>
      <c r="V354" s="147"/>
      <c r="W354" s="147"/>
      <c r="X354" s="147"/>
    </row>
    <row r="355" spans="1:24">
      <c r="A355" s="163" t="s">
        <v>826</v>
      </c>
      <c r="B355" s="152"/>
      <c r="C355" s="168"/>
      <c r="D355" s="164"/>
      <c r="E355" s="164"/>
      <c r="F355" s="164"/>
      <c r="G355" s="164"/>
      <c r="H355" s="164"/>
      <c r="I355" s="164"/>
      <c r="J355" s="164"/>
      <c r="K355" s="164"/>
      <c r="L355" s="164"/>
      <c r="M355" s="164"/>
      <c r="N355" s="164"/>
      <c r="O355" s="164"/>
      <c r="P355" s="164"/>
      <c r="Q355" s="165"/>
      <c r="R355" s="164"/>
      <c r="S355" s="164"/>
      <c r="T355" s="232" t="s">
        <v>826</v>
      </c>
      <c r="U355" s="152"/>
      <c r="V355" s="147"/>
      <c r="W355" s="147"/>
      <c r="X355" s="147"/>
    </row>
    <row r="356" spans="1:24">
      <c r="A356" s="163" t="s">
        <v>827</v>
      </c>
      <c r="B356" s="152"/>
      <c r="C356" s="168"/>
      <c r="D356" s="164"/>
      <c r="E356" s="164"/>
      <c r="F356" s="164"/>
      <c r="G356" s="164"/>
      <c r="H356" s="164"/>
      <c r="I356" s="164"/>
      <c r="J356" s="164"/>
      <c r="K356" s="164"/>
      <c r="L356" s="164"/>
      <c r="M356" s="164"/>
      <c r="N356" s="164"/>
      <c r="O356" s="164"/>
      <c r="P356" s="164"/>
      <c r="Q356" s="165"/>
      <c r="R356" s="164"/>
      <c r="S356" s="164"/>
      <c r="T356" s="232" t="s">
        <v>827</v>
      </c>
      <c r="U356" s="152"/>
      <c r="V356" s="147"/>
      <c r="W356" s="147"/>
      <c r="X356" s="147"/>
    </row>
    <row r="357" spans="1:24">
      <c r="A357" s="163" t="s">
        <v>821</v>
      </c>
      <c r="B357" s="152"/>
      <c r="C357" s="168"/>
      <c r="D357" s="164"/>
      <c r="E357" s="164"/>
      <c r="F357" s="164"/>
      <c r="G357" s="164"/>
      <c r="H357" s="164"/>
      <c r="I357" s="164"/>
      <c r="J357" s="164"/>
      <c r="K357" s="164"/>
      <c r="L357" s="164"/>
      <c r="M357" s="164"/>
      <c r="N357" s="164"/>
      <c r="O357" s="164"/>
      <c r="P357" s="164"/>
      <c r="Q357" s="165"/>
      <c r="R357" s="164"/>
      <c r="S357" s="164"/>
      <c r="T357" s="232" t="s">
        <v>821</v>
      </c>
      <c r="U357" s="152"/>
      <c r="V357" s="147"/>
      <c r="W357" s="147"/>
      <c r="X357" s="147"/>
    </row>
    <row r="358" spans="1:24">
      <c r="A358" s="163" t="s">
        <v>822</v>
      </c>
      <c r="B358" s="152"/>
      <c r="C358" s="168"/>
      <c r="D358" s="164"/>
      <c r="E358" s="164"/>
      <c r="F358" s="164"/>
      <c r="G358" s="164"/>
      <c r="H358" s="164"/>
      <c r="I358" s="164"/>
      <c r="J358" s="164"/>
      <c r="K358" s="164"/>
      <c r="L358" s="164"/>
      <c r="M358" s="164"/>
      <c r="N358" s="164"/>
      <c r="O358" s="164"/>
      <c r="P358" s="164"/>
      <c r="Q358" s="165"/>
      <c r="R358" s="164"/>
      <c r="S358" s="164"/>
      <c r="T358" s="232" t="s">
        <v>822</v>
      </c>
      <c r="U358" s="152"/>
      <c r="V358" s="147"/>
      <c r="W358" s="147"/>
      <c r="X358" s="147"/>
    </row>
    <row r="359" spans="1:24">
      <c r="A359" s="163" t="s">
        <v>823</v>
      </c>
      <c r="B359" s="152"/>
      <c r="C359" s="168"/>
      <c r="D359" s="164"/>
      <c r="E359" s="164"/>
      <c r="F359" s="164"/>
      <c r="G359" s="169"/>
      <c r="H359" s="169"/>
      <c r="I359" s="169"/>
      <c r="J359" s="169"/>
      <c r="K359" s="169"/>
      <c r="L359" s="169"/>
      <c r="M359" s="169"/>
      <c r="N359" s="169"/>
      <c r="O359" s="169"/>
      <c r="P359" s="169"/>
      <c r="Q359" s="170"/>
      <c r="R359" s="164"/>
      <c r="S359" s="164"/>
      <c r="T359" s="232" t="s">
        <v>823</v>
      </c>
      <c r="U359" s="152"/>
      <c r="V359" s="147"/>
      <c r="W359" s="147"/>
      <c r="X359" s="147"/>
    </row>
    <row r="360" spans="1:24">
      <c r="A360" s="163" t="s">
        <v>824</v>
      </c>
      <c r="B360" s="152"/>
      <c r="C360" s="168"/>
      <c r="D360" s="164"/>
      <c r="E360" s="164"/>
      <c r="F360" s="164"/>
      <c r="G360" s="169"/>
      <c r="H360" s="169"/>
      <c r="I360" s="169"/>
      <c r="J360" s="169"/>
      <c r="K360" s="169"/>
      <c r="L360" s="169"/>
      <c r="M360" s="169"/>
      <c r="N360" s="169"/>
      <c r="O360" s="169"/>
      <c r="P360" s="169"/>
      <c r="Q360" s="170"/>
      <c r="R360" s="164"/>
      <c r="S360" s="164"/>
      <c r="T360" s="232" t="s">
        <v>824</v>
      </c>
      <c r="U360" s="152"/>
      <c r="V360" s="147"/>
      <c r="W360" s="147"/>
      <c r="X360" s="147"/>
    </row>
    <row r="361" spans="1:24">
      <c r="A361" s="163" t="s">
        <v>825</v>
      </c>
      <c r="B361" s="152"/>
      <c r="C361" s="168"/>
      <c r="D361" s="164"/>
      <c r="E361" s="164"/>
      <c r="F361" s="164"/>
      <c r="G361" s="169"/>
      <c r="H361" s="169"/>
      <c r="I361" s="169"/>
      <c r="J361" s="169"/>
      <c r="K361" s="169"/>
      <c r="L361" s="169"/>
      <c r="M361" s="169"/>
      <c r="N361" s="169"/>
      <c r="O361" s="169"/>
      <c r="P361" s="169"/>
      <c r="Q361" s="170"/>
      <c r="R361" s="164"/>
      <c r="S361" s="164"/>
      <c r="T361" s="232" t="s">
        <v>825</v>
      </c>
      <c r="U361" s="152"/>
      <c r="V361" s="147"/>
      <c r="W361" s="147"/>
      <c r="X361" s="147"/>
    </row>
    <row r="362" spans="1:24">
      <c r="A362" s="163" t="s">
        <v>826</v>
      </c>
      <c r="B362" s="152"/>
      <c r="C362" s="168"/>
      <c r="D362" s="164"/>
      <c r="E362" s="164"/>
      <c r="F362" s="164"/>
      <c r="G362" s="169"/>
      <c r="H362" s="169"/>
      <c r="I362" s="169"/>
      <c r="J362" s="169"/>
      <c r="K362" s="169"/>
      <c r="L362" s="169"/>
      <c r="M362" s="169"/>
      <c r="N362" s="169"/>
      <c r="O362" s="169"/>
      <c r="P362" s="169"/>
      <c r="Q362" s="170"/>
      <c r="R362" s="164"/>
      <c r="S362" s="164"/>
      <c r="T362" s="232" t="s">
        <v>826</v>
      </c>
      <c r="U362" s="152"/>
      <c r="V362" s="147"/>
      <c r="W362" s="147"/>
      <c r="X362" s="147"/>
    </row>
    <row r="363" spans="1:24" ht="15.75" thickBot="1">
      <c r="A363" s="163" t="s">
        <v>827</v>
      </c>
      <c r="B363" s="152"/>
      <c r="C363" s="168"/>
      <c r="D363" s="164"/>
      <c r="E363" s="164"/>
      <c r="F363" s="164"/>
      <c r="G363" s="169"/>
      <c r="H363" s="169"/>
      <c r="I363" s="169"/>
      <c r="J363" s="169"/>
      <c r="K363" s="169"/>
      <c r="L363" s="169"/>
      <c r="M363" s="169"/>
      <c r="N363" s="169"/>
      <c r="O363" s="169"/>
      <c r="P363" s="169"/>
      <c r="Q363" s="170"/>
      <c r="R363" s="164"/>
      <c r="S363" s="164"/>
      <c r="T363" s="232" t="s">
        <v>827</v>
      </c>
      <c r="U363" s="152"/>
      <c r="V363" s="147"/>
      <c r="W363" s="147"/>
      <c r="X363" s="147"/>
    </row>
    <row r="364" spans="1:24" ht="16.5" thickBot="1">
      <c r="A364" s="171"/>
      <c r="B364" s="172">
        <f>SUM(C364:S364)+U364</f>
        <v>0</v>
      </c>
      <c r="C364" s="173">
        <f>SUM(C350:C363)</f>
        <v>0</v>
      </c>
      <c r="D364" s="173">
        <f>SUM(D350:D363)</f>
        <v>0</v>
      </c>
      <c r="E364" s="173">
        <f>SUM(E350:E363)</f>
        <v>0</v>
      </c>
      <c r="F364" s="173">
        <f>SUM(F350:F363)</f>
        <v>0</v>
      </c>
      <c r="G364" s="173">
        <f>SUM(G350:G363)</f>
        <v>0</v>
      </c>
      <c r="H364" s="173">
        <f t="shared" ref="H364:S364" si="39">SUM(H350:H363)</f>
        <v>0</v>
      </c>
      <c r="I364" s="173">
        <f t="shared" si="39"/>
        <v>0</v>
      </c>
      <c r="J364" s="173">
        <f t="shared" si="39"/>
        <v>0</v>
      </c>
      <c r="K364" s="173">
        <f t="shared" si="39"/>
        <v>0</v>
      </c>
      <c r="L364" s="173">
        <f t="shared" si="39"/>
        <v>0</v>
      </c>
      <c r="M364" s="173">
        <f t="shared" si="39"/>
        <v>0</v>
      </c>
      <c r="N364" s="173">
        <f t="shared" si="39"/>
        <v>0</v>
      </c>
      <c r="O364" s="173">
        <f t="shared" si="39"/>
        <v>0</v>
      </c>
      <c r="P364" s="173">
        <f t="shared" si="39"/>
        <v>0</v>
      </c>
      <c r="Q364" s="174">
        <f t="shared" si="39"/>
        <v>0</v>
      </c>
      <c r="R364" s="164">
        <f t="shared" si="39"/>
        <v>0</v>
      </c>
      <c r="S364" s="164">
        <f t="shared" si="39"/>
        <v>0</v>
      </c>
      <c r="T364" s="175" t="s">
        <v>791</v>
      </c>
      <c r="U364" s="176">
        <f>SUM(V364:X364)</f>
        <v>0</v>
      </c>
      <c r="V364" s="147">
        <f>SUM(V350:V363)</f>
        <v>0</v>
      </c>
      <c r="W364" s="147">
        <f>SUM(W350:W363)</f>
        <v>0</v>
      </c>
      <c r="X364" s="147">
        <f>SUM(X350:X363)</f>
        <v>0</v>
      </c>
    </row>
    <row r="365" spans="1:24" ht="15.75" thickBot="1"/>
    <row r="366" spans="1:24" ht="15.75" thickBot="1">
      <c r="A366" s="1046" t="s">
        <v>997</v>
      </c>
      <c r="B366" s="1047"/>
      <c r="C366" s="1047"/>
      <c r="D366" s="1047"/>
      <c r="E366" s="1047"/>
      <c r="F366" s="1047"/>
      <c r="G366" s="1047"/>
      <c r="H366" s="1047"/>
      <c r="I366" s="1047"/>
      <c r="J366" s="1047"/>
      <c r="K366" s="1047"/>
      <c r="L366" s="1047"/>
      <c r="M366" s="1047"/>
      <c r="N366" s="1047"/>
      <c r="O366" s="1047"/>
      <c r="P366" s="1047"/>
      <c r="Q366" s="1047"/>
      <c r="R366" s="1047"/>
      <c r="S366" s="1048"/>
      <c r="T366" s="1024" t="s">
        <v>820</v>
      </c>
      <c r="U366" s="1025"/>
      <c r="V366" s="1025"/>
      <c r="W366" s="1025"/>
      <c r="X366" s="1026"/>
    </row>
    <row r="367" spans="1:24" s="42" customFormat="1" ht="88.5" customHeight="1">
      <c r="A367" s="155"/>
      <c r="B367" s="941"/>
      <c r="C367" s="945"/>
      <c r="D367" s="938"/>
      <c r="E367" s="938"/>
      <c r="F367" s="158"/>
      <c r="G367" s="157"/>
      <c r="H367" s="178"/>
      <c r="I367" s="157"/>
      <c r="J367" s="157"/>
      <c r="K367" s="158"/>
      <c r="L367" s="158"/>
      <c r="M367" s="162"/>
      <c r="N367" s="162"/>
      <c r="O367" s="179"/>
      <c r="P367" s="180"/>
      <c r="Q367" s="179"/>
      <c r="R367" s="157"/>
      <c r="S367" s="181"/>
      <c r="T367" s="228"/>
      <c r="U367" s="247"/>
      <c r="V367" s="369"/>
      <c r="W367" s="369"/>
      <c r="X367" s="369"/>
    </row>
    <row r="368" spans="1:24">
      <c r="A368" s="163" t="s">
        <v>821</v>
      </c>
      <c r="B368" s="17"/>
      <c r="C368" s="164"/>
      <c r="D368" s="164"/>
      <c r="E368" s="165"/>
      <c r="F368" s="46"/>
      <c r="G368" s="164"/>
      <c r="H368" s="164"/>
      <c r="I368" s="164"/>
      <c r="J368" s="164"/>
      <c r="K368" s="165"/>
      <c r="L368" s="46"/>
      <c r="M368" s="46"/>
      <c r="N368" s="46"/>
      <c r="O368" s="166"/>
      <c r="P368" s="183"/>
      <c r="Q368" s="166"/>
      <c r="R368" s="168"/>
      <c r="S368" s="184"/>
      <c r="T368" s="232" t="s">
        <v>821</v>
      </c>
      <c r="U368" s="152"/>
      <c r="V368" s="147"/>
      <c r="W368" s="147"/>
      <c r="X368" s="147"/>
    </row>
    <row r="369" spans="1:24">
      <c r="A369" s="163" t="s">
        <v>822</v>
      </c>
      <c r="B369" s="17"/>
      <c r="C369" s="164"/>
      <c r="D369" s="164"/>
      <c r="E369" s="165"/>
      <c r="F369" s="46"/>
      <c r="G369" s="164"/>
      <c r="H369" s="164"/>
      <c r="I369" s="164"/>
      <c r="J369" s="164"/>
      <c r="K369" s="165"/>
      <c r="L369" s="46"/>
      <c r="M369" s="46"/>
      <c r="N369" s="46"/>
      <c r="O369" s="166"/>
      <c r="P369" s="183"/>
      <c r="Q369" s="166"/>
      <c r="R369" s="189"/>
      <c r="S369" s="190"/>
      <c r="T369" s="232" t="s">
        <v>822</v>
      </c>
      <c r="U369" s="152"/>
      <c r="V369" s="147"/>
      <c r="W369" s="147"/>
      <c r="X369" s="147"/>
    </row>
    <row r="370" spans="1:24">
      <c r="A370" s="163" t="s">
        <v>823</v>
      </c>
      <c r="B370" s="17"/>
      <c r="C370" s="164"/>
      <c r="D370" s="164"/>
      <c r="E370" s="165"/>
      <c r="F370" s="46"/>
      <c r="G370" s="164"/>
      <c r="H370" s="164"/>
      <c r="I370" s="164"/>
      <c r="J370" s="164"/>
      <c r="K370" s="165"/>
      <c r="L370" s="46"/>
      <c r="M370" s="46"/>
      <c r="N370" s="46"/>
      <c r="O370" s="166"/>
      <c r="P370" s="183"/>
      <c r="Q370" s="166"/>
      <c r="R370" s="164"/>
      <c r="S370" s="191"/>
      <c r="T370" s="232" t="s">
        <v>823</v>
      </c>
      <c r="U370" s="152"/>
      <c r="V370" s="147"/>
      <c r="W370" s="147"/>
      <c r="X370" s="147"/>
    </row>
    <row r="371" spans="1:24">
      <c r="A371" s="163" t="s">
        <v>824</v>
      </c>
      <c r="B371" s="17"/>
      <c r="C371" s="164"/>
      <c r="D371" s="164"/>
      <c r="E371" s="165"/>
      <c r="F371" s="165"/>
      <c r="G371" s="164"/>
      <c r="H371" s="164"/>
      <c r="I371" s="164"/>
      <c r="J371" s="164"/>
      <c r="K371" s="165"/>
      <c r="L371" s="165"/>
      <c r="M371" s="46"/>
      <c r="N371" s="46"/>
      <c r="O371" s="166"/>
      <c r="P371" s="183"/>
      <c r="Q371" s="166"/>
      <c r="R371" s="164"/>
      <c r="S371" s="191"/>
      <c r="T371" s="232" t="s">
        <v>824</v>
      </c>
      <c r="U371" s="152"/>
      <c r="V371" s="147"/>
      <c r="W371" s="147"/>
      <c r="X371" s="147"/>
    </row>
    <row r="372" spans="1:24">
      <c r="A372" s="163" t="s">
        <v>825</v>
      </c>
      <c r="B372" s="17"/>
      <c r="C372" s="164"/>
      <c r="D372" s="164"/>
      <c r="E372" s="165"/>
      <c r="F372" s="46"/>
      <c r="G372" s="164"/>
      <c r="H372" s="164"/>
      <c r="I372" s="164"/>
      <c r="J372" s="164"/>
      <c r="K372" s="165"/>
      <c r="L372" s="46"/>
      <c r="M372" s="46"/>
      <c r="N372" s="46"/>
      <c r="O372" s="166"/>
      <c r="P372" s="183"/>
      <c r="Q372" s="166"/>
      <c r="R372" s="164"/>
      <c r="S372" s="191"/>
      <c r="T372" s="232" t="s">
        <v>825</v>
      </c>
      <c r="U372" s="152"/>
      <c r="V372" s="147"/>
      <c r="W372" s="147"/>
      <c r="X372" s="147"/>
    </row>
    <row r="373" spans="1:24">
      <c r="A373" s="163" t="s">
        <v>826</v>
      </c>
      <c r="B373" s="17"/>
      <c r="C373" s="164"/>
      <c r="D373" s="164"/>
      <c r="E373" s="165"/>
      <c r="F373" s="46"/>
      <c r="G373" s="164"/>
      <c r="H373" s="164"/>
      <c r="I373" s="164"/>
      <c r="J373" s="164"/>
      <c r="K373" s="165"/>
      <c r="L373" s="46"/>
      <c r="M373" s="46"/>
      <c r="N373" s="46"/>
      <c r="O373" s="166"/>
      <c r="P373" s="183"/>
      <c r="Q373" s="166"/>
      <c r="R373" s="164"/>
      <c r="S373" s="191"/>
      <c r="T373" s="232" t="s">
        <v>826</v>
      </c>
      <c r="U373" s="152"/>
      <c r="V373" s="147"/>
      <c r="W373" s="147"/>
      <c r="X373" s="147"/>
    </row>
    <row r="374" spans="1:24">
      <c r="A374" s="163" t="s">
        <v>827</v>
      </c>
      <c r="B374" s="17"/>
      <c r="C374" s="164"/>
      <c r="D374" s="164"/>
      <c r="E374" s="165"/>
      <c r="F374" s="165"/>
      <c r="G374" s="164"/>
      <c r="H374" s="164"/>
      <c r="I374" s="164"/>
      <c r="J374" s="164"/>
      <c r="K374" s="165"/>
      <c r="L374" s="165"/>
      <c r="M374" s="46"/>
      <c r="N374" s="46"/>
      <c r="O374" s="166"/>
      <c r="P374" s="183"/>
      <c r="Q374" s="166"/>
      <c r="R374" s="164"/>
      <c r="S374" s="191"/>
      <c r="T374" s="232" t="s">
        <v>827</v>
      </c>
      <c r="U374" s="152"/>
      <c r="V374" s="147"/>
      <c r="W374" s="147"/>
      <c r="X374" s="147"/>
    </row>
    <row r="375" spans="1:24">
      <c r="A375" s="163" t="s">
        <v>821</v>
      </c>
      <c r="B375" s="17"/>
      <c r="C375" s="164"/>
      <c r="D375" s="164"/>
      <c r="E375" s="165"/>
      <c r="F375" s="164"/>
      <c r="G375" s="164"/>
      <c r="H375" s="164"/>
      <c r="I375" s="164"/>
      <c r="J375" s="164"/>
      <c r="K375" s="165"/>
      <c r="L375" s="46"/>
      <c r="M375" s="46"/>
      <c r="N375" s="46"/>
      <c r="O375" s="166"/>
      <c r="P375" s="183"/>
      <c r="Q375" s="166"/>
      <c r="R375" s="164"/>
      <c r="S375" s="191"/>
      <c r="T375" s="232" t="s">
        <v>821</v>
      </c>
      <c r="U375" s="152"/>
      <c r="V375" s="147"/>
      <c r="W375" s="147"/>
      <c r="X375" s="147"/>
    </row>
    <row r="376" spans="1:24">
      <c r="A376" s="163" t="s">
        <v>822</v>
      </c>
      <c r="B376" s="17"/>
      <c r="C376" s="164"/>
      <c r="D376" s="164"/>
      <c r="E376" s="164"/>
      <c r="F376" s="164"/>
      <c r="G376" s="164"/>
      <c r="H376" s="164"/>
      <c r="I376" s="164"/>
      <c r="J376" s="164"/>
      <c r="K376" s="165"/>
      <c r="L376" s="46"/>
      <c r="M376" s="46"/>
      <c r="N376" s="46"/>
      <c r="O376" s="166"/>
      <c r="P376" s="183"/>
      <c r="Q376" s="166"/>
      <c r="R376" s="164"/>
      <c r="S376" s="191"/>
      <c r="T376" s="232" t="s">
        <v>822</v>
      </c>
      <c r="U376" s="152"/>
      <c r="V376" s="147"/>
      <c r="W376" s="147"/>
      <c r="X376" s="147"/>
    </row>
    <row r="377" spans="1:24">
      <c r="A377" s="163" t="s">
        <v>823</v>
      </c>
      <c r="B377" s="17"/>
      <c r="C377" s="164"/>
      <c r="D377" s="164"/>
      <c r="E377" s="164"/>
      <c r="F377" s="164"/>
      <c r="G377" s="164"/>
      <c r="H377" s="164"/>
      <c r="I377" s="164"/>
      <c r="J377" s="164"/>
      <c r="K377" s="165"/>
      <c r="L377" s="46"/>
      <c r="M377" s="46"/>
      <c r="N377" s="46"/>
      <c r="O377" s="166"/>
      <c r="P377" s="166"/>
      <c r="Q377" s="166"/>
      <c r="R377" s="169"/>
      <c r="S377" s="194"/>
      <c r="T377" s="232" t="s">
        <v>823</v>
      </c>
      <c r="U377" s="152"/>
      <c r="V377" s="147"/>
      <c r="W377" s="147"/>
      <c r="X377" s="147"/>
    </row>
    <row r="378" spans="1:24">
      <c r="A378" s="163" t="s">
        <v>824</v>
      </c>
      <c r="B378" s="17"/>
      <c r="C378" s="164"/>
      <c r="D378" s="164"/>
      <c r="E378" s="164"/>
      <c r="F378" s="164"/>
      <c r="G378" s="164"/>
      <c r="H378" s="164"/>
      <c r="I378" s="164"/>
      <c r="J378" s="164"/>
      <c r="K378" s="165"/>
      <c r="L378" s="46"/>
      <c r="M378" s="46"/>
      <c r="N378" s="46"/>
      <c r="O378" s="166"/>
      <c r="P378" s="183"/>
      <c r="Q378" s="166"/>
      <c r="R378" s="169"/>
      <c r="S378" s="194"/>
      <c r="T378" s="232" t="s">
        <v>824</v>
      </c>
      <c r="U378" s="152"/>
      <c r="V378" s="147"/>
      <c r="W378" s="147"/>
      <c r="X378" s="147"/>
    </row>
    <row r="379" spans="1:24">
      <c r="A379" s="163" t="s">
        <v>825</v>
      </c>
      <c r="B379" s="17"/>
      <c r="C379" s="164"/>
      <c r="D379" s="164"/>
      <c r="E379" s="164"/>
      <c r="F379" s="164"/>
      <c r="G379" s="164"/>
      <c r="H379" s="164"/>
      <c r="I379" s="164"/>
      <c r="J379" s="164"/>
      <c r="K379" s="165"/>
      <c r="L379" s="46"/>
      <c r="M379" s="46"/>
      <c r="N379" s="46"/>
      <c r="O379" s="166"/>
      <c r="P379" s="183"/>
      <c r="Q379" s="166"/>
      <c r="R379" s="169"/>
      <c r="S379" s="194"/>
      <c r="T379" s="232" t="s">
        <v>825</v>
      </c>
      <c r="U379" s="152"/>
      <c r="V379" s="147"/>
      <c r="W379" s="147"/>
      <c r="X379" s="147"/>
    </row>
    <row r="380" spans="1:24">
      <c r="A380" s="163" t="s">
        <v>826</v>
      </c>
      <c r="B380" s="17"/>
      <c r="C380" s="164"/>
      <c r="D380" s="164"/>
      <c r="E380" s="164"/>
      <c r="F380" s="164"/>
      <c r="G380" s="164"/>
      <c r="H380" s="164"/>
      <c r="I380" s="164"/>
      <c r="J380" s="164"/>
      <c r="K380" s="165"/>
      <c r="L380" s="46"/>
      <c r="M380" s="46"/>
      <c r="N380" s="46"/>
      <c r="O380" s="166"/>
      <c r="P380" s="183"/>
      <c r="Q380" s="166"/>
      <c r="R380" s="169"/>
      <c r="S380" s="194"/>
      <c r="T380" s="232" t="s">
        <v>826</v>
      </c>
      <c r="U380" s="152"/>
      <c r="V380" s="147"/>
      <c r="W380" s="147"/>
      <c r="X380" s="147"/>
    </row>
    <row r="381" spans="1:24" ht="15.75" thickBot="1">
      <c r="A381" s="163" t="s">
        <v>827</v>
      </c>
      <c r="B381" s="17"/>
      <c r="C381" s="164"/>
      <c r="D381" s="164"/>
      <c r="E381" s="164"/>
      <c r="F381" s="164"/>
      <c r="G381" s="164"/>
      <c r="H381" s="164"/>
      <c r="I381" s="164"/>
      <c r="J381" s="164"/>
      <c r="K381" s="165"/>
      <c r="L381" s="46"/>
      <c r="M381" s="46"/>
      <c r="N381" s="46"/>
      <c r="O381" s="166"/>
      <c r="P381" s="183"/>
      <c r="Q381" s="166"/>
      <c r="R381" s="169"/>
      <c r="S381" s="194"/>
      <c r="T381" s="232" t="s">
        <v>827</v>
      </c>
      <c r="U381" s="152"/>
      <c r="V381" s="147"/>
      <c r="W381" s="147"/>
      <c r="X381" s="147"/>
    </row>
    <row r="382" spans="1:24" ht="16.5" thickBot="1">
      <c r="A382" s="195"/>
      <c r="B382" s="196">
        <f>SUM(C382:S382)+U382</f>
        <v>0</v>
      </c>
      <c r="C382" s="177">
        <f>SUM(C368:C381)</f>
        <v>0</v>
      </c>
      <c r="D382" s="177">
        <f>SUM(D368:D381)</f>
        <v>0</v>
      </c>
      <c r="E382" s="177">
        <f>SUM(E368:E381)</f>
        <v>0</v>
      </c>
      <c r="F382" s="177">
        <f>SUM(F368:F381)</f>
        <v>0</v>
      </c>
      <c r="G382" s="177">
        <f>SUM(G368:G381)</f>
        <v>0</v>
      </c>
      <c r="H382" s="177">
        <f t="shared" ref="H382:N382" si="40">SUM(H368:H381)</f>
        <v>0</v>
      </c>
      <c r="I382" s="177">
        <f t="shared" si="40"/>
        <v>0</v>
      </c>
      <c r="J382" s="177">
        <f t="shared" si="40"/>
        <v>0</v>
      </c>
      <c r="K382" s="177">
        <f t="shared" si="40"/>
        <v>0</v>
      </c>
      <c r="L382" s="197">
        <f t="shared" si="40"/>
        <v>0</v>
      </c>
      <c r="M382" s="197">
        <f t="shared" si="40"/>
        <v>0</v>
      </c>
      <c r="N382" s="197">
        <f t="shared" si="40"/>
        <v>0</v>
      </c>
      <c r="O382" s="197"/>
      <c r="P382" s="177"/>
      <c r="Q382" s="177"/>
      <c r="R382" s="177"/>
      <c r="S382" s="198"/>
      <c r="T382" s="175" t="s">
        <v>791</v>
      </c>
      <c r="U382" s="176">
        <f>SUM(V382:X382)</f>
        <v>0</v>
      </c>
      <c r="V382" s="147">
        <f>SUM(V368:V381)</f>
        <v>0</v>
      </c>
      <c r="W382" s="147">
        <f>SUM(W368:W381)</f>
        <v>0</v>
      </c>
      <c r="X382" s="147">
        <f>SUM(X368:X381)</f>
        <v>0</v>
      </c>
    </row>
    <row r="383" spans="1:24" ht="15.75" thickBot="1">
      <c r="R383" s="65"/>
      <c r="S383" s="65"/>
      <c r="W383" s="65"/>
      <c r="X383" s="65"/>
    </row>
    <row r="384" spans="1:24" ht="15.75" thickBot="1">
      <c r="A384" s="1024" t="s">
        <v>998</v>
      </c>
      <c r="B384" s="1025"/>
      <c r="C384" s="1025"/>
      <c r="D384" s="1025"/>
      <c r="E384" s="1025"/>
      <c r="F384" s="1025"/>
      <c r="G384" s="1025"/>
      <c r="H384" s="1025"/>
      <c r="I384" s="1025"/>
      <c r="J384" s="1025"/>
      <c r="K384" s="1025"/>
      <c r="L384" s="1025"/>
      <c r="M384" s="1025"/>
      <c r="N384" s="1025"/>
      <c r="O384" s="1025"/>
      <c r="P384" s="1025"/>
      <c r="Q384" s="1025"/>
      <c r="R384" s="1025"/>
      <c r="S384" s="1026"/>
      <c r="T384" s="1024" t="s">
        <v>820</v>
      </c>
      <c r="U384" s="1025"/>
      <c r="V384" s="1025"/>
      <c r="W384" s="1025"/>
      <c r="X384" s="1026"/>
    </row>
    <row r="385" spans="1:24" ht="72" customHeight="1">
      <c r="A385" s="155"/>
      <c r="B385" s="941"/>
      <c r="C385" s="199"/>
      <c r="D385" s="199"/>
      <c r="E385" s="199"/>
      <c r="F385" s="199"/>
      <c r="G385" s="199"/>
      <c r="H385" s="199"/>
      <c r="I385" s="199"/>
      <c r="J385" s="199"/>
      <c r="K385" s="199"/>
      <c r="L385" s="199"/>
      <c r="M385" s="199"/>
      <c r="N385" s="199"/>
      <c r="O385" s="199"/>
      <c r="P385" s="200"/>
      <c r="Q385" s="189"/>
      <c r="R385" s="186"/>
      <c r="S385" s="186"/>
      <c r="T385" s="228"/>
      <c r="U385" s="247"/>
      <c r="V385" s="369"/>
      <c r="W385" s="369"/>
      <c r="X385" s="369"/>
    </row>
    <row r="386" spans="1:24">
      <c r="A386" s="163" t="s">
        <v>821</v>
      </c>
      <c r="B386" s="17"/>
      <c r="C386" s="166"/>
      <c r="D386" s="166"/>
      <c r="E386" s="166"/>
      <c r="F386" s="166"/>
      <c r="G386" s="166"/>
      <c r="H386" s="166"/>
      <c r="I386" s="166"/>
      <c r="J386" s="166"/>
      <c r="K386" s="166"/>
      <c r="L386" s="166"/>
      <c r="M386" s="166"/>
      <c r="N386" s="166"/>
      <c r="O386" s="166"/>
      <c r="P386" s="201"/>
      <c r="Q386" s="164"/>
      <c r="R386" s="164"/>
      <c r="S386" s="164"/>
      <c r="T386" s="232" t="s">
        <v>821</v>
      </c>
      <c r="U386" s="152"/>
      <c r="V386" s="147"/>
      <c r="W386" s="147"/>
      <c r="X386" s="147"/>
    </row>
    <row r="387" spans="1:24">
      <c r="A387" s="163" t="s">
        <v>822</v>
      </c>
      <c r="B387" s="17"/>
      <c r="C387" s="166"/>
      <c r="D387" s="166"/>
      <c r="E387" s="166"/>
      <c r="F387" s="166"/>
      <c r="G387" s="166"/>
      <c r="H387" s="166"/>
      <c r="I387" s="166"/>
      <c r="J387" s="166"/>
      <c r="K387" s="166"/>
      <c r="L387" s="166"/>
      <c r="M387" s="166"/>
      <c r="N387" s="166"/>
      <c r="O387" s="166"/>
      <c r="P387" s="201"/>
      <c r="Q387" s="164"/>
      <c r="R387" s="164"/>
      <c r="S387" s="164"/>
      <c r="T387" s="232" t="s">
        <v>822</v>
      </c>
      <c r="U387" s="152"/>
      <c r="V387" s="147"/>
      <c r="W387" s="147"/>
      <c r="X387" s="147"/>
    </row>
    <row r="388" spans="1:24">
      <c r="A388" s="163" t="s">
        <v>823</v>
      </c>
      <c r="B388" s="17"/>
      <c r="C388" s="166"/>
      <c r="D388" s="166"/>
      <c r="E388" s="166"/>
      <c r="F388" s="166"/>
      <c r="G388" s="166"/>
      <c r="H388" s="166"/>
      <c r="I388" s="166"/>
      <c r="J388" s="166"/>
      <c r="K388" s="166"/>
      <c r="L388" s="166"/>
      <c r="M388" s="166"/>
      <c r="N388" s="166"/>
      <c r="O388" s="166"/>
      <c r="P388" s="201"/>
      <c r="Q388" s="164"/>
      <c r="R388" s="164"/>
      <c r="S388" s="164"/>
      <c r="T388" s="232" t="s">
        <v>823</v>
      </c>
      <c r="U388" s="152"/>
      <c r="V388" s="147"/>
      <c r="W388" s="147"/>
      <c r="X388" s="147"/>
    </row>
    <row r="389" spans="1:24">
      <c r="A389" s="163" t="s">
        <v>824</v>
      </c>
      <c r="B389" s="17"/>
      <c r="C389" s="166"/>
      <c r="D389" s="166"/>
      <c r="E389" s="166"/>
      <c r="F389" s="166"/>
      <c r="G389" s="166"/>
      <c r="H389" s="166"/>
      <c r="I389" s="166"/>
      <c r="J389" s="166"/>
      <c r="K389" s="166"/>
      <c r="L389" s="166"/>
      <c r="M389" s="166"/>
      <c r="N389" s="166"/>
      <c r="O389" s="166"/>
      <c r="P389" s="201"/>
      <c r="Q389" s="164"/>
      <c r="R389" s="164"/>
      <c r="S389" s="164"/>
      <c r="T389" s="232" t="s">
        <v>824</v>
      </c>
      <c r="U389" s="152"/>
      <c r="V389" s="147"/>
      <c r="W389" s="147"/>
      <c r="X389" s="147"/>
    </row>
    <row r="390" spans="1:24">
      <c r="A390" s="163" t="s">
        <v>825</v>
      </c>
      <c r="B390" s="17"/>
      <c r="C390" s="166"/>
      <c r="D390" s="166"/>
      <c r="E390" s="166"/>
      <c r="F390" s="166"/>
      <c r="G390" s="166"/>
      <c r="H390" s="166"/>
      <c r="I390" s="166"/>
      <c r="J390" s="166"/>
      <c r="K390" s="166"/>
      <c r="L390" s="166"/>
      <c r="M390" s="166"/>
      <c r="N390" s="166"/>
      <c r="O390" s="166"/>
      <c r="P390" s="201"/>
      <c r="Q390" s="164"/>
      <c r="R390" s="164"/>
      <c r="S390" s="164"/>
      <c r="T390" s="232" t="s">
        <v>825</v>
      </c>
      <c r="U390" s="152"/>
      <c r="V390" s="147"/>
      <c r="W390" s="147"/>
      <c r="X390" s="147"/>
    </row>
    <row r="391" spans="1:24">
      <c r="A391" s="163" t="s">
        <v>826</v>
      </c>
      <c r="B391" s="17"/>
      <c r="C391" s="166"/>
      <c r="D391" s="166"/>
      <c r="E391" s="166"/>
      <c r="F391" s="166"/>
      <c r="G391" s="166"/>
      <c r="H391" s="166"/>
      <c r="I391" s="166"/>
      <c r="J391" s="166"/>
      <c r="K391" s="166"/>
      <c r="L391" s="166"/>
      <c r="M391" s="166"/>
      <c r="N391" s="166"/>
      <c r="O391" s="166"/>
      <c r="P391" s="201"/>
      <c r="Q391" s="164"/>
      <c r="R391" s="164"/>
      <c r="S391" s="164"/>
      <c r="T391" s="232" t="s">
        <v>826</v>
      </c>
      <c r="U391" s="152"/>
      <c r="V391" s="147"/>
      <c r="W391" s="147"/>
      <c r="X391" s="147"/>
    </row>
    <row r="392" spans="1:24">
      <c r="A392" s="163" t="s">
        <v>827</v>
      </c>
      <c r="B392" s="17"/>
      <c r="C392" s="166"/>
      <c r="D392" s="166"/>
      <c r="E392" s="166"/>
      <c r="F392" s="166"/>
      <c r="G392" s="166"/>
      <c r="H392" s="166"/>
      <c r="I392" s="166"/>
      <c r="J392" s="166"/>
      <c r="K392" s="166"/>
      <c r="L392" s="166"/>
      <c r="M392" s="166"/>
      <c r="N392" s="166"/>
      <c r="O392" s="166"/>
      <c r="P392" s="201"/>
      <c r="Q392" s="164"/>
      <c r="R392" s="164"/>
      <c r="S392" s="164"/>
      <c r="T392" s="232" t="s">
        <v>827</v>
      </c>
      <c r="U392" s="152"/>
      <c r="V392" s="147"/>
      <c r="W392" s="147"/>
      <c r="X392" s="147"/>
    </row>
    <row r="393" spans="1:24">
      <c r="A393" s="163" t="s">
        <v>821</v>
      </c>
      <c r="B393" s="17"/>
      <c r="C393" s="166"/>
      <c r="D393" s="166"/>
      <c r="E393" s="166"/>
      <c r="F393" s="166"/>
      <c r="G393" s="166"/>
      <c r="H393" s="166"/>
      <c r="I393" s="166"/>
      <c r="J393" s="166"/>
      <c r="K393" s="166"/>
      <c r="L393" s="166"/>
      <c r="M393" s="166"/>
      <c r="N393" s="166"/>
      <c r="O393" s="166"/>
      <c r="P393" s="201"/>
      <c r="Q393" s="164"/>
      <c r="R393" s="164"/>
      <c r="S393" s="164"/>
      <c r="T393" s="232" t="s">
        <v>821</v>
      </c>
      <c r="U393" s="152"/>
      <c r="V393" s="147"/>
      <c r="W393" s="147"/>
      <c r="X393" s="147"/>
    </row>
    <row r="394" spans="1:24">
      <c r="A394" s="163" t="s">
        <v>822</v>
      </c>
      <c r="B394" s="17"/>
      <c r="C394" s="166"/>
      <c r="D394" s="166"/>
      <c r="E394" s="166"/>
      <c r="F394" s="166"/>
      <c r="G394" s="166"/>
      <c r="H394" s="166"/>
      <c r="I394" s="166"/>
      <c r="J394" s="166"/>
      <c r="K394" s="166"/>
      <c r="L394" s="166"/>
      <c r="M394" s="166"/>
      <c r="N394" s="166"/>
      <c r="O394" s="166"/>
      <c r="P394" s="201"/>
      <c r="Q394" s="164"/>
      <c r="R394" s="164"/>
      <c r="S394" s="164"/>
      <c r="T394" s="232" t="s">
        <v>822</v>
      </c>
      <c r="U394" s="152"/>
      <c r="V394" s="147"/>
      <c r="W394" s="147"/>
      <c r="X394" s="147"/>
    </row>
    <row r="395" spans="1:24">
      <c r="A395" s="163" t="s">
        <v>823</v>
      </c>
      <c r="B395" s="17"/>
      <c r="C395" s="166"/>
      <c r="D395" s="166"/>
      <c r="E395" s="166"/>
      <c r="F395" s="166"/>
      <c r="G395" s="166"/>
      <c r="H395" s="166"/>
      <c r="I395" s="166"/>
      <c r="J395" s="166"/>
      <c r="K395" s="166"/>
      <c r="L395" s="166"/>
      <c r="M395" s="166"/>
      <c r="N395" s="166"/>
      <c r="O395" s="166"/>
      <c r="P395" s="201"/>
      <c r="Q395" s="164"/>
      <c r="R395" s="164"/>
      <c r="S395" s="164"/>
      <c r="T395" s="232" t="s">
        <v>823</v>
      </c>
      <c r="U395" s="152"/>
      <c r="V395" s="147"/>
      <c r="W395" s="147"/>
      <c r="X395" s="147"/>
    </row>
    <row r="396" spans="1:24">
      <c r="A396" s="163" t="s">
        <v>824</v>
      </c>
      <c r="B396" s="17"/>
      <c r="C396" s="166"/>
      <c r="D396" s="166"/>
      <c r="E396" s="166"/>
      <c r="F396" s="166"/>
      <c r="G396" s="166"/>
      <c r="H396" s="166"/>
      <c r="I396" s="166"/>
      <c r="J396" s="166"/>
      <c r="K396" s="166"/>
      <c r="L396" s="166"/>
      <c r="M396" s="166"/>
      <c r="N396" s="166"/>
      <c r="O396" s="166"/>
      <c r="P396" s="201"/>
      <c r="Q396" s="164"/>
      <c r="R396" s="164"/>
      <c r="S396" s="164"/>
      <c r="T396" s="232" t="s">
        <v>824</v>
      </c>
      <c r="U396" s="152"/>
      <c r="V396" s="147"/>
      <c r="W396" s="147"/>
      <c r="X396" s="147"/>
    </row>
    <row r="397" spans="1:24">
      <c r="A397" s="163" t="s">
        <v>825</v>
      </c>
      <c r="B397" s="17"/>
      <c r="C397" s="166"/>
      <c r="D397" s="166"/>
      <c r="E397" s="166"/>
      <c r="F397" s="166"/>
      <c r="G397" s="166"/>
      <c r="H397" s="166"/>
      <c r="I397" s="166"/>
      <c r="J397" s="166"/>
      <c r="K397" s="166"/>
      <c r="L397" s="166"/>
      <c r="M397" s="166"/>
      <c r="N397" s="166"/>
      <c r="O397" s="166"/>
      <c r="P397" s="201"/>
      <c r="Q397" s="164"/>
      <c r="R397" s="164"/>
      <c r="S397" s="164"/>
      <c r="T397" s="232" t="s">
        <v>825</v>
      </c>
      <c r="U397" s="152"/>
      <c r="V397" s="147"/>
      <c r="W397" s="147"/>
      <c r="X397" s="147"/>
    </row>
    <row r="398" spans="1:24">
      <c r="A398" s="163" t="s">
        <v>826</v>
      </c>
      <c r="B398" s="17"/>
      <c r="C398" s="166"/>
      <c r="D398" s="166"/>
      <c r="E398" s="166"/>
      <c r="F398" s="166"/>
      <c r="G398" s="166"/>
      <c r="H398" s="166"/>
      <c r="I398" s="166"/>
      <c r="J398" s="166"/>
      <c r="K398" s="166"/>
      <c r="L398" s="166"/>
      <c r="M398" s="166"/>
      <c r="N398" s="166"/>
      <c r="O398" s="166"/>
      <c r="P398" s="201"/>
      <c r="Q398" s="164"/>
      <c r="R398" s="164"/>
      <c r="S398" s="164"/>
      <c r="T398" s="232" t="s">
        <v>826</v>
      </c>
      <c r="U398" s="152"/>
      <c r="V398" s="147"/>
      <c r="W398" s="147"/>
      <c r="X398" s="147"/>
    </row>
    <row r="399" spans="1:24" ht="15.75" thickBot="1">
      <c r="A399" s="163" t="s">
        <v>827</v>
      </c>
      <c r="B399" s="17"/>
      <c r="C399" s="166"/>
      <c r="D399" s="166"/>
      <c r="E399" s="166"/>
      <c r="F399" s="166"/>
      <c r="G399" s="166"/>
      <c r="H399" s="166"/>
      <c r="I399" s="166"/>
      <c r="J399" s="166"/>
      <c r="K399" s="166"/>
      <c r="L399" s="166"/>
      <c r="M399" s="166"/>
      <c r="N399" s="166"/>
      <c r="O399" s="166"/>
      <c r="P399" s="166"/>
      <c r="Q399" s="202"/>
      <c r="R399" s="202"/>
      <c r="S399" s="203"/>
      <c r="T399" s="232" t="s">
        <v>827</v>
      </c>
      <c r="U399" s="152"/>
      <c r="V399" s="147"/>
      <c r="W399" s="147"/>
      <c r="X399" s="147"/>
    </row>
    <row r="400" spans="1:24" ht="16.5" thickBot="1">
      <c r="A400" s="204"/>
      <c r="B400" s="205">
        <f>SUM(C400:S400)+U400</f>
        <v>0</v>
      </c>
      <c r="C400" s="173">
        <f>SUM(C386:C399)</f>
        <v>0</v>
      </c>
      <c r="D400" s="173">
        <f>SUM(D386:D399)</f>
        <v>0</v>
      </c>
      <c r="E400" s="173">
        <f>SUM(E386:E399)</f>
        <v>0</v>
      </c>
      <c r="F400" s="173">
        <f>SUM(F386:F399)</f>
        <v>0</v>
      </c>
      <c r="G400" s="173">
        <f>SUM(G386:G399)</f>
        <v>0</v>
      </c>
      <c r="H400" s="173">
        <f t="shared" ref="H400:Q400" si="41">SUM(H386:H399)</f>
        <v>0</v>
      </c>
      <c r="I400" s="173">
        <f t="shared" si="41"/>
        <v>0</v>
      </c>
      <c r="J400" s="173">
        <f t="shared" si="41"/>
        <v>0</v>
      </c>
      <c r="K400" s="173">
        <f t="shared" si="41"/>
        <v>0</v>
      </c>
      <c r="L400" s="173">
        <f t="shared" si="41"/>
        <v>0</v>
      </c>
      <c r="M400" s="173">
        <f t="shared" si="41"/>
        <v>0</v>
      </c>
      <c r="N400" s="173">
        <f t="shared" si="41"/>
        <v>0</v>
      </c>
      <c r="O400" s="173">
        <f t="shared" si="41"/>
        <v>0</v>
      </c>
      <c r="P400" s="173">
        <f t="shared" si="41"/>
        <v>0</v>
      </c>
      <c r="Q400" s="177">
        <f t="shared" si="41"/>
        <v>0</v>
      </c>
      <c r="R400" s="177"/>
      <c r="S400" s="177"/>
      <c r="T400" s="175" t="s">
        <v>791</v>
      </c>
      <c r="U400" s="176">
        <f>SUM(V400:X400)</f>
        <v>0</v>
      </c>
      <c r="V400" s="147">
        <f>SUM(V386:V399)</f>
        <v>0</v>
      </c>
      <c r="W400" s="147">
        <f>SUM(W386:W399)</f>
        <v>0</v>
      </c>
      <c r="X400" s="147">
        <f>SUM(X386:X399)</f>
        <v>0</v>
      </c>
    </row>
    <row r="401" spans="1:24" ht="15.75" thickBot="1">
      <c r="R401" s="65"/>
      <c r="S401" s="65"/>
      <c r="W401" s="65"/>
      <c r="X401" s="65"/>
    </row>
    <row r="402" spans="1:24" ht="15.75" thickBot="1">
      <c r="A402" s="1046" t="s">
        <v>683</v>
      </c>
      <c r="B402" s="1047"/>
      <c r="C402" s="1047"/>
      <c r="D402" s="1047"/>
      <c r="E402" s="1047"/>
      <c r="F402" s="1047"/>
      <c r="G402" s="1047"/>
      <c r="H402" s="1047"/>
      <c r="I402" s="1047"/>
      <c r="J402" s="1047"/>
      <c r="K402" s="1047"/>
      <c r="L402" s="1047"/>
      <c r="M402" s="1047"/>
      <c r="N402" s="1047"/>
      <c r="O402" s="1047"/>
      <c r="P402" s="1047"/>
      <c r="Q402" s="1047"/>
      <c r="R402" s="1047"/>
      <c r="S402" s="1048"/>
      <c r="T402" s="1024" t="s">
        <v>820</v>
      </c>
      <c r="U402" s="1025"/>
      <c r="V402" s="1025"/>
      <c r="W402" s="1025"/>
      <c r="X402" s="1026"/>
    </row>
    <row r="403" spans="1:24" ht="52.5" customHeight="1">
      <c r="A403" s="155"/>
      <c r="B403" s="941"/>
      <c r="C403" s="161"/>
      <c r="D403" s="189"/>
      <c r="E403" s="189"/>
      <c r="F403" s="189"/>
      <c r="G403" s="189"/>
      <c r="H403" s="189"/>
      <c r="I403" s="189"/>
      <c r="J403" s="189"/>
      <c r="K403" s="213"/>
      <c r="L403" s="188"/>
      <c r="M403" s="188"/>
      <c r="N403" s="188"/>
      <c r="O403" s="188"/>
      <c r="P403" s="206"/>
      <c r="Q403" s="207"/>
      <c r="R403" s="189"/>
      <c r="S403" s="190"/>
      <c r="T403" s="228"/>
      <c r="U403" s="247"/>
      <c r="V403" s="369"/>
      <c r="W403" s="369"/>
      <c r="X403" s="369"/>
    </row>
    <row r="404" spans="1:24">
      <c r="A404" s="163" t="s">
        <v>821</v>
      </c>
      <c r="B404" s="17"/>
      <c r="C404" s="164"/>
      <c r="D404" s="164"/>
      <c r="E404" s="164"/>
      <c r="F404" s="164"/>
      <c r="G404" s="164"/>
      <c r="H404" s="164"/>
      <c r="I404" s="164"/>
      <c r="J404" s="164"/>
      <c r="K404" s="165"/>
      <c r="L404" s="46"/>
      <c r="M404" s="46"/>
      <c r="N404" s="46"/>
      <c r="O404" s="46"/>
      <c r="P404" s="183"/>
      <c r="Q404" s="166"/>
      <c r="R404" s="168"/>
      <c r="S404" s="184"/>
      <c r="T404" s="232" t="s">
        <v>821</v>
      </c>
      <c r="U404" s="152"/>
      <c r="V404" s="147"/>
      <c r="W404" s="147"/>
      <c r="X404" s="147"/>
    </row>
    <row r="405" spans="1:24">
      <c r="A405" s="163" t="s">
        <v>822</v>
      </c>
      <c r="B405" s="17"/>
      <c r="C405" s="164"/>
      <c r="D405" s="164"/>
      <c r="E405" s="164"/>
      <c r="F405" s="164"/>
      <c r="G405" s="164"/>
      <c r="H405" s="164"/>
      <c r="I405" s="164"/>
      <c r="J405" s="164"/>
      <c r="K405" s="165"/>
      <c r="L405" s="46"/>
      <c r="M405" s="46"/>
      <c r="N405" s="46"/>
      <c r="O405" s="46"/>
      <c r="P405" s="183"/>
      <c r="Q405" s="166"/>
      <c r="R405" s="189"/>
      <c r="S405" s="190"/>
      <c r="T405" s="232" t="s">
        <v>822</v>
      </c>
      <c r="U405" s="152"/>
      <c r="V405" s="147"/>
      <c r="W405" s="147"/>
      <c r="X405" s="147"/>
    </row>
    <row r="406" spans="1:24">
      <c r="A406" s="163" t="s">
        <v>823</v>
      </c>
      <c r="B406" s="17"/>
      <c r="C406" s="164"/>
      <c r="D406" s="164"/>
      <c r="E406" s="164"/>
      <c r="F406" s="164"/>
      <c r="G406" s="164"/>
      <c r="H406" s="164"/>
      <c r="I406" s="164"/>
      <c r="J406" s="164"/>
      <c r="K406" s="165"/>
      <c r="L406" s="46"/>
      <c r="M406" s="46"/>
      <c r="N406" s="46"/>
      <c r="O406" s="46"/>
      <c r="P406" s="183"/>
      <c r="Q406" s="166"/>
      <c r="R406" s="164"/>
      <c r="S406" s="191"/>
      <c r="T406" s="232" t="s">
        <v>823</v>
      </c>
      <c r="U406" s="152"/>
      <c r="V406" s="147"/>
      <c r="W406" s="147"/>
      <c r="X406" s="147"/>
    </row>
    <row r="407" spans="1:24">
      <c r="A407" s="163" t="s">
        <v>824</v>
      </c>
      <c r="B407" s="17"/>
      <c r="C407" s="164"/>
      <c r="D407" s="164"/>
      <c r="E407" s="164"/>
      <c r="F407" s="164"/>
      <c r="G407" s="164"/>
      <c r="H407" s="164"/>
      <c r="I407" s="164"/>
      <c r="J407" s="164"/>
      <c r="K407" s="165"/>
      <c r="L407" s="46"/>
      <c r="M407" s="46"/>
      <c r="N407" s="46"/>
      <c r="O407" s="46"/>
      <c r="P407" s="183"/>
      <c r="Q407" s="166"/>
      <c r="R407" s="164"/>
      <c r="S407" s="191"/>
      <c r="T407" s="232" t="s">
        <v>824</v>
      </c>
      <c r="U407" s="152"/>
      <c r="V407" s="147"/>
      <c r="W407" s="147"/>
      <c r="X407" s="147"/>
    </row>
    <row r="408" spans="1:24">
      <c r="A408" s="163" t="s">
        <v>825</v>
      </c>
      <c r="B408" s="17"/>
      <c r="C408" s="164"/>
      <c r="D408" s="164"/>
      <c r="E408" s="164"/>
      <c r="F408" s="164"/>
      <c r="G408" s="164"/>
      <c r="H408" s="164"/>
      <c r="I408" s="164"/>
      <c r="J408" s="164"/>
      <c r="K408" s="165"/>
      <c r="L408" s="46"/>
      <c r="M408" s="46"/>
      <c r="N408" s="46"/>
      <c r="O408" s="46"/>
      <c r="P408" s="183"/>
      <c r="Q408" s="166"/>
      <c r="R408" s="164"/>
      <c r="S408" s="191"/>
      <c r="T408" s="232" t="s">
        <v>825</v>
      </c>
      <c r="U408" s="152"/>
      <c r="V408" s="147"/>
      <c r="W408" s="147"/>
      <c r="X408" s="147"/>
    </row>
    <row r="409" spans="1:24">
      <c r="A409" s="163" t="s">
        <v>826</v>
      </c>
      <c r="B409" s="17"/>
      <c r="C409" s="164"/>
      <c r="D409" s="164"/>
      <c r="E409" s="164"/>
      <c r="F409" s="164"/>
      <c r="G409" s="164"/>
      <c r="H409" s="164"/>
      <c r="I409" s="164"/>
      <c r="J409" s="164"/>
      <c r="K409" s="165"/>
      <c r="L409" s="46"/>
      <c r="M409" s="46"/>
      <c r="N409" s="46"/>
      <c r="O409" s="46"/>
      <c r="P409" s="183"/>
      <c r="Q409" s="166"/>
      <c r="R409" s="164"/>
      <c r="S409" s="191"/>
      <c r="T409" s="232" t="s">
        <v>826</v>
      </c>
      <c r="U409" s="152"/>
      <c r="V409" s="147"/>
      <c r="W409" s="147"/>
      <c r="X409" s="147"/>
    </row>
    <row r="410" spans="1:24">
      <c r="A410" s="163" t="s">
        <v>827</v>
      </c>
      <c r="B410" s="17"/>
      <c r="C410" s="164"/>
      <c r="D410" s="164"/>
      <c r="E410" s="164"/>
      <c r="F410" s="164"/>
      <c r="G410" s="164"/>
      <c r="H410" s="164"/>
      <c r="I410" s="164"/>
      <c r="J410" s="164"/>
      <c r="K410" s="165"/>
      <c r="L410" s="46"/>
      <c r="M410" s="46"/>
      <c r="N410" s="46"/>
      <c r="O410" s="46"/>
      <c r="P410" s="183"/>
      <c r="Q410" s="166"/>
      <c r="R410" s="164"/>
      <c r="S410" s="191"/>
      <c r="T410" s="232" t="s">
        <v>827</v>
      </c>
      <c r="U410" s="152"/>
      <c r="V410" s="147"/>
      <c r="W410" s="147"/>
      <c r="X410" s="147"/>
    </row>
    <row r="411" spans="1:24">
      <c r="A411" s="163" t="s">
        <v>821</v>
      </c>
      <c r="B411" s="17"/>
      <c r="C411" s="164"/>
      <c r="D411" s="164"/>
      <c r="E411" s="164"/>
      <c r="F411" s="164"/>
      <c r="G411" s="164"/>
      <c r="H411" s="164"/>
      <c r="I411" s="164"/>
      <c r="J411" s="164"/>
      <c r="K411" s="165"/>
      <c r="L411" s="46"/>
      <c r="M411" s="46"/>
      <c r="N411" s="46"/>
      <c r="O411" s="46"/>
      <c r="P411" s="183"/>
      <c r="Q411" s="166"/>
      <c r="R411" s="164"/>
      <c r="S411" s="191"/>
      <c r="T411" s="232" t="s">
        <v>821</v>
      </c>
      <c r="U411" s="152"/>
      <c r="V411" s="147"/>
      <c r="W411" s="147"/>
      <c r="X411" s="147"/>
    </row>
    <row r="412" spans="1:24">
      <c r="A412" s="163" t="s">
        <v>822</v>
      </c>
      <c r="B412" s="17"/>
      <c r="C412" s="164"/>
      <c r="D412" s="164"/>
      <c r="E412" s="164"/>
      <c r="F412" s="164"/>
      <c r="G412" s="164"/>
      <c r="H412" s="164"/>
      <c r="I412" s="164"/>
      <c r="J412" s="164"/>
      <c r="K412" s="165"/>
      <c r="L412" s="46"/>
      <c r="M412" s="46"/>
      <c r="N412" s="46"/>
      <c r="O412" s="46"/>
      <c r="P412" s="183"/>
      <c r="Q412" s="166"/>
      <c r="R412" s="164"/>
      <c r="S412" s="191"/>
      <c r="T412" s="232" t="s">
        <v>822</v>
      </c>
      <c r="U412" s="152"/>
      <c r="V412" s="147"/>
      <c r="W412" s="147"/>
      <c r="X412" s="147"/>
    </row>
    <row r="413" spans="1:24">
      <c r="A413" s="163" t="s">
        <v>823</v>
      </c>
      <c r="B413" s="17"/>
      <c r="C413" s="164"/>
      <c r="D413" s="164"/>
      <c r="E413" s="164"/>
      <c r="F413" s="164"/>
      <c r="G413" s="164"/>
      <c r="H413" s="164"/>
      <c r="I413" s="164"/>
      <c r="J413" s="164"/>
      <c r="K413" s="165"/>
      <c r="L413" s="46"/>
      <c r="M413" s="46"/>
      <c r="N413" s="46"/>
      <c r="O413" s="46"/>
      <c r="P413" s="183"/>
      <c r="Q413" s="166"/>
      <c r="R413" s="169"/>
      <c r="S413" s="194"/>
      <c r="T413" s="232" t="s">
        <v>823</v>
      </c>
      <c r="U413" s="152"/>
      <c r="V413" s="147"/>
      <c r="W413" s="147"/>
      <c r="X413" s="147"/>
    </row>
    <row r="414" spans="1:24">
      <c r="A414" s="163" t="s">
        <v>824</v>
      </c>
      <c r="B414" s="17"/>
      <c r="C414" s="164"/>
      <c r="D414" s="164"/>
      <c r="E414" s="164"/>
      <c r="F414" s="164"/>
      <c r="G414" s="164"/>
      <c r="H414" s="164"/>
      <c r="I414" s="164"/>
      <c r="J414" s="164"/>
      <c r="K414" s="165"/>
      <c r="L414" s="46"/>
      <c r="M414" s="46"/>
      <c r="N414" s="46"/>
      <c r="O414" s="46"/>
      <c r="P414" s="183"/>
      <c r="Q414" s="166"/>
      <c r="R414" s="169"/>
      <c r="S414" s="194"/>
      <c r="T414" s="232" t="s">
        <v>824</v>
      </c>
      <c r="U414" s="152"/>
      <c r="V414" s="147"/>
      <c r="W414" s="147"/>
      <c r="X414" s="147"/>
    </row>
    <row r="415" spans="1:24">
      <c r="A415" s="163" t="s">
        <v>825</v>
      </c>
      <c r="B415" s="17"/>
      <c r="C415" s="164"/>
      <c r="D415" s="164"/>
      <c r="E415" s="164"/>
      <c r="F415" s="164"/>
      <c r="G415" s="164"/>
      <c r="H415" s="164"/>
      <c r="I415" s="164"/>
      <c r="J415" s="164"/>
      <c r="K415" s="165"/>
      <c r="L415" s="46"/>
      <c r="M415" s="46"/>
      <c r="N415" s="46"/>
      <c r="O415" s="46"/>
      <c r="P415" s="183"/>
      <c r="Q415" s="166"/>
      <c r="R415" s="169"/>
      <c r="S415" s="194"/>
      <c r="T415" s="232" t="s">
        <v>825</v>
      </c>
      <c r="U415" s="152"/>
      <c r="V415" s="147"/>
      <c r="W415" s="147"/>
      <c r="X415" s="147"/>
    </row>
    <row r="416" spans="1:24">
      <c r="A416" s="163" t="s">
        <v>826</v>
      </c>
      <c r="B416" s="17"/>
      <c r="C416" s="164"/>
      <c r="D416" s="164"/>
      <c r="E416" s="164"/>
      <c r="F416" s="164"/>
      <c r="G416" s="164"/>
      <c r="H416" s="164"/>
      <c r="I416" s="164"/>
      <c r="J416" s="164"/>
      <c r="K416" s="165"/>
      <c r="L416" s="46"/>
      <c r="M416" s="46"/>
      <c r="N416" s="46"/>
      <c r="O416" s="46"/>
      <c r="P416" s="183"/>
      <c r="Q416" s="166"/>
      <c r="R416" s="169"/>
      <c r="S416" s="194"/>
      <c r="T416" s="232" t="s">
        <v>826</v>
      </c>
      <c r="U416" s="152"/>
      <c r="V416" s="147"/>
      <c r="W416" s="147"/>
      <c r="X416" s="147"/>
    </row>
    <row r="417" spans="1:24" ht="15.75" thickBot="1">
      <c r="A417" s="163" t="s">
        <v>827</v>
      </c>
      <c r="B417" s="17"/>
      <c r="C417" s="164"/>
      <c r="D417" s="164"/>
      <c r="E417" s="164"/>
      <c r="F417" s="164"/>
      <c r="G417" s="164"/>
      <c r="H417" s="164"/>
      <c r="I417" s="164"/>
      <c r="J417" s="164"/>
      <c r="K417" s="165"/>
      <c r="L417" s="46"/>
      <c r="M417" s="46"/>
      <c r="N417" s="46"/>
      <c r="O417" s="46"/>
      <c r="P417" s="183"/>
      <c r="Q417" s="166"/>
      <c r="R417" s="212"/>
      <c r="S417" s="194"/>
      <c r="T417" s="232" t="s">
        <v>827</v>
      </c>
      <c r="U417" s="152"/>
      <c r="V417" s="147"/>
      <c r="W417" s="147"/>
      <c r="X417" s="147"/>
    </row>
    <row r="418" spans="1:24" ht="16.5" thickBot="1">
      <c r="A418" s="195"/>
      <c r="B418" s="196">
        <f>SUM(C418:S418)+U418</f>
        <v>0</v>
      </c>
      <c r="C418" s="177">
        <f>SUM(C404:C417)</f>
        <v>0</v>
      </c>
      <c r="D418" s="177">
        <f>SUM(D404:D417)</f>
        <v>0</v>
      </c>
      <c r="E418" s="177">
        <f>SUM(E404:E417)</f>
        <v>0</v>
      </c>
      <c r="F418" s="177">
        <f>SUM(F404:F417)</f>
        <v>0</v>
      </c>
      <c r="G418" s="177">
        <f>SUM(G404:G417)</f>
        <v>0</v>
      </c>
      <c r="H418" s="177">
        <f t="shared" ref="H418:S418" si="42">SUM(H404:H417)</f>
        <v>0</v>
      </c>
      <c r="I418" s="177">
        <f t="shared" si="42"/>
        <v>0</v>
      </c>
      <c r="J418" s="177">
        <f t="shared" si="42"/>
        <v>0</v>
      </c>
      <c r="K418" s="177">
        <f t="shared" si="42"/>
        <v>0</v>
      </c>
      <c r="L418" s="197">
        <f t="shared" si="42"/>
        <v>0</v>
      </c>
      <c r="M418" s="197">
        <f t="shared" si="42"/>
        <v>0</v>
      </c>
      <c r="N418" s="197">
        <f t="shared" si="42"/>
        <v>0</v>
      </c>
      <c r="O418" s="197">
        <f t="shared" si="42"/>
        <v>0</v>
      </c>
      <c r="P418" s="197">
        <f t="shared" si="42"/>
        <v>0</v>
      </c>
      <c r="Q418" s="197">
        <f t="shared" si="42"/>
        <v>0</v>
      </c>
      <c r="R418" s="197">
        <f t="shared" si="42"/>
        <v>0</v>
      </c>
      <c r="S418" s="198">
        <f t="shared" si="42"/>
        <v>0</v>
      </c>
      <c r="T418" s="175" t="s">
        <v>791</v>
      </c>
      <c r="U418" s="176">
        <f>SUM(V418:X418)</f>
        <v>0</v>
      </c>
      <c r="V418" s="147">
        <f>SUM(V404:V417)</f>
        <v>0</v>
      </c>
      <c r="W418" s="147">
        <f>SUM(W404:W417)</f>
        <v>0</v>
      </c>
      <c r="X418" s="147">
        <f>SUM(X404:X417)</f>
        <v>0</v>
      </c>
    </row>
    <row r="419" spans="1:24" ht="15.75" thickBot="1">
      <c r="R419" s="65"/>
      <c r="S419" s="65"/>
      <c r="W419" s="65"/>
      <c r="X419" s="65"/>
    </row>
    <row r="420" spans="1:24" ht="15.75" thickBot="1">
      <c r="A420" s="1046" t="s">
        <v>692</v>
      </c>
      <c r="B420" s="1047"/>
      <c r="C420" s="1047"/>
      <c r="D420" s="1047"/>
      <c r="E420" s="1047"/>
      <c r="F420" s="1047"/>
      <c r="G420" s="1047"/>
      <c r="H420" s="1047"/>
      <c r="I420" s="1047"/>
      <c r="J420" s="1047"/>
      <c r="K420" s="1047"/>
      <c r="L420" s="1047"/>
      <c r="M420" s="1047"/>
      <c r="N420" s="1047"/>
      <c r="O420" s="1047"/>
      <c r="P420" s="1047"/>
      <c r="Q420" s="1047"/>
      <c r="R420" s="1047"/>
      <c r="S420" s="1048"/>
      <c r="T420" s="1024" t="s">
        <v>820</v>
      </c>
      <c r="U420" s="1025"/>
      <c r="V420" s="1025"/>
      <c r="W420" s="1025"/>
      <c r="X420" s="1026"/>
    </row>
    <row r="421" spans="1:24">
      <c r="A421" s="155"/>
      <c r="B421" s="941"/>
      <c r="C421" s="199"/>
      <c r="D421" s="189"/>
      <c r="E421" s="189"/>
      <c r="F421" s="189"/>
      <c r="G421" s="189"/>
      <c r="H421" s="189"/>
      <c r="I421" s="189"/>
      <c r="J421" s="189"/>
      <c r="K421" s="213"/>
      <c r="L421" s="188"/>
      <c r="M421" s="188"/>
      <c r="N421" s="188"/>
      <c r="O421" s="188"/>
      <c r="P421" s="206"/>
      <c r="Q421" s="207"/>
      <c r="R421" s="189"/>
      <c r="S421" s="190"/>
      <c r="T421" s="228"/>
      <c r="U421" s="247"/>
      <c r="V421" s="369"/>
      <c r="W421" s="369"/>
      <c r="X421" s="369"/>
    </row>
    <row r="422" spans="1:24">
      <c r="A422" s="163" t="s">
        <v>821</v>
      </c>
      <c r="B422" s="17"/>
      <c r="C422" s="164"/>
      <c r="D422" s="164"/>
      <c r="E422" s="164"/>
      <c r="F422" s="164"/>
      <c r="G422" s="164"/>
      <c r="H422" s="164"/>
      <c r="I422" s="164"/>
      <c r="J422" s="164"/>
      <c r="K422" s="165"/>
      <c r="L422" s="46"/>
      <c r="M422" s="46"/>
      <c r="N422" s="46"/>
      <c r="O422" s="46"/>
      <c r="P422" s="183"/>
      <c r="Q422" s="166"/>
      <c r="R422" s="168"/>
      <c r="S422" s="184"/>
      <c r="T422" s="232" t="s">
        <v>821</v>
      </c>
      <c r="U422" s="152"/>
      <c r="V422" s="147"/>
      <c r="W422" s="147"/>
      <c r="X422" s="147"/>
    </row>
    <row r="423" spans="1:24">
      <c r="A423" s="163" t="s">
        <v>822</v>
      </c>
      <c r="B423" s="17"/>
      <c r="C423" s="164"/>
      <c r="D423" s="164"/>
      <c r="E423" s="164"/>
      <c r="F423" s="164"/>
      <c r="G423" s="164"/>
      <c r="H423" s="164"/>
      <c r="I423" s="164"/>
      <c r="J423" s="164"/>
      <c r="K423" s="165"/>
      <c r="L423" s="46"/>
      <c r="M423" s="46"/>
      <c r="N423" s="46"/>
      <c r="O423" s="46"/>
      <c r="P423" s="183"/>
      <c r="Q423" s="166"/>
      <c r="R423" s="189"/>
      <c r="S423" s="190"/>
      <c r="T423" s="232" t="s">
        <v>822</v>
      </c>
      <c r="U423" s="152"/>
      <c r="V423" s="147"/>
      <c r="W423" s="147"/>
      <c r="X423" s="147"/>
    </row>
    <row r="424" spans="1:24">
      <c r="A424" s="163" t="s">
        <v>823</v>
      </c>
      <c r="B424" s="17"/>
      <c r="C424" s="164"/>
      <c r="D424" s="164"/>
      <c r="E424" s="164"/>
      <c r="F424" s="164"/>
      <c r="G424" s="164"/>
      <c r="H424" s="164"/>
      <c r="I424" s="164"/>
      <c r="J424" s="164"/>
      <c r="K424" s="165"/>
      <c r="L424" s="46"/>
      <c r="M424" s="46"/>
      <c r="N424" s="46"/>
      <c r="O424" s="46"/>
      <c r="P424" s="183"/>
      <c r="Q424" s="166"/>
      <c r="R424" s="164"/>
      <c r="S424" s="191"/>
      <c r="T424" s="232" t="s">
        <v>823</v>
      </c>
      <c r="U424" s="152"/>
      <c r="V424" s="147"/>
      <c r="W424" s="147"/>
      <c r="X424" s="147"/>
    </row>
    <row r="425" spans="1:24">
      <c r="A425" s="163" t="s">
        <v>824</v>
      </c>
      <c r="B425" s="17"/>
      <c r="C425" s="164"/>
      <c r="D425" s="164"/>
      <c r="E425" s="164"/>
      <c r="F425" s="164"/>
      <c r="G425" s="164"/>
      <c r="H425" s="164"/>
      <c r="I425" s="164"/>
      <c r="J425" s="164"/>
      <c r="K425" s="165"/>
      <c r="L425" s="46"/>
      <c r="M425" s="46"/>
      <c r="N425" s="46"/>
      <c r="O425" s="46"/>
      <c r="P425" s="183"/>
      <c r="Q425" s="166"/>
      <c r="R425" s="164"/>
      <c r="S425" s="191"/>
      <c r="T425" s="232" t="s">
        <v>824</v>
      </c>
      <c r="U425" s="152"/>
      <c r="V425" s="147"/>
      <c r="W425" s="147"/>
      <c r="X425" s="147"/>
    </row>
    <row r="426" spans="1:24">
      <c r="A426" s="163" t="s">
        <v>825</v>
      </c>
      <c r="B426" s="17"/>
      <c r="C426" s="164"/>
      <c r="D426" s="164"/>
      <c r="E426" s="164"/>
      <c r="F426" s="164"/>
      <c r="G426" s="164"/>
      <c r="H426" s="164"/>
      <c r="I426" s="164"/>
      <c r="J426" s="164"/>
      <c r="K426" s="165"/>
      <c r="L426" s="46"/>
      <c r="M426" s="46"/>
      <c r="N426" s="46"/>
      <c r="O426" s="46"/>
      <c r="P426" s="183"/>
      <c r="Q426" s="166"/>
      <c r="R426" s="164"/>
      <c r="S426" s="191"/>
      <c r="T426" s="232" t="s">
        <v>825</v>
      </c>
      <c r="U426" s="152"/>
      <c r="V426" s="147"/>
      <c r="W426" s="147"/>
      <c r="X426" s="147"/>
    </row>
    <row r="427" spans="1:24">
      <c r="A427" s="163" t="s">
        <v>826</v>
      </c>
      <c r="B427" s="17"/>
      <c r="C427" s="164"/>
      <c r="D427" s="164"/>
      <c r="E427" s="164"/>
      <c r="F427" s="164"/>
      <c r="G427" s="164"/>
      <c r="H427" s="164"/>
      <c r="I427" s="164"/>
      <c r="J427" s="164"/>
      <c r="K427" s="165"/>
      <c r="L427" s="46"/>
      <c r="M427" s="46"/>
      <c r="N427" s="46"/>
      <c r="O427" s="46"/>
      <c r="P427" s="183"/>
      <c r="Q427" s="166"/>
      <c r="R427" s="164"/>
      <c r="S427" s="191"/>
      <c r="T427" s="232" t="s">
        <v>826</v>
      </c>
      <c r="U427" s="152"/>
      <c r="V427" s="147"/>
      <c r="W427" s="147"/>
      <c r="X427" s="147"/>
    </row>
    <row r="428" spans="1:24">
      <c r="A428" s="163" t="s">
        <v>827</v>
      </c>
      <c r="B428" s="17"/>
      <c r="C428" s="164"/>
      <c r="D428" s="164"/>
      <c r="E428" s="164"/>
      <c r="F428" s="164"/>
      <c r="G428" s="164"/>
      <c r="H428" s="164"/>
      <c r="I428" s="164"/>
      <c r="J428" s="164"/>
      <c r="K428" s="165"/>
      <c r="L428" s="46"/>
      <c r="M428" s="46"/>
      <c r="N428" s="46"/>
      <c r="O428" s="46"/>
      <c r="P428" s="183"/>
      <c r="Q428" s="166"/>
      <c r="R428" s="164"/>
      <c r="S428" s="191"/>
      <c r="T428" s="232" t="s">
        <v>827</v>
      </c>
      <c r="U428" s="152"/>
      <c r="V428" s="147"/>
      <c r="W428" s="147"/>
      <c r="X428" s="147"/>
    </row>
    <row r="429" spans="1:24">
      <c r="A429" s="163" t="s">
        <v>821</v>
      </c>
      <c r="B429" s="17"/>
      <c r="C429" s="164"/>
      <c r="D429" s="164"/>
      <c r="E429" s="164"/>
      <c r="F429" s="164"/>
      <c r="G429" s="164"/>
      <c r="H429" s="164"/>
      <c r="I429" s="164"/>
      <c r="J429" s="164"/>
      <c r="K429" s="165"/>
      <c r="L429" s="46"/>
      <c r="M429" s="46"/>
      <c r="N429" s="46"/>
      <c r="O429" s="46"/>
      <c r="P429" s="183"/>
      <c r="Q429" s="166"/>
      <c r="R429" s="164"/>
      <c r="S429" s="191"/>
      <c r="T429" s="232" t="s">
        <v>821</v>
      </c>
      <c r="U429" s="152"/>
      <c r="V429" s="147"/>
      <c r="W429" s="147"/>
      <c r="X429" s="147"/>
    </row>
    <row r="430" spans="1:24">
      <c r="A430" s="163" t="s">
        <v>822</v>
      </c>
      <c r="B430" s="17"/>
      <c r="C430" s="164"/>
      <c r="D430" s="164"/>
      <c r="E430" s="164"/>
      <c r="F430" s="164"/>
      <c r="G430" s="164"/>
      <c r="H430" s="164"/>
      <c r="I430" s="164"/>
      <c r="J430" s="164"/>
      <c r="K430" s="165"/>
      <c r="L430" s="46"/>
      <c r="M430" s="46"/>
      <c r="N430" s="46"/>
      <c r="O430" s="46"/>
      <c r="P430" s="183"/>
      <c r="Q430" s="166"/>
      <c r="R430" s="164"/>
      <c r="S430" s="191"/>
      <c r="T430" s="232" t="s">
        <v>822</v>
      </c>
      <c r="U430" s="152"/>
      <c r="V430" s="147"/>
      <c r="W430" s="147"/>
      <c r="X430" s="147"/>
    </row>
    <row r="431" spans="1:24">
      <c r="A431" s="163" t="s">
        <v>823</v>
      </c>
      <c r="B431" s="17"/>
      <c r="C431" s="164"/>
      <c r="D431" s="164"/>
      <c r="E431" s="164"/>
      <c r="F431" s="164"/>
      <c r="G431" s="164"/>
      <c r="H431" s="164"/>
      <c r="I431" s="164"/>
      <c r="J431" s="164"/>
      <c r="K431" s="165"/>
      <c r="L431" s="46"/>
      <c r="M431" s="46"/>
      <c r="N431" s="46"/>
      <c r="O431" s="46"/>
      <c r="P431" s="183"/>
      <c r="Q431" s="166"/>
      <c r="R431" s="169"/>
      <c r="S431" s="194"/>
      <c r="T431" s="232" t="s">
        <v>823</v>
      </c>
      <c r="U431" s="152"/>
      <c r="V431" s="147"/>
      <c r="W431" s="147"/>
      <c r="X431" s="147"/>
    </row>
    <row r="432" spans="1:24">
      <c r="A432" s="163" t="s">
        <v>824</v>
      </c>
      <c r="B432" s="17"/>
      <c r="C432" s="164"/>
      <c r="D432" s="164"/>
      <c r="E432" s="164"/>
      <c r="F432" s="164"/>
      <c r="G432" s="164"/>
      <c r="H432" s="164"/>
      <c r="I432" s="164"/>
      <c r="J432" s="164"/>
      <c r="K432" s="165"/>
      <c r="L432" s="46"/>
      <c r="M432" s="46"/>
      <c r="N432" s="46"/>
      <c r="O432" s="46"/>
      <c r="P432" s="183"/>
      <c r="Q432" s="166"/>
      <c r="R432" s="169"/>
      <c r="S432" s="194"/>
      <c r="T432" s="232" t="s">
        <v>824</v>
      </c>
      <c r="U432" s="152"/>
      <c r="V432" s="147"/>
      <c r="W432" s="147"/>
      <c r="X432" s="147"/>
    </row>
    <row r="433" spans="1:24">
      <c r="A433" s="163" t="s">
        <v>825</v>
      </c>
      <c r="B433" s="17"/>
      <c r="C433" s="164"/>
      <c r="D433" s="164"/>
      <c r="E433" s="164"/>
      <c r="F433" s="164"/>
      <c r="G433" s="164"/>
      <c r="H433" s="164"/>
      <c r="I433" s="164"/>
      <c r="J433" s="164"/>
      <c r="K433" s="165"/>
      <c r="L433" s="46"/>
      <c r="M433" s="46"/>
      <c r="N433" s="46"/>
      <c r="O433" s="46"/>
      <c r="P433" s="183"/>
      <c r="Q433" s="166"/>
      <c r="R433" s="169"/>
      <c r="S433" s="194"/>
      <c r="T433" s="232" t="s">
        <v>825</v>
      </c>
      <c r="U433" s="152"/>
      <c r="V433" s="147"/>
      <c r="W433" s="147"/>
      <c r="X433" s="147"/>
    </row>
    <row r="434" spans="1:24">
      <c r="A434" s="163" t="s">
        <v>826</v>
      </c>
      <c r="B434" s="17"/>
      <c r="C434" s="164"/>
      <c r="D434" s="164"/>
      <c r="E434" s="164"/>
      <c r="F434" s="164"/>
      <c r="G434" s="164"/>
      <c r="H434" s="164"/>
      <c r="I434" s="164"/>
      <c r="J434" s="164"/>
      <c r="K434" s="165"/>
      <c r="L434" s="46"/>
      <c r="M434" s="46"/>
      <c r="N434" s="46"/>
      <c r="O434" s="46"/>
      <c r="P434" s="183"/>
      <c r="Q434" s="166"/>
      <c r="R434" s="169"/>
      <c r="S434" s="194"/>
      <c r="T434" s="232" t="s">
        <v>826</v>
      </c>
      <c r="U434" s="152"/>
      <c r="V434" s="147"/>
      <c r="W434" s="147"/>
      <c r="X434" s="147"/>
    </row>
    <row r="435" spans="1:24" ht="15.75" thickBot="1">
      <c r="A435" s="163" t="s">
        <v>827</v>
      </c>
      <c r="B435" s="17"/>
      <c r="C435" s="164"/>
      <c r="D435" s="164"/>
      <c r="E435" s="164"/>
      <c r="F435" s="164"/>
      <c r="G435" s="164"/>
      <c r="H435" s="164"/>
      <c r="I435" s="164"/>
      <c r="J435" s="164"/>
      <c r="K435" s="165"/>
      <c r="L435" s="46"/>
      <c r="M435" s="46"/>
      <c r="N435" s="46"/>
      <c r="O435" s="46"/>
      <c r="P435" s="183"/>
      <c r="Q435" s="166"/>
      <c r="R435" s="212"/>
      <c r="S435" s="194"/>
      <c r="T435" s="232" t="s">
        <v>827</v>
      </c>
      <c r="U435" s="152"/>
      <c r="V435" s="147"/>
      <c r="W435" s="147"/>
      <c r="X435" s="147"/>
    </row>
    <row r="436" spans="1:24" ht="16.5" thickBot="1">
      <c r="A436" s="195"/>
      <c r="B436" s="196">
        <f>SUM(C436:S436)+U436</f>
        <v>0</v>
      </c>
      <c r="C436" s="177">
        <f>SUM(C422:C435)</f>
        <v>0</v>
      </c>
      <c r="D436" s="177">
        <f>SUM(D422:D435)</f>
        <v>0</v>
      </c>
      <c r="E436" s="177">
        <f>SUM(E422:E435)</f>
        <v>0</v>
      </c>
      <c r="F436" s="177">
        <f>SUM(F422:F435)</f>
        <v>0</v>
      </c>
      <c r="G436" s="177">
        <f>SUM(G422:G435)</f>
        <v>0</v>
      </c>
      <c r="H436" s="177">
        <f t="shared" ref="H436:S436" si="43">SUM(H422:H435)</f>
        <v>0</v>
      </c>
      <c r="I436" s="177">
        <f t="shared" si="43"/>
        <v>0</v>
      </c>
      <c r="J436" s="177">
        <f t="shared" si="43"/>
        <v>0</v>
      </c>
      <c r="K436" s="177">
        <f t="shared" si="43"/>
        <v>0</v>
      </c>
      <c r="L436" s="197">
        <f t="shared" si="43"/>
        <v>0</v>
      </c>
      <c r="M436" s="197">
        <f t="shared" si="43"/>
        <v>0</v>
      </c>
      <c r="N436" s="197">
        <f t="shared" si="43"/>
        <v>0</v>
      </c>
      <c r="O436" s="197">
        <f t="shared" si="43"/>
        <v>0</v>
      </c>
      <c r="P436" s="197">
        <f t="shared" si="43"/>
        <v>0</v>
      </c>
      <c r="Q436" s="197">
        <f t="shared" si="43"/>
        <v>0</v>
      </c>
      <c r="R436" s="197">
        <f t="shared" si="43"/>
        <v>0</v>
      </c>
      <c r="S436" s="198">
        <f t="shared" si="43"/>
        <v>0</v>
      </c>
      <c r="T436" s="175" t="s">
        <v>791</v>
      </c>
      <c r="U436" s="176">
        <f>SUM(V436:X436)</f>
        <v>0</v>
      </c>
      <c r="V436" s="147">
        <f>SUM(V422:V435)</f>
        <v>0</v>
      </c>
      <c r="W436" s="147">
        <f>SUM(W422:W435)</f>
        <v>0</v>
      </c>
      <c r="X436" s="147">
        <f>SUM(X422:X435)</f>
        <v>0</v>
      </c>
    </row>
    <row r="437" spans="1:24" ht="15.75" thickBot="1"/>
    <row r="438" spans="1:24" ht="15.75" thickBot="1">
      <c r="A438" s="1024" t="s">
        <v>999</v>
      </c>
      <c r="B438" s="1025"/>
      <c r="C438" s="1025"/>
      <c r="D438" s="1025"/>
      <c r="E438" s="1025"/>
      <c r="F438" s="1025"/>
      <c r="G438" s="1025"/>
      <c r="H438" s="1025"/>
      <c r="I438" s="1025"/>
      <c r="J438" s="1025"/>
      <c r="K438" s="1025"/>
      <c r="L438" s="1025"/>
      <c r="M438" s="1025"/>
      <c r="N438" s="1025"/>
      <c r="O438" s="1025"/>
      <c r="P438" s="1025"/>
      <c r="Q438" s="1025"/>
      <c r="R438" s="1025"/>
      <c r="S438" s="1026"/>
      <c r="T438" s="1024" t="s">
        <v>820</v>
      </c>
      <c r="U438" s="1025"/>
      <c r="V438" s="1025"/>
      <c r="W438" s="1025"/>
      <c r="X438" s="1026"/>
    </row>
    <row r="439" spans="1:24" ht="65.25" customHeight="1">
      <c r="A439" s="155"/>
      <c r="B439" s="941"/>
      <c r="C439" s="934"/>
      <c r="D439" s="938"/>
      <c r="E439" s="938"/>
      <c r="F439" s="213"/>
      <c r="G439" s="213"/>
      <c r="H439" s="189"/>
      <c r="I439" s="213"/>
      <c r="J439" s="189"/>
      <c r="K439" s="189"/>
      <c r="L439" s="213"/>
      <c r="M439" s="189"/>
      <c r="N439" s="189"/>
      <c r="O439" s="189"/>
      <c r="P439" s="189"/>
      <c r="Q439" s="189"/>
      <c r="R439" s="189"/>
      <c r="S439" s="189"/>
      <c r="T439" s="228"/>
      <c r="U439" s="247"/>
      <c r="V439" s="369"/>
      <c r="W439" s="369"/>
      <c r="X439" s="369"/>
    </row>
    <row r="440" spans="1:24">
      <c r="A440" s="163" t="s">
        <v>821</v>
      </c>
      <c r="B440" s="17"/>
      <c r="C440" s="165"/>
      <c r="D440" s="165"/>
      <c r="E440" s="165"/>
      <c r="F440" s="165"/>
      <c r="G440" s="165"/>
      <c r="H440" s="165"/>
      <c r="I440" s="165"/>
      <c r="J440" s="165"/>
      <c r="K440" s="165"/>
      <c r="L440" s="165"/>
      <c r="M440" s="164"/>
      <c r="N440" s="164"/>
      <c r="O440" s="164"/>
      <c r="P440" s="165"/>
      <c r="Q440" s="165"/>
      <c r="R440" s="164"/>
      <c r="S440" s="164"/>
      <c r="T440" s="232" t="s">
        <v>821</v>
      </c>
      <c r="U440" s="152"/>
      <c r="V440" s="147"/>
      <c r="W440" s="147"/>
      <c r="X440" s="147"/>
    </row>
    <row r="441" spans="1:24">
      <c r="A441" s="163" t="s">
        <v>822</v>
      </c>
      <c r="B441" s="17"/>
      <c r="C441" s="165"/>
      <c r="D441" s="165"/>
      <c r="E441" s="165"/>
      <c r="F441" s="165"/>
      <c r="G441" s="165"/>
      <c r="H441" s="165"/>
      <c r="I441" s="165"/>
      <c r="J441" s="165"/>
      <c r="K441" s="165"/>
      <c r="L441" s="165"/>
      <c r="M441" s="164"/>
      <c r="N441" s="164"/>
      <c r="O441" s="164"/>
      <c r="P441" s="165"/>
      <c r="Q441" s="165"/>
      <c r="R441" s="164"/>
      <c r="S441" s="164"/>
      <c r="T441" s="232" t="s">
        <v>822</v>
      </c>
      <c r="U441" s="152"/>
      <c r="V441" s="147"/>
      <c r="W441" s="147"/>
      <c r="X441" s="147"/>
    </row>
    <row r="442" spans="1:24" s="216" customFormat="1">
      <c r="A442" s="163" t="s">
        <v>823</v>
      </c>
      <c r="B442" s="17"/>
      <c r="C442" s="165"/>
      <c r="D442" s="165"/>
      <c r="E442" s="165"/>
      <c r="F442" s="165"/>
      <c r="G442" s="165"/>
      <c r="H442" s="165"/>
      <c r="I442" s="165"/>
      <c r="J442" s="165"/>
      <c r="K442" s="165"/>
      <c r="L442" s="165"/>
      <c r="M442" s="164"/>
      <c r="N442" s="164"/>
      <c r="O442" s="164"/>
      <c r="P442" s="165"/>
      <c r="Q442" s="165"/>
      <c r="R442" s="164"/>
      <c r="S442" s="164"/>
      <c r="T442" s="232" t="s">
        <v>823</v>
      </c>
      <c r="U442" s="152"/>
      <c r="V442" s="147"/>
      <c r="W442" s="147"/>
      <c r="X442" s="147"/>
    </row>
    <row r="443" spans="1:24">
      <c r="A443" s="163" t="s">
        <v>824</v>
      </c>
      <c r="B443" s="17"/>
      <c r="C443" s="165"/>
      <c r="D443" s="165"/>
      <c r="E443" s="165"/>
      <c r="F443" s="165"/>
      <c r="G443" s="165"/>
      <c r="H443" s="165"/>
      <c r="I443" s="165"/>
      <c r="J443" s="165"/>
      <c r="K443" s="165"/>
      <c r="L443" s="165"/>
      <c r="M443" s="164"/>
      <c r="N443" s="164"/>
      <c r="O443" s="164"/>
      <c r="P443" s="165"/>
      <c r="Q443" s="165"/>
      <c r="R443" s="164"/>
      <c r="S443" s="164"/>
      <c r="T443" s="232" t="s">
        <v>824</v>
      </c>
      <c r="U443" s="152"/>
      <c r="V443" s="147"/>
      <c r="W443" s="147"/>
      <c r="X443" s="147"/>
    </row>
    <row r="444" spans="1:24">
      <c r="A444" s="163" t="s">
        <v>825</v>
      </c>
      <c r="B444" s="17"/>
      <c r="C444" s="165"/>
      <c r="D444" s="165"/>
      <c r="E444" s="165"/>
      <c r="F444" s="165"/>
      <c r="G444" s="165"/>
      <c r="H444" s="165"/>
      <c r="I444" s="165"/>
      <c r="J444" s="165"/>
      <c r="K444" s="165"/>
      <c r="L444" s="165"/>
      <c r="M444" s="164"/>
      <c r="N444" s="164"/>
      <c r="O444" s="164"/>
      <c r="P444" s="165"/>
      <c r="Q444" s="165"/>
      <c r="R444" s="164"/>
      <c r="S444" s="164"/>
      <c r="T444" s="232" t="s">
        <v>825</v>
      </c>
      <c r="U444" s="152"/>
      <c r="V444" s="147"/>
      <c r="W444" s="147"/>
      <c r="X444" s="147"/>
    </row>
    <row r="445" spans="1:24">
      <c r="A445" s="163" t="s">
        <v>826</v>
      </c>
      <c r="B445" s="17"/>
      <c r="C445" s="165"/>
      <c r="D445" s="165"/>
      <c r="E445" s="165"/>
      <c r="F445" s="165"/>
      <c r="G445" s="165"/>
      <c r="H445" s="165"/>
      <c r="I445" s="165"/>
      <c r="J445" s="165"/>
      <c r="K445" s="165"/>
      <c r="L445" s="165"/>
      <c r="M445" s="164"/>
      <c r="N445" s="164"/>
      <c r="O445" s="164"/>
      <c r="P445" s="165"/>
      <c r="Q445" s="165"/>
      <c r="R445" s="164"/>
      <c r="S445" s="164"/>
      <c r="T445" s="232" t="s">
        <v>826</v>
      </c>
      <c r="U445" s="152"/>
      <c r="V445" s="147"/>
      <c r="W445" s="147"/>
      <c r="X445" s="147"/>
    </row>
    <row r="446" spans="1:24">
      <c r="A446" s="163" t="s">
        <v>827</v>
      </c>
      <c r="B446" s="17"/>
      <c r="C446" s="165"/>
      <c r="D446" s="165"/>
      <c r="E446" s="165"/>
      <c r="F446" s="165"/>
      <c r="G446" s="165"/>
      <c r="H446" s="165"/>
      <c r="I446" s="165"/>
      <c r="J446" s="165"/>
      <c r="K446" s="165"/>
      <c r="L446" s="165"/>
      <c r="M446" s="164"/>
      <c r="N446" s="164"/>
      <c r="O446" s="164"/>
      <c r="P446" s="165"/>
      <c r="Q446" s="165"/>
      <c r="R446" s="164"/>
      <c r="S446" s="164"/>
      <c r="T446" s="232" t="s">
        <v>827</v>
      </c>
      <c r="U446" s="152"/>
      <c r="V446" s="147"/>
      <c r="W446" s="147"/>
      <c r="X446" s="147"/>
    </row>
    <row r="447" spans="1:24">
      <c r="A447" s="163" t="s">
        <v>821</v>
      </c>
      <c r="B447" s="17"/>
      <c r="C447" s="165"/>
      <c r="D447" s="165"/>
      <c r="E447" s="165"/>
      <c r="F447" s="165"/>
      <c r="G447" s="165"/>
      <c r="H447" s="165"/>
      <c r="I447" s="165"/>
      <c r="J447" s="165"/>
      <c r="K447" s="165"/>
      <c r="L447" s="165"/>
      <c r="M447" s="164"/>
      <c r="N447" s="164"/>
      <c r="O447" s="164"/>
      <c r="P447" s="165"/>
      <c r="Q447" s="165"/>
      <c r="R447" s="164"/>
      <c r="S447" s="164"/>
      <c r="T447" s="232" t="s">
        <v>821</v>
      </c>
      <c r="U447" s="152"/>
      <c r="V447" s="147"/>
      <c r="W447" s="147"/>
      <c r="X447" s="147"/>
    </row>
    <row r="448" spans="1:24">
      <c r="A448" s="163" t="s">
        <v>822</v>
      </c>
      <c r="B448" s="17"/>
      <c r="C448" s="165"/>
      <c r="D448" s="165"/>
      <c r="E448" s="165"/>
      <c r="F448" s="165"/>
      <c r="G448" s="165"/>
      <c r="H448" s="165"/>
      <c r="I448" s="165"/>
      <c r="J448" s="165"/>
      <c r="K448" s="165"/>
      <c r="L448" s="165"/>
      <c r="M448" s="164"/>
      <c r="N448" s="164"/>
      <c r="O448" s="164"/>
      <c r="P448" s="165"/>
      <c r="Q448" s="165"/>
      <c r="R448" s="164"/>
      <c r="S448" s="164"/>
      <c r="T448" s="232" t="s">
        <v>822</v>
      </c>
      <c r="U448" s="152"/>
      <c r="V448" s="147"/>
      <c r="W448" s="147"/>
      <c r="X448" s="147"/>
    </row>
    <row r="449" spans="1:24">
      <c r="A449" s="163" t="s">
        <v>823</v>
      </c>
      <c r="B449" s="17"/>
      <c r="C449" s="165"/>
      <c r="D449" s="165"/>
      <c r="E449" s="165"/>
      <c r="F449" s="165"/>
      <c r="G449" s="165"/>
      <c r="H449" s="165"/>
      <c r="I449" s="165"/>
      <c r="J449" s="165"/>
      <c r="K449" s="165"/>
      <c r="L449" s="165"/>
      <c r="M449" s="165"/>
      <c r="N449" s="126"/>
      <c r="O449" s="165"/>
      <c r="P449" s="165"/>
      <c r="Q449" s="165"/>
      <c r="R449" s="165"/>
      <c r="S449" s="165"/>
      <c r="T449" s="232" t="s">
        <v>823</v>
      </c>
      <c r="U449" s="152"/>
      <c r="V449" s="147"/>
      <c r="W449" s="147"/>
      <c r="X449" s="147"/>
    </row>
    <row r="450" spans="1:24">
      <c r="A450" s="163" t="s">
        <v>824</v>
      </c>
      <c r="B450" s="17"/>
      <c r="C450" s="165"/>
      <c r="D450" s="165"/>
      <c r="E450" s="165"/>
      <c r="F450" s="165"/>
      <c r="G450" s="165"/>
      <c r="H450" s="165"/>
      <c r="I450" s="165"/>
      <c r="J450" s="165"/>
      <c r="K450" s="165"/>
      <c r="L450" s="165"/>
      <c r="M450" s="165"/>
      <c r="N450" s="126"/>
      <c r="O450" s="165"/>
      <c r="P450" s="165"/>
      <c r="Q450" s="165"/>
      <c r="R450" s="165"/>
      <c r="S450" s="165"/>
      <c r="T450" s="232" t="s">
        <v>824</v>
      </c>
      <c r="U450" s="152"/>
      <c r="V450" s="147"/>
      <c r="W450" s="147"/>
      <c r="X450" s="147"/>
    </row>
    <row r="451" spans="1:24">
      <c r="A451" s="163" t="s">
        <v>825</v>
      </c>
      <c r="B451" s="17"/>
      <c r="C451" s="165"/>
      <c r="D451" s="165"/>
      <c r="E451" s="165"/>
      <c r="F451" s="165"/>
      <c r="G451" s="165"/>
      <c r="H451" s="165"/>
      <c r="I451" s="165"/>
      <c r="J451" s="165"/>
      <c r="K451" s="165"/>
      <c r="L451" s="165"/>
      <c r="M451" s="165"/>
      <c r="N451" s="126"/>
      <c r="O451" s="165"/>
      <c r="P451" s="165"/>
      <c r="Q451" s="165"/>
      <c r="R451" s="165"/>
      <c r="S451" s="165"/>
      <c r="T451" s="232" t="s">
        <v>825</v>
      </c>
      <c r="U451" s="152"/>
      <c r="V451" s="147"/>
      <c r="W451" s="147"/>
      <c r="X451" s="147"/>
    </row>
    <row r="452" spans="1:24">
      <c r="A452" s="163" t="s">
        <v>826</v>
      </c>
      <c r="B452" s="17"/>
      <c r="C452" s="165"/>
      <c r="D452" s="165"/>
      <c r="E452" s="165"/>
      <c r="F452" s="165"/>
      <c r="G452" s="165"/>
      <c r="H452" s="165"/>
      <c r="I452" s="165"/>
      <c r="J452" s="165"/>
      <c r="K452" s="165"/>
      <c r="L452" s="165"/>
      <c r="M452" s="165"/>
      <c r="N452" s="126"/>
      <c r="O452" s="165"/>
      <c r="P452" s="165"/>
      <c r="Q452" s="165"/>
      <c r="R452" s="165"/>
      <c r="S452" s="165"/>
      <c r="T452" s="232" t="s">
        <v>826</v>
      </c>
      <c r="U452" s="152"/>
      <c r="V452" s="147"/>
      <c r="W452" s="147"/>
      <c r="X452" s="147"/>
    </row>
    <row r="453" spans="1:24" ht="15.75" thickBot="1">
      <c r="A453" s="163" t="s">
        <v>827</v>
      </c>
      <c r="B453" s="17"/>
      <c r="C453" s="165"/>
      <c r="D453" s="165"/>
      <c r="E453" s="165"/>
      <c r="F453" s="165"/>
      <c r="G453" s="165"/>
      <c r="H453" s="165"/>
      <c r="I453" s="165"/>
      <c r="J453" s="165"/>
      <c r="K453" s="165"/>
      <c r="L453" s="165"/>
      <c r="M453" s="165"/>
      <c r="N453" s="126"/>
      <c r="O453" s="165"/>
      <c r="P453" s="165"/>
      <c r="Q453" s="165"/>
      <c r="R453" s="165"/>
      <c r="S453" s="165"/>
      <c r="T453" s="232" t="s">
        <v>827</v>
      </c>
      <c r="U453" s="152"/>
      <c r="V453" s="147"/>
      <c r="W453" s="147"/>
      <c r="X453" s="147"/>
    </row>
    <row r="454" spans="1:24" ht="16.5" thickBot="1">
      <c r="A454" s="171"/>
      <c r="B454" s="172">
        <f>SUM(C454:S454)+U454</f>
        <v>0</v>
      </c>
      <c r="C454" s="173">
        <f>SUM(C440:C453)</f>
        <v>0</v>
      </c>
      <c r="D454" s="173">
        <f>SUM(D440:D453)</f>
        <v>0</v>
      </c>
      <c r="E454" s="173">
        <f>SUM(E440:E453)</f>
        <v>0</v>
      </c>
      <c r="F454" s="173">
        <f>SUM(F440:F453)</f>
        <v>0</v>
      </c>
      <c r="G454" s="173">
        <f>SUM(G440:G453)</f>
        <v>0</v>
      </c>
      <c r="H454" s="173">
        <f t="shared" ref="H454:Q454" si="44">SUM(H440:H453)</f>
        <v>0</v>
      </c>
      <c r="I454" s="173">
        <f t="shared" si="44"/>
        <v>0</v>
      </c>
      <c r="J454" s="173">
        <f t="shared" si="44"/>
        <v>0</v>
      </c>
      <c r="K454" s="173">
        <f t="shared" si="44"/>
        <v>0</v>
      </c>
      <c r="L454" s="173">
        <f t="shared" si="44"/>
        <v>0</v>
      </c>
      <c r="M454" s="173">
        <f t="shared" si="44"/>
        <v>0</v>
      </c>
      <c r="N454" s="173">
        <f t="shared" si="44"/>
        <v>0</v>
      </c>
      <c r="O454" s="173">
        <f t="shared" si="44"/>
        <v>0</v>
      </c>
      <c r="P454" s="173">
        <f t="shared" si="44"/>
        <v>0</v>
      </c>
      <c r="Q454" s="173">
        <f t="shared" si="44"/>
        <v>0</v>
      </c>
      <c r="R454" s="173">
        <f>SUM(R440:R453)</f>
        <v>0</v>
      </c>
      <c r="S454" s="173">
        <f>SUM(S440:S453)</f>
        <v>0</v>
      </c>
      <c r="T454" s="175" t="s">
        <v>791</v>
      </c>
      <c r="U454" s="176">
        <f>SUM(V454:X454)</f>
        <v>0</v>
      </c>
      <c r="V454" s="147">
        <f>SUM(V440:V453)</f>
        <v>0</v>
      </c>
      <c r="W454" s="147">
        <f>SUM(W440:W453)</f>
        <v>0</v>
      </c>
      <c r="X454" s="147">
        <f>SUM(X440:X453)</f>
        <v>0</v>
      </c>
    </row>
    <row r="455" spans="1:24" ht="15.75" thickBot="1"/>
    <row r="456" spans="1:24" ht="15.75" thickBot="1">
      <c r="A456" s="1046" t="s">
        <v>690</v>
      </c>
      <c r="B456" s="1047"/>
      <c r="C456" s="1047"/>
      <c r="D456" s="1047"/>
      <c r="E456" s="1047"/>
      <c r="F456" s="1047"/>
      <c r="G456" s="1047"/>
      <c r="H456" s="1047"/>
      <c r="I456" s="1047"/>
      <c r="J456" s="1047"/>
      <c r="K456" s="1047"/>
      <c r="L456" s="1047"/>
      <c r="M456" s="1047"/>
      <c r="N456" s="1047"/>
      <c r="O456" s="1047"/>
      <c r="P456" s="1047"/>
      <c r="Q456" s="1047"/>
      <c r="R456" s="1047"/>
      <c r="S456" s="1048"/>
      <c r="T456" s="1024" t="s">
        <v>820</v>
      </c>
      <c r="U456" s="1025"/>
      <c r="V456" s="1025"/>
      <c r="W456" s="1025"/>
      <c r="X456" s="1026"/>
    </row>
    <row r="457" spans="1:24" ht="59.25" customHeight="1">
      <c r="A457" s="155"/>
      <c r="B457" s="941"/>
      <c r="C457" s="936"/>
      <c r="D457" s="189"/>
      <c r="E457" s="189"/>
      <c r="F457" s="189"/>
      <c r="G457" s="189"/>
      <c r="H457" s="189"/>
      <c r="I457" s="189"/>
      <c r="J457" s="189"/>
      <c r="K457" s="213"/>
      <c r="L457" s="188"/>
      <c r="M457" s="188"/>
      <c r="N457" s="188"/>
      <c r="O457" s="188"/>
      <c r="P457" s="206"/>
      <c r="Q457" s="207"/>
      <c r="R457" s="189"/>
      <c r="S457" s="190"/>
      <c r="T457" s="228"/>
      <c r="U457" s="247"/>
      <c r="V457" s="369"/>
      <c r="W457" s="369"/>
      <c r="X457" s="369"/>
    </row>
    <row r="458" spans="1:24">
      <c r="A458" s="163" t="s">
        <v>821</v>
      </c>
      <c r="B458" s="17"/>
      <c r="C458" s="164"/>
      <c r="D458" s="164"/>
      <c r="E458" s="164"/>
      <c r="F458" s="164"/>
      <c r="G458" s="164"/>
      <c r="H458" s="164"/>
      <c r="I458" s="164"/>
      <c r="J458" s="164"/>
      <c r="K458" s="165"/>
      <c r="L458" s="46"/>
      <c r="M458" s="46"/>
      <c r="N458" s="46"/>
      <c r="O458" s="46"/>
      <c r="P458" s="183"/>
      <c r="Q458" s="166"/>
      <c r="R458" s="168"/>
      <c r="S458" s="184"/>
      <c r="T458" s="232" t="s">
        <v>821</v>
      </c>
      <c r="U458" s="152"/>
      <c r="V458" s="147"/>
      <c r="W458" s="147"/>
      <c r="X458" s="147"/>
    </row>
    <row r="459" spans="1:24">
      <c r="A459" s="163" t="s">
        <v>822</v>
      </c>
      <c r="B459" s="17"/>
      <c r="C459" s="164"/>
      <c r="D459" s="164"/>
      <c r="E459" s="164"/>
      <c r="F459" s="164"/>
      <c r="G459" s="164"/>
      <c r="H459" s="164"/>
      <c r="I459" s="164"/>
      <c r="J459" s="164"/>
      <c r="K459" s="165"/>
      <c r="L459" s="46"/>
      <c r="M459" s="46"/>
      <c r="N459" s="46"/>
      <c r="O459" s="46"/>
      <c r="P459" s="183"/>
      <c r="Q459" s="166"/>
      <c r="R459" s="189"/>
      <c r="S459" s="190"/>
      <c r="T459" s="232" t="s">
        <v>822</v>
      </c>
      <c r="U459" s="152"/>
      <c r="V459" s="147"/>
      <c r="W459" s="147"/>
      <c r="X459" s="147"/>
    </row>
    <row r="460" spans="1:24">
      <c r="A460" s="163" t="s">
        <v>823</v>
      </c>
      <c r="B460" s="17"/>
      <c r="C460" s="164"/>
      <c r="D460" s="164"/>
      <c r="E460" s="164"/>
      <c r="F460" s="164"/>
      <c r="G460" s="164"/>
      <c r="H460" s="164"/>
      <c r="I460" s="164"/>
      <c r="J460" s="164"/>
      <c r="K460" s="165"/>
      <c r="L460" s="46"/>
      <c r="M460" s="46"/>
      <c r="N460" s="46"/>
      <c r="O460" s="46"/>
      <c r="P460" s="183"/>
      <c r="Q460" s="166"/>
      <c r="R460" s="164"/>
      <c r="S460" s="191"/>
      <c r="T460" s="232" t="s">
        <v>823</v>
      </c>
      <c r="U460" s="152"/>
      <c r="V460" s="147"/>
      <c r="W460" s="147"/>
      <c r="X460" s="147"/>
    </row>
    <row r="461" spans="1:24">
      <c r="A461" s="163" t="s">
        <v>824</v>
      </c>
      <c r="B461" s="17"/>
      <c r="C461" s="164"/>
      <c r="D461" s="164"/>
      <c r="E461" s="164"/>
      <c r="F461" s="164"/>
      <c r="G461" s="164"/>
      <c r="H461" s="164"/>
      <c r="I461" s="164"/>
      <c r="J461" s="164"/>
      <c r="K461" s="165"/>
      <c r="L461" s="46"/>
      <c r="M461" s="46"/>
      <c r="N461" s="46"/>
      <c r="O461" s="46"/>
      <c r="P461" s="183"/>
      <c r="Q461" s="166"/>
      <c r="R461" s="164"/>
      <c r="S461" s="191"/>
      <c r="T461" s="232" t="s">
        <v>824</v>
      </c>
      <c r="U461" s="152"/>
      <c r="V461" s="147"/>
      <c r="W461" s="147"/>
      <c r="X461" s="147"/>
    </row>
    <row r="462" spans="1:24">
      <c r="A462" s="163" t="s">
        <v>825</v>
      </c>
      <c r="B462" s="17"/>
      <c r="C462" s="164"/>
      <c r="D462" s="164"/>
      <c r="E462" s="164"/>
      <c r="F462" s="164"/>
      <c r="G462" s="164"/>
      <c r="H462" s="164"/>
      <c r="I462" s="164"/>
      <c r="J462" s="164"/>
      <c r="K462" s="165"/>
      <c r="L462" s="46"/>
      <c r="M462" s="46"/>
      <c r="N462" s="46"/>
      <c r="O462" s="46"/>
      <c r="P462" s="183"/>
      <c r="Q462" s="166"/>
      <c r="R462" s="164"/>
      <c r="S462" s="191"/>
      <c r="T462" s="232" t="s">
        <v>825</v>
      </c>
      <c r="U462" s="152"/>
      <c r="V462" s="147"/>
      <c r="W462" s="147"/>
      <c r="X462" s="147"/>
    </row>
    <row r="463" spans="1:24">
      <c r="A463" s="163" t="s">
        <v>826</v>
      </c>
      <c r="B463" s="17"/>
      <c r="C463" s="164"/>
      <c r="D463" s="164"/>
      <c r="E463" s="164"/>
      <c r="F463" s="164"/>
      <c r="G463" s="164"/>
      <c r="H463" s="164"/>
      <c r="I463" s="164"/>
      <c r="J463" s="164"/>
      <c r="K463" s="165"/>
      <c r="L463" s="46"/>
      <c r="M463" s="46"/>
      <c r="N463" s="46"/>
      <c r="O463" s="46"/>
      <c r="P463" s="183"/>
      <c r="Q463" s="166"/>
      <c r="R463" s="164"/>
      <c r="S463" s="191"/>
      <c r="T463" s="232" t="s">
        <v>826</v>
      </c>
      <c r="U463" s="152"/>
      <c r="V463" s="147"/>
      <c r="W463" s="147"/>
      <c r="X463" s="147"/>
    </row>
    <row r="464" spans="1:24">
      <c r="A464" s="163" t="s">
        <v>827</v>
      </c>
      <c r="B464" s="17"/>
      <c r="C464" s="164"/>
      <c r="D464" s="164"/>
      <c r="E464" s="164"/>
      <c r="F464" s="164"/>
      <c r="G464" s="164"/>
      <c r="H464" s="164"/>
      <c r="I464" s="164"/>
      <c r="J464" s="164"/>
      <c r="K464" s="165"/>
      <c r="L464" s="46"/>
      <c r="M464" s="46"/>
      <c r="N464" s="46"/>
      <c r="O464" s="46"/>
      <c r="P464" s="183"/>
      <c r="Q464" s="166"/>
      <c r="R464" s="164"/>
      <c r="S464" s="191"/>
      <c r="T464" s="232" t="s">
        <v>827</v>
      </c>
      <c r="U464" s="152"/>
      <c r="V464" s="147"/>
      <c r="W464" s="147"/>
      <c r="X464" s="147"/>
    </row>
    <row r="465" spans="1:24">
      <c r="A465" s="163" t="s">
        <v>821</v>
      </c>
      <c r="B465" s="17"/>
      <c r="C465" s="164"/>
      <c r="D465" s="164"/>
      <c r="E465" s="164"/>
      <c r="F465" s="164"/>
      <c r="G465" s="164"/>
      <c r="H465" s="164"/>
      <c r="I465" s="164"/>
      <c r="J465" s="164"/>
      <c r="K465" s="165"/>
      <c r="L465" s="46"/>
      <c r="M465" s="46"/>
      <c r="N465" s="46"/>
      <c r="O465" s="46"/>
      <c r="P465" s="183"/>
      <c r="Q465" s="166"/>
      <c r="R465" s="164"/>
      <c r="S465" s="191"/>
      <c r="T465" s="232" t="s">
        <v>821</v>
      </c>
      <c r="U465" s="152"/>
      <c r="V465" s="147"/>
      <c r="W465" s="147"/>
      <c r="X465" s="147"/>
    </row>
    <row r="466" spans="1:24">
      <c r="A466" s="163" t="s">
        <v>822</v>
      </c>
      <c r="B466" s="17"/>
      <c r="C466" s="164"/>
      <c r="D466" s="164"/>
      <c r="E466" s="164"/>
      <c r="F466" s="164"/>
      <c r="G466" s="164"/>
      <c r="H466" s="164"/>
      <c r="I466" s="164"/>
      <c r="J466" s="164"/>
      <c r="K466" s="165"/>
      <c r="L466" s="46"/>
      <c r="M466" s="46"/>
      <c r="N466" s="46"/>
      <c r="O466" s="46"/>
      <c r="P466" s="183"/>
      <c r="Q466" s="166"/>
      <c r="R466" s="164"/>
      <c r="S466" s="191"/>
      <c r="T466" s="232" t="s">
        <v>822</v>
      </c>
      <c r="U466" s="152"/>
      <c r="V466" s="147"/>
      <c r="W466" s="147"/>
      <c r="X466" s="147"/>
    </row>
    <row r="467" spans="1:24">
      <c r="A467" s="163" t="s">
        <v>823</v>
      </c>
      <c r="B467" s="17"/>
      <c r="C467" s="164"/>
      <c r="D467" s="164"/>
      <c r="E467" s="164"/>
      <c r="F467" s="164"/>
      <c r="G467" s="164"/>
      <c r="H467" s="164"/>
      <c r="I467" s="164"/>
      <c r="J467" s="164"/>
      <c r="K467" s="165"/>
      <c r="L467" s="46"/>
      <c r="M467" s="46"/>
      <c r="N467" s="46"/>
      <c r="O467" s="46"/>
      <c r="P467" s="183"/>
      <c r="Q467" s="166"/>
      <c r="R467" s="169"/>
      <c r="S467" s="194"/>
      <c r="T467" s="232" t="s">
        <v>823</v>
      </c>
      <c r="U467" s="152"/>
      <c r="V467" s="147"/>
      <c r="W467" s="147"/>
      <c r="X467" s="147"/>
    </row>
    <row r="468" spans="1:24">
      <c r="A468" s="163" t="s">
        <v>824</v>
      </c>
      <c r="B468" s="17"/>
      <c r="C468" s="164"/>
      <c r="D468" s="164"/>
      <c r="E468" s="164"/>
      <c r="F468" s="164"/>
      <c r="G468" s="164"/>
      <c r="H468" s="164"/>
      <c r="I468" s="164"/>
      <c r="J468" s="164"/>
      <c r="K468" s="165"/>
      <c r="L468" s="46"/>
      <c r="M468" s="46"/>
      <c r="N468" s="46"/>
      <c r="O468" s="46"/>
      <c r="P468" s="183"/>
      <c r="Q468" s="166"/>
      <c r="R468" s="169"/>
      <c r="S468" s="194"/>
      <c r="T468" s="232" t="s">
        <v>824</v>
      </c>
      <c r="U468" s="152"/>
      <c r="V468" s="147"/>
      <c r="W468" s="147"/>
      <c r="X468" s="147"/>
    </row>
    <row r="469" spans="1:24">
      <c r="A469" s="163" t="s">
        <v>825</v>
      </c>
      <c r="B469" s="17"/>
      <c r="C469" s="164"/>
      <c r="D469" s="164"/>
      <c r="E469" s="164"/>
      <c r="F469" s="164"/>
      <c r="G469" s="164"/>
      <c r="H469" s="164"/>
      <c r="I469" s="164"/>
      <c r="J469" s="164"/>
      <c r="K469" s="165"/>
      <c r="L469" s="46"/>
      <c r="M469" s="46"/>
      <c r="N469" s="46"/>
      <c r="O469" s="46"/>
      <c r="P469" s="183"/>
      <c r="Q469" s="166"/>
      <c r="R469" s="169"/>
      <c r="S469" s="194"/>
      <c r="T469" s="232" t="s">
        <v>825</v>
      </c>
      <c r="U469" s="152"/>
      <c r="V469" s="147"/>
      <c r="W469" s="147"/>
      <c r="X469" s="147"/>
    </row>
    <row r="470" spans="1:24">
      <c r="A470" s="163" t="s">
        <v>826</v>
      </c>
      <c r="B470" s="17"/>
      <c r="C470" s="164"/>
      <c r="D470" s="164"/>
      <c r="E470" s="164"/>
      <c r="F470" s="164"/>
      <c r="G470" s="164"/>
      <c r="H470" s="164"/>
      <c r="I470" s="164"/>
      <c r="J470" s="164"/>
      <c r="K470" s="165"/>
      <c r="L470" s="46"/>
      <c r="M470" s="46"/>
      <c r="N470" s="46"/>
      <c r="O470" s="46"/>
      <c r="P470" s="183"/>
      <c r="Q470" s="166"/>
      <c r="R470" s="169"/>
      <c r="S470" s="194"/>
      <c r="T470" s="232" t="s">
        <v>826</v>
      </c>
      <c r="U470" s="152"/>
      <c r="V470" s="147"/>
      <c r="W470" s="147"/>
      <c r="X470" s="147"/>
    </row>
    <row r="471" spans="1:24" ht="15.75" thickBot="1">
      <c r="A471" s="163" t="s">
        <v>827</v>
      </c>
      <c r="B471" s="17"/>
      <c r="C471" s="164"/>
      <c r="D471" s="164"/>
      <c r="E471" s="164"/>
      <c r="F471" s="164"/>
      <c r="G471" s="164"/>
      <c r="H471" s="164"/>
      <c r="I471" s="164"/>
      <c r="J471" s="164"/>
      <c r="K471" s="165"/>
      <c r="L471" s="46"/>
      <c r="M471" s="46"/>
      <c r="N471" s="46"/>
      <c r="O471" s="46"/>
      <c r="P471" s="183"/>
      <c r="Q471" s="166"/>
      <c r="R471" s="212"/>
      <c r="S471" s="194"/>
      <c r="T471" s="232" t="s">
        <v>827</v>
      </c>
      <c r="U471" s="152"/>
      <c r="V471" s="147"/>
      <c r="W471" s="147"/>
      <c r="X471" s="147"/>
    </row>
    <row r="472" spans="1:24" ht="16.5" thickBot="1">
      <c r="A472" s="195"/>
      <c r="B472" s="196">
        <f>SUM(C472:S472)+U472</f>
        <v>0</v>
      </c>
      <c r="C472" s="177">
        <f>SUM(C458:C471)</f>
        <v>0</v>
      </c>
      <c r="D472" s="177">
        <f>SUM(D458:D471)</f>
        <v>0</v>
      </c>
      <c r="E472" s="177">
        <f>SUM(E458:E471)</f>
        <v>0</v>
      </c>
      <c r="F472" s="177">
        <f>SUM(F458:F471)</f>
        <v>0</v>
      </c>
      <c r="G472" s="177">
        <f>SUM(G458:G471)</f>
        <v>0</v>
      </c>
      <c r="H472" s="177">
        <f t="shared" ref="H472:S472" si="45">SUM(H458:H471)</f>
        <v>0</v>
      </c>
      <c r="I472" s="177">
        <f t="shared" si="45"/>
        <v>0</v>
      </c>
      <c r="J472" s="177">
        <f t="shared" si="45"/>
        <v>0</v>
      </c>
      <c r="K472" s="177">
        <f t="shared" si="45"/>
        <v>0</v>
      </c>
      <c r="L472" s="197">
        <f t="shared" si="45"/>
        <v>0</v>
      </c>
      <c r="M472" s="197">
        <f t="shared" si="45"/>
        <v>0</v>
      </c>
      <c r="N472" s="197">
        <f t="shared" si="45"/>
        <v>0</v>
      </c>
      <c r="O472" s="197">
        <f t="shared" si="45"/>
        <v>0</v>
      </c>
      <c r="P472" s="197">
        <f t="shared" si="45"/>
        <v>0</v>
      </c>
      <c r="Q472" s="197">
        <f t="shared" si="45"/>
        <v>0</v>
      </c>
      <c r="R472" s="197">
        <f t="shared" si="45"/>
        <v>0</v>
      </c>
      <c r="S472" s="198">
        <f t="shared" si="45"/>
        <v>0</v>
      </c>
      <c r="T472" s="175" t="s">
        <v>791</v>
      </c>
      <c r="U472" s="176">
        <f>SUM(V472:X472)</f>
        <v>0</v>
      </c>
      <c r="V472" s="147">
        <f>SUM(V458:V471)</f>
        <v>0</v>
      </c>
      <c r="W472" s="147">
        <f>SUM(W458:W471)</f>
        <v>0</v>
      </c>
      <c r="X472" s="147">
        <f>SUM(X458:X471)</f>
        <v>0</v>
      </c>
    </row>
    <row r="473" spans="1:24" ht="15.75" thickBot="1"/>
    <row r="474" spans="1:24" ht="15.75" thickBot="1">
      <c r="A474" s="1046" t="s">
        <v>1000</v>
      </c>
      <c r="B474" s="1047"/>
      <c r="C474" s="1047"/>
      <c r="D474" s="1047"/>
      <c r="E474" s="1047"/>
      <c r="F474" s="1047"/>
      <c r="G474" s="1047"/>
      <c r="H474" s="1047"/>
      <c r="I474" s="1047"/>
      <c r="J474" s="1047"/>
      <c r="K474" s="1047"/>
      <c r="L474" s="1047"/>
      <c r="M474" s="1047"/>
      <c r="N474" s="1047"/>
      <c r="O474" s="1047"/>
      <c r="P474" s="1047"/>
      <c r="Q474" s="1047"/>
      <c r="R474" s="1047"/>
      <c r="S474" s="1048"/>
      <c r="T474" s="1024" t="s">
        <v>820</v>
      </c>
      <c r="U474" s="1025"/>
      <c r="V474" s="1025"/>
      <c r="W474" s="1025"/>
      <c r="X474" s="1026"/>
    </row>
    <row r="475" spans="1:24" ht="33.75" customHeight="1">
      <c r="A475" s="155"/>
      <c r="B475" s="941"/>
      <c r="C475" s="199"/>
      <c r="D475" s="189"/>
      <c r="E475" s="189"/>
      <c r="F475" s="189"/>
      <c r="G475" s="189"/>
      <c r="H475" s="189"/>
      <c r="I475" s="189"/>
      <c r="J475" s="189"/>
      <c r="K475" s="213"/>
      <c r="L475" s="188"/>
      <c r="M475" s="188"/>
      <c r="N475" s="188"/>
      <c r="O475" s="188"/>
      <c r="P475" s="206"/>
      <c r="Q475" s="207"/>
      <c r="R475" s="189"/>
      <c r="S475" s="190"/>
      <c r="T475" s="228"/>
      <c r="U475" s="247"/>
      <c r="V475" s="369"/>
      <c r="W475" s="369"/>
      <c r="X475" s="369"/>
    </row>
    <row r="476" spans="1:24">
      <c r="A476" s="163" t="s">
        <v>821</v>
      </c>
      <c r="B476" s="17"/>
      <c r="C476" s="164"/>
      <c r="D476" s="164"/>
      <c r="E476" s="164"/>
      <c r="F476" s="164"/>
      <c r="G476" s="164"/>
      <c r="H476" s="164"/>
      <c r="I476" s="164"/>
      <c r="J476" s="164"/>
      <c r="K476" s="165"/>
      <c r="L476" s="46"/>
      <c r="M476" s="46"/>
      <c r="N476" s="46"/>
      <c r="O476" s="46"/>
      <c r="P476" s="183"/>
      <c r="Q476" s="166"/>
      <c r="R476" s="168"/>
      <c r="S476" s="184"/>
      <c r="T476" s="232" t="s">
        <v>821</v>
      </c>
      <c r="U476" s="152"/>
      <c r="V476" s="147"/>
      <c r="W476" s="147"/>
      <c r="X476" s="147"/>
    </row>
    <row r="477" spans="1:24">
      <c r="A477" s="163" t="s">
        <v>822</v>
      </c>
      <c r="B477" s="17"/>
      <c r="C477" s="164"/>
      <c r="D477" s="164"/>
      <c r="E477" s="164"/>
      <c r="F477" s="164"/>
      <c r="G477" s="164"/>
      <c r="H477" s="164"/>
      <c r="I477" s="164"/>
      <c r="J477" s="164"/>
      <c r="K477" s="165"/>
      <c r="L477" s="46"/>
      <c r="M477" s="46"/>
      <c r="N477" s="46"/>
      <c r="O477" s="46"/>
      <c r="P477" s="183"/>
      <c r="Q477" s="166"/>
      <c r="R477" s="189"/>
      <c r="S477" s="190"/>
      <c r="T477" s="232" t="s">
        <v>822</v>
      </c>
      <c r="U477" s="152"/>
      <c r="V477" s="147"/>
      <c r="W477" s="147"/>
      <c r="X477" s="147"/>
    </row>
    <row r="478" spans="1:24">
      <c r="A478" s="163" t="s">
        <v>823</v>
      </c>
      <c r="B478" s="17"/>
      <c r="C478" s="164"/>
      <c r="D478" s="164"/>
      <c r="E478" s="164"/>
      <c r="F478" s="164"/>
      <c r="G478" s="164"/>
      <c r="H478" s="164"/>
      <c r="I478" s="164"/>
      <c r="J478" s="164"/>
      <c r="K478" s="165"/>
      <c r="L478" s="46"/>
      <c r="M478" s="46"/>
      <c r="N478" s="46"/>
      <c r="O478" s="46"/>
      <c r="P478" s="183"/>
      <c r="Q478" s="166"/>
      <c r="R478" s="164"/>
      <c r="S478" s="191"/>
      <c r="T478" s="232" t="s">
        <v>823</v>
      </c>
      <c r="U478" s="152"/>
      <c r="V478" s="147"/>
      <c r="W478" s="147"/>
      <c r="X478" s="147"/>
    </row>
    <row r="479" spans="1:24">
      <c r="A479" s="163" t="s">
        <v>824</v>
      </c>
      <c r="B479" s="17"/>
      <c r="C479" s="164"/>
      <c r="D479" s="164"/>
      <c r="E479" s="164"/>
      <c r="F479" s="164"/>
      <c r="G479" s="164"/>
      <c r="H479" s="164"/>
      <c r="I479" s="164"/>
      <c r="J479" s="164"/>
      <c r="K479" s="165"/>
      <c r="L479" s="46"/>
      <c r="M479" s="46"/>
      <c r="N479" s="46"/>
      <c r="O479" s="46"/>
      <c r="P479" s="183"/>
      <c r="Q479" s="166"/>
      <c r="R479" s="164"/>
      <c r="S479" s="191"/>
      <c r="T479" s="232" t="s">
        <v>824</v>
      </c>
      <c r="U479" s="152"/>
      <c r="V479" s="147"/>
      <c r="W479" s="147"/>
      <c r="X479" s="147"/>
    </row>
    <row r="480" spans="1:24">
      <c r="A480" s="163" t="s">
        <v>825</v>
      </c>
      <c r="B480" s="17"/>
      <c r="C480" s="164"/>
      <c r="D480" s="164"/>
      <c r="E480" s="164"/>
      <c r="F480" s="164"/>
      <c r="G480" s="164"/>
      <c r="H480" s="164"/>
      <c r="I480" s="164"/>
      <c r="J480" s="164"/>
      <c r="K480" s="165"/>
      <c r="L480" s="46"/>
      <c r="M480" s="46"/>
      <c r="N480" s="46"/>
      <c r="O480" s="46"/>
      <c r="P480" s="183"/>
      <c r="Q480" s="166"/>
      <c r="R480" s="164"/>
      <c r="S480" s="191"/>
      <c r="T480" s="232" t="s">
        <v>825</v>
      </c>
      <c r="U480" s="152"/>
      <c r="V480" s="147"/>
      <c r="W480" s="147"/>
      <c r="X480" s="147"/>
    </row>
    <row r="481" spans="1:24">
      <c r="A481" s="163" t="s">
        <v>826</v>
      </c>
      <c r="B481" s="17"/>
      <c r="C481" s="164"/>
      <c r="D481" s="164"/>
      <c r="E481" s="164"/>
      <c r="F481" s="164"/>
      <c r="G481" s="164"/>
      <c r="H481" s="164"/>
      <c r="I481" s="164"/>
      <c r="J481" s="164"/>
      <c r="K481" s="165"/>
      <c r="L481" s="46"/>
      <c r="M481" s="46"/>
      <c r="N481" s="46"/>
      <c r="O481" s="46"/>
      <c r="P481" s="183"/>
      <c r="Q481" s="166"/>
      <c r="R481" s="164"/>
      <c r="S481" s="191"/>
      <c r="T481" s="232" t="s">
        <v>826</v>
      </c>
      <c r="U481" s="152"/>
      <c r="V481" s="147"/>
      <c r="W481" s="147"/>
      <c r="X481" s="147"/>
    </row>
    <row r="482" spans="1:24">
      <c r="A482" s="163" t="s">
        <v>827</v>
      </c>
      <c r="B482" s="17"/>
      <c r="C482" s="164"/>
      <c r="D482" s="164"/>
      <c r="E482" s="164"/>
      <c r="F482" s="164"/>
      <c r="G482" s="164"/>
      <c r="H482" s="164"/>
      <c r="I482" s="164"/>
      <c r="J482" s="164"/>
      <c r="K482" s="165"/>
      <c r="L482" s="46"/>
      <c r="M482" s="46"/>
      <c r="N482" s="46"/>
      <c r="O482" s="46"/>
      <c r="P482" s="183"/>
      <c r="Q482" s="166"/>
      <c r="R482" s="164"/>
      <c r="S482" s="191"/>
      <c r="T482" s="232" t="s">
        <v>827</v>
      </c>
      <c r="U482" s="152"/>
      <c r="V482" s="147"/>
      <c r="W482" s="147"/>
      <c r="X482" s="147"/>
    </row>
    <row r="483" spans="1:24">
      <c r="A483" s="163" t="s">
        <v>821</v>
      </c>
      <c r="B483" s="17"/>
      <c r="C483" s="164"/>
      <c r="D483" s="164"/>
      <c r="E483" s="164"/>
      <c r="F483" s="164"/>
      <c r="G483" s="164"/>
      <c r="H483" s="164"/>
      <c r="I483" s="164"/>
      <c r="J483" s="164"/>
      <c r="K483" s="165"/>
      <c r="L483" s="46"/>
      <c r="M483" s="46"/>
      <c r="N483" s="46"/>
      <c r="O483" s="46"/>
      <c r="P483" s="183"/>
      <c r="Q483" s="166"/>
      <c r="R483" s="164"/>
      <c r="S483" s="191"/>
      <c r="T483" s="232" t="s">
        <v>821</v>
      </c>
      <c r="U483" s="152"/>
      <c r="V483" s="147"/>
      <c r="W483" s="147"/>
      <c r="X483" s="147"/>
    </row>
    <row r="484" spans="1:24">
      <c r="A484" s="163" t="s">
        <v>822</v>
      </c>
      <c r="B484" s="17"/>
      <c r="C484" s="164"/>
      <c r="D484" s="164"/>
      <c r="E484" s="164"/>
      <c r="F484" s="164"/>
      <c r="G484" s="164"/>
      <c r="H484" s="164"/>
      <c r="I484" s="164"/>
      <c r="J484" s="164"/>
      <c r="K484" s="165"/>
      <c r="L484" s="46"/>
      <c r="M484" s="46"/>
      <c r="N484" s="46"/>
      <c r="O484" s="46"/>
      <c r="P484" s="183"/>
      <c r="Q484" s="166"/>
      <c r="R484" s="164"/>
      <c r="S484" s="191"/>
      <c r="T484" s="232" t="s">
        <v>822</v>
      </c>
      <c r="U484" s="152"/>
      <c r="V484" s="147"/>
      <c r="W484" s="147"/>
      <c r="X484" s="147"/>
    </row>
    <row r="485" spans="1:24">
      <c r="A485" s="163" t="s">
        <v>823</v>
      </c>
      <c r="B485" s="17"/>
      <c r="C485" s="164"/>
      <c r="D485" s="164"/>
      <c r="E485" s="164"/>
      <c r="F485" s="164"/>
      <c r="G485" s="164"/>
      <c r="H485" s="164"/>
      <c r="I485" s="164"/>
      <c r="J485" s="164"/>
      <c r="K485" s="165"/>
      <c r="L485" s="46"/>
      <c r="M485" s="46"/>
      <c r="N485" s="46"/>
      <c r="O485" s="46"/>
      <c r="P485" s="183"/>
      <c r="Q485" s="166"/>
      <c r="R485" s="169"/>
      <c r="S485" s="194"/>
      <c r="T485" s="232" t="s">
        <v>823</v>
      </c>
      <c r="U485" s="152"/>
      <c r="V485" s="147"/>
      <c r="W485" s="147"/>
      <c r="X485" s="147"/>
    </row>
    <row r="486" spans="1:24">
      <c r="A486" s="163" t="s">
        <v>824</v>
      </c>
      <c r="B486" s="17"/>
      <c r="C486" s="164"/>
      <c r="D486" s="164"/>
      <c r="E486" s="164"/>
      <c r="F486" s="164"/>
      <c r="G486" s="164"/>
      <c r="H486" s="164"/>
      <c r="I486" s="164"/>
      <c r="J486" s="164"/>
      <c r="K486" s="165"/>
      <c r="L486" s="46"/>
      <c r="M486" s="46"/>
      <c r="N486" s="46"/>
      <c r="O486" s="46"/>
      <c r="P486" s="183"/>
      <c r="Q486" s="166"/>
      <c r="R486" s="169"/>
      <c r="S486" s="194"/>
      <c r="T486" s="232" t="s">
        <v>824</v>
      </c>
      <c r="U486" s="152"/>
      <c r="V486" s="147"/>
      <c r="W486" s="147"/>
      <c r="X486" s="147"/>
    </row>
    <row r="487" spans="1:24">
      <c r="A487" s="163" t="s">
        <v>825</v>
      </c>
      <c r="B487" s="17"/>
      <c r="C487" s="164"/>
      <c r="D487" s="164"/>
      <c r="E487" s="164"/>
      <c r="F487" s="164"/>
      <c r="G487" s="164"/>
      <c r="H487" s="164"/>
      <c r="I487" s="164"/>
      <c r="J487" s="164"/>
      <c r="K487" s="165"/>
      <c r="L487" s="46"/>
      <c r="M487" s="46"/>
      <c r="N487" s="46"/>
      <c r="O487" s="46"/>
      <c r="P487" s="183"/>
      <c r="Q487" s="166"/>
      <c r="R487" s="169"/>
      <c r="S487" s="194"/>
      <c r="T487" s="232" t="s">
        <v>825</v>
      </c>
      <c r="U487" s="152"/>
      <c r="V487" s="147"/>
      <c r="W487" s="147"/>
      <c r="X487" s="147"/>
    </row>
    <row r="488" spans="1:24">
      <c r="A488" s="163" t="s">
        <v>826</v>
      </c>
      <c r="B488" s="17"/>
      <c r="C488" s="164"/>
      <c r="D488" s="164"/>
      <c r="E488" s="164"/>
      <c r="F488" s="164"/>
      <c r="G488" s="164"/>
      <c r="H488" s="164"/>
      <c r="I488" s="164"/>
      <c r="J488" s="164"/>
      <c r="K488" s="165"/>
      <c r="L488" s="46"/>
      <c r="M488" s="46"/>
      <c r="N488" s="46"/>
      <c r="O488" s="46"/>
      <c r="P488" s="183"/>
      <c r="Q488" s="166"/>
      <c r="R488" s="169"/>
      <c r="S488" s="194"/>
      <c r="T488" s="232" t="s">
        <v>826</v>
      </c>
      <c r="U488" s="152"/>
      <c r="V488" s="147"/>
      <c r="W488" s="147"/>
      <c r="X488" s="147"/>
    </row>
    <row r="489" spans="1:24" ht="15.75" thickBot="1">
      <c r="A489" s="163" t="s">
        <v>827</v>
      </c>
      <c r="B489" s="17"/>
      <c r="C489" s="164"/>
      <c r="D489" s="164"/>
      <c r="E489" s="164"/>
      <c r="F489" s="164"/>
      <c r="G489" s="164"/>
      <c r="H489" s="164"/>
      <c r="I489" s="164"/>
      <c r="J489" s="164"/>
      <c r="K489" s="165"/>
      <c r="L489" s="46"/>
      <c r="M489" s="46"/>
      <c r="N489" s="46"/>
      <c r="O489" s="46"/>
      <c r="P489" s="183"/>
      <c r="Q489" s="166"/>
      <c r="R489" s="212"/>
      <c r="S489" s="194"/>
      <c r="T489" s="232" t="s">
        <v>827</v>
      </c>
      <c r="U489" s="152"/>
      <c r="V489" s="147"/>
      <c r="W489" s="147"/>
      <c r="X489" s="147"/>
    </row>
    <row r="490" spans="1:24" ht="16.5" thickBot="1">
      <c r="A490" s="195"/>
      <c r="B490" s="196">
        <f>SUM(C490:S490)+U490</f>
        <v>0</v>
      </c>
      <c r="C490" s="177">
        <f>SUM(C476:C489)</f>
        <v>0</v>
      </c>
      <c r="D490" s="177">
        <f>SUM(D476:D489)</f>
        <v>0</v>
      </c>
      <c r="E490" s="177">
        <f>SUM(E476:E489)</f>
        <v>0</v>
      </c>
      <c r="F490" s="177">
        <f>SUM(F476:F489)</f>
        <v>0</v>
      </c>
      <c r="G490" s="177">
        <f>SUM(G476:G489)</f>
        <v>0</v>
      </c>
      <c r="H490" s="177">
        <f t="shared" ref="H490:S490" si="46">SUM(H476:H489)</f>
        <v>0</v>
      </c>
      <c r="I490" s="177">
        <f t="shared" si="46"/>
        <v>0</v>
      </c>
      <c r="J490" s="177">
        <f t="shared" si="46"/>
        <v>0</v>
      </c>
      <c r="K490" s="177">
        <f t="shared" si="46"/>
        <v>0</v>
      </c>
      <c r="L490" s="197">
        <f t="shared" si="46"/>
        <v>0</v>
      </c>
      <c r="M490" s="197">
        <f t="shared" si="46"/>
        <v>0</v>
      </c>
      <c r="N490" s="197">
        <f t="shared" si="46"/>
        <v>0</v>
      </c>
      <c r="O490" s="197">
        <f t="shared" si="46"/>
        <v>0</v>
      </c>
      <c r="P490" s="197">
        <f t="shared" si="46"/>
        <v>0</v>
      </c>
      <c r="Q490" s="197">
        <f t="shared" si="46"/>
        <v>0</v>
      </c>
      <c r="R490" s="197">
        <f t="shared" si="46"/>
        <v>0</v>
      </c>
      <c r="S490" s="198">
        <f t="shared" si="46"/>
        <v>0</v>
      </c>
      <c r="T490" s="175" t="s">
        <v>791</v>
      </c>
      <c r="U490" s="176">
        <f>SUM(V490:X490)</f>
        <v>0</v>
      </c>
      <c r="V490" s="147">
        <f>SUM(V476:V489)</f>
        <v>0</v>
      </c>
      <c r="W490" s="147">
        <f>SUM(W476:W489)</f>
        <v>0</v>
      </c>
      <c r="X490" s="147">
        <f>SUM(X476:X489)</f>
        <v>0</v>
      </c>
    </row>
    <row r="491" spans="1:24" ht="15.75" thickBot="1">
      <c r="C491" s="65"/>
      <c r="D491" s="65"/>
      <c r="E491" s="65"/>
      <c r="F491" s="65"/>
      <c r="G491" s="65"/>
      <c r="H491" s="65"/>
      <c r="I491" s="65"/>
      <c r="J491" s="65"/>
      <c r="K491" s="65"/>
      <c r="L491" s="65"/>
      <c r="M491" s="65"/>
      <c r="N491" s="65"/>
      <c r="O491" s="65"/>
      <c r="P491" s="65"/>
      <c r="Q491" s="65"/>
      <c r="R491" s="65"/>
      <c r="S491" s="65"/>
    </row>
    <row r="492" spans="1:24" ht="15.75" thickBot="1">
      <c r="A492" s="1046" t="s">
        <v>1001</v>
      </c>
      <c r="B492" s="1047"/>
      <c r="C492" s="1047"/>
      <c r="D492" s="1047"/>
      <c r="E492" s="1047"/>
      <c r="F492" s="1047"/>
      <c r="G492" s="1047"/>
      <c r="H492" s="1047"/>
      <c r="I492" s="1047"/>
      <c r="J492" s="1047"/>
      <c r="K492" s="1047"/>
      <c r="L492" s="1047"/>
      <c r="M492" s="1047"/>
      <c r="N492" s="1047"/>
      <c r="O492" s="1047"/>
      <c r="P492" s="1047"/>
      <c r="Q492" s="1047"/>
      <c r="R492" s="1047"/>
      <c r="S492" s="1048"/>
      <c r="T492" s="1024" t="s">
        <v>820</v>
      </c>
      <c r="U492" s="1025"/>
      <c r="V492" s="1025"/>
      <c r="W492" s="1025"/>
      <c r="X492" s="1026"/>
    </row>
    <row r="493" spans="1:24" ht="68.25" customHeight="1">
      <c r="A493" s="155"/>
      <c r="B493" s="941"/>
      <c r="C493" s="936"/>
      <c r="D493" s="934"/>
      <c r="E493" s="934"/>
      <c r="F493" s="189"/>
      <c r="G493" s="189"/>
      <c r="H493" s="189"/>
      <c r="I493" s="189"/>
      <c r="J493" s="189"/>
      <c r="K493" s="213"/>
      <c r="L493" s="188"/>
      <c r="M493" s="188"/>
      <c r="N493" s="188"/>
      <c r="O493" s="188"/>
      <c r="P493" s="206"/>
      <c r="Q493" s="207"/>
      <c r="R493" s="189"/>
      <c r="S493" s="190"/>
      <c r="T493" s="228"/>
      <c r="U493" s="247"/>
      <c r="V493" s="369"/>
      <c r="W493" s="369"/>
      <c r="X493" s="369"/>
    </row>
    <row r="494" spans="1:24">
      <c r="A494" s="163" t="s">
        <v>821</v>
      </c>
      <c r="B494" s="17"/>
      <c r="C494" s="164"/>
      <c r="D494" s="164"/>
      <c r="E494" s="164"/>
      <c r="F494" s="164"/>
      <c r="G494" s="164"/>
      <c r="H494" s="164"/>
      <c r="I494" s="164"/>
      <c r="J494" s="164"/>
      <c r="K494" s="165"/>
      <c r="L494" s="46"/>
      <c r="M494" s="46"/>
      <c r="N494" s="46"/>
      <c r="O494" s="46"/>
      <c r="P494" s="183"/>
      <c r="Q494" s="166"/>
      <c r="R494" s="168"/>
      <c r="S494" s="184"/>
      <c r="T494" s="232" t="s">
        <v>821</v>
      </c>
      <c r="U494" s="152"/>
      <c r="V494" s="147"/>
      <c r="W494" s="147"/>
      <c r="X494" s="147"/>
    </row>
    <row r="495" spans="1:24">
      <c r="A495" s="163" t="s">
        <v>822</v>
      </c>
      <c r="B495" s="17"/>
      <c r="C495" s="164"/>
      <c r="D495" s="164"/>
      <c r="E495" s="164"/>
      <c r="F495" s="164"/>
      <c r="G495" s="164"/>
      <c r="H495" s="164"/>
      <c r="I495" s="164"/>
      <c r="J495" s="164"/>
      <c r="K495" s="165"/>
      <c r="L495" s="46"/>
      <c r="M495" s="46"/>
      <c r="N495" s="46"/>
      <c r="O495" s="46"/>
      <c r="P495" s="183"/>
      <c r="Q495" s="166"/>
      <c r="R495" s="189"/>
      <c r="S495" s="190"/>
      <c r="T495" s="232" t="s">
        <v>822</v>
      </c>
      <c r="U495" s="152"/>
      <c r="V495" s="147"/>
      <c r="W495" s="147"/>
      <c r="X495" s="147"/>
    </row>
    <row r="496" spans="1:24">
      <c r="A496" s="163" t="s">
        <v>823</v>
      </c>
      <c r="B496" s="17"/>
      <c r="C496" s="164"/>
      <c r="D496" s="164"/>
      <c r="E496" s="164"/>
      <c r="F496" s="164"/>
      <c r="G496" s="164"/>
      <c r="H496" s="164"/>
      <c r="I496" s="164"/>
      <c r="J496" s="164"/>
      <c r="K496" s="165"/>
      <c r="L496" s="46"/>
      <c r="M496" s="46"/>
      <c r="N496" s="46"/>
      <c r="O496" s="46"/>
      <c r="P496" s="183"/>
      <c r="Q496" s="166"/>
      <c r="R496" s="164"/>
      <c r="S496" s="191"/>
      <c r="T496" s="232" t="s">
        <v>823</v>
      </c>
      <c r="U496" s="152"/>
      <c r="V496" s="147"/>
      <c r="W496" s="147"/>
      <c r="X496" s="147"/>
    </row>
    <row r="497" spans="1:24">
      <c r="A497" s="163" t="s">
        <v>824</v>
      </c>
      <c r="B497" s="17"/>
      <c r="C497" s="164"/>
      <c r="D497" s="164"/>
      <c r="E497" s="164"/>
      <c r="F497" s="164"/>
      <c r="G497" s="164"/>
      <c r="H497" s="164"/>
      <c r="I497" s="164"/>
      <c r="J497" s="164"/>
      <c r="K497" s="165"/>
      <c r="L497" s="46"/>
      <c r="M497" s="46"/>
      <c r="N497" s="46"/>
      <c r="O497" s="46"/>
      <c r="P497" s="183"/>
      <c r="Q497" s="166"/>
      <c r="R497" s="164"/>
      <c r="S497" s="191"/>
      <c r="T497" s="232" t="s">
        <v>824</v>
      </c>
      <c r="U497" s="152"/>
      <c r="V497" s="147"/>
      <c r="W497" s="147"/>
      <c r="X497" s="147"/>
    </row>
    <row r="498" spans="1:24">
      <c r="A498" s="163" t="s">
        <v>825</v>
      </c>
      <c r="B498" s="17"/>
      <c r="C498" s="164"/>
      <c r="D498" s="164"/>
      <c r="E498" s="164"/>
      <c r="F498" s="164"/>
      <c r="G498" s="164"/>
      <c r="H498" s="164"/>
      <c r="I498" s="164"/>
      <c r="J498" s="164"/>
      <c r="K498" s="165"/>
      <c r="L498" s="46"/>
      <c r="M498" s="46"/>
      <c r="N498" s="46"/>
      <c r="O498" s="46"/>
      <c r="P498" s="183"/>
      <c r="Q498" s="166"/>
      <c r="R498" s="164"/>
      <c r="S498" s="191"/>
      <c r="T498" s="232" t="s">
        <v>825</v>
      </c>
      <c r="U498" s="152"/>
      <c r="V498" s="147"/>
      <c r="W498" s="147"/>
      <c r="X498" s="147"/>
    </row>
    <row r="499" spans="1:24">
      <c r="A499" s="163" t="s">
        <v>826</v>
      </c>
      <c r="B499" s="17"/>
      <c r="C499" s="164"/>
      <c r="D499" s="164"/>
      <c r="E499" s="164"/>
      <c r="F499" s="164"/>
      <c r="G499" s="164"/>
      <c r="H499" s="164"/>
      <c r="I499" s="164"/>
      <c r="J499" s="164"/>
      <c r="K499" s="165"/>
      <c r="L499" s="46"/>
      <c r="M499" s="46"/>
      <c r="N499" s="46"/>
      <c r="O499" s="46"/>
      <c r="P499" s="183"/>
      <c r="Q499" s="166"/>
      <c r="R499" s="164"/>
      <c r="S499" s="191"/>
      <c r="T499" s="232" t="s">
        <v>826</v>
      </c>
      <c r="U499" s="152"/>
      <c r="V499" s="147"/>
      <c r="W499" s="147"/>
      <c r="X499" s="147"/>
    </row>
    <row r="500" spans="1:24">
      <c r="A500" s="163" t="s">
        <v>827</v>
      </c>
      <c r="B500" s="17"/>
      <c r="C500" s="164"/>
      <c r="D500" s="164"/>
      <c r="E500" s="164"/>
      <c r="F500" s="164"/>
      <c r="G500" s="164"/>
      <c r="H500" s="164"/>
      <c r="I500" s="164"/>
      <c r="J500" s="164"/>
      <c r="K500" s="165"/>
      <c r="L500" s="46"/>
      <c r="M500" s="46"/>
      <c r="N500" s="46"/>
      <c r="O500" s="46"/>
      <c r="P500" s="183"/>
      <c r="Q500" s="166"/>
      <c r="R500" s="164"/>
      <c r="S500" s="191"/>
      <c r="T500" s="232" t="s">
        <v>827</v>
      </c>
      <c r="U500" s="152"/>
      <c r="V500" s="147"/>
      <c r="W500" s="147"/>
      <c r="X500" s="147"/>
    </row>
    <row r="501" spans="1:24">
      <c r="A501" s="163" t="s">
        <v>821</v>
      </c>
      <c r="B501" s="17"/>
      <c r="C501" s="164"/>
      <c r="D501" s="164"/>
      <c r="E501" s="164"/>
      <c r="F501" s="164"/>
      <c r="G501" s="164"/>
      <c r="H501" s="164"/>
      <c r="I501" s="164"/>
      <c r="J501" s="164"/>
      <c r="K501" s="165"/>
      <c r="L501" s="46"/>
      <c r="M501" s="46"/>
      <c r="N501" s="46"/>
      <c r="O501" s="46"/>
      <c r="P501" s="183"/>
      <c r="Q501" s="166"/>
      <c r="R501" s="164"/>
      <c r="S501" s="191"/>
      <c r="T501" s="232" t="s">
        <v>821</v>
      </c>
      <c r="U501" s="152"/>
      <c r="V501" s="147"/>
      <c r="W501" s="147"/>
      <c r="X501" s="147"/>
    </row>
    <row r="502" spans="1:24">
      <c r="A502" s="163" t="s">
        <v>822</v>
      </c>
      <c r="B502" s="17"/>
      <c r="C502" s="164"/>
      <c r="D502" s="164"/>
      <c r="E502" s="164"/>
      <c r="F502" s="164"/>
      <c r="G502" s="164"/>
      <c r="H502" s="164"/>
      <c r="I502" s="164"/>
      <c r="J502" s="164"/>
      <c r="K502" s="165"/>
      <c r="L502" s="46"/>
      <c r="M502" s="46"/>
      <c r="N502" s="46"/>
      <c r="O502" s="46"/>
      <c r="P502" s="183"/>
      <c r="Q502" s="166"/>
      <c r="R502" s="164"/>
      <c r="S502" s="191"/>
      <c r="T502" s="232" t="s">
        <v>822</v>
      </c>
      <c r="U502" s="152"/>
      <c r="V502" s="147"/>
      <c r="W502" s="147"/>
      <c r="X502" s="147"/>
    </row>
    <row r="503" spans="1:24">
      <c r="A503" s="163" t="s">
        <v>823</v>
      </c>
      <c r="B503" s="17"/>
      <c r="C503" s="164"/>
      <c r="D503" s="164"/>
      <c r="E503" s="164"/>
      <c r="F503" s="164"/>
      <c r="G503" s="164"/>
      <c r="H503" s="164"/>
      <c r="I503" s="164"/>
      <c r="J503" s="164"/>
      <c r="K503" s="165"/>
      <c r="L503" s="46"/>
      <c r="M503" s="46"/>
      <c r="N503" s="46"/>
      <c r="O503" s="46"/>
      <c r="P503" s="183"/>
      <c r="Q503" s="166"/>
      <c r="R503" s="169"/>
      <c r="S503" s="194"/>
      <c r="T503" s="232" t="s">
        <v>823</v>
      </c>
      <c r="U503" s="152"/>
      <c r="V503" s="147"/>
      <c r="W503" s="147"/>
      <c r="X503" s="147"/>
    </row>
    <row r="504" spans="1:24">
      <c r="A504" s="163" t="s">
        <v>824</v>
      </c>
      <c r="B504" s="17"/>
      <c r="C504" s="164"/>
      <c r="D504" s="164"/>
      <c r="E504" s="164"/>
      <c r="F504" s="164"/>
      <c r="G504" s="164"/>
      <c r="H504" s="164"/>
      <c r="I504" s="164"/>
      <c r="J504" s="164"/>
      <c r="K504" s="165"/>
      <c r="L504" s="46"/>
      <c r="M504" s="46"/>
      <c r="N504" s="46"/>
      <c r="O504" s="46"/>
      <c r="P504" s="183"/>
      <c r="Q504" s="166"/>
      <c r="R504" s="169"/>
      <c r="S504" s="194"/>
      <c r="T504" s="232" t="s">
        <v>824</v>
      </c>
      <c r="U504" s="152"/>
      <c r="V504" s="147"/>
      <c r="W504" s="147"/>
      <c r="X504" s="147"/>
    </row>
    <row r="505" spans="1:24">
      <c r="A505" s="163" t="s">
        <v>825</v>
      </c>
      <c r="B505" s="17"/>
      <c r="C505" s="164"/>
      <c r="D505" s="164"/>
      <c r="E505" s="164"/>
      <c r="F505" s="164"/>
      <c r="G505" s="164"/>
      <c r="H505" s="164"/>
      <c r="I505" s="164"/>
      <c r="J505" s="164"/>
      <c r="K505" s="165"/>
      <c r="L505" s="46"/>
      <c r="M505" s="46"/>
      <c r="N505" s="46"/>
      <c r="O505" s="46"/>
      <c r="P505" s="183"/>
      <c r="Q505" s="166"/>
      <c r="R505" s="169"/>
      <c r="S505" s="194"/>
      <c r="T505" s="232" t="s">
        <v>825</v>
      </c>
      <c r="U505" s="152"/>
      <c r="V505" s="147"/>
      <c r="W505" s="147"/>
      <c r="X505" s="147"/>
    </row>
    <row r="506" spans="1:24">
      <c r="A506" s="163" t="s">
        <v>826</v>
      </c>
      <c r="B506" s="17"/>
      <c r="C506" s="164"/>
      <c r="D506" s="164"/>
      <c r="E506" s="164"/>
      <c r="F506" s="164"/>
      <c r="G506" s="164"/>
      <c r="H506" s="164"/>
      <c r="I506" s="164"/>
      <c r="J506" s="164"/>
      <c r="K506" s="165"/>
      <c r="L506" s="46"/>
      <c r="M506" s="46"/>
      <c r="N506" s="46"/>
      <c r="O506" s="46"/>
      <c r="P506" s="183"/>
      <c r="Q506" s="166"/>
      <c r="R506" s="169"/>
      <c r="S506" s="194"/>
      <c r="T506" s="232" t="s">
        <v>826</v>
      </c>
      <c r="U506" s="152"/>
      <c r="V506" s="147"/>
      <c r="W506" s="147"/>
      <c r="X506" s="147"/>
    </row>
    <row r="507" spans="1:24" ht="15.75" thickBot="1">
      <c r="A507" s="163" t="s">
        <v>827</v>
      </c>
      <c r="B507" s="17"/>
      <c r="C507" s="164"/>
      <c r="D507" s="164"/>
      <c r="E507" s="164"/>
      <c r="F507" s="164"/>
      <c r="G507" s="164"/>
      <c r="H507" s="164"/>
      <c r="I507" s="164"/>
      <c r="J507" s="164"/>
      <c r="K507" s="165"/>
      <c r="L507" s="46"/>
      <c r="M507" s="46"/>
      <c r="N507" s="46"/>
      <c r="O507" s="46"/>
      <c r="P507" s="183"/>
      <c r="Q507" s="166"/>
      <c r="R507" s="212"/>
      <c r="S507" s="194"/>
      <c r="T507" s="232" t="s">
        <v>827</v>
      </c>
      <c r="U507" s="152"/>
      <c r="V507" s="147"/>
      <c r="W507" s="147"/>
      <c r="X507" s="147"/>
    </row>
    <row r="508" spans="1:24" ht="16.5" thickBot="1">
      <c r="A508" s="195"/>
      <c r="B508" s="196">
        <f>SUM(C508:S508)+U508</f>
        <v>0</v>
      </c>
      <c r="C508" s="177">
        <f>SUM(C494:C507)</f>
        <v>0</v>
      </c>
      <c r="D508" s="177">
        <f>SUM(D494:D507)</f>
        <v>0</v>
      </c>
      <c r="E508" s="177">
        <f>SUM(E494:E507)</f>
        <v>0</v>
      </c>
      <c r="F508" s="177">
        <f>SUM(F494:F507)</f>
        <v>0</v>
      </c>
      <c r="G508" s="177">
        <f>SUM(G494:G507)</f>
        <v>0</v>
      </c>
      <c r="H508" s="177">
        <f t="shared" ref="H508:S508" si="47">SUM(H494:H507)</f>
        <v>0</v>
      </c>
      <c r="I508" s="177">
        <f t="shared" si="47"/>
        <v>0</v>
      </c>
      <c r="J508" s="177">
        <f t="shared" si="47"/>
        <v>0</v>
      </c>
      <c r="K508" s="177">
        <f t="shared" si="47"/>
        <v>0</v>
      </c>
      <c r="L508" s="197">
        <f t="shared" si="47"/>
        <v>0</v>
      </c>
      <c r="M508" s="197">
        <f t="shared" si="47"/>
        <v>0</v>
      </c>
      <c r="N508" s="197">
        <f t="shared" si="47"/>
        <v>0</v>
      </c>
      <c r="O508" s="197">
        <f t="shared" si="47"/>
        <v>0</v>
      </c>
      <c r="P508" s="197">
        <f t="shared" si="47"/>
        <v>0</v>
      </c>
      <c r="Q508" s="197">
        <f t="shared" si="47"/>
        <v>0</v>
      </c>
      <c r="R508" s="197">
        <f t="shared" si="47"/>
        <v>0</v>
      </c>
      <c r="S508" s="198">
        <f t="shared" si="47"/>
        <v>0</v>
      </c>
      <c r="T508" s="175" t="s">
        <v>791</v>
      </c>
      <c r="U508" s="176">
        <f>SUM(V508:X508)</f>
        <v>0</v>
      </c>
      <c r="V508" s="147">
        <f>SUM(V494:V507)</f>
        <v>0</v>
      </c>
      <c r="W508" s="147">
        <f>SUM(W494:W507)</f>
        <v>0</v>
      </c>
      <c r="X508" s="147">
        <f>SUM(X494:X507)</f>
        <v>0</v>
      </c>
    </row>
    <row r="509" spans="1:24" ht="15.75" thickBot="1"/>
    <row r="510" spans="1:24" ht="15.75" thickBot="1">
      <c r="A510" s="1046" t="s">
        <v>687</v>
      </c>
      <c r="B510" s="1047"/>
      <c r="C510" s="1047"/>
      <c r="D510" s="1047"/>
      <c r="E510" s="1047"/>
      <c r="F510" s="1047"/>
      <c r="G510" s="1047"/>
      <c r="H510" s="1047"/>
      <c r="I510" s="1047"/>
      <c r="J510" s="1047"/>
      <c r="K510" s="1047"/>
      <c r="L510" s="1047"/>
      <c r="M510" s="1047"/>
      <c r="N510" s="1047"/>
      <c r="O510" s="1047"/>
      <c r="P510" s="1047"/>
      <c r="Q510" s="1047"/>
      <c r="R510" s="1047"/>
      <c r="S510" s="1048"/>
      <c r="T510" s="1024" t="s">
        <v>820</v>
      </c>
      <c r="U510" s="1025"/>
      <c r="V510" s="1025"/>
      <c r="W510" s="1025"/>
      <c r="X510" s="1026"/>
    </row>
    <row r="511" spans="1:24" ht="60.75" customHeight="1">
      <c r="A511" s="155"/>
      <c r="B511" s="941"/>
      <c r="C511" s="199"/>
      <c r="D511" s="189"/>
      <c r="E511" s="189"/>
      <c r="F511" s="189"/>
      <c r="G511" s="189"/>
      <c r="H511" s="189"/>
      <c r="I511" s="189"/>
      <c r="J511" s="189"/>
      <c r="K511" s="213"/>
      <c r="L511" s="188"/>
      <c r="M511" s="188"/>
      <c r="N511" s="188"/>
      <c r="O511" s="188"/>
      <c r="P511" s="206"/>
      <c r="Q511" s="207"/>
      <c r="R511" s="189"/>
      <c r="S511" s="190"/>
      <c r="T511" s="228"/>
      <c r="U511" s="247"/>
      <c r="V511" s="369"/>
      <c r="W511" s="369"/>
      <c r="X511" s="369"/>
    </row>
    <row r="512" spans="1:24">
      <c r="A512" s="163" t="s">
        <v>821</v>
      </c>
      <c r="B512" s="17"/>
      <c r="C512" s="164"/>
      <c r="D512" s="164"/>
      <c r="E512" s="164"/>
      <c r="F512" s="164"/>
      <c r="G512" s="164"/>
      <c r="H512" s="164"/>
      <c r="I512" s="164"/>
      <c r="J512" s="164"/>
      <c r="K512" s="165"/>
      <c r="L512" s="46"/>
      <c r="M512" s="46"/>
      <c r="N512" s="46"/>
      <c r="O512" s="46"/>
      <c r="P512" s="183"/>
      <c r="Q512" s="166"/>
      <c r="R512" s="168"/>
      <c r="S512" s="184"/>
      <c r="T512" s="232" t="s">
        <v>821</v>
      </c>
      <c r="U512" s="152"/>
      <c r="V512" s="147"/>
      <c r="W512" s="147"/>
      <c r="X512" s="147"/>
    </row>
    <row r="513" spans="1:24">
      <c r="A513" s="163" t="s">
        <v>822</v>
      </c>
      <c r="B513" s="17"/>
      <c r="C513" s="164"/>
      <c r="D513" s="164"/>
      <c r="E513" s="164"/>
      <c r="F513" s="164"/>
      <c r="G513" s="164"/>
      <c r="H513" s="164"/>
      <c r="I513" s="164"/>
      <c r="J513" s="164"/>
      <c r="K513" s="165"/>
      <c r="L513" s="46"/>
      <c r="M513" s="46"/>
      <c r="N513" s="46"/>
      <c r="O513" s="46"/>
      <c r="P513" s="183"/>
      <c r="Q513" s="166"/>
      <c r="R513" s="189"/>
      <c r="S513" s="190"/>
      <c r="T513" s="232" t="s">
        <v>822</v>
      </c>
      <c r="U513" s="152"/>
      <c r="V513" s="147"/>
      <c r="W513" s="147"/>
      <c r="X513" s="147"/>
    </row>
    <row r="514" spans="1:24">
      <c r="A514" s="163" t="s">
        <v>823</v>
      </c>
      <c r="B514" s="17"/>
      <c r="C514" s="164"/>
      <c r="D514" s="164"/>
      <c r="E514" s="164"/>
      <c r="F514" s="164"/>
      <c r="G514" s="164"/>
      <c r="H514" s="164"/>
      <c r="I514" s="164"/>
      <c r="J514" s="164"/>
      <c r="K514" s="165"/>
      <c r="L514" s="46"/>
      <c r="M514" s="46"/>
      <c r="N514" s="46"/>
      <c r="O514" s="46"/>
      <c r="P514" s="183"/>
      <c r="Q514" s="166"/>
      <c r="R514" s="164"/>
      <c r="S514" s="191"/>
      <c r="T514" s="232" t="s">
        <v>823</v>
      </c>
      <c r="U514" s="152"/>
      <c r="V514" s="147"/>
      <c r="W514" s="147"/>
      <c r="X514" s="147"/>
    </row>
    <row r="515" spans="1:24">
      <c r="A515" s="163" t="s">
        <v>824</v>
      </c>
      <c r="B515" s="17"/>
      <c r="C515" s="164"/>
      <c r="D515" s="164"/>
      <c r="E515" s="164"/>
      <c r="F515" s="164"/>
      <c r="G515" s="164"/>
      <c r="H515" s="164"/>
      <c r="I515" s="164"/>
      <c r="J515" s="164"/>
      <c r="K515" s="165"/>
      <c r="L515" s="46"/>
      <c r="M515" s="46"/>
      <c r="N515" s="46"/>
      <c r="O515" s="46"/>
      <c r="P515" s="183"/>
      <c r="Q515" s="166"/>
      <c r="R515" s="164"/>
      <c r="S515" s="191"/>
      <c r="T515" s="232" t="s">
        <v>824</v>
      </c>
      <c r="U515" s="152"/>
      <c r="V515" s="147"/>
      <c r="W515" s="147"/>
      <c r="X515" s="147"/>
    </row>
    <row r="516" spans="1:24">
      <c r="A516" s="163" t="s">
        <v>825</v>
      </c>
      <c r="B516" s="17"/>
      <c r="C516" s="164"/>
      <c r="D516" s="164"/>
      <c r="E516" s="164"/>
      <c r="F516" s="164"/>
      <c r="G516" s="164"/>
      <c r="H516" s="164"/>
      <c r="I516" s="164"/>
      <c r="J516" s="164"/>
      <c r="K516" s="165"/>
      <c r="L516" s="46"/>
      <c r="M516" s="46"/>
      <c r="N516" s="46"/>
      <c r="O516" s="46"/>
      <c r="P516" s="183"/>
      <c r="Q516" s="166"/>
      <c r="R516" s="164"/>
      <c r="S516" s="191"/>
      <c r="T516" s="232" t="s">
        <v>825</v>
      </c>
      <c r="U516" s="152"/>
      <c r="V516" s="147"/>
      <c r="W516" s="147"/>
      <c r="X516" s="147"/>
    </row>
    <row r="517" spans="1:24">
      <c r="A517" s="163" t="s">
        <v>826</v>
      </c>
      <c r="B517" s="17"/>
      <c r="C517" s="164"/>
      <c r="D517" s="164"/>
      <c r="E517" s="164"/>
      <c r="F517" s="164"/>
      <c r="G517" s="164"/>
      <c r="H517" s="164"/>
      <c r="I517" s="164"/>
      <c r="J517" s="164"/>
      <c r="K517" s="165"/>
      <c r="L517" s="46"/>
      <c r="M517" s="46"/>
      <c r="N517" s="46"/>
      <c r="O517" s="46"/>
      <c r="P517" s="183"/>
      <c r="Q517" s="166"/>
      <c r="R517" s="164"/>
      <c r="S517" s="191"/>
      <c r="T517" s="232" t="s">
        <v>826</v>
      </c>
      <c r="U517" s="152"/>
      <c r="V517" s="147"/>
      <c r="W517" s="147"/>
      <c r="X517" s="147"/>
    </row>
    <row r="518" spans="1:24">
      <c r="A518" s="163" t="s">
        <v>827</v>
      </c>
      <c r="B518" s="17"/>
      <c r="C518" s="164"/>
      <c r="D518" s="164"/>
      <c r="E518" s="164"/>
      <c r="F518" s="164"/>
      <c r="G518" s="164"/>
      <c r="H518" s="164"/>
      <c r="I518" s="164"/>
      <c r="J518" s="164"/>
      <c r="K518" s="165"/>
      <c r="L518" s="46"/>
      <c r="M518" s="46"/>
      <c r="N518" s="46"/>
      <c r="O518" s="46"/>
      <c r="P518" s="183"/>
      <c r="Q518" s="166"/>
      <c r="R518" s="164"/>
      <c r="S518" s="191"/>
      <c r="T518" s="232" t="s">
        <v>827</v>
      </c>
      <c r="U518" s="152"/>
      <c r="V518" s="147"/>
      <c r="W518" s="147"/>
      <c r="X518" s="147"/>
    </row>
    <row r="519" spans="1:24">
      <c r="A519" s="163" t="s">
        <v>821</v>
      </c>
      <c r="B519" s="17"/>
      <c r="C519" s="164"/>
      <c r="D519" s="164"/>
      <c r="E519" s="164"/>
      <c r="F519" s="164"/>
      <c r="G519" s="164"/>
      <c r="H519" s="164"/>
      <c r="I519" s="164"/>
      <c r="J519" s="164"/>
      <c r="K519" s="165"/>
      <c r="L519" s="46"/>
      <c r="M519" s="46"/>
      <c r="N519" s="46"/>
      <c r="O519" s="46"/>
      <c r="P519" s="183"/>
      <c r="Q519" s="166"/>
      <c r="R519" s="164"/>
      <c r="S519" s="191"/>
      <c r="T519" s="232" t="s">
        <v>821</v>
      </c>
      <c r="U519" s="152"/>
      <c r="V519" s="147"/>
      <c r="W519" s="147"/>
      <c r="X519" s="147"/>
    </row>
    <row r="520" spans="1:24">
      <c r="A520" s="163" t="s">
        <v>822</v>
      </c>
      <c r="B520" s="17"/>
      <c r="C520" s="164"/>
      <c r="D520" s="164"/>
      <c r="E520" s="164"/>
      <c r="F520" s="164"/>
      <c r="G520" s="164"/>
      <c r="H520" s="164"/>
      <c r="I520" s="164"/>
      <c r="J520" s="164"/>
      <c r="K520" s="165"/>
      <c r="L520" s="46"/>
      <c r="M520" s="46"/>
      <c r="N520" s="46"/>
      <c r="O520" s="46"/>
      <c r="P520" s="183"/>
      <c r="Q520" s="166"/>
      <c r="R520" s="164"/>
      <c r="S520" s="191"/>
      <c r="T520" s="232" t="s">
        <v>822</v>
      </c>
      <c r="U520" s="152"/>
      <c r="V520" s="147"/>
      <c r="W520" s="147"/>
      <c r="X520" s="147"/>
    </row>
    <row r="521" spans="1:24">
      <c r="A521" s="163" t="s">
        <v>823</v>
      </c>
      <c r="B521" s="17"/>
      <c r="C521" s="164"/>
      <c r="D521" s="164"/>
      <c r="E521" s="164"/>
      <c r="F521" s="164"/>
      <c r="G521" s="164"/>
      <c r="H521" s="164"/>
      <c r="I521" s="164"/>
      <c r="J521" s="164"/>
      <c r="K521" s="165"/>
      <c r="L521" s="46"/>
      <c r="M521" s="46"/>
      <c r="N521" s="46"/>
      <c r="O521" s="46"/>
      <c r="P521" s="183"/>
      <c r="Q521" s="166"/>
      <c r="R521" s="169"/>
      <c r="S521" s="194"/>
      <c r="T521" s="232" t="s">
        <v>823</v>
      </c>
      <c r="U521" s="152"/>
      <c r="V521" s="147"/>
      <c r="W521" s="147"/>
      <c r="X521" s="147"/>
    </row>
    <row r="522" spans="1:24">
      <c r="A522" s="163" t="s">
        <v>824</v>
      </c>
      <c r="B522" s="17"/>
      <c r="C522" s="164"/>
      <c r="D522" s="164"/>
      <c r="E522" s="164"/>
      <c r="F522" s="164"/>
      <c r="G522" s="164"/>
      <c r="H522" s="164"/>
      <c r="I522" s="164"/>
      <c r="J522" s="164"/>
      <c r="K522" s="165"/>
      <c r="L522" s="46"/>
      <c r="M522" s="46"/>
      <c r="N522" s="46"/>
      <c r="O522" s="46"/>
      <c r="P522" s="183"/>
      <c r="Q522" s="166"/>
      <c r="R522" s="169"/>
      <c r="S522" s="194"/>
      <c r="T522" s="232" t="s">
        <v>824</v>
      </c>
      <c r="U522" s="152"/>
      <c r="V522" s="147"/>
      <c r="W522" s="147"/>
      <c r="X522" s="147"/>
    </row>
    <row r="523" spans="1:24">
      <c r="A523" s="163" t="s">
        <v>825</v>
      </c>
      <c r="B523" s="17"/>
      <c r="C523" s="164"/>
      <c r="D523" s="164"/>
      <c r="E523" s="164"/>
      <c r="F523" s="164"/>
      <c r="G523" s="164"/>
      <c r="H523" s="164"/>
      <c r="I523" s="164"/>
      <c r="J523" s="164"/>
      <c r="K523" s="165"/>
      <c r="L523" s="46"/>
      <c r="M523" s="46"/>
      <c r="N523" s="46"/>
      <c r="O523" s="46"/>
      <c r="P523" s="183"/>
      <c r="Q523" s="166"/>
      <c r="R523" s="169"/>
      <c r="S523" s="194"/>
      <c r="T523" s="232" t="s">
        <v>825</v>
      </c>
      <c r="U523" s="152"/>
      <c r="V523" s="147"/>
      <c r="W523" s="147"/>
      <c r="X523" s="147"/>
    </row>
    <row r="524" spans="1:24">
      <c r="A524" s="163" t="s">
        <v>826</v>
      </c>
      <c r="B524" s="17"/>
      <c r="C524" s="164"/>
      <c r="D524" s="164"/>
      <c r="E524" s="164"/>
      <c r="F524" s="164"/>
      <c r="G524" s="164"/>
      <c r="H524" s="164"/>
      <c r="I524" s="164"/>
      <c r="J524" s="164"/>
      <c r="K524" s="165"/>
      <c r="L524" s="46"/>
      <c r="M524" s="46"/>
      <c r="N524" s="46"/>
      <c r="O524" s="46"/>
      <c r="P524" s="183"/>
      <c r="Q524" s="166"/>
      <c r="R524" s="169"/>
      <c r="S524" s="194"/>
      <c r="T524" s="232" t="s">
        <v>826</v>
      </c>
      <c r="U524" s="152"/>
      <c r="V524" s="147"/>
      <c r="W524" s="147"/>
      <c r="X524" s="147"/>
    </row>
    <row r="525" spans="1:24" ht="15.75" thickBot="1">
      <c r="A525" s="163" t="s">
        <v>827</v>
      </c>
      <c r="B525" s="17"/>
      <c r="C525" s="164"/>
      <c r="D525" s="164"/>
      <c r="E525" s="164"/>
      <c r="F525" s="164"/>
      <c r="G525" s="164"/>
      <c r="H525" s="164"/>
      <c r="I525" s="164"/>
      <c r="J525" s="164"/>
      <c r="K525" s="165"/>
      <c r="L525" s="46"/>
      <c r="M525" s="46"/>
      <c r="N525" s="46"/>
      <c r="O525" s="46"/>
      <c r="P525" s="183"/>
      <c r="Q525" s="166"/>
      <c r="R525" s="212"/>
      <c r="S525" s="194"/>
      <c r="T525" s="232" t="s">
        <v>827</v>
      </c>
      <c r="U525" s="152"/>
      <c r="V525" s="147"/>
      <c r="W525" s="147"/>
      <c r="X525" s="147"/>
    </row>
    <row r="526" spans="1:24" ht="16.5" thickBot="1">
      <c r="A526" s="195"/>
      <c r="B526" s="196">
        <f>SUM(C526:S526)+U526</f>
        <v>0</v>
      </c>
      <c r="C526" s="177">
        <f>SUM(C512:C525)</f>
        <v>0</v>
      </c>
      <c r="D526" s="177">
        <f>SUM(D512:D525)</f>
        <v>0</v>
      </c>
      <c r="E526" s="177">
        <f>SUM(E512:E525)</f>
        <v>0</v>
      </c>
      <c r="F526" s="177">
        <f>SUM(F512:F525)</f>
        <v>0</v>
      </c>
      <c r="G526" s="177">
        <f>SUM(G512:G525)</f>
        <v>0</v>
      </c>
      <c r="H526" s="177">
        <f t="shared" ref="H526:S526" si="48">SUM(H512:H525)</f>
        <v>0</v>
      </c>
      <c r="I526" s="177">
        <f t="shared" si="48"/>
        <v>0</v>
      </c>
      <c r="J526" s="177">
        <f t="shared" si="48"/>
        <v>0</v>
      </c>
      <c r="K526" s="177">
        <f t="shared" si="48"/>
        <v>0</v>
      </c>
      <c r="L526" s="197">
        <f t="shared" si="48"/>
        <v>0</v>
      </c>
      <c r="M526" s="197">
        <f t="shared" si="48"/>
        <v>0</v>
      </c>
      <c r="N526" s="197">
        <f t="shared" si="48"/>
        <v>0</v>
      </c>
      <c r="O526" s="197">
        <f t="shared" si="48"/>
        <v>0</v>
      </c>
      <c r="P526" s="197">
        <f t="shared" si="48"/>
        <v>0</v>
      </c>
      <c r="Q526" s="197">
        <f t="shared" si="48"/>
        <v>0</v>
      </c>
      <c r="R526" s="197">
        <f t="shared" si="48"/>
        <v>0</v>
      </c>
      <c r="S526" s="198">
        <f t="shared" si="48"/>
        <v>0</v>
      </c>
      <c r="T526" s="175" t="s">
        <v>791</v>
      </c>
      <c r="U526" s="176">
        <f>SUM(V526:X526)</f>
        <v>0</v>
      </c>
      <c r="V526" s="147">
        <f>SUM(V512:V525)</f>
        <v>0</v>
      </c>
      <c r="W526" s="147">
        <f>SUM(W512:W525)</f>
        <v>0</v>
      </c>
      <c r="X526" s="147">
        <f>SUM(X512:X525)</f>
        <v>0</v>
      </c>
    </row>
    <row r="527" spans="1:24" ht="15.75" thickBot="1"/>
    <row r="528" spans="1:24" ht="15.75" thickBot="1">
      <c r="A528" s="1046" t="s">
        <v>653</v>
      </c>
      <c r="B528" s="1047"/>
      <c r="C528" s="1047"/>
      <c r="D528" s="1047"/>
      <c r="E528" s="1047"/>
      <c r="F528" s="1047"/>
      <c r="G528" s="1047"/>
      <c r="H528" s="1047"/>
      <c r="I528" s="1047"/>
      <c r="J528" s="1047"/>
      <c r="K528" s="1047"/>
      <c r="L528" s="1047"/>
      <c r="M528" s="1047"/>
      <c r="N528" s="1047"/>
      <c r="O528" s="1047"/>
      <c r="P528" s="1047"/>
      <c r="Q528" s="1047"/>
      <c r="R528" s="1047"/>
      <c r="S528" s="1048"/>
      <c r="T528" s="1024" t="s">
        <v>820</v>
      </c>
      <c r="U528" s="1025"/>
      <c r="V528" s="1025"/>
      <c r="W528" s="1025"/>
      <c r="X528" s="1026"/>
    </row>
    <row r="529" spans="1:24" ht="59.25" customHeight="1">
      <c r="A529" s="155"/>
      <c r="B529" s="941"/>
      <c r="C529" s="199"/>
      <c r="D529" s="189"/>
      <c r="E529" s="189"/>
      <c r="F529" s="189"/>
      <c r="G529" s="189"/>
      <c r="H529" s="189"/>
      <c r="I529" s="189"/>
      <c r="J529" s="189"/>
      <c r="K529" s="213"/>
      <c r="L529" s="188"/>
      <c r="M529" s="188"/>
      <c r="N529" s="188"/>
      <c r="O529" s="188"/>
      <c r="P529" s="206"/>
      <c r="Q529" s="207"/>
      <c r="R529" s="189"/>
      <c r="S529" s="190"/>
      <c r="T529" s="228"/>
      <c r="U529" s="247"/>
      <c r="V529" s="369"/>
      <c r="W529" s="369"/>
      <c r="X529" s="369"/>
    </row>
    <row r="530" spans="1:24">
      <c r="A530" s="163" t="s">
        <v>821</v>
      </c>
      <c r="B530" s="17"/>
      <c r="C530" s="164"/>
      <c r="D530" s="164"/>
      <c r="E530" s="164"/>
      <c r="F530" s="164"/>
      <c r="G530" s="164"/>
      <c r="H530" s="164"/>
      <c r="I530" s="164"/>
      <c r="J530" s="164"/>
      <c r="K530" s="165"/>
      <c r="L530" s="46"/>
      <c r="M530" s="46"/>
      <c r="N530" s="46"/>
      <c r="O530" s="46"/>
      <c r="P530" s="183"/>
      <c r="Q530" s="166"/>
      <c r="R530" s="168"/>
      <c r="S530" s="184"/>
      <c r="T530" s="232" t="s">
        <v>821</v>
      </c>
      <c r="U530" s="152"/>
      <c r="V530" s="147"/>
      <c r="W530" s="147"/>
      <c r="X530" s="147"/>
    </row>
    <row r="531" spans="1:24">
      <c r="A531" s="163" t="s">
        <v>822</v>
      </c>
      <c r="B531" s="17"/>
      <c r="C531" s="164"/>
      <c r="D531" s="164"/>
      <c r="E531" s="164"/>
      <c r="F531" s="164"/>
      <c r="G531" s="164"/>
      <c r="H531" s="164"/>
      <c r="I531" s="164"/>
      <c r="J531" s="164"/>
      <c r="K531" s="165"/>
      <c r="L531" s="46"/>
      <c r="M531" s="46"/>
      <c r="N531" s="46"/>
      <c r="O531" s="46"/>
      <c r="P531" s="183"/>
      <c r="Q531" s="166"/>
      <c r="R531" s="189"/>
      <c r="S531" s="190"/>
      <c r="T531" s="232" t="s">
        <v>822</v>
      </c>
      <c r="U531" s="152"/>
      <c r="V531" s="147"/>
      <c r="W531" s="147"/>
      <c r="X531" s="147"/>
    </row>
    <row r="532" spans="1:24">
      <c r="A532" s="163" t="s">
        <v>823</v>
      </c>
      <c r="B532" s="17"/>
      <c r="C532" s="164"/>
      <c r="D532" s="164"/>
      <c r="E532" s="164"/>
      <c r="F532" s="164"/>
      <c r="G532" s="164"/>
      <c r="H532" s="164"/>
      <c r="I532" s="164"/>
      <c r="J532" s="164"/>
      <c r="K532" s="165"/>
      <c r="L532" s="46"/>
      <c r="M532" s="46"/>
      <c r="N532" s="46"/>
      <c r="O532" s="46"/>
      <c r="P532" s="183"/>
      <c r="Q532" s="166"/>
      <c r="R532" s="164"/>
      <c r="S532" s="191"/>
      <c r="T532" s="232" t="s">
        <v>823</v>
      </c>
      <c r="U532" s="152"/>
      <c r="V532" s="147"/>
      <c r="W532" s="147"/>
      <c r="X532" s="147"/>
    </row>
    <row r="533" spans="1:24">
      <c r="A533" s="163" t="s">
        <v>824</v>
      </c>
      <c r="B533" s="17"/>
      <c r="C533" s="164"/>
      <c r="D533" s="164"/>
      <c r="E533" s="164"/>
      <c r="F533" s="164"/>
      <c r="G533" s="164"/>
      <c r="H533" s="164"/>
      <c r="I533" s="164"/>
      <c r="J533" s="164"/>
      <c r="K533" s="165"/>
      <c r="L533" s="46"/>
      <c r="M533" s="46"/>
      <c r="N533" s="46"/>
      <c r="O533" s="46"/>
      <c r="P533" s="183"/>
      <c r="Q533" s="166"/>
      <c r="R533" s="164"/>
      <c r="S533" s="191"/>
      <c r="T533" s="232" t="s">
        <v>824</v>
      </c>
      <c r="U533" s="152"/>
      <c r="V533" s="147"/>
      <c r="W533" s="147"/>
      <c r="X533" s="147"/>
    </row>
    <row r="534" spans="1:24">
      <c r="A534" s="163" t="s">
        <v>825</v>
      </c>
      <c r="B534" s="17"/>
      <c r="C534" s="164"/>
      <c r="D534" s="164"/>
      <c r="E534" s="164"/>
      <c r="F534" s="164"/>
      <c r="G534" s="164"/>
      <c r="H534" s="164"/>
      <c r="I534" s="164"/>
      <c r="J534" s="164"/>
      <c r="K534" s="165"/>
      <c r="L534" s="46"/>
      <c r="M534" s="46"/>
      <c r="N534" s="46"/>
      <c r="O534" s="46"/>
      <c r="P534" s="183"/>
      <c r="Q534" s="166"/>
      <c r="R534" s="164"/>
      <c r="S534" s="191"/>
      <c r="T534" s="232" t="s">
        <v>825</v>
      </c>
      <c r="U534" s="152"/>
      <c r="V534" s="147"/>
      <c r="W534" s="147"/>
      <c r="X534" s="147"/>
    </row>
    <row r="535" spans="1:24">
      <c r="A535" s="163" t="s">
        <v>826</v>
      </c>
      <c r="B535" s="17"/>
      <c r="C535" s="164"/>
      <c r="D535" s="164"/>
      <c r="E535" s="164"/>
      <c r="F535" s="164"/>
      <c r="G535" s="164"/>
      <c r="H535" s="164"/>
      <c r="I535" s="164"/>
      <c r="J535" s="164"/>
      <c r="K535" s="165"/>
      <c r="L535" s="46"/>
      <c r="M535" s="46"/>
      <c r="N535" s="46"/>
      <c r="O535" s="46"/>
      <c r="P535" s="183"/>
      <c r="Q535" s="166"/>
      <c r="R535" s="164"/>
      <c r="S535" s="191"/>
      <c r="T535" s="232" t="s">
        <v>826</v>
      </c>
      <c r="U535" s="152"/>
      <c r="V535" s="147"/>
      <c r="W535" s="147"/>
      <c r="X535" s="147"/>
    </row>
    <row r="536" spans="1:24">
      <c r="A536" s="163" t="s">
        <v>827</v>
      </c>
      <c r="B536" s="17"/>
      <c r="C536" s="164"/>
      <c r="D536" s="164"/>
      <c r="E536" s="164"/>
      <c r="F536" s="164"/>
      <c r="G536" s="164"/>
      <c r="H536" s="164"/>
      <c r="I536" s="164"/>
      <c r="J536" s="164"/>
      <c r="K536" s="165"/>
      <c r="L536" s="46"/>
      <c r="M536" s="46"/>
      <c r="N536" s="46"/>
      <c r="O536" s="46"/>
      <c r="P536" s="183"/>
      <c r="Q536" s="166"/>
      <c r="R536" s="164"/>
      <c r="S536" s="191"/>
      <c r="T536" s="232" t="s">
        <v>827</v>
      </c>
      <c r="U536" s="152"/>
      <c r="V536" s="147"/>
      <c r="W536" s="147"/>
      <c r="X536" s="147"/>
    </row>
    <row r="537" spans="1:24">
      <c r="A537" s="163" t="s">
        <v>821</v>
      </c>
      <c r="B537" s="17"/>
      <c r="C537" s="164"/>
      <c r="D537" s="164"/>
      <c r="E537" s="164"/>
      <c r="F537" s="164"/>
      <c r="G537" s="164"/>
      <c r="H537" s="164"/>
      <c r="I537" s="164"/>
      <c r="J537" s="164"/>
      <c r="K537" s="165"/>
      <c r="L537" s="46"/>
      <c r="M537" s="46"/>
      <c r="N537" s="46"/>
      <c r="O537" s="46"/>
      <c r="P537" s="183"/>
      <c r="Q537" s="166"/>
      <c r="R537" s="164"/>
      <c r="S537" s="191"/>
      <c r="T537" s="232" t="s">
        <v>821</v>
      </c>
      <c r="U537" s="152"/>
      <c r="V537" s="147"/>
      <c r="W537" s="147"/>
      <c r="X537" s="147"/>
    </row>
    <row r="538" spans="1:24">
      <c r="A538" s="163" t="s">
        <v>822</v>
      </c>
      <c r="B538" s="17"/>
      <c r="C538" s="164"/>
      <c r="D538" s="164"/>
      <c r="E538" s="164"/>
      <c r="F538" s="164"/>
      <c r="G538" s="164"/>
      <c r="H538" s="164"/>
      <c r="I538" s="164"/>
      <c r="J538" s="164"/>
      <c r="K538" s="165"/>
      <c r="L538" s="46"/>
      <c r="M538" s="46"/>
      <c r="N538" s="46"/>
      <c r="O538" s="46"/>
      <c r="P538" s="183"/>
      <c r="Q538" s="166"/>
      <c r="R538" s="164"/>
      <c r="S538" s="191"/>
      <c r="T538" s="232" t="s">
        <v>822</v>
      </c>
      <c r="U538" s="152"/>
      <c r="V538" s="147"/>
      <c r="W538" s="147"/>
      <c r="X538" s="147"/>
    </row>
    <row r="539" spans="1:24">
      <c r="A539" s="163" t="s">
        <v>823</v>
      </c>
      <c r="B539" s="17"/>
      <c r="C539" s="164"/>
      <c r="D539" s="164"/>
      <c r="E539" s="164"/>
      <c r="F539" s="164"/>
      <c r="G539" s="164"/>
      <c r="H539" s="164"/>
      <c r="I539" s="164"/>
      <c r="J539" s="164"/>
      <c r="K539" s="165"/>
      <c r="L539" s="46"/>
      <c r="M539" s="46"/>
      <c r="N539" s="46"/>
      <c r="O539" s="46"/>
      <c r="P539" s="183"/>
      <c r="Q539" s="166"/>
      <c r="R539" s="169"/>
      <c r="S539" s="194"/>
      <c r="T539" s="232" t="s">
        <v>823</v>
      </c>
      <c r="U539" s="152"/>
      <c r="V539" s="147"/>
      <c r="W539" s="147"/>
      <c r="X539" s="147"/>
    </row>
    <row r="540" spans="1:24">
      <c r="A540" s="163" t="s">
        <v>824</v>
      </c>
      <c r="B540" s="17"/>
      <c r="C540" s="164"/>
      <c r="D540" s="164"/>
      <c r="E540" s="164"/>
      <c r="F540" s="164"/>
      <c r="G540" s="164"/>
      <c r="H540" s="164"/>
      <c r="I540" s="164"/>
      <c r="J540" s="164"/>
      <c r="K540" s="165"/>
      <c r="L540" s="46"/>
      <c r="M540" s="46"/>
      <c r="N540" s="46"/>
      <c r="O540" s="46"/>
      <c r="P540" s="183"/>
      <c r="Q540" s="166"/>
      <c r="R540" s="169"/>
      <c r="S540" s="194"/>
      <c r="T540" s="232" t="s">
        <v>824</v>
      </c>
      <c r="U540" s="152"/>
      <c r="V540" s="147"/>
      <c r="W540" s="147"/>
      <c r="X540" s="147"/>
    </row>
    <row r="541" spans="1:24">
      <c r="A541" s="163" t="s">
        <v>825</v>
      </c>
      <c r="B541" s="17"/>
      <c r="C541" s="164"/>
      <c r="D541" s="164"/>
      <c r="E541" s="164"/>
      <c r="F541" s="164"/>
      <c r="G541" s="164"/>
      <c r="H541" s="164"/>
      <c r="I541" s="164"/>
      <c r="J541" s="164"/>
      <c r="K541" s="165"/>
      <c r="L541" s="46"/>
      <c r="M541" s="46"/>
      <c r="N541" s="46"/>
      <c r="O541" s="46"/>
      <c r="P541" s="183"/>
      <c r="Q541" s="166"/>
      <c r="R541" s="169"/>
      <c r="S541" s="194"/>
      <c r="T541" s="232" t="s">
        <v>825</v>
      </c>
      <c r="U541" s="152"/>
      <c r="V541" s="147"/>
      <c r="W541" s="147"/>
      <c r="X541" s="147"/>
    </row>
    <row r="542" spans="1:24">
      <c r="A542" s="163" t="s">
        <v>826</v>
      </c>
      <c r="B542" s="17"/>
      <c r="C542" s="164"/>
      <c r="D542" s="164"/>
      <c r="E542" s="164"/>
      <c r="F542" s="164"/>
      <c r="G542" s="164"/>
      <c r="H542" s="164"/>
      <c r="I542" s="164"/>
      <c r="J542" s="164"/>
      <c r="K542" s="165"/>
      <c r="L542" s="46"/>
      <c r="M542" s="46"/>
      <c r="N542" s="46"/>
      <c r="O542" s="46"/>
      <c r="P542" s="183"/>
      <c r="Q542" s="166"/>
      <c r="R542" s="169"/>
      <c r="S542" s="194"/>
      <c r="T542" s="232" t="s">
        <v>826</v>
      </c>
      <c r="U542" s="152"/>
      <c r="V542" s="147"/>
      <c r="W542" s="147"/>
      <c r="X542" s="147"/>
    </row>
    <row r="543" spans="1:24" ht="15.75" thickBot="1">
      <c r="A543" s="163" t="s">
        <v>827</v>
      </c>
      <c r="B543" s="17"/>
      <c r="C543" s="164"/>
      <c r="D543" s="164"/>
      <c r="E543" s="164"/>
      <c r="F543" s="164"/>
      <c r="G543" s="164"/>
      <c r="H543" s="164"/>
      <c r="I543" s="164"/>
      <c r="J543" s="164"/>
      <c r="K543" s="165"/>
      <c r="L543" s="46"/>
      <c r="M543" s="46"/>
      <c r="N543" s="46"/>
      <c r="O543" s="46"/>
      <c r="P543" s="183"/>
      <c r="Q543" s="166"/>
      <c r="R543" s="212"/>
      <c r="S543" s="194"/>
      <c r="T543" s="232" t="s">
        <v>827</v>
      </c>
      <c r="U543" s="152"/>
      <c r="V543" s="147"/>
      <c r="W543" s="147"/>
      <c r="X543" s="147"/>
    </row>
    <row r="544" spans="1:24" ht="16.5" thickBot="1">
      <c r="A544" s="195"/>
      <c r="B544" s="196">
        <f>SUM(C544:S544)+U544</f>
        <v>0</v>
      </c>
      <c r="C544" s="177">
        <f>SUM(C530:C543)</f>
        <v>0</v>
      </c>
      <c r="D544" s="177">
        <f>SUM(D530:D543)</f>
        <v>0</v>
      </c>
      <c r="E544" s="177">
        <f>SUM(E530:E543)</f>
        <v>0</v>
      </c>
      <c r="F544" s="177">
        <f>SUM(F530:F543)</f>
        <v>0</v>
      </c>
      <c r="G544" s="177">
        <f>SUM(G530:G543)</f>
        <v>0</v>
      </c>
      <c r="H544" s="177">
        <f t="shared" ref="H544:S544" si="49">SUM(H530:H543)</f>
        <v>0</v>
      </c>
      <c r="I544" s="177">
        <f t="shared" si="49"/>
        <v>0</v>
      </c>
      <c r="J544" s="177">
        <f t="shared" si="49"/>
        <v>0</v>
      </c>
      <c r="K544" s="177">
        <f t="shared" si="49"/>
        <v>0</v>
      </c>
      <c r="L544" s="197">
        <f t="shared" si="49"/>
        <v>0</v>
      </c>
      <c r="M544" s="197">
        <f t="shared" si="49"/>
        <v>0</v>
      </c>
      <c r="N544" s="197">
        <f t="shared" si="49"/>
        <v>0</v>
      </c>
      <c r="O544" s="197">
        <f t="shared" si="49"/>
        <v>0</v>
      </c>
      <c r="P544" s="197">
        <f t="shared" si="49"/>
        <v>0</v>
      </c>
      <c r="Q544" s="197">
        <f t="shared" si="49"/>
        <v>0</v>
      </c>
      <c r="R544" s="197">
        <f t="shared" si="49"/>
        <v>0</v>
      </c>
      <c r="S544" s="198">
        <f t="shared" si="49"/>
        <v>0</v>
      </c>
      <c r="T544" s="175" t="s">
        <v>791</v>
      </c>
      <c r="U544" s="176">
        <f>SUM(V544:X544)</f>
        <v>0</v>
      </c>
      <c r="V544" s="147">
        <f>SUM(V530:V543)</f>
        <v>0</v>
      </c>
      <c r="W544" s="147">
        <f>SUM(W530:W543)</f>
        <v>0</v>
      </c>
      <c r="X544" s="147">
        <f>SUM(X530:X543)</f>
        <v>0</v>
      </c>
    </row>
    <row r="545" spans="1:24" ht="15.75" thickBot="1"/>
    <row r="546" spans="1:24" ht="15.75" thickBot="1">
      <c r="A546" s="1046" t="s">
        <v>1002</v>
      </c>
      <c r="B546" s="1047"/>
      <c r="C546" s="1047"/>
      <c r="D546" s="1047"/>
      <c r="E546" s="1047"/>
      <c r="F546" s="1047"/>
      <c r="G546" s="1047"/>
      <c r="H546" s="1047"/>
      <c r="I546" s="1047"/>
      <c r="J546" s="1047"/>
      <c r="K546" s="1047"/>
      <c r="L546" s="1047"/>
      <c r="M546" s="1047"/>
      <c r="N546" s="1047"/>
      <c r="O546" s="1047"/>
      <c r="P546" s="1047"/>
      <c r="Q546" s="1047"/>
      <c r="R546" s="1047"/>
      <c r="S546" s="1048"/>
      <c r="T546" s="1024" t="s">
        <v>820</v>
      </c>
      <c r="U546" s="1025"/>
      <c r="V546" s="1025"/>
      <c r="W546" s="1025"/>
      <c r="X546" s="1026"/>
    </row>
    <row r="547" spans="1:24" ht="55.5" customHeight="1">
      <c r="A547" s="155"/>
      <c r="B547" s="941"/>
      <c r="C547" s="161"/>
      <c r="D547" s="157"/>
      <c r="E547" s="157"/>
      <c r="F547" s="157"/>
      <c r="G547" s="157"/>
      <c r="H547" s="157"/>
      <c r="I547" s="160"/>
      <c r="J547" s="157"/>
      <c r="K547" s="158"/>
      <c r="L547" s="217"/>
      <c r="M547" s="188"/>
      <c r="N547" s="188"/>
      <c r="O547" s="188"/>
      <c r="P547" s="206"/>
      <c r="Q547" s="207"/>
      <c r="R547" s="189"/>
      <c r="S547" s="190"/>
      <c r="T547" s="228"/>
      <c r="U547" s="247"/>
      <c r="V547" s="369"/>
      <c r="W547" s="369"/>
      <c r="X547" s="369"/>
    </row>
    <row r="548" spans="1:24">
      <c r="A548" s="163" t="s">
        <v>821</v>
      </c>
      <c r="B548" s="17"/>
      <c r="C548" s="164"/>
      <c r="D548" s="164"/>
      <c r="E548" s="164"/>
      <c r="F548" s="164"/>
      <c r="G548" s="164"/>
      <c r="H548" s="164"/>
      <c r="I548" s="164"/>
      <c r="J548" s="164"/>
      <c r="K548" s="165"/>
      <c r="L548" s="46"/>
      <c r="M548" s="46"/>
      <c r="N548" s="46"/>
      <c r="O548" s="46"/>
      <c r="P548" s="183"/>
      <c r="Q548" s="166"/>
      <c r="R548" s="168"/>
      <c r="S548" s="184"/>
      <c r="T548" s="232" t="s">
        <v>821</v>
      </c>
      <c r="U548" s="152"/>
      <c r="V548" s="147"/>
      <c r="W548" s="147"/>
      <c r="X548" s="147"/>
    </row>
    <row r="549" spans="1:24">
      <c r="A549" s="163" t="s">
        <v>822</v>
      </c>
      <c r="B549" s="17"/>
      <c r="C549" s="164"/>
      <c r="D549" s="164"/>
      <c r="E549" s="164"/>
      <c r="F549" s="164"/>
      <c r="G549" s="164"/>
      <c r="H549" s="164"/>
      <c r="I549" s="164"/>
      <c r="J549" s="164"/>
      <c r="K549" s="165"/>
      <c r="L549" s="46"/>
      <c r="M549" s="46"/>
      <c r="N549" s="46"/>
      <c r="O549" s="46"/>
      <c r="P549" s="183"/>
      <c r="Q549" s="166"/>
      <c r="R549" s="189"/>
      <c r="S549" s="190"/>
      <c r="T549" s="232" t="s">
        <v>822</v>
      </c>
      <c r="U549" s="152"/>
      <c r="V549" s="147"/>
      <c r="W549" s="147"/>
      <c r="X549" s="147"/>
    </row>
    <row r="550" spans="1:24">
      <c r="A550" s="163" t="s">
        <v>823</v>
      </c>
      <c r="B550" s="17"/>
      <c r="C550" s="164"/>
      <c r="D550" s="164"/>
      <c r="E550" s="164"/>
      <c r="F550" s="164"/>
      <c r="G550" s="164"/>
      <c r="H550" s="164"/>
      <c r="I550" s="164"/>
      <c r="J550" s="164"/>
      <c r="K550" s="165"/>
      <c r="L550" s="46"/>
      <c r="M550" s="46"/>
      <c r="N550" s="46"/>
      <c r="O550" s="46"/>
      <c r="P550" s="183"/>
      <c r="Q550" s="166"/>
      <c r="R550" s="164"/>
      <c r="S550" s="191"/>
      <c r="T550" s="232" t="s">
        <v>823</v>
      </c>
      <c r="U550" s="152"/>
      <c r="V550" s="147"/>
      <c r="W550" s="147"/>
      <c r="X550" s="147"/>
    </row>
    <row r="551" spans="1:24">
      <c r="A551" s="163" t="s">
        <v>824</v>
      </c>
      <c r="B551" s="17"/>
      <c r="C551" s="164"/>
      <c r="D551" s="164"/>
      <c r="E551" s="164"/>
      <c r="F551" s="164"/>
      <c r="G551" s="164"/>
      <c r="H551" s="164"/>
      <c r="I551" s="164"/>
      <c r="J551" s="164"/>
      <c r="K551" s="165"/>
      <c r="L551" s="46"/>
      <c r="M551" s="46"/>
      <c r="N551" s="46"/>
      <c r="O551" s="46"/>
      <c r="P551" s="183"/>
      <c r="Q551" s="166"/>
      <c r="R551" s="164"/>
      <c r="S551" s="191"/>
      <c r="T551" s="232" t="s">
        <v>824</v>
      </c>
      <c r="U551" s="152"/>
      <c r="V551" s="147"/>
      <c r="W551" s="147"/>
      <c r="X551" s="147"/>
    </row>
    <row r="552" spans="1:24">
      <c r="A552" s="163" t="s">
        <v>825</v>
      </c>
      <c r="B552" s="17"/>
      <c r="C552" s="164"/>
      <c r="D552" s="164"/>
      <c r="E552" s="164"/>
      <c r="F552" s="164"/>
      <c r="G552" s="164"/>
      <c r="H552" s="164"/>
      <c r="I552" s="164"/>
      <c r="J552" s="164"/>
      <c r="K552" s="165"/>
      <c r="L552" s="46"/>
      <c r="M552" s="46"/>
      <c r="N552" s="46"/>
      <c r="O552" s="46"/>
      <c r="P552" s="183"/>
      <c r="Q552" s="166"/>
      <c r="R552" s="164"/>
      <c r="S552" s="191"/>
      <c r="T552" s="232" t="s">
        <v>825</v>
      </c>
      <c r="U552" s="152"/>
      <c r="V552" s="147"/>
      <c r="W552" s="147"/>
      <c r="X552" s="147"/>
    </row>
    <row r="553" spans="1:24">
      <c r="A553" s="163" t="s">
        <v>826</v>
      </c>
      <c r="B553" s="17"/>
      <c r="C553" s="164"/>
      <c r="D553" s="164"/>
      <c r="E553" s="164"/>
      <c r="F553" s="164"/>
      <c r="G553" s="164"/>
      <c r="H553" s="164"/>
      <c r="I553" s="164"/>
      <c r="J553" s="164"/>
      <c r="K553" s="165"/>
      <c r="L553" s="46"/>
      <c r="M553" s="46"/>
      <c r="N553" s="46"/>
      <c r="O553" s="46"/>
      <c r="P553" s="183"/>
      <c r="Q553" s="166"/>
      <c r="R553" s="164"/>
      <c r="S553" s="191"/>
      <c r="T553" s="232" t="s">
        <v>826</v>
      </c>
      <c r="U553" s="152"/>
      <c r="V553" s="147"/>
      <c r="W553" s="147"/>
      <c r="X553" s="147"/>
    </row>
    <row r="554" spans="1:24">
      <c r="A554" s="163" t="s">
        <v>827</v>
      </c>
      <c r="B554" s="17"/>
      <c r="C554" s="164"/>
      <c r="D554" s="164"/>
      <c r="E554" s="164"/>
      <c r="F554" s="164"/>
      <c r="G554" s="164"/>
      <c r="H554" s="164"/>
      <c r="I554" s="164"/>
      <c r="J554" s="164"/>
      <c r="K554" s="165"/>
      <c r="L554" s="46"/>
      <c r="M554" s="46"/>
      <c r="N554" s="46"/>
      <c r="O554" s="46"/>
      <c r="P554" s="183"/>
      <c r="Q554" s="166"/>
      <c r="R554" s="164"/>
      <c r="S554" s="191"/>
      <c r="T554" s="232" t="s">
        <v>827</v>
      </c>
      <c r="U554" s="152"/>
      <c r="V554" s="147"/>
      <c r="W554" s="147"/>
      <c r="X554" s="147"/>
    </row>
    <row r="555" spans="1:24">
      <c r="A555" s="163" t="s">
        <v>821</v>
      </c>
      <c r="B555" s="17"/>
      <c r="C555" s="164"/>
      <c r="D555" s="164"/>
      <c r="E555" s="164"/>
      <c r="F555" s="164"/>
      <c r="G555" s="164"/>
      <c r="H555" s="164"/>
      <c r="I555" s="164"/>
      <c r="J555" s="164"/>
      <c r="K555" s="165"/>
      <c r="L555" s="46"/>
      <c r="M555" s="46"/>
      <c r="N555" s="46"/>
      <c r="O555" s="46"/>
      <c r="P555" s="183"/>
      <c r="Q555" s="166"/>
      <c r="R555" s="164"/>
      <c r="S555" s="191"/>
      <c r="T555" s="232" t="s">
        <v>821</v>
      </c>
      <c r="U555" s="152"/>
      <c r="V555" s="147"/>
      <c r="W555" s="147"/>
      <c r="X555" s="147"/>
    </row>
    <row r="556" spans="1:24">
      <c r="A556" s="163" t="s">
        <v>822</v>
      </c>
      <c r="B556" s="17"/>
      <c r="C556" s="164"/>
      <c r="D556" s="164"/>
      <c r="E556" s="164"/>
      <c r="F556" s="164"/>
      <c r="G556" s="164"/>
      <c r="H556" s="164"/>
      <c r="I556" s="164"/>
      <c r="J556" s="164"/>
      <c r="K556" s="165"/>
      <c r="L556" s="46"/>
      <c r="M556" s="46"/>
      <c r="N556" s="46"/>
      <c r="O556" s="46"/>
      <c r="P556" s="183"/>
      <c r="Q556" s="166"/>
      <c r="R556" s="164"/>
      <c r="S556" s="191"/>
      <c r="T556" s="232" t="s">
        <v>822</v>
      </c>
      <c r="U556" s="152"/>
      <c r="V556" s="147"/>
      <c r="W556" s="147"/>
      <c r="X556" s="147"/>
    </row>
    <row r="557" spans="1:24">
      <c r="A557" s="163" t="s">
        <v>823</v>
      </c>
      <c r="B557" s="17"/>
      <c r="C557" s="164"/>
      <c r="D557" s="164"/>
      <c r="E557" s="164"/>
      <c r="F557" s="164"/>
      <c r="G557" s="164"/>
      <c r="H557" s="164"/>
      <c r="I557" s="164"/>
      <c r="J557" s="164"/>
      <c r="K557" s="165"/>
      <c r="L557" s="46"/>
      <c r="M557" s="46"/>
      <c r="N557" s="46"/>
      <c r="O557" s="46"/>
      <c r="P557" s="183"/>
      <c r="Q557" s="166"/>
      <c r="R557" s="169"/>
      <c r="S557" s="194"/>
      <c r="T557" s="232" t="s">
        <v>823</v>
      </c>
      <c r="U557" s="152"/>
      <c r="V557" s="147"/>
      <c r="W557" s="147"/>
      <c r="X557" s="147"/>
    </row>
    <row r="558" spans="1:24">
      <c r="A558" s="163" t="s">
        <v>824</v>
      </c>
      <c r="B558" s="17"/>
      <c r="C558" s="164"/>
      <c r="D558" s="164"/>
      <c r="E558" s="164"/>
      <c r="F558" s="164"/>
      <c r="G558" s="164"/>
      <c r="H558" s="164"/>
      <c r="I558" s="164"/>
      <c r="J558" s="164"/>
      <c r="K558" s="165"/>
      <c r="L558" s="46"/>
      <c r="M558" s="46"/>
      <c r="N558" s="46"/>
      <c r="O558" s="46"/>
      <c r="P558" s="183"/>
      <c r="Q558" s="166"/>
      <c r="R558" s="169"/>
      <c r="S558" s="194"/>
      <c r="T558" s="232" t="s">
        <v>824</v>
      </c>
      <c r="U558" s="152"/>
      <c r="V558" s="147"/>
      <c r="W558" s="147"/>
      <c r="X558" s="147"/>
    </row>
    <row r="559" spans="1:24">
      <c r="A559" s="163" t="s">
        <v>825</v>
      </c>
      <c r="B559" s="17"/>
      <c r="C559" s="164"/>
      <c r="D559" s="164"/>
      <c r="E559" s="164"/>
      <c r="F559" s="164"/>
      <c r="G559" s="164"/>
      <c r="H559" s="164"/>
      <c r="I559" s="164"/>
      <c r="J559" s="164"/>
      <c r="K559" s="165"/>
      <c r="L559" s="46"/>
      <c r="M559" s="46"/>
      <c r="N559" s="46"/>
      <c r="O559" s="46"/>
      <c r="P559" s="183"/>
      <c r="Q559" s="166"/>
      <c r="R559" s="169"/>
      <c r="S559" s="194"/>
      <c r="T559" s="232" t="s">
        <v>825</v>
      </c>
      <c r="U559" s="152"/>
      <c r="V559" s="147"/>
      <c r="W559" s="147"/>
      <c r="X559" s="147"/>
    </row>
    <row r="560" spans="1:24">
      <c r="A560" s="163" t="s">
        <v>826</v>
      </c>
      <c r="B560" s="17"/>
      <c r="C560" s="164"/>
      <c r="D560" s="164"/>
      <c r="E560" s="164"/>
      <c r="F560" s="164"/>
      <c r="G560" s="164"/>
      <c r="H560" s="164"/>
      <c r="I560" s="164"/>
      <c r="J560" s="164"/>
      <c r="K560" s="165"/>
      <c r="L560" s="46"/>
      <c r="M560" s="46"/>
      <c r="N560" s="46"/>
      <c r="O560" s="46"/>
      <c r="P560" s="183"/>
      <c r="Q560" s="166"/>
      <c r="R560" s="169"/>
      <c r="S560" s="194"/>
      <c r="T560" s="232" t="s">
        <v>826</v>
      </c>
      <c r="U560" s="152"/>
      <c r="V560" s="147"/>
      <c r="W560" s="147"/>
      <c r="X560" s="147"/>
    </row>
    <row r="561" spans="1:24" ht="15.75" thickBot="1">
      <c r="A561" s="163" t="s">
        <v>827</v>
      </c>
      <c r="B561" s="17"/>
      <c r="C561" s="164"/>
      <c r="D561" s="164"/>
      <c r="E561" s="164"/>
      <c r="F561" s="164"/>
      <c r="G561" s="164"/>
      <c r="H561" s="164"/>
      <c r="I561" s="164"/>
      <c r="J561" s="164"/>
      <c r="K561" s="165"/>
      <c r="L561" s="46"/>
      <c r="M561" s="46"/>
      <c r="N561" s="46"/>
      <c r="O561" s="46"/>
      <c r="P561" s="183"/>
      <c r="Q561" s="166"/>
      <c r="R561" s="212"/>
      <c r="S561" s="194"/>
      <c r="T561" s="232" t="s">
        <v>827</v>
      </c>
      <c r="U561" s="152"/>
      <c r="V561" s="147"/>
      <c r="W561" s="147"/>
      <c r="X561" s="147"/>
    </row>
    <row r="562" spans="1:24" ht="16.5" thickBot="1">
      <c r="A562" s="195"/>
      <c r="B562" s="196">
        <f>SUM(C562:S562)+U562</f>
        <v>0</v>
      </c>
      <c r="C562" s="177">
        <f>SUM(C548:C561)</f>
        <v>0</v>
      </c>
      <c r="D562" s="177">
        <f>SUM(D548:D561)</f>
        <v>0</v>
      </c>
      <c r="E562" s="177">
        <f>SUM(E548:E561)</f>
        <v>0</v>
      </c>
      <c r="F562" s="177">
        <f>SUM(F548:F561)</f>
        <v>0</v>
      </c>
      <c r="G562" s="177">
        <f>SUM(G548:G561)</f>
        <v>0</v>
      </c>
      <c r="H562" s="177">
        <f t="shared" ref="H562:S562" si="50">SUM(H548:H561)</f>
        <v>0</v>
      </c>
      <c r="I562" s="177">
        <f t="shared" si="50"/>
        <v>0</v>
      </c>
      <c r="J562" s="177">
        <f t="shared" si="50"/>
        <v>0</v>
      </c>
      <c r="K562" s="177">
        <f t="shared" si="50"/>
        <v>0</v>
      </c>
      <c r="L562" s="197">
        <f t="shared" si="50"/>
        <v>0</v>
      </c>
      <c r="M562" s="197">
        <f t="shared" si="50"/>
        <v>0</v>
      </c>
      <c r="N562" s="197">
        <f t="shared" si="50"/>
        <v>0</v>
      </c>
      <c r="O562" s="197">
        <f t="shared" si="50"/>
        <v>0</v>
      </c>
      <c r="P562" s="197">
        <f t="shared" si="50"/>
        <v>0</v>
      </c>
      <c r="Q562" s="197">
        <f t="shared" si="50"/>
        <v>0</v>
      </c>
      <c r="R562" s="197">
        <f t="shared" si="50"/>
        <v>0</v>
      </c>
      <c r="S562" s="198">
        <f t="shared" si="50"/>
        <v>0</v>
      </c>
      <c r="T562" s="175" t="s">
        <v>791</v>
      </c>
      <c r="U562" s="176">
        <f>SUM(V562:X562)</f>
        <v>0</v>
      </c>
      <c r="V562" s="147">
        <f>SUM(V548:V561)</f>
        <v>0</v>
      </c>
      <c r="W562" s="147">
        <f>SUM(W548:W561)</f>
        <v>0</v>
      </c>
      <c r="X562" s="147">
        <f>SUM(X548:X561)</f>
        <v>0</v>
      </c>
    </row>
    <row r="563" spans="1:24" ht="15.75" thickBot="1"/>
    <row r="564" spans="1:24" ht="15.75" thickBot="1">
      <c r="A564" s="1046" t="s">
        <v>1003</v>
      </c>
      <c r="B564" s="1047"/>
      <c r="C564" s="1047"/>
      <c r="D564" s="1047"/>
      <c r="E564" s="1047"/>
      <c r="F564" s="1047"/>
      <c r="G564" s="1047"/>
      <c r="H564" s="1047"/>
      <c r="I564" s="1047"/>
      <c r="J564" s="1047"/>
      <c r="K564" s="1047"/>
      <c r="L564" s="1047"/>
      <c r="M564" s="1047"/>
      <c r="N564" s="1047"/>
      <c r="O564" s="1047"/>
      <c r="P564" s="1047"/>
      <c r="Q564" s="1047"/>
      <c r="R564" s="1047"/>
      <c r="S564" s="1048"/>
      <c r="T564" s="1024" t="s">
        <v>820</v>
      </c>
      <c r="U564" s="1025"/>
      <c r="V564" s="1025"/>
      <c r="W564" s="1025"/>
      <c r="X564" s="1026"/>
    </row>
    <row r="565" spans="1:24">
      <c r="A565" s="155"/>
      <c r="B565" s="151"/>
      <c r="C565" s="936"/>
      <c r="D565" s="934"/>
      <c r="E565" s="157"/>
      <c r="F565" s="157"/>
      <c r="G565" s="157"/>
      <c r="H565" s="157"/>
      <c r="I565" s="160"/>
      <c r="J565" s="157"/>
      <c r="K565" s="158"/>
      <c r="L565" s="217"/>
      <c r="M565" s="188"/>
      <c r="N565" s="188"/>
      <c r="O565" s="188"/>
      <c r="P565" s="206"/>
      <c r="Q565" s="207"/>
      <c r="R565" s="189"/>
      <c r="S565" s="190"/>
      <c r="T565" s="228"/>
      <c r="U565" s="247"/>
      <c r="V565" s="369"/>
      <c r="W565" s="369"/>
      <c r="X565" s="369"/>
    </row>
    <row r="566" spans="1:24">
      <c r="A566" s="163" t="s">
        <v>821</v>
      </c>
      <c r="B566" s="152"/>
      <c r="C566" s="164"/>
      <c r="D566" s="164"/>
      <c r="E566" s="164"/>
      <c r="F566" s="164"/>
      <c r="G566" s="164"/>
      <c r="H566" s="164"/>
      <c r="I566" s="164"/>
      <c r="J566" s="164"/>
      <c r="K566" s="165"/>
      <c r="L566" s="46"/>
      <c r="M566" s="46"/>
      <c r="N566" s="46"/>
      <c r="O566" s="46"/>
      <c r="P566" s="183"/>
      <c r="Q566" s="166"/>
      <c r="R566" s="168"/>
      <c r="S566" s="184"/>
      <c r="T566" s="232" t="s">
        <v>821</v>
      </c>
      <c r="U566" s="152"/>
      <c r="V566" s="147"/>
      <c r="W566" s="147"/>
      <c r="X566" s="147"/>
    </row>
    <row r="567" spans="1:24">
      <c r="A567" s="163" t="s">
        <v>822</v>
      </c>
      <c r="B567" s="152"/>
      <c r="C567" s="164"/>
      <c r="D567" s="164"/>
      <c r="E567" s="164"/>
      <c r="F567" s="164"/>
      <c r="G567" s="164"/>
      <c r="H567" s="164"/>
      <c r="I567" s="164"/>
      <c r="J567" s="164"/>
      <c r="K567" s="165"/>
      <c r="L567" s="46"/>
      <c r="M567" s="46"/>
      <c r="N567" s="46"/>
      <c r="O567" s="46"/>
      <c r="P567" s="183"/>
      <c r="Q567" s="166"/>
      <c r="R567" s="189"/>
      <c r="S567" s="190"/>
      <c r="T567" s="232" t="s">
        <v>822</v>
      </c>
      <c r="U567" s="152"/>
      <c r="V567" s="147"/>
      <c r="W567" s="147"/>
      <c r="X567" s="147"/>
    </row>
    <row r="568" spans="1:24">
      <c r="A568" s="163" t="s">
        <v>823</v>
      </c>
      <c r="B568" s="152"/>
      <c r="C568" s="164"/>
      <c r="D568" s="164"/>
      <c r="E568" s="164"/>
      <c r="F568" s="164"/>
      <c r="G568" s="164"/>
      <c r="H568" s="164"/>
      <c r="I568" s="164"/>
      <c r="J568" s="164"/>
      <c r="K568" s="165"/>
      <c r="L568" s="46"/>
      <c r="M568" s="46"/>
      <c r="N568" s="46"/>
      <c r="O568" s="46"/>
      <c r="P568" s="183"/>
      <c r="Q568" s="166"/>
      <c r="R568" s="164"/>
      <c r="S568" s="191"/>
      <c r="T568" s="232" t="s">
        <v>823</v>
      </c>
      <c r="U568" s="152"/>
      <c r="V568" s="147"/>
      <c r="W568" s="147"/>
      <c r="X568" s="147"/>
    </row>
    <row r="569" spans="1:24">
      <c r="A569" s="163" t="s">
        <v>824</v>
      </c>
      <c r="B569" s="152"/>
      <c r="C569" s="164"/>
      <c r="D569" s="164"/>
      <c r="E569" s="164"/>
      <c r="F569" s="164"/>
      <c r="G569" s="164"/>
      <c r="H569" s="164"/>
      <c r="I569" s="164"/>
      <c r="J569" s="164"/>
      <c r="K569" s="165"/>
      <c r="L569" s="46"/>
      <c r="M569" s="46"/>
      <c r="N569" s="46"/>
      <c r="O569" s="46"/>
      <c r="P569" s="183"/>
      <c r="Q569" s="166"/>
      <c r="R569" s="164"/>
      <c r="S569" s="191"/>
      <c r="T569" s="232" t="s">
        <v>824</v>
      </c>
      <c r="U569" s="152"/>
      <c r="V569" s="147"/>
      <c r="W569" s="147"/>
      <c r="X569" s="147"/>
    </row>
    <row r="570" spans="1:24">
      <c r="A570" s="163" t="s">
        <v>825</v>
      </c>
      <c r="B570" s="152"/>
      <c r="C570" s="164"/>
      <c r="D570" s="164"/>
      <c r="E570" s="164"/>
      <c r="F570" s="164"/>
      <c r="G570" s="164"/>
      <c r="H570" s="164"/>
      <c r="I570" s="164"/>
      <c r="J570" s="164"/>
      <c r="K570" s="165"/>
      <c r="L570" s="46"/>
      <c r="M570" s="46"/>
      <c r="N570" s="46"/>
      <c r="O570" s="46"/>
      <c r="P570" s="183"/>
      <c r="Q570" s="166"/>
      <c r="R570" s="164"/>
      <c r="S570" s="191"/>
      <c r="T570" s="232" t="s">
        <v>825</v>
      </c>
      <c r="U570" s="152"/>
      <c r="V570" s="147"/>
      <c r="W570" s="147"/>
      <c r="X570" s="147"/>
    </row>
    <row r="571" spans="1:24">
      <c r="A571" s="163" t="s">
        <v>826</v>
      </c>
      <c r="B571" s="152"/>
      <c r="C571" s="164"/>
      <c r="D571" s="164"/>
      <c r="E571" s="164"/>
      <c r="F571" s="164"/>
      <c r="G571" s="164"/>
      <c r="H571" s="164"/>
      <c r="I571" s="164"/>
      <c r="J571" s="164"/>
      <c r="K571" s="165"/>
      <c r="L571" s="46"/>
      <c r="M571" s="46"/>
      <c r="N571" s="46"/>
      <c r="O571" s="46"/>
      <c r="P571" s="183"/>
      <c r="Q571" s="166"/>
      <c r="R571" s="164"/>
      <c r="S571" s="191"/>
      <c r="T571" s="232" t="s">
        <v>826</v>
      </c>
      <c r="U571" s="152"/>
      <c r="V571" s="147"/>
      <c r="W571" s="147"/>
      <c r="X571" s="147"/>
    </row>
    <row r="572" spans="1:24">
      <c r="A572" s="163" t="s">
        <v>827</v>
      </c>
      <c r="B572" s="152"/>
      <c r="C572" s="164"/>
      <c r="D572" s="164"/>
      <c r="E572" s="164"/>
      <c r="F572" s="164"/>
      <c r="G572" s="164"/>
      <c r="H572" s="164"/>
      <c r="I572" s="164"/>
      <c r="J572" s="164"/>
      <c r="K572" s="165"/>
      <c r="L572" s="46"/>
      <c r="M572" s="46"/>
      <c r="N572" s="46"/>
      <c r="O572" s="46"/>
      <c r="P572" s="183"/>
      <c r="Q572" s="166"/>
      <c r="R572" s="164"/>
      <c r="S572" s="191"/>
      <c r="T572" s="232" t="s">
        <v>827</v>
      </c>
      <c r="U572" s="152"/>
      <c r="V572" s="147"/>
      <c r="W572" s="147"/>
      <c r="X572" s="147"/>
    </row>
    <row r="573" spans="1:24">
      <c r="A573" s="163" t="s">
        <v>821</v>
      </c>
      <c r="B573" s="152"/>
      <c r="C573" s="164"/>
      <c r="D573" s="164"/>
      <c r="E573" s="164"/>
      <c r="F573" s="164"/>
      <c r="G573" s="164"/>
      <c r="H573" s="164"/>
      <c r="I573" s="164"/>
      <c r="J573" s="164"/>
      <c r="K573" s="165"/>
      <c r="L573" s="46"/>
      <c r="M573" s="46"/>
      <c r="N573" s="46"/>
      <c r="O573" s="46"/>
      <c r="P573" s="183"/>
      <c r="Q573" s="166"/>
      <c r="R573" s="164"/>
      <c r="S573" s="191"/>
      <c r="T573" s="232" t="s">
        <v>821</v>
      </c>
      <c r="U573" s="152"/>
      <c r="V573" s="147"/>
      <c r="W573" s="147"/>
      <c r="X573" s="147"/>
    </row>
    <row r="574" spans="1:24">
      <c r="A574" s="163" t="s">
        <v>822</v>
      </c>
      <c r="B574" s="152"/>
      <c r="C574" s="164"/>
      <c r="D574" s="164"/>
      <c r="E574" s="164"/>
      <c r="F574" s="164"/>
      <c r="G574" s="164"/>
      <c r="H574" s="164"/>
      <c r="I574" s="164"/>
      <c r="J574" s="164"/>
      <c r="K574" s="165"/>
      <c r="L574" s="46"/>
      <c r="M574" s="46"/>
      <c r="N574" s="46"/>
      <c r="O574" s="46"/>
      <c r="P574" s="183"/>
      <c r="Q574" s="166"/>
      <c r="R574" s="164"/>
      <c r="S574" s="191"/>
      <c r="T574" s="232" t="s">
        <v>822</v>
      </c>
      <c r="U574" s="152"/>
      <c r="V574" s="147"/>
      <c r="W574" s="147"/>
      <c r="X574" s="147"/>
    </row>
    <row r="575" spans="1:24">
      <c r="A575" s="163" t="s">
        <v>823</v>
      </c>
      <c r="B575" s="152"/>
      <c r="C575" s="164"/>
      <c r="D575" s="164"/>
      <c r="E575" s="164"/>
      <c r="F575" s="164"/>
      <c r="G575" s="164"/>
      <c r="H575" s="164"/>
      <c r="I575" s="164"/>
      <c r="J575" s="164"/>
      <c r="K575" s="165"/>
      <c r="L575" s="46"/>
      <c r="M575" s="46"/>
      <c r="N575" s="46"/>
      <c r="O575" s="46"/>
      <c r="P575" s="183"/>
      <c r="Q575" s="166"/>
      <c r="R575" s="169"/>
      <c r="S575" s="194"/>
      <c r="T575" s="232" t="s">
        <v>823</v>
      </c>
      <c r="U575" s="152"/>
      <c r="V575" s="147"/>
      <c r="W575" s="147"/>
      <c r="X575" s="147"/>
    </row>
    <row r="576" spans="1:24">
      <c r="A576" s="163" t="s">
        <v>824</v>
      </c>
      <c r="B576" s="152"/>
      <c r="C576" s="164"/>
      <c r="D576" s="164"/>
      <c r="E576" s="164"/>
      <c r="F576" s="164"/>
      <c r="G576" s="164"/>
      <c r="H576" s="164"/>
      <c r="I576" s="164"/>
      <c r="J576" s="164"/>
      <c r="K576" s="165"/>
      <c r="L576" s="46"/>
      <c r="M576" s="46"/>
      <c r="N576" s="46"/>
      <c r="O576" s="46"/>
      <c r="P576" s="183"/>
      <c r="Q576" s="166"/>
      <c r="R576" s="169"/>
      <c r="S576" s="194"/>
      <c r="T576" s="232" t="s">
        <v>824</v>
      </c>
      <c r="U576" s="152"/>
      <c r="V576" s="147"/>
      <c r="W576" s="147"/>
      <c r="X576" s="147"/>
    </row>
    <row r="577" spans="1:71">
      <c r="A577" s="163" t="s">
        <v>825</v>
      </c>
      <c r="B577" s="152"/>
      <c r="C577" s="164"/>
      <c r="D577" s="164"/>
      <c r="E577" s="164"/>
      <c r="F577" s="164"/>
      <c r="G577" s="164"/>
      <c r="H577" s="164"/>
      <c r="I577" s="164"/>
      <c r="J577" s="164"/>
      <c r="K577" s="165"/>
      <c r="L577" s="46"/>
      <c r="M577" s="46"/>
      <c r="N577" s="46"/>
      <c r="O577" s="46"/>
      <c r="P577" s="183"/>
      <c r="Q577" s="166"/>
      <c r="R577" s="169"/>
      <c r="S577" s="194"/>
      <c r="T577" s="232" t="s">
        <v>825</v>
      </c>
      <c r="U577" s="152"/>
      <c r="V577" s="147"/>
      <c r="W577" s="147"/>
      <c r="X577" s="147"/>
    </row>
    <row r="578" spans="1:71">
      <c r="A578" s="163" t="s">
        <v>826</v>
      </c>
      <c r="B578" s="152"/>
      <c r="C578" s="164"/>
      <c r="D578" s="164"/>
      <c r="E578" s="164"/>
      <c r="F578" s="164"/>
      <c r="G578" s="164"/>
      <c r="H578" s="164"/>
      <c r="I578" s="164"/>
      <c r="J578" s="164"/>
      <c r="K578" s="165"/>
      <c r="L578" s="46"/>
      <c r="M578" s="46"/>
      <c r="N578" s="46"/>
      <c r="O578" s="46"/>
      <c r="P578" s="183"/>
      <c r="Q578" s="166"/>
      <c r="R578" s="169"/>
      <c r="S578" s="194"/>
      <c r="T578" s="232" t="s">
        <v>826</v>
      </c>
      <c r="U578" s="152"/>
      <c r="V578" s="147"/>
      <c r="W578" s="147"/>
      <c r="X578" s="147"/>
    </row>
    <row r="579" spans="1:71" ht="15.75" thickBot="1">
      <c r="A579" s="163" t="s">
        <v>827</v>
      </c>
      <c r="B579" s="152"/>
      <c r="C579" s="164"/>
      <c r="D579" s="164"/>
      <c r="E579" s="164"/>
      <c r="F579" s="164"/>
      <c r="G579" s="164"/>
      <c r="H579" s="164"/>
      <c r="I579" s="164"/>
      <c r="J579" s="164"/>
      <c r="K579" s="165"/>
      <c r="L579" s="46"/>
      <c r="M579" s="46"/>
      <c r="N579" s="46"/>
      <c r="O579" s="46"/>
      <c r="P579" s="183"/>
      <c r="Q579" s="166"/>
      <c r="R579" s="212"/>
      <c r="S579" s="194"/>
      <c r="T579" s="232" t="s">
        <v>827</v>
      </c>
      <c r="U579" s="152"/>
      <c r="V579" s="147"/>
      <c r="W579" s="147"/>
      <c r="X579" s="147"/>
    </row>
    <row r="580" spans="1:71" ht="16.5" thickBot="1">
      <c r="A580" s="195"/>
      <c r="B580" s="176">
        <f>SUM(C580:S580)+U580</f>
        <v>0</v>
      </c>
      <c r="C580" s="177">
        <f>SUM(C566:C579)</f>
        <v>0</v>
      </c>
      <c r="D580" s="177">
        <f>SUM(D566:D579)</f>
        <v>0</v>
      </c>
      <c r="E580" s="177">
        <f>SUM(E566:E579)</f>
        <v>0</v>
      </c>
      <c r="F580" s="177">
        <f>SUM(F566:F579)</f>
        <v>0</v>
      </c>
      <c r="G580" s="177">
        <f>SUM(G566:G579)</f>
        <v>0</v>
      </c>
      <c r="H580" s="177">
        <f t="shared" ref="H580:S580" si="51">SUM(H566:H579)</f>
        <v>0</v>
      </c>
      <c r="I580" s="177">
        <f t="shared" si="51"/>
        <v>0</v>
      </c>
      <c r="J580" s="177">
        <f t="shared" si="51"/>
        <v>0</v>
      </c>
      <c r="K580" s="177">
        <f t="shared" si="51"/>
        <v>0</v>
      </c>
      <c r="L580" s="197">
        <f t="shared" si="51"/>
        <v>0</v>
      </c>
      <c r="M580" s="197">
        <f t="shared" si="51"/>
        <v>0</v>
      </c>
      <c r="N580" s="197">
        <f t="shared" si="51"/>
        <v>0</v>
      </c>
      <c r="O580" s="197">
        <f t="shared" si="51"/>
        <v>0</v>
      </c>
      <c r="P580" s="197">
        <f t="shared" si="51"/>
        <v>0</v>
      </c>
      <c r="Q580" s="197">
        <f t="shared" si="51"/>
        <v>0</v>
      </c>
      <c r="R580" s="197">
        <f t="shared" si="51"/>
        <v>0</v>
      </c>
      <c r="S580" s="198">
        <f t="shared" si="51"/>
        <v>0</v>
      </c>
      <c r="T580" s="175" t="s">
        <v>791</v>
      </c>
      <c r="U580" s="176">
        <f>SUM(V580:X580)</f>
        <v>0</v>
      </c>
      <c r="V580" s="147">
        <f>SUM(V566:V579)</f>
        <v>0</v>
      </c>
      <c r="W580" s="147">
        <f>SUM(W566:W579)</f>
        <v>0</v>
      </c>
      <c r="X580" s="147">
        <f>SUM(X566:X579)</f>
        <v>0</v>
      </c>
    </row>
    <row r="581" spans="1:71" ht="15.75" thickBot="1"/>
    <row r="582" spans="1:71" ht="15.75" thickBot="1">
      <c r="A582" s="1024" t="s">
        <v>1004</v>
      </c>
      <c r="B582" s="1025"/>
      <c r="C582" s="1025"/>
      <c r="D582" s="1025"/>
      <c r="E582" s="1025"/>
      <c r="F582" s="1025"/>
      <c r="G582" s="1025"/>
      <c r="H582" s="1025"/>
      <c r="I582" s="1025"/>
      <c r="J582" s="1025"/>
      <c r="K582" s="1025"/>
      <c r="L582" s="1025"/>
      <c r="M582" s="1025"/>
      <c r="N582" s="1025"/>
      <c r="O582" s="1025"/>
      <c r="P582" s="1025"/>
      <c r="Q582" s="1025"/>
      <c r="R582" s="1025"/>
      <c r="S582" s="1026"/>
      <c r="T582" s="1024" t="s">
        <v>820</v>
      </c>
      <c r="U582" s="1025"/>
      <c r="V582" s="1025"/>
      <c r="W582" s="1025"/>
      <c r="X582" s="1026"/>
    </row>
    <row r="583" spans="1:71">
      <c r="A583" s="379"/>
      <c r="B583" s="941"/>
      <c r="C583" s="934"/>
      <c r="D583" s="934"/>
      <c r="E583" s="934"/>
      <c r="F583" s="934"/>
      <c r="G583" s="934"/>
      <c r="H583" s="934"/>
      <c r="I583" s="934"/>
      <c r="J583" s="934"/>
      <c r="K583" s="934"/>
      <c r="L583" s="934"/>
      <c r="M583" s="934"/>
      <c r="N583" s="934"/>
      <c r="O583" s="934"/>
      <c r="P583" s="934"/>
      <c r="Q583" s="934"/>
      <c r="R583" s="934"/>
      <c r="S583" s="934"/>
      <c r="T583" s="228"/>
      <c r="U583" s="247"/>
      <c r="V583" s="369"/>
      <c r="W583" s="369"/>
      <c r="X583" s="369"/>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c r="BR583" s="42"/>
      <c r="BS583" s="42"/>
    </row>
    <row r="584" spans="1:71">
      <c r="A584" s="185" t="s">
        <v>821</v>
      </c>
      <c r="B584" s="17"/>
      <c r="C584" s="164"/>
      <c r="D584" s="186"/>
      <c r="E584" s="187"/>
      <c r="F584" s="188"/>
      <c r="G584" s="164"/>
      <c r="H584" s="164"/>
      <c r="I584" s="164"/>
      <c r="J584" s="164"/>
      <c r="K584" s="164"/>
      <c r="L584" s="164"/>
      <c r="M584" s="164"/>
      <c r="N584" s="164"/>
      <c r="O584" s="164"/>
      <c r="P584" s="164"/>
      <c r="Q584" s="164"/>
      <c r="R584" s="165"/>
      <c r="S584" s="167"/>
      <c r="T584" s="232" t="s">
        <v>821</v>
      </c>
      <c r="U584" s="152"/>
      <c r="V584" s="147"/>
      <c r="W584" s="147"/>
      <c r="X584" s="147"/>
    </row>
    <row r="585" spans="1:71">
      <c r="A585" s="185" t="s">
        <v>822</v>
      </c>
      <c r="B585" s="17"/>
      <c r="C585" s="168"/>
      <c r="D585" s="164"/>
      <c r="E585" s="164"/>
      <c r="F585" s="164"/>
      <c r="G585" s="164"/>
      <c r="H585" s="164"/>
      <c r="I585" s="164"/>
      <c r="J585" s="164"/>
      <c r="K585" s="164"/>
      <c r="L585" s="164"/>
      <c r="M585" s="164"/>
      <c r="N585" s="164"/>
      <c r="O585" s="164"/>
      <c r="P585" s="164"/>
      <c r="Q585" s="164"/>
      <c r="R585" s="165"/>
      <c r="S585" s="167"/>
      <c r="T585" s="232" t="s">
        <v>822</v>
      </c>
      <c r="U585" s="152"/>
      <c r="V585" s="147"/>
      <c r="W585" s="147"/>
      <c r="X585" s="147"/>
    </row>
    <row r="586" spans="1:71">
      <c r="A586" s="185" t="s">
        <v>823</v>
      </c>
      <c r="B586" s="17"/>
      <c r="C586" s="168"/>
      <c r="D586" s="164"/>
      <c r="E586" s="164"/>
      <c r="F586" s="164"/>
      <c r="G586" s="164"/>
      <c r="H586" s="164"/>
      <c r="I586" s="164"/>
      <c r="J586" s="164"/>
      <c r="K586" s="164"/>
      <c r="L586" s="164"/>
      <c r="M586" s="164"/>
      <c r="N586" s="164"/>
      <c r="O586" s="164"/>
      <c r="P586" s="164"/>
      <c r="Q586" s="164"/>
      <c r="R586" s="165"/>
      <c r="S586" s="164"/>
      <c r="T586" s="232" t="s">
        <v>823</v>
      </c>
      <c r="U586" s="152"/>
      <c r="V586" s="147"/>
      <c r="W586" s="147"/>
      <c r="X586" s="147"/>
    </row>
    <row r="587" spans="1:71">
      <c r="A587" s="192" t="s">
        <v>824</v>
      </c>
      <c r="B587" s="17"/>
      <c r="C587" s="168"/>
      <c r="D587" s="164"/>
      <c r="E587" s="164"/>
      <c r="F587" s="164"/>
      <c r="G587" s="164"/>
      <c r="H587" s="164"/>
      <c r="I587" s="164"/>
      <c r="J587" s="164"/>
      <c r="K587" s="164"/>
      <c r="L587" s="164"/>
      <c r="M587" s="193"/>
      <c r="N587" s="164"/>
      <c r="O587" s="164"/>
      <c r="P587" s="164"/>
      <c r="Q587" s="164"/>
      <c r="R587" s="165"/>
      <c r="S587" s="164"/>
      <c r="T587" s="232" t="s">
        <v>824</v>
      </c>
      <c r="U587" s="152"/>
      <c r="V587" s="147"/>
      <c r="W587" s="147"/>
      <c r="X587" s="147"/>
    </row>
    <row r="588" spans="1:71">
      <c r="A588" s="163" t="s">
        <v>825</v>
      </c>
      <c r="B588" s="17"/>
      <c r="C588" s="168"/>
      <c r="D588" s="164"/>
      <c r="E588" s="164"/>
      <c r="F588" s="164"/>
      <c r="G588" s="164"/>
      <c r="H588" s="164"/>
      <c r="I588" s="164"/>
      <c r="J588" s="164"/>
      <c r="K588" s="164"/>
      <c r="L588" s="164"/>
      <c r="M588" s="193"/>
      <c r="N588" s="164"/>
      <c r="O588" s="164"/>
      <c r="P588" s="164"/>
      <c r="Q588" s="164"/>
      <c r="R588" s="165"/>
      <c r="S588" s="164"/>
      <c r="T588" s="232" t="s">
        <v>825</v>
      </c>
      <c r="U588" s="152"/>
      <c r="V588" s="147"/>
      <c r="W588" s="147"/>
      <c r="X588" s="147"/>
    </row>
    <row r="589" spans="1:71">
      <c r="A589" s="163" t="s">
        <v>826</v>
      </c>
      <c r="B589" s="17"/>
      <c r="C589" s="168"/>
      <c r="D589" s="164"/>
      <c r="E589" s="164"/>
      <c r="F589" s="164"/>
      <c r="G589" s="164"/>
      <c r="H589" s="164"/>
      <c r="I589" s="164"/>
      <c r="J589" s="164"/>
      <c r="K589" s="164"/>
      <c r="L589" s="164"/>
      <c r="M589" s="164"/>
      <c r="N589" s="164"/>
      <c r="O589" s="164"/>
      <c r="P589" s="164"/>
      <c r="Q589" s="164"/>
      <c r="R589" s="165"/>
      <c r="S589" s="164"/>
      <c r="T589" s="232" t="s">
        <v>826</v>
      </c>
      <c r="U589" s="152"/>
      <c r="V589" s="147"/>
      <c r="W589" s="147"/>
      <c r="X589" s="147"/>
    </row>
    <row r="590" spans="1:71">
      <c r="A590" s="163" t="s">
        <v>827</v>
      </c>
      <c r="B590" s="17"/>
      <c r="C590" s="168"/>
      <c r="D590" s="164"/>
      <c r="E590" s="164"/>
      <c r="F590" s="164"/>
      <c r="G590" s="164"/>
      <c r="H590" s="164"/>
      <c r="I590" s="164"/>
      <c r="J590" s="164"/>
      <c r="K590" s="164"/>
      <c r="L590" s="164"/>
      <c r="M590" s="164"/>
      <c r="N590" s="164"/>
      <c r="O590" s="164"/>
      <c r="P590" s="164"/>
      <c r="Q590" s="164"/>
      <c r="R590" s="165"/>
      <c r="S590" s="164"/>
      <c r="T590" s="232" t="s">
        <v>827</v>
      </c>
      <c r="U590" s="152"/>
      <c r="V590" s="147"/>
      <c r="W590" s="147"/>
      <c r="X590" s="147"/>
    </row>
    <row r="591" spans="1:71">
      <c r="A591" s="163" t="s">
        <v>821</v>
      </c>
      <c r="B591" s="17"/>
      <c r="C591" s="168"/>
      <c r="D591" s="164"/>
      <c r="E591" s="164"/>
      <c r="F591" s="164"/>
      <c r="G591" s="164"/>
      <c r="H591" s="164"/>
      <c r="I591" s="164"/>
      <c r="J591" s="164"/>
      <c r="K591" s="164"/>
      <c r="L591" s="164"/>
      <c r="M591" s="164"/>
      <c r="N591" s="164"/>
      <c r="O591" s="164"/>
      <c r="P591" s="164"/>
      <c r="Q591" s="164"/>
      <c r="R591" s="165"/>
      <c r="S591" s="164"/>
      <c r="T591" s="232" t="s">
        <v>821</v>
      </c>
      <c r="U591" s="152"/>
      <c r="V591" s="147"/>
      <c r="W591" s="147"/>
      <c r="X591" s="147"/>
    </row>
    <row r="592" spans="1:71">
      <c r="A592" s="163" t="s">
        <v>822</v>
      </c>
      <c r="B592" s="17"/>
      <c r="C592" s="168"/>
      <c r="D592" s="164"/>
      <c r="E592" s="164"/>
      <c r="F592" s="164"/>
      <c r="G592" s="164"/>
      <c r="H592" s="164"/>
      <c r="I592" s="164"/>
      <c r="J592" s="164"/>
      <c r="K592" s="164"/>
      <c r="L592" s="164"/>
      <c r="M592" s="164"/>
      <c r="N592" s="164"/>
      <c r="O592" s="164"/>
      <c r="P592" s="164"/>
      <c r="Q592" s="164"/>
      <c r="R592" s="165"/>
      <c r="S592" s="164"/>
      <c r="T592" s="232" t="s">
        <v>822</v>
      </c>
      <c r="U592" s="152"/>
      <c r="V592" s="147"/>
      <c r="W592" s="147"/>
      <c r="X592" s="147"/>
    </row>
    <row r="593" spans="1:25">
      <c r="A593" s="163" t="s">
        <v>823</v>
      </c>
      <c r="B593" s="17"/>
      <c r="C593" s="168"/>
      <c r="D593" s="164"/>
      <c r="E593" s="164"/>
      <c r="F593" s="169"/>
      <c r="G593" s="164"/>
      <c r="H593" s="169"/>
      <c r="I593" s="169"/>
      <c r="J593" s="169"/>
      <c r="K593" s="169"/>
      <c r="L593" s="169"/>
      <c r="M593" s="169"/>
      <c r="N593" s="164"/>
      <c r="O593" s="169"/>
      <c r="P593" s="169"/>
      <c r="Q593" s="169"/>
      <c r="R593" s="170"/>
      <c r="S593" s="164"/>
      <c r="T593" s="232" t="s">
        <v>823</v>
      </c>
      <c r="U593" s="152"/>
      <c r="V593" s="147"/>
      <c r="W593" s="147"/>
      <c r="X593" s="147"/>
    </row>
    <row r="594" spans="1:25">
      <c r="A594" s="163" t="s">
        <v>824</v>
      </c>
      <c r="B594" s="17"/>
      <c r="C594" s="168"/>
      <c r="D594" s="164"/>
      <c r="E594" s="164"/>
      <c r="F594" s="169"/>
      <c r="G594" s="164"/>
      <c r="H594" s="169"/>
      <c r="I594" s="169"/>
      <c r="J594" s="169"/>
      <c r="K594" s="169"/>
      <c r="L594" s="169"/>
      <c r="M594" s="169"/>
      <c r="N594" s="164"/>
      <c r="O594" s="169"/>
      <c r="P594" s="169"/>
      <c r="Q594" s="169"/>
      <c r="R594" s="170"/>
      <c r="S594" s="164"/>
      <c r="T594" s="232" t="s">
        <v>824</v>
      </c>
      <c r="U594" s="152"/>
      <c r="V594" s="147"/>
      <c r="W594" s="147"/>
      <c r="X594" s="147"/>
    </row>
    <row r="595" spans="1:25">
      <c r="A595" s="163" t="s">
        <v>825</v>
      </c>
      <c r="B595" s="17"/>
      <c r="C595" s="168"/>
      <c r="D595" s="164"/>
      <c r="E595" s="164"/>
      <c r="F595" s="169"/>
      <c r="G595" s="164"/>
      <c r="H595" s="169"/>
      <c r="I595" s="169"/>
      <c r="J595" s="169"/>
      <c r="K595" s="169"/>
      <c r="L595" s="169"/>
      <c r="M595" s="169"/>
      <c r="N595" s="164"/>
      <c r="O595" s="169"/>
      <c r="P595" s="169"/>
      <c r="Q595" s="169"/>
      <c r="R595" s="170"/>
      <c r="S595" s="164"/>
      <c r="T595" s="232" t="s">
        <v>825</v>
      </c>
      <c r="U595" s="152"/>
      <c r="V595" s="147"/>
      <c r="W595" s="147"/>
      <c r="X595" s="147"/>
    </row>
    <row r="596" spans="1:25">
      <c r="A596" s="163" t="s">
        <v>826</v>
      </c>
      <c r="B596" s="17"/>
      <c r="C596" s="168"/>
      <c r="D596" s="164"/>
      <c r="E596" s="164"/>
      <c r="F596" s="169"/>
      <c r="G596" s="164"/>
      <c r="H596" s="169"/>
      <c r="I596" s="169"/>
      <c r="J596" s="169"/>
      <c r="K596" s="169"/>
      <c r="L596" s="169"/>
      <c r="M596" s="169"/>
      <c r="N596" s="164"/>
      <c r="O596" s="169"/>
      <c r="P596" s="169"/>
      <c r="Q596" s="169"/>
      <c r="R596" s="170"/>
      <c r="S596" s="164"/>
      <c r="T596" s="232" t="s">
        <v>826</v>
      </c>
      <c r="U596" s="152"/>
      <c r="V596" s="147"/>
      <c r="W596" s="147"/>
      <c r="X596" s="147"/>
    </row>
    <row r="597" spans="1:25" ht="15.75" thickBot="1">
      <c r="A597" s="163" t="s">
        <v>827</v>
      </c>
      <c r="B597" s="17"/>
      <c r="C597" s="168"/>
      <c r="D597" s="164"/>
      <c r="E597" s="164"/>
      <c r="F597" s="169"/>
      <c r="G597" s="164"/>
      <c r="H597" s="169"/>
      <c r="I597" s="169"/>
      <c r="J597" s="169"/>
      <c r="K597" s="169"/>
      <c r="L597" s="169"/>
      <c r="M597" s="169"/>
      <c r="N597" s="164"/>
      <c r="O597" s="169"/>
      <c r="P597" s="169"/>
      <c r="Q597" s="169"/>
      <c r="R597" s="170"/>
      <c r="S597" s="164"/>
      <c r="T597" s="232" t="s">
        <v>827</v>
      </c>
      <c r="U597" s="152"/>
      <c r="V597" s="147"/>
      <c r="W597" s="147"/>
      <c r="X597" s="147"/>
    </row>
    <row r="598" spans="1:25" ht="16.5" thickBot="1">
      <c r="A598" s="171"/>
      <c r="B598" s="172">
        <f>SUM(C598:S598)+U598</f>
        <v>0</v>
      </c>
      <c r="C598" s="173">
        <f>SUM(C584:C597)</f>
        <v>0</v>
      </c>
      <c r="D598" s="173">
        <f t="shared" ref="D598:S598" si="52">SUM(D584:D597)</f>
        <v>0</v>
      </c>
      <c r="E598" s="173">
        <f t="shared" si="52"/>
        <v>0</v>
      </c>
      <c r="F598" s="173">
        <f t="shared" si="52"/>
        <v>0</v>
      </c>
      <c r="G598" s="173">
        <f t="shared" si="52"/>
        <v>0</v>
      </c>
      <c r="H598" s="173">
        <f t="shared" si="52"/>
        <v>0</v>
      </c>
      <c r="I598" s="173">
        <f t="shared" si="52"/>
        <v>0</v>
      </c>
      <c r="J598" s="173">
        <f t="shared" si="52"/>
        <v>0</v>
      </c>
      <c r="K598" s="173">
        <f t="shared" si="52"/>
        <v>0</v>
      </c>
      <c r="L598" s="173">
        <f t="shared" si="52"/>
        <v>0</v>
      </c>
      <c r="M598" s="173">
        <f t="shared" si="52"/>
        <v>0</v>
      </c>
      <c r="N598" s="173">
        <f t="shared" si="52"/>
        <v>0</v>
      </c>
      <c r="O598" s="173">
        <f t="shared" si="52"/>
        <v>0</v>
      </c>
      <c r="P598" s="173">
        <f t="shared" si="52"/>
        <v>0</v>
      </c>
      <c r="Q598" s="173">
        <f t="shared" si="52"/>
        <v>0</v>
      </c>
      <c r="R598" s="173">
        <f t="shared" si="52"/>
        <v>0</v>
      </c>
      <c r="S598" s="173">
        <f t="shared" si="52"/>
        <v>0</v>
      </c>
      <c r="T598" s="175" t="s">
        <v>791</v>
      </c>
      <c r="U598" s="176">
        <f>SUM(V598:X598)</f>
        <v>0</v>
      </c>
      <c r="V598" s="147">
        <f>SUM(V584:V597)</f>
        <v>0</v>
      </c>
      <c r="W598" s="147">
        <f>SUM(W584:W597)</f>
        <v>0</v>
      </c>
      <c r="X598" s="147">
        <f>SUM(X584:X597)</f>
        <v>0</v>
      </c>
    </row>
    <row r="599" spans="1:25" ht="15.75" thickBot="1">
      <c r="A599" s="65"/>
      <c r="B599" s="65"/>
      <c r="C599" s="65"/>
      <c r="D599" s="65"/>
      <c r="E599" s="65"/>
      <c r="F599" s="65"/>
      <c r="G599" s="65"/>
      <c r="H599" s="65"/>
      <c r="I599" s="65"/>
      <c r="J599" s="65"/>
      <c r="K599" s="65"/>
      <c r="L599" s="65"/>
      <c r="M599" s="65"/>
      <c r="N599" s="65"/>
    </row>
    <row r="600" spans="1:25" ht="15.75" thickBot="1">
      <c r="A600" s="1044" t="s">
        <v>651</v>
      </c>
      <c r="B600" s="1045"/>
      <c r="C600" s="1045"/>
      <c r="D600" s="1045"/>
      <c r="E600" s="1045"/>
      <c r="F600" s="1045"/>
      <c r="G600" s="1045"/>
      <c r="H600" s="1045"/>
      <c r="I600" s="1045"/>
      <c r="J600" s="1045"/>
      <c r="K600" s="1045"/>
      <c r="L600" s="1045"/>
      <c r="M600" s="1045"/>
      <c r="N600" s="1045"/>
      <c r="O600" s="1045"/>
      <c r="P600" s="1045"/>
      <c r="Q600" s="1045"/>
      <c r="R600" s="1045"/>
      <c r="S600" s="1045"/>
      <c r="T600" s="1025" t="s">
        <v>820</v>
      </c>
      <c r="U600" s="1025"/>
      <c r="V600" s="1025"/>
      <c r="W600" s="1025"/>
      <c r="X600" s="1025"/>
      <c r="Y600" s="384"/>
    </row>
    <row r="601" spans="1:25">
      <c r="A601" s="155"/>
      <c r="B601" s="941"/>
      <c r="C601" s="932"/>
      <c r="D601" s="932"/>
      <c r="E601" s="182"/>
      <c r="F601" s="182"/>
      <c r="G601" s="932"/>
      <c r="H601" s="932"/>
      <c r="I601" s="934"/>
      <c r="J601" s="934"/>
      <c r="K601" s="157"/>
      <c r="L601" s="157"/>
      <c r="M601" s="157"/>
      <c r="N601" s="157"/>
      <c r="O601" s="157"/>
      <c r="P601" s="157"/>
      <c r="Q601" s="157"/>
      <c r="R601" s="158"/>
      <c r="S601" s="157"/>
      <c r="T601" s="228"/>
      <c r="U601" s="247"/>
      <c r="V601" s="369"/>
      <c r="W601" s="369"/>
      <c r="X601" s="369"/>
    </row>
    <row r="602" spans="1:25">
      <c r="A602" s="163" t="s">
        <v>821</v>
      </c>
      <c r="B602" s="17"/>
      <c r="C602" s="164"/>
      <c r="D602" s="186"/>
      <c r="E602" s="187"/>
      <c r="F602" s="188"/>
      <c r="G602" s="164"/>
      <c r="H602" s="164"/>
      <c r="I602" s="164"/>
      <c r="J602" s="164"/>
      <c r="K602" s="164"/>
      <c r="L602" s="164"/>
      <c r="M602" s="164"/>
      <c r="N602" s="164"/>
      <c r="O602" s="164"/>
      <c r="P602" s="164"/>
      <c r="Q602" s="164"/>
      <c r="R602" s="165"/>
      <c r="S602" s="167"/>
      <c r="T602" s="232" t="s">
        <v>821</v>
      </c>
      <c r="U602" s="152"/>
      <c r="V602" s="147"/>
      <c r="W602" s="147"/>
      <c r="X602" s="147"/>
    </row>
    <row r="603" spans="1:25">
      <c r="A603" s="163" t="s">
        <v>822</v>
      </c>
      <c r="B603" s="17"/>
      <c r="C603" s="168"/>
      <c r="D603" s="164"/>
      <c r="E603" s="164"/>
      <c r="F603" s="164"/>
      <c r="G603" s="164"/>
      <c r="H603" s="164"/>
      <c r="I603" s="164"/>
      <c r="J603" s="164"/>
      <c r="K603" s="164"/>
      <c r="L603" s="164"/>
      <c r="M603" s="164"/>
      <c r="N603" s="164"/>
      <c r="O603" s="164"/>
      <c r="P603" s="164"/>
      <c r="Q603" s="164"/>
      <c r="R603" s="165"/>
      <c r="S603" s="167"/>
      <c r="T603" s="232" t="s">
        <v>822</v>
      </c>
      <c r="U603" s="152"/>
      <c r="V603" s="147"/>
      <c r="W603" s="147"/>
      <c r="X603" s="147"/>
    </row>
    <row r="604" spans="1:25">
      <c r="A604" s="163" t="s">
        <v>823</v>
      </c>
      <c r="B604" s="17"/>
      <c r="C604" s="168"/>
      <c r="D604" s="164"/>
      <c r="E604" s="164"/>
      <c r="F604" s="164"/>
      <c r="G604" s="164"/>
      <c r="H604" s="164"/>
      <c r="I604" s="164"/>
      <c r="J604" s="164"/>
      <c r="K604" s="164"/>
      <c r="L604" s="164"/>
      <c r="M604" s="164"/>
      <c r="N604" s="164"/>
      <c r="O604" s="164"/>
      <c r="P604" s="164"/>
      <c r="Q604" s="164"/>
      <c r="R604" s="165"/>
      <c r="S604" s="164"/>
      <c r="T604" s="232" t="s">
        <v>823</v>
      </c>
      <c r="U604" s="152"/>
      <c r="V604" s="147"/>
      <c r="W604" s="147"/>
      <c r="X604" s="147"/>
    </row>
    <row r="605" spans="1:25">
      <c r="A605" s="163" t="s">
        <v>824</v>
      </c>
      <c r="B605" s="17"/>
      <c r="C605" s="168"/>
      <c r="D605" s="164"/>
      <c r="E605" s="164"/>
      <c r="F605" s="164"/>
      <c r="G605" s="164"/>
      <c r="H605" s="164"/>
      <c r="I605" s="164"/>
      <c r="J605" s="164"/>
      <c r="K605" s="164"/>
      <c r="L605" s="164"/>
      <c r="M605" s="164"/>
      <c r="N605" s="164"/>
      <c r="O605" s="164"/>
      <c r="P605" s="164"/>
      <c r="Q605" s="164"/>
      <c r="R605" s="165"/>
      <c r="S605" s="164"/>
      <c r="T605" s="232" t="s">
        <v>824</v>
      </c>
      <c r="U605" s="152"/>
      <c r="V605" s="147"/>
      <c r="W605" s="147"/>
      <c r="X605" s="147"/>
    </row>
    <row r="606" spans="1:25">
      <c r="A606" s="163" t="s">
        <v>825</v>
      </c>
      <c r="B606" s="17"/>
      <c r="C606" s="168"/>
      <c r="D606" s="164"/>
      <c r="E606" s="164"/>
      <c r="F606" s="164"/>
      <c r="G606" s="164"/>
      <c r="H606" s="164"/>
      <c r="I606" s="164"/>
      <c r="J606" s="164"/>
      <c r="K606" s="164"/>
      <c r="L606" s="164"/>
      <c r="M606" s="164"/>
      <c r="N606" s="164"/>
      <c r="O606" s="164"/>
      <c r="P606" s="164"/>
      <c r="Q606" s="164"/>
      <c r="R606" s="165"/>
      <c r="S606" s="164"/>
      <c r="T606" s="232" t="s">
        <v>825</v>
      </c>
      <c r="U606" s="152"/>
      <c r="V606" s="147"/>
      <c r="W606" s="147"/>
      <c r="X606" s="147"/>
    </row>
    <row r="607" spans="1:25">
      <c r="A607" s="163" t="s">
        <v>826</v>
      </c>
      <c r="B607" s="17"/>
      <c r="C607" s="168"/>
      <c r="D607" s="164"/>
      <c r="E607" s="164"/>
      <c r="F607" s="164"/>
      <c r="G607" s="164"/>
      <c r="H607" s="164"/>
      <c r="I607" s="164"/>
      <c r="J607" s="164"/>
      <c r="K607" s="164"/>
      <c r="L607" s="164"/>
      <c r="M607" s="164"/>
      <c r="N607" s="164"/>
      <c r="O607" s="164"/>
      <c r="P607" s="164"/>
      <c r="Q607" s="164"/>
      <c r="R607" s="165"/>
      <c r="S607" s="164"/>
      <c r="T607" s="232" t="s">
        <v>826</v>
      </c>
      <c r="U607" s="152"/>
      <c r="V607" s="147"/>
      <c r="W607" s="147"/>
      <c r="X607" s="147"/>
    </row>
    <row r="608" spans="1:25">
      <c r="A608" s="163" t="s">
        <v>827</v>
      </c>
      <c r="B608" s="17"/>
      <c r="C608" s="168"/>
      <c r="D608" s="164"/>
      <c r="E608" s="164"/>
      <c r="F608" s="164"/>
      <c r="G608" s="164"/>
      <c r="H608" s="164"/>
      <c r="I608" s="164"/>
      <c r="J608" s="164"/>
      <c r="K608" s="164"/>
      <c r="L608" s="164"/>
      <c r="M608" s="164"/>
      <c r="N608" s="164"/>
      <c r="O608" s="164"/>
      <c r="P608" s="164"/>
      <c r="Q608" s="164"/>
      <c r="R608" s="165"/>
      <c r="S608" s="164"/>
      <c r="T608" s="232" t="s">
        <v>827</v>
      </c>
      <c r="U608" s="152"/>
      <c r="V608" s="147"/>
      <c r="W608" s="147"/>
      <c r="X608" s="147"/>
    </row>
    <row r="609" spans="1:25">
      <c r="A609" s="163" t="s">
        <v>821</v>
      </c>
      <c r="B609" s="17"/>
      <c r="C609" s="168"/>
      <c r="D609" s="164"/>
      <c r="E609" s="164"/>
      <c r="F609" s="164"/>
      <c r="G609" s="164"/>
      <c r="H609" s="164"/>
      <c r="I609" s="164"/>
      <c r="J609" s="164"/>
      <c r="K609" s="164"/>
      <c r="L609" s="164"/>
      <c r="M609" s="164"/>
      <c r="N609" s="164"/>
      <c r="O609" s="164"/>
      <c r="P609" s="164"/>
      <c r="Q609" s="164"/>
      <c r="R609" s="165"/>
      <c r="S609" s="164"/>
      <c r="T609" s="232" t="s">
        <v>821</v>
      </c>
      <c r="U609" s="152"/>
      <c r="V609" s="147"/>
      <c r="W609" s="147"/>
      <c r="X609" s="147"/>
    </row>
    <row r="610" spans="1:25">
      <c r="A610" s="163" t="s">
        <v>822</v>
      </c>
      <c r="B610" s="17"/>
      <c r="C610" s="168"/>
      <c r="D610" s="164"/>
      <c r="E610" s="164"/>
      <c r="F610" s="164"/>
      <c r="G610" s="164"/>
      <c r="H610" s="164"/>
      <c r="I610" s="164"/>
      <c r="J610" s="164"/>
      <c r="K610" s="164"/>
      <c r="L610" s="164"/>
      <c r="M610" s="164"/>
      <c r="N610" s="164"/>
      <c r="O610" s="164"/>
      <c r="P610" s="164"/>
      <c r="Q610" s="164"/>
      <c r="R610" s="165"/>
      <c r="S610" s="164"/>
      <c r="T610" s="232" t="s">
        <v>822</v>
      </c>
      <c r="U610" s="152"/>
      <c r="V610" s="147"/>
      <c r="W610" s="147"/>
      <c r="X610" s="147"/>
    </row>
    <row r="611" spans="1:25">
      <c r="A611" s="163" t="s">
        <v>823</v>
      </c>
      <c r="B611" s="17"/>
      <c r="C611" s="168"/>
      <c r="D611" s="164"/>
      <c r="E611" s="164"/>
      <c r="F611" s="169"/>
      <c r="G611" s="164"/>
      <c r="H611" s="164"/>
      <c r="I611" s="169"/>
      <c r="J611" s="169"/>
      <c r="K611" s="169"/>
      <c r="L611" s="169"/>
      <c r="M611" s="169"/>
      <c r="N611" s="169"/>
      <c r="O611" s="169"/>
      <c r="P611" s="169"/>
      <c r="Q611" s="169"/>
      <c r="R611" s="170"/>
      <c r="S611" s="164"/>
      <c r="T611" s="232" t="s">
        <v>823</v>
      </c>
      <c r="U611" s="152"/>
      <c r="V611" s="147"/>
      <c r="W611" s="147"/>
      <c r="X611" s="147"/>
    </row>
    <row r="612" spans="1:25">
      <c r="A612" s="163" t="s">
        <v>824</v>
      </c>
      <c r="B612" s="17"/>
      <c r="C612" s="168"/>
      <c r="D612" s="164"/>
      <c r="E612" s="164"/>
      <c r="F612" s="169"/>
      <c r="G612" s="164"/>
      <c r="H612" s="164"/>
      <c r="I612" s="169"/>
      <c r="J612" s="169"/>
      <c r="K612" s="169"/>
      <c r="L612" s="169"/>
      <c r="M612" s="169"/>
      <c r="N612" s="169"/>
      <c r="O612" s="169"/>
      <c r="P612" s="169"/>
      <c r="Q612" s="169"/>
      <c r="R612" s="170"/>
      <c r="S612" s="164"/>
      <c r="T612" s="232" t="s">
        <v>824</v>
      </c>
      <c r="U612" s="152"/>
      <c r="V612" s="147"/>
      <c r="W612" s="147"/>
      <c r="X612" s="147"/>
    </row>
    <row r="613" spans="1:25">
      <c r="A613" s="163" t="s">
        <v>825</v>
      </c>
      <c r="B613" s="17"/>
      <c r="C613" s="168"/>
      <c r="D613" s="164"/>
      <c r="E613" s="164"/>
      <c r="F613" s="169"/>
      <c r="G613" s="164"/>
      <c r="H613" s="164"/>
      <c r="I613" s="169"/>
      <c r="J613" s="169"/>
      <c r="K613" s="169"/>
      <c r="L613" s="169"/>
      <c r="M613" s="169"/>
      <c r="N613" s="169"/>
      <c r="O613" s="169"/>
      <c r="P613" s="169"/>
      <c r="Q613" s="169"/>
      <c r="R613" s="170"/>
      <c r="S613" s="164"/>
      <c r="T613" s="232" t="s">
        <v>825</v>
      </c>
      <c r="U613" s="152"/>
      <c r="V613" s="147"/>
      <c r="W613" s="147"/>
      <c r="X613" s="147"/>
    </row>
    <row r="614" spans="1:25">
      <c r="A614" s="163" t="s">
        <v>826</v>
      </c>
      <c r="B614" s="17"/>
      <c r="C614" s="168"/>
      <c r="D614" s="164"/>
      <c r="E614" s="164"/>
      <c r="F614" s="169"/>
      <c r="G614" s="164"/>
      <c r="H614" s="164"/>
      <c r="I614" s="169"/>
      <c r="J614" s="169"/>
      <c r="K614" s="169"/>
      <c r="L614" s="169"/>
      <c r="M614" s="169"/>
      <c r="N614" s="169"/>
      <c r="O614" s="169"/>
      <c r="P614" s="169"/>
      <c r="Q614" s="169"/>
      <c r="R614" s="170"/>
      <c r="S614" s="164"/>
      <c r="T614" s="232" t="s">
        <v>826</v>
      </c>
      <c r="U614" s="152"/>
      <c r="V614" s="147"/>
      <c r="W614" s="147"/>
      <c r="X614" s="147"/>
    </row>
    <row r="615" spans="1:25" ht="15.75" thickBot="1">
      <c r="A615" s="163" t="s">
        <v>827</v>
      </c>
      <c r="B615" s="17"/>
      <c r="C615" s="168"/>
      <c r="D615" s="164"/>
      <c r="E615" s="164"/>
      <c r="F615" s="169"/>
      <c r="G615" s="164"/>
      <c r="H615" s="164"/>
      <c r="I615" s="169"/>
      <c r="J615" s="169"/>
      <c r="K615" s="169"/>
      <c r="L615" s="169"/>
      <c r="M615" s="169"/>
      <c r="N615" s="169"/>
      <c r="O615" s="169"/>
      <c r="P615" s="169"/>
      <c r="Q615" s="169"/>
      <c r="R615" s="170"/>
      <c r="S615" s="164"/>
      <c r="T615" s="232" t="s">
        <v>827</v>
      </c>
      <c r="U615" s="152"/>
      <c r="V615" s="147"/>
      <c r="W615" s="147"/>
      <c r="X615" s="147"/>
    </row>
    <row r="616" spans="1:25" ht="16.5" thickBot="1">
      <c r="A616" s="171"/>
      <c r="B616" s="172">
        <f>SUM(C616:S616)+U616</f>
        <v>0</v>
      </c>
      <c r="C616" s="173">
        <f t="shared" ref="C616:H616" si="53">SUM(C602:C615)</f>
        <v>0</v>
      </c>
      <c r="D616" s="173">
        <f t="shared" si="53"/>
        <v>0</v>
      </c>
      <c r="E616" s="173">
        <f t="shared" si="53"/>
        <v>0</v>
      </c>
      <c r="F616" s="173">
        <f t="shared" si="53"/>
        <v>0</v>
      </c>
      <c r="G616" s="173">
        <f t="shared" si="53"/>
        <v>0</v>
      </c>
      <c r="H616" s="173">
        <f t="shared" si="53"/>
        <v>0</v>
      </c>
      <c r="I616" s="173">
        <f t="shared" ref="I616:S616" si="54">SUM(I602:I615)</f>
        <v>0</v>
      </c>
      <c r="J616" s="173">
        <f t="shared" si="54"/>
        <v>0</v>
      </c>
      <c r="K616" s="173">
        <f t="shared" si="54"/>
        <v>0</v>
      </c>
      <c r="L616" s="173">
        <f t="shared" si="54"/>
        <v>0</v>
      </c>
      <c r="M616" s="173">
        <f t="shared" si="54"/>
        <v>0</v>
      </c>
      <c r="N616" s="173">
        <f t="shared" si="54"/>
        <v>0</v>
      </c>
      <c r="O616" s="173">
        <f t="shared" si="54"/>
        <v>0</v>
      </c>
      <c r="P616" s="173">
        <f t="shared" si="54"/>
        <v>0</v>
      </c>
      <c r="Q616" s="173">
        <f t="shared" si="54"/>
        <v>0</v>
      </c>
      <c r="R616" s="174">
        <f t="shared" si="54"/>
        <v>0</v>
      </c>
      <c r="S616" s="164">
        <f t="shared" si="54"/>
        <v>0</v>
      </c>
      <c r="T616" s="175" t="s">
        <v>791</v>
      </c>
      <c r="U616" s="176">
        <f>SUM(V616:X616)</f>
        <v>0</v>
      </c>
      <c r="V616" s="147">
        <f>SUM(V602:V615)</f>
        <v>0</v>
      </c>
      <c r="W616" s="147">
        <f>SUM(W602:W615)</f>
        <v>0</v>
      </c>
      <c r="X616" s="147">
        <f>SUM(X602:X615)</f>
        <v>0</v>
      </c>
    </row>
    <row r="617" spans="1:25" ht="15.75" thickBot="1">
      <c r="A617" s="65"/>
      <c r="B617" s="65"/>
      <c r="C617" s="65"/>
      <c r="D617" s="65"/>
      <c r="E617" s="65"/>
      <c r="F617" s="65"/>
      <c r="G617" s="65"/>
      <c r="H617" s="65"/>
      <c r="I617" s="65"/>
      <c r="J617" s="65"/>
      <c r="K617" s="65"/>
      <c r="L617" s="65"/>
      <c r="M617" s="65"/>
      <c r="N617" s="65"/>
    </row>
    <row r="618" spans="1:25" ht="15.75" thickBot="1">
      <c r="A618" s="1024" t="s">
        <v>1005</v>
      </c>
      <c r="B618" s="1025"/>
      <c r="C618" s="1025"/>
      <c r="D618" s="1025"/>
      <c r="E618" s="1025"/>
      <c r="F618" s="1025"/>
      <c r="G618" s="1025"/>
      <c r="H618" s="1025"/>
      <c r="I618" s="1025"/>
      <c r="J618" s="1025"/>
      <c r="K618" s="1025"/>
      <c r="L618" s="1025"/>
      <c r="M618" s="1025"/>
      <c r="N618" s="1025"/>
      <c r="O618" s="1025"/>
      <c r="P618" s="1025"/>
      <c r="Q618" s="1025"/>
      <c r="R618" s="1025"/>
      <c r="S618" s="1025"/>
      <c r="T618" s="1025" t="s">
        <v>820</v>
      </c>
      <c r="U618" s="1025"/>
      <c r="V618" s="1025"/>
      <c r="W618" s="1025"/>
      <c r="X618" s="1025"/>
      <c r="Y618" s="384"/>
    </row>
    <row r="619" spans="1:25">
      <c r="A619" s="155"/>
      <c r="B619" s="247"/>
      <c r="C619" s="373"/>
      <c r="D619" s="373"/>
      <c r="E619" s="374"/>
      <c r="F619" s="373"/>
      <c r="G619" s="370"/>
      <c r="H619" s="373"/>
      <c r="I619" s="373"/>
      <c r="J619" s="373"/>
      <c r="K619" s="373"/>
      <c r="L619" s="370"/>
      <c r="M619" s="370"/>
      <c r="N619" s="370"/>
      <c r="O619" s="370"/>
      <c r="P619" s="370"/>
      <c r="Q619" s="373"/>
      <c r="R619" s="373"/>
      <c r="S619" s="373"/>
      <c r="T619" s="228"/>
      <c r="U619" s="247"/>
      <c r="V619" s="369"/>
      <c r="W619" s="369"/>
      <c r="X619" s="369"/>
    </row>
    <row r="620" spans="1:25">
      <c r="A620" s="163" t="s">
        <v>821</v>
      </c>
      <c r="B620" s="152"/>
      <c r="C620" s="152"/>
      <c r="D620" s="152"/>
      <c r="E620" s="164"/>
      <c r="F620" s="152"/>
      <c r="G620" s="164"/>
      <c r="H620" s="152"/>
      <c r="I620" s="152"/>
      <c r="J620" s="152"/>
      <c r="K620" s="152"/>
      <c r="L620" s="164"/>
      <c r="M620" s="164"/>
      <c r="N620" s="164"/>
      <c r="O620" s="164"/>
      <c r="P620" s="164"/>
      <c r="Q620" s="152"/>
      <c r="R620" s="164"/>
      <c r="S620" s="164"/>
      <c r="T620" s="232" t="s">
        <v>821</v>
      </c>
      <c r="U620" s="152"/>
      <c r="V620" s="147"/>
      <c r="W620" s="147"/>
      <c r="X620" s="147"/>
    </row>
    <row r="621" spans="1:25">
      <c r="A621" s="163" t="s">
        <v>822</v>
      </c>
      <c r="B621" s="152"/>
      <c r="C621" s="152"/>
      <c r="D621" s="152"/>
      <c r="E621" s="164"/>
      <c r="F621" s="152"/>
      <c r="G621" s="164"/>
      <c r="H621" s="152"/>
      <c r="I621" s="152"/>
      <c r="J621" s="152"/>
      <c r="K621" s="152"/>
      <c r="L621" s="164"/>
      <c r="M621" s="164"/>
      <c r="N621" s="164"/>
      <c r="O621" s="164"/>
      <c r="P621" s="164"/>
      <c r="Q621" s="152"/>
      <c r="R621" s="164"/>
      <c r="S621" s="164"/>
      <c r="T621" s="232" t="s">
        <v>822</v>
      </c>
      <c r="U621" s="152"/>
      <c r="V621" s="147"/>
      <c r="W621" s="147"/>
      <c r="X621" s="147"/>
    </row>
    <row r="622" spans="1:25">
      <c r="A622" s="163" t="s">
        <v>823</v>
      </c>
      <c r="B622" s="152"/>
      <c r="C622" s="152"/>
      <c r="D622" s="152"/>
      <c r="E622" s="164"/>
      <c r="F622" s="152"/>
      <c r="G622" s="164"/>
      <c r="H622" s="152"/>
      <c r="I622" s="152"/>
      <c r="J622" s="152"/>
      <c r="K622" s="152"/>
      <c r="L622" s="164"/>
      <c r="M622" s="164"/>
      <c r="N622" s="164"/>
      <c r="O622" s="164"/>
      <c r="P622" s="164"/>
      <c r="Q622" s="152"/>
      <c r="R622" s="164"/>
      <c r="S622" s="164"/>
      <c r="T622" s="232" t="s">
        <v>823</v>
      </c>
      <c r="U622" s="152"/>
      <c r="V622" s="147"/>
      <c r="W622" s="147"/>
      <c r="X622" s="147"/>
    </row>
    <row r="623" spans="1:25">
      <c r="A623" s="163" t="s">
        <v>824</v>
      </c>
      <c r="B623" s="152"/>
      <c r="C623" s="152"/>
      <c r="D623" s="152"/>
      <c r="E623" s="164"/>
      <c r="F623" s="152"/>
      <c r="G623" s="164"/>
      <c r="H623" s="152"/>
      <c r="I623" s="152"/>
      <c r="J623" s="152"/>
      <c r="K623" s="152"/>
      <c r="L623" s="164"/>
      <c r="M623" s="164"/>
      <c r="N623" s="164"/>
      <c r="O623" s="164"/>
      <c r="P623" s="164"/>
      <c r="Q623" s="152"/>
      <c r="R623" s="164"/>
      <c r="S623" s="164"/>
      <c r="T623" s="232" t="s">
        <v>824</v>
      </c>
      <c r="U623" s="152"/>
      <c r="V623" s="147"/>
      <c r="W623" s="147"/>
      <c r="X623" s="147"/>
    </row>
    <row r="624" spans="1:25">
      <c r="A624" s="163" t="s">
        <v>825</v>
      </c>
      <c r="B624" s="152"/>
      <c r="C624" s="152"/>
      <c r="D624" s="152"/>
      <c r="E624" s="164"/>
      <c r="F624" s="152"/>
      <c r="G624" s="164"/>
      <c r="H624" s="152"/>
      <c r="I624" s="152"/>
      <c r="J624" s="152"/>
      <c r="K624" s="152"/>
      <c r="L624" s="164"/>
      <c r="M624" s="164"/>
      <c r="N624" s="164"/>
      <c r="O624" s="164"/>
      <c r="P624" s="164"/>
      <c r="Q624" s="152"/>
      <c r="R624" s="164"/>
      <c r="S624" s="164"/>
      <c r="T624" s="232" t="s">
        <v>825</v>
      </c>
      <c r="U624" s="152"/>
      <c r="V624" s="147"/>
      <c r="W624" s="147"/>
      <c r="X624" s="147"/>
    </row>
    <row r="625" spans="1:25">
      <c r="A625" s="163" t="s">
        <v>826</v>
      </c>
      <c r="B625" s="152"/>
      <c r="C625" s="152"/>
      <c r="D625" s="152"/>
      <c r="E625" s="164"/>
      <c r="F625" s="152"/>
      <c r="G625" s="164"/>
      <c r="H625" s="152"/>
      <c r="I625" s="152"/>
      <c r="J625" s="152"/>
      <c r="K625" s="152"/>
      <c r="L625" s="164"/>
      <c r="M625" s="164"/>
      <c r="N625" s="164"/>
      <c r="O625" s="164"/>
      <c r="P625" s="164"/>
      <c r="Q625" s="152"/>
      <c r="R625" s="164"/>
      <c r="S625" s="164"/>
      <c r="T625" s="232" t="s">
        <v>826</v>
      </c>
      <c r="U625" s="152"/>
      <c r="V625" s="147"/>
      <c r="W625" s="147"/>
      <c r="X625" s="147"/>
    </row>
    <row r="626" spans="1:25">
      <c r="A626" s="163" t="s">
        <v>827</v>
      </c>
      <c r="B626" s="152"/>
      <c r="C626" s="152"/>
      <c r="D626" s="152"/>
      <c r="E626" s="164"/>
      <c r="F626" s="152"/>
      <c r="G626" s="164"/>
      <c r="H626" s="152"/>
      <c r="I626" s="152"/>
      <c r="J626" s="152"/>
      <c r="K626" s="152"/>
      <c r="L626" s="164"/>
      <c r="M626" s="164"/>
      <c r="N626" s="164"/>
      <c r="O626" s="164"/>
      <c r="P626" s="164"/>
      <c r="Q626" s="152"/>
      <c r="R626" s="126"/>
      <c r="S626" s="126"/>
      <c r="T626" s="232" t="s">
        <v>827</v>
      </c>
      <c r="U626" s="152"/>
      <c r="V626" s="147"/>
      <c r="W626" s="147"/>
      <c r="X626" s="147"/>
    </row>
    <row r="627" spans="1:25">
      <c r="A627" s="163" t="s">
        <v>821</v>
      </c>
      <c r="B627" s="152"/>
      <c r="C627" s="152"/>
      <c r="D627" s="152"/>
      <c r="E627" s="164"/>
      <c r="F627" s="152"/>
      <c r="G627" s="164"/>
      <c r="H627" s="152"/>
      <c r="I627" s="152"/>
      <c r="J627" s="152"/>
      <c r="K627" s="152"/>
      <c r="L627" s="164"/>
      <c r="M627" s="164"/>
      <c r="N627" s="164"/>
      <c r="O627" s="164"/>
      <c r="P627" s="164"/>
      <c r="Q627" s="152"/>
      <c r="R627" s="164"/>
      <c r="S627" s="164"/>
      <c r="T627" s="232" t="s">
        <v>821</v>
      </c>
      <c r="U627" s="152"/>
      <c r="V627" s="147"/>
      <c r="W627" s="147"/>
      <c r="X627" s="147"/>
    </row>
    <row r="628" spans="1:25">
      <c r="A628" s="163" t="s">
        <v>822</v>
      </c>
      <c r="B628" s="152"/>
      <c r="C628" s="152"/>
      <c r="D628" s="152"/>
      <c r="E628" s="164"/>
      <c r="F628" s="152"/>
      <c r="G628" s="164"/>
      <c r="H628" s="152"/>
      <c r="I628" s="152"/>
      <c r="J628" s="152"/>
      <c r="K628" s="152"/>
      <c r="L628" s="164"/>
      <c r="M628" s="164"/>
      <c r="N628" s="164"/>
      <c r="O628" s="164"/>
      <c r="P628" s="164"/>
      <c r="Q628" s="152"/>
      <c r="R628" s="126"/>
      <c r="S628" s="126"/>
      <c r="T628" s="232" t="s">
        <v>822</v>
      </c>
      <c r="U628" s="152"/>
      <c r="V628" s="147"/>
      <c r="W628" s="147"/>
      <c r="X628" s="147"/>
    </row>
    <row r="629" spans="1:25">
      <c r="A629" s="163" t="s">
        <v>823</v>
      </c>
      <c r="B629" s="152"/>
      <c r="C629" s="169"/>
      <c r="D629" s="169"/>
      <c r="E629" s="164"/>
      <c r="F629" s="169"/>
      <c r="G629" s="169"/>
      <c r="H629" s="169"/>
      <c r="I629" s="169"/>
      <c r="J629" s="169"/>
      <c r="K629" s="169"/>
      <c r="L629" s="169"/>
      <c r="M629" s="169"/>
      <c r="N629" s="169"/>
      <c r="O629" s="169"/>
      <c r="P629" s="169"/>
      <c r="Q629" s="169"/>
      <c r="R629" s="169"/>
      <c r="S629" s="169"/>
      <c r="T629" s="232" t="s">
        <v>823</v>
      </c>
      <c r="U629" s="152"/>
      <c r="V629" s="147"/>
      <c r="W629" s="147"/>
      <c r="X629" s="147"/>
    </row>
    <row r="630" spans="1:25">
      <c r="A630" s="163" t="s">
        <v>824</v>
      </c>
      <c r="B630" s="152"/>
      <c r="C630" s="372"/>
      <c r="D630" s="372"/>
      <c r="E630" s="164"/>
      <c r="F630" s="372"/>
      <c r="G630" s="169"/>
      <c r="H630" s="372"/>
      <c r="I630" s="372"/>
      <c r="J630" s="372"/>
      <c r="K630" s="372"/>
      <c r="L630" s="169"/>
      <c r="M630" s="169"/>
      <c r="N630" s="169"/>
      <c r="O630" s="169"/>
      <c r="P630" s="169"/>
      <c r="Q630" s="372"/>
      <c r="R630" s="372"/>
      <c r="S630" s="372"/>
      <c r="T630" s="232" t="s">
        <v>824</v>
      </c>
      <c r="U630" s="152"/>
      <c r="V630" s="147"/>
      <c r="W630" s="147"/>
      <c r="X630" s="147"/>
    </row>
    <row r="631" spans="1:25">
      <c r="A631" s="163" t="s">
        <v>825</v>
      </c>
      <c r="B631" s="152"/>
      <c r="C631" s="169"/>
      <c r="D631" s="169"/>
      <c r="E631" s="164"/>
      <c r="F631" s="169"/>
      <c r="G631" s="169"/>
      <c r="H631" s="169"/>
      <c r="I631" s="169"/>
      <c r="J631" s="169"/>
      <c r="K631" s="169"/>
      <c r="L631" s="169"/>
      <c r="M631" s="169"/>
      <c r="N631" s="169"/>
      <c r="O631" s="169"/>
      <c r="P631" s="169"/>
      <c r="Q631" s="169"/>
      <c r="R631" s="169"/>
      <c r="S631" s="169"/>
      <c r="T631" s="232" t="s">
        <v>825</v>
      </c>
      <c r="U631" s="152"/>
      <c r="V631" s="147"/>
      <c r="W631" s="147"/>
      <c r="X631" s="147"/>
    </row>
    <row r="632" spans="1:25">
      <c r="A632" s="163" t="s">
        <v>826</v>
      </c>
      <c r="B632" s="152"/>
      <c r="C632" s="372"/>
      <c r="D632" s="372"/>
      <c r="E632" s="164"/>
      <c r="F632" s="372"/>
      <c r="G632" s="169"/>
      <c r="H632" s="372"/>
      <c r="I632" s="372"/>
      <c r="J632" s="372"/>
      <c r="K632" s="372"/>
      <c r="L632" s="169"/>
      <c r="M632" s="169"/>
      <c r="N632" s="169"/>
      <c r="O632" s="169"/>
      <c r="P632" s="169"/>
      <c r="Q632" s="372"/>
      <c r="R632" s="372"/>
      <c r="S632" s="372"/>
      <c r="T632" s="232" t="s">
        <v>826</v>
      </c>
      <c r="U632" s="152"/>
      <c r="V632" s="147"/>
      <c r="W632" s="147"/>
      <c r="X632" s="147"/>
    </row>
    <row r="633" spans="1:25" ht="15.75" thickBot="1">
      <c r="A633" s="163" t="s">
        <v>827</v>
      </c>
      <c r="B633" s="152"/>
      <c r="C633" s="169"/>
      <c r="D633" s="169"/>
      <c r="E633" s="164"/>
      <c r="F633" s="169"/>
      <c r="G633" s="169"/>
      <c r="H633" s="169"/>
      <c r="I633" s="169"/>
      <c r="J633" s="169"/>
      <c r="K633" s="169"/>
      <c r="L633" s="169"/>
      <c r="M633" s="169"/>
      <c r="N633" s="169"/>
      <c r="O633" s="169"/>
      <c r="P633" s="169"/>
      <c r="Q633" s="169"/>
      <c r="R633" s="169"/>
      <c r="S633" s="169"/>
      <c r="T633" s="232" t="s">
        <v>827</v>
      </c>
      <c r="U633" s="152"/>
      <c r="V633" s="147"/>
      <c r="W633" s="147"/>
      <c r="X633" s="147"/>
    </row>
    <row r="634" spans="1:25" ht="16.5" thickBot="1">
      <c r="A634" s="175" t="s">
        <v>791</v>
      </c>
      <c r="B634" s="176">
        <f>SUM(C634:S634)+U634</f>
        <v>0</v>
      </c>
      <c r="C634" s="173">
        <f t="shared" ref="C634:S634" si="55">SUM(C620:C633)</f>
        <v>0</v>
      </c>
      <c r="D634" s="173">
        <f t="shared" si="55"/>
        <v>0</v>
      </c>
      <c r="E634" s="273">
        <f t="shared" si="55"/>
        <v>0</v>
      </c>
      <c r="F634" s="173">
        <f t="shared" si="55"/>
        <v>0</v>
      </c>
      <c r="G634" s="173">
        <f t="shared" si="55"/>
        <v>0</v>
      </c>
      <c r="H634" s="173">
        <f t="shared" si="55"/>
        <v>0</v>
      </c>
      <c r="I634" s="173">
        <f t="shared" si="55"/>
        <v>0</v>
      </c>
      <c r="J634" s="173">
        <f t="shared" si="55"/>
        <v>0</v>
      </c>
      <c r="K634" s="173">
        <f t="shared" si="55"/>
        <v>0</v>
      </c>
      <c r="L634" s="173">
        <f t="shared" si="55"/>
        <v>0</v>
      </c>
      <c r="M634" s="173">
        <f t="shared" si="55"/>
        <v>0</v>
      </c>
      <c r="N634" s="173">
        <f t="shared" si="55"/>
        <v>0</v>
      </c>
      <c r="O634" s="173">
        <f t="shared" si="55"/>
        <v>0</v>
      </c>
      <c r="P634" s="173">
        <f t="shared" si="55"/>
        <v>0</v>
      </c>
      <c r="Q634" s="173">
        <f t="shared" si="55"/>
        <v>0</v>
      </c>
      <c r="R634" s="173">
        <f t="shared" si="55"/>
        <v>0</v>
      </c>
      <c r="S634" s="173">
        <f t="shared" si="55"/>
        <v>0</v>
      </c>
      <c r="T634" s="175" t="s">
        <v>791</v>
      </c>
      <c r="U634" s="176">
        <f>SUM(V634:X634)</f>
        <v>0</v>
      </c>
      <c r="V634" s="147">
        <f>SUM(V620:V633)</f>
        <v>0</v>
      </c>
      <c r="W634" s="147">
        <f>SUM(W620:W633)</f>
        <v>0</v>
      </c>
      <c r="X634" s="147">
        <f>SUM(X620:X633)</f>
        <v>0</v>
      </c>
    </row>
    <row r="635" spans="1:25" ht="15.75" thickBot="1"/>
    <row r="636" spans="1:25" ht="15.75" thickBot="1">
      <c r="A636" s="1024" t="s">
        <v>661</v>
      </c>
      <c r="B636" s="1025"/>
      <c r="C636" s="1025"/>
      <c r="D636" s="1025"/>
      <c r="E636" s="1025"/>
      <c r="F636" s="1025"/>
      <c r="G636" s="1025"/>
      <c r="H636" s="1025"/>
      <c r="I636" s="1025"/>
      <c r="J636" s="1025"/>
      <c r="K636" s="1025"/>
      <c r="L636" s="1025"/>
      <c r="M636" s="1025"/>
      <c r="N636" s="1025"/>
      <c r="O636" s="1025"/>
      <c r="P636" s="1025"/>
      <c r="Q636" s="1025"/>
      <c r="R636" s="1025"/>
      <c r="S636" s="1025"/>
      <c r="T636" s="1025" t="s">
        <v>820</v>
      </c>
      <c r="U636" s="1025"/>
      <c r="V636" s="1025"/>
      <c r="W636" s="1025"/>
      <c r="X636" s="1025"/>
      <c r="Y636" s="384"/>
    </row>
    <row r="637" spans="1:25">
      <c r="A637" s="155"/>
      <c r="B637" s="941"/>
      <c r="C637" s="934"/>
      <c r="D637" s="934"/>
      <c r="E637" s="934"/>
      <c r="F637" s="934"/>
      <c r="G637" s="934"/>
      <c r="H637" s="934"/>
      <c r="I637" s="934"/>
      <c r="J637" s="934"/>
      <c r="K637" s="157"/>
      <c r="L637" s="157"/>
      <c r="M637" s="157"/>
      <c r="N637" s="157"/>
      <c r="O637" s="157"/>
      <c r="P637" s="157"/>
      <c r="Q637" s="157"/>
      <c r="R637" s="158"/>
      <c r="S637" s="157"/>
      <c r="T637" s="228"/>
      <c r="U637" s="247"/>
      <c r="V637" s="369"/>
      <c r="W637" s="369"/>
      <c r="X637" s="369"/>
    </row>
    <row r="638" spans="1:25">
      <c r="A638" s="163" t="s">
        <v>821</v>
      </c>
      <c r="B638" s="17"/>
      <c r="C638" s="164"/>
      <c r="D638" s="186"/>
      <c r="E638" s="187"/>
      <c r="F638" s="188"/>
      <c r="G638" s="164"/>
      <c r="H638" s="164"/>
      <c r="I638" s="164"/>
      <c r="J638" s="164"/>
      <c r="K638" s="164"/>
      <c r="L638" s="164"/>
      <c r="M638" s="164"/>
      <c r="N638" s="164"/>
      <c r="O638" s="164"/>
      <c r="P638" s="164"/>
      <c r="Q638" s="164"/>
      <c r="R638" s="165"/>
      <c r="S638" s="167"/>
      <c r="T638" s="232" t="s">
        <v>821</v>
      </c>
      <c r="U638" s="152"/>
      <c r="V638" s="147"/>
      <c r="W638" s="147"/>
      <c r="X638" s="147"/>
    </row>
    <row r="639" spans="1:25">
      <c r="A639" s="163" t="s">
        <v>822</v>
      </c>
      <c r="B639" s="17"/>
      <c r="C639" s="168"/>
      <c r="D639" s="164"/>
      <c r="E639" s="164"/>
      <c r="F639" s="164"/>
      <c r="G639" s="164"/>
      <c r="H639" s="164"/>
      <c r="I639" s="164"/>
      <c r="J639" s="164"/>
      <c r="K639" s="164"/>
      <c r="L639" s="164"/>
      <c r="M639" s="164"/>
      <c r="N639" s="164"/>
      <c r="O639" s="164"/>
      <c r="P639" s="164"/>
      <c r="Q639" s="164"/>
      <c r="R639" s="165"/>
      <c r="S639" s="167"/>
      <c r="T639" s="232" t="s">
        <v>822</v>
      </c>
      <c r="U639" s="152"/>
      <c r="V639" s="147"/>
      <c r="W639" s="147"/>
      <c r="X639" s="147"/>
    </row>
    <row r="640" spans="1:25">
      <c r="A640" s="163" t="s">
        <v>823</v>
      </c>
      <c r="B640" s="17"/>
      <c r="C640" s="168"/>
      <c r="D640" s="164"/>
      <c r="E640" s="164"/>
      <c r="F640" s="164"/>
      <c r="G640" s="164"/>
      <c r="H640" s="164"/>
      <c r="I640" s="164"/>
      <c r="J640" s="164"/>
      <c r="K640" s="164"/>
      <c r="L640" s="164"/>
      <c r="M640" s="164"/>
      <c r="N640" s="164"/>
      <c r="O640" s="164"/>
      <c r="P640" s="164"/>
      <c r="Q640" s="164"/>
      <c r="R640" s="165"/>
      <c r="S640" s="164"/>
      <c r="T640" s="232" t="s">
        <v>823</v>
      </c>
      <c r="U640" s="152"/>
      <c r="V640" s="147"/>
      <c r="W640" s="147"/>
      <c r="X640" s="147"/>
    </row>
    <row r="641" spans="1:24">
      <c r="A641" s="163" t="s">
        <v>824</v>
      </c>
      <c r="B641" s="17"/>
      <c r="C641" s="168"/>
      <c r="D641" s="164"/>
      <c r="E641" s="164"/>
      <c r="F641" s="164"/>
      <c r="G641" s="164"/>
      <c r="H641" s="164"/>
      <c r="I641" s="164"/>
      <c r="J641" s="164"/>
      <c r="K641" s="164"/>
      <c r="L641" s="164"/>
      <c r="M641" s="164"/>
      <c r="N641" s="164"/>
      <c r="O641" s="164"/>
      <c r="P641" s="164"/>
      <c r="Q641" s="164"/>
      <c r="R641" s="165"/>
      <c r="S641" s="164"/>
      <c r="T641" s="232" t="s">
        <v>824</v>
      </c>
      <c r="U641" s="152"/>
      <c r="V641" s="147"/>
      <c r="W641" s="147"/>
      <c r="X641" s="147"/>
    </row>
    <row r="642" spans="1:24">
      <c r="A642" s="163" t="s">
        <v>825</v>
      </c>
      <c r="B642" s="17"/>
      <c r="C642" s="168"/>
      <c r="D642" s="164"/>
      <c r="E642" s="164"/>
      <c r="F642" s="164"/>
      <c r="G642" s="164"/>
      <c r="H642" s="164"/>
      <c r="I642" s="164"/>
      <c r="J642" s="164"/>
      <c r="K642" s="164"/>
      <c r="L642" s="164"/>
      <c r="M642" s="164"/>
      <c r="N642" s="164"/>
      <c r="O642" s="164"/>
      <c r="P642" s="164"/>
      <c r="Q642" s="164"/>
      <c r="R642" s="165"/>
      <c r="S642" s="164"/>
      <c r="T642" s="232" t="s">
        <v>825</v>
      </c>
      <c r="U642" s="152"/>
      <c r="V642" s="147"/>
      <c r="W642" s="147"/>
      <c r="X642" s="147"/>
    </row>
    <row r="643" spans="1:24">
      <c r="A643" s="163" t="s">
        <v>826</v>
      </c>
      <c r="B643" s="17"/>
      <c r="C643" s="168"/>
      <c r="D643" s="164"/>
      <c r="E643" s="164"/>
      <c r="F643" s="164"/>
      <c r="G643" s="164"/>
      <c r="H643" s="164"/>
      <c r="I643" s="164"/>
      <c r="J643" s="164"/>
      <c r="K643" s="164"/>
      <c r="L643" s="164"/>
      <c r="M643" s="164"/>
      <c r="N643" s="164"/>
      <c r="O643" s="164"/>
      <c r="P643" s="164"/>
      <c r="Q643" s="164"/>
      <c r="R643" s="165"/>
      <c r="S643" s="164"/>
      <c r="T643" s="232" t="s">
        <v>826</v>
      </c>
      <c r="U643" s="152"/>
      <c r="V643" s="147"/>
      <c r="W643" s="147"/>
      <c r="X643" s="147"/>
    </row>
    <row r="644" spans="1:24">
      <c r="A644" s="163" t="s">
        <v>827</v>
      </c>
      <c r="B644" s="17"/>
      <c r="C644" s="168"/>
      <c r="D644" s="164"/>
      <c r="E644" s="164"/>
      <c r="F644" s="164"/>
      <c r="G644" s="164"/>
      <c r="H644" s="164"/>
      <c r="I644" s="164"/>
      <c r="J644" s="164"/>
      <c r="K644" s="164"/>
      <c r="L644" s="164"/>
      <c r="M644" s="164"/>
      <c r="N644" s="164"/>
      <c r="O644" s="164"/>
      <c r="P644" s="164"/>
      <c r="Q644" s="164"/>
      <c r="R644" s="165"/>
      <c r="S644" s="164"/>
      <c r="T644" s="232" t="s">
        <v>827</v>
      </c>
      <c r="U644" s="152"/>
      <c r="V644" s="147"/>
      <c r="W644" s="147"/>
      <c r="X644" s="147"/>
    </row>
    <row r="645" spans="1:24">
      <c r="A645" s="163" t="s">
        <v>821</v>
      </c>
      <c r="B645" s="17"/>
      <c r="C645" s="168"/>
      <c r="D645" s="164"/>
      <c r="E645" s="164"/>
      <c r="F645" s="164"/>
      <c r="G645" s="164"/>
      <c r="H645" s="164"/>
      <c r="I645" s="164"/>
      <c r="J645" s="164"/>
      <c r="K645" s="164"/>
      <c r="L645" s="164"/>
      <c r="M645" s="164"/>
      <c r="N645" s="164"/>
      <c r="O645" s="164"/>
      <c r="P645" s="164"/>
      <c r="Q645" s="164"/>
      <c r="R645" s="165"/>
      <c r="S645" s="164"/>
      <c r="T645" s="232" t="s">
        <v>821</v>
      </c>
      <c r="U645" s="152"/>
      <c r="V645" s="147"/>
      <c r="W645" s="147"/>
      <c r="X645" s="147"/>
    </row>
    <row r="646" spans="1:24">
      <c r="A646" s="163" t="s">
        <v>822</v>
      </c>
      <c r="B646" s="17"/>
      <c r="C646" s="168"/>
      <c r="D646" s="164"/>
      <c r="E646" s="164"/>
      <c r="F646" s="164"/>
      <c r="G646" s="164"/>
      <c r="H646" s="164"/>
      <c r="I646" s="164"/>
      <c r="J646" s="164"/>
      <c r="K646" s="164"/>
      <c r="L646" s="164"/>
      <c r="M646" s="164"/>
      <c r="N646" s="164"/>
      <c r="O646" s="164"/>
      <c r="P646" s="164"/>
      <c r="Q646" s="164"/>
      <c r="R646" s="165"/>
      <c r="S646" s="164"/>
      <c r="T646" s="232" t="s">
        <v>822</v>
      </c>
      <c r="U646" s="152"/>
      <c r="V646" s="147"/>
      <c r="W646" s="147"/>
      <c r="X646" s="147"/>
    </row>
    <row r="647" spans="1:24">
      <c r="A647" s="163" t="s">
        <v>823</v>
      </c>
      <c r="B647" s="17"/>
      <c r="C647" s="168"/>
      <c r="D647" s="164"/>
      <c r="E647" s="164"/>
      <c r="F647" s="169"/>
      <c r="G647" s="164"/>
      <c r="H647" s="164"/>
      <c r="I647" s="169"/>
      <c r="J647" s="169"/>
      <c r="K647" s="169"/>
      <c r="L647" s="169"/>
      <c r="M647" s="169"/>
      <c r="N647" s="169"/>
      <c r="O647" s="169"/>
      <c r="P647" s="169"/>
      <c r="Q647" s="169"/>
      <c r="R647" s="170"/>
      <c r="S647" s="164"/>
      <c r="T647" s="232" t="s">
        <v>823</v>
      </c>
      <c r="U647" s="152"/>
      <c r="V647" s="147"/>
      <c r="W647" s="147"/>
      <c r="X647" s="147"/>
    </row>
    <row r="648" spans="1:24">
      <c r="A648" s="163" t="s">
        <v>824</v>
      </c>
      <c r="B648" s="17"/>
      <c r="C648" s="168"/>
      <c r="D648" s="164"/>
      <c r="E648" s="164"/>
      <c r="F648" s="169"/>
      <c r="G648" s="164"/>
      <c r="H648" s="164"/>
      <c r="I648" s="169"/>
      <c r="J648" s="169"/>
      <c r="K648" s="169"/>
      <c r="L648" s="169"/>
      <c r="M648" s="169"/>
      <c r="N648" s="169"/>
      <c r="O648" s="169"/>
      <c r="P648" s="169"/>
      <c r="Q648" s="169"/>
      <c r="R648" s="170"/>
      <c r="S648" s="164"/>
      <c r="T648" s="232" t="s">
        <v>824</v>
      </c>
      <c r="U648" s="152"/>
      <c r="V648" s="147"/>
      <c r="W648" s="147"/>
      <c r="X648" s="147"/>
    </row>
    <row r="649" spans="1:24">
      <c r="A649" s="163" t="s">
        <v>825</v>
      </c>
      <c r="B649" s="17"/>
      <c r="C649" s="168"/>
      <c r="D649" s="164"/>
      <c r="E649" s="164"/>
      <c r="F649" s="169"/>
      <c r="G649" s="164"/>
      <c r="H649" s="164"/>
      <c r="I649" s="169"/>
      <c r="J649" s="169"/>
      <c r="K649" s="169"/>
      <c r="L649" s="169"/>
      <c r="M649" s="169"/>
      <c r="N649" s="169"/>
      <c r="O649" s="169"/>
      <c r="P649" s="169"/>
      <c r="Q649" s="169"/>
      <c r="R649" s="170"/>
      <c r="S649" s="164"/>
      <c r="T649" s="232" t="s">
        <v>825</v>
      </c>
      <c r="U649" s="152"/>
      <c r="V649" s="147"/>
      <c r="W649" s="147"/>
      <c r="X649" s="147"/>
    </row>
    <row r="650" spans="1:24">
      <c r="A650" s="163" t="s">
        <v>826</v>
      </c>
      <c r="B650" s="17"/>
      <c r="C650" s="168"/>
      <c r="D650" s="164"/>
      <c r="E650" s="164"/>
      <c r="F650" s="169"/>
      <c r="G650" s="164"/>
      <c r="H650" s="164"/>
      <c r="I650" s="169"/>
      <c r="J650" s="169"/>
      <c r="K650" s="169"/>
      <c r="L650" s="169"/>
      <c r="M650" s="169"/>
      <c r="N650" s="169"/>
      <c r="O650" s="169"/>
      <c r="P650" s="169"/>
      <c r="Q650" s="169"/>
      <c r="R650" s="170"/>
      <c r="S650" s="164"/>
      <c r="T650" s="232" t="s">
        <v>826</v>
      </c>
      <c r="U650" s="152"/>
      <c r="V650" s="147"/>
      <c r="W650" s="147"/>
      <c r="X650" s="147"/>
    </row>
    <row r="651" spans="1:24" ht="15.75" thickBot="1">
      <c r="A651" s="163" t="s">
        <v>827</v>
      </c>
      <c r="B651" s="17"/>
      <c r="C651" s="168"/>
      <c r="D651" s="164"/>
      <c r="E651" s="164"/>
      <c r="F651" s="169"/>
      <c r="G651" s="164"/>
      <c r="H651" s="164"/>
      <c r="I651" s="169"/>
      <c r="J651" s="169"/>
      <c r="K651" s="169"/>
      <c r="L651" s="169"/>
      <c r="M651" s="169"/>
      <c r="N651" s="169"/>
      <c r="O651" s="169"/>
      <c r="P651" s="169"/>
      <c r="Q651" s="169"/>
      <c r="R651" s="170"/>
      <c r="S651" s="164"/>
      <c r="T651" s="232" t="s">
        <v>827</v>
      </c>
      <c r="U651" s="152"/>
      <c r="V651" s="147"/>
      <c r="W651" s="147"/>
      <c r="X651" s="147"/>
    </row>
    <row r="652" spans="1:24" ht="16.5" thickBot="1">
      <c r="A652" s="171"/>
      <c r="B652" s="172">
        <f>SUM(C652:S652)+U652</f>
        <v>0</v>
      </c>
      <c r="C652" s="173">
        <f>SUM(C638:C651)</f>
        <v>0</v>
      </c>
      <c r="D652" s="173">
        <f>SUM(D638:D651)</f>
        <v>0</v>
      </c>
      <c r="E652" s="173">
        <f>SUM(E638:E651)</f>
        <v>0</v>
      </c>
      <c r="F652" s="173">
        <f>SUM(F638:F651)</f>
        <v>0</v>
      </c>
      <c r="G652" s="173">
        <f t="shared" ref="G652:S652" si="56">SUM(G638:G651)</f>
        <v>0</v>
      </c>
      <c r="H652" s="173">
        <f t="shared" si="56"/>
        <v>0</v>
      </c>
      <c r="I652" s="173">
        <f t="shared" si="56"/>
        <v>0</v>
      </c>
      <c r="J652" s="173">
        <f t="shared" si="56"/>
        <v>0</v>
      </c>
      <c r="K652" s="173">
        <f t="shared" si="56"/>
        <v>0</v>
      </c>
      <c r="L652" s="173">
        <f t="shared" si="56"/>
        <v>0</v>
      </c>
      <c r="M652" s="173">
        <f t="shared" si="56"/>
        <v>0</v>
      </c>
      <c r="N652" s="173">
        <f t="shared" si="56"/>
        <v>0</v>
      </c>
      <c r="O652" s="173">
        <f t="shared" si="56"/>
        <v>0</v>
      </c>
      <c r="P652" s="173">
        <f t="shared" si="56"/>
        <v>0</v>
      </c>
      <c r="Q652" s="173">
        <f t="shared" si="56"/>
        <v>0</v>
      </c>
      <c r="R652" s="174">
        <f t="shared" si="56"/>
        <v>0</v>
      </c>
      <c r="S652" s="164">
        <f t="shared" si="56"/>
        <v>0</v>
      </c>
      <c r="T652" s="175" t="s">
        <v>791</v>
      </c>
      <c r="U652" s="176">
        <f>SUM(V652:X652)</f>
        <v>0</v>
      </c>
      <c r="V652" s="147">
        <f>SUM(V638:V651)</f>
        <v>0</v>
      </c>
      <c r="W652" s="147">
        <f>SUM(W638:W651)</f>
        <v>0</v>
      </c>
      <c r="X652" s="147">
        <f>SUM(X638:X651)</f>
        <v>0</v>
      </c>
    </row>
    <row r="653" spans="1:24" ht="15.75" thickBot="1"/>
    <row r="654" spans="1:24" ht="15.75" thickBot="1">
      <c r="A654" s="1024" t="s">
        <v>681</v>
      </c>
      <c r="B654" s="1025"/>
      <c r="C654" s="1025"/>
      <c r="D654" s="1025"/>
      <c r="E654" s="1025"/>
      <c r="F654" s="1025"/>
      <c r="G654" s="1025"/>
      <c r="H654" s="1025"/>
      <c r="I654" s="1025"/>
      <c r="J654" s="1025"/>
      <c r="K654" s="1025"/>
      <c r="L654" s="1025"/>
      <c r="M654" s="1025"/>
      <c r="N654" s="1025"/>
      <c r="O654" s="1025"/>
      <c r="P654" s="1025"/>
      <c r="Q654" s="1025"/>
      <c r="R654" s="1025"/>
      <c r="S654" s="1025"/>
      <c r="T654" s="1025" t="s">
        <v>820</v>
      </c>
      <c r="U654" s="1025"/>
      <c r="V654" s="1025"/>
      <c r="W654" s="1025"/>
      <c r="X654" s="1025"/>
    </row>
    <row r="655" spans="1:24">
      <c r="A655" s="155"/>
      <c r="B655" s="151"/>
      <c r="C655" s="208"/>
      <c r="D655" s="209"/>
      <c r="E655" s="214"/>
      <c r="F655" s="209"/>
      <c r="G655" s="209"/>
      <c r="H655" s="209"/>
      <c r="I655" s="209"/>
      <c r="J655" s="209"/>
      <c r="K655" s="209"/>
      <c r="L655" s="209"/>
      <c r="M655" s="209"/>
      <c r="N655" s="215"/>
      <c r="O655" s="209"/>
      <c r="P655" s="209"/>
      <c r="Q655" s="209"/>
      <c r="R655" s="209"/>
      <c r="S655" s="209"/>
      <c r="T655" s="209"/>
      <c r="U655" s="228"/>
      <c r="V655" s="247"/>
      <c r="W655" s="369"/>
      <c r="X655" s="369"/>
    </row>
    <row r="656" spans="1:24">
      <c r="A656" s="163" t="s">
        <v>821</v>
      </c>
      <c r="B656" s="152"/>
      <c r="C656" s="164"/>
      <c r="D656" s="186"/>
      <c r="E656" s="187"/>
      <c r="F656" s="210"/>
      <c r="G656" s="164"/>
      <c r="H656" s="210"/>
      <c r="I656" s="164"/>
      <c r="J656" s="210"/>
      <c r="K656" s="164"/>
      <c r="L656" s="210"/>
      <c r="M656" s="164"/>
      <c r="N656" s="210"/>
      <c r="O656" s="164"/>
      <c r="P656" s="187"/>
      <c r="Q656" s="210"/>
      <c r="R656" s="164"/>
      <c r="S656" s="210"/>
      <c r="T656" s="232" t="s">
        <v>821</v>
      </c>
      <c r="U656" s="152"/>
      <c r="V656" s="147"/>
      <c r="W656" s="147"/>
      <c r="X656" s="147"/>
    </row>
    <row r="657" spans="1:24">
      <c r="A657" s="163" t="s">
        <v>822</v>
      </c>
      <c r="B657" s="152"/>
      <c r="C657" s="168"/>
      <c r="D657" s="164"/>
      <c r="E657" s="164"/>
      <c r="F657" s="164"/>
      <c r="G657" s="164"/>
      <c r="H657" s="164"/>
      <c r="I657" s="164"/>
      <c r="J657" s="164"/>
      <c r="K657" s="164"/>
      <c r="L657" s="164"/>
      <c r="M657" s="164"/>
      <c r="N657" s="164"/>
      <c r="O657" s="164"/>
      <c r="P657" s="164"/>
      <c r="Q657" s="164"/>
      <c r="R657" s="164"/>
      <c r="S657" s="164"/>
      <c r="T657" s="232" t="s">
        <v>822</v>
      </c>
      <c r="U657" s="152"/>
      <c r="V657" s="147"/>
      <c r="W657" s="147"/>
      <c r="X657" s="147"/>
    </row>
    <row r="658" spans="1:24">
      <c r="A658" s="163" t="s">
        <v>823</v>
      </c>
      <c r="B658" s="152"/>
      <c r="C658" s="168"/>
      <c r="D658" s="164"/>
      <c r="E658" s="164"/>
      <c r="F658" s="164"/>
      <c r="G658" s="164"/>
      <c r="H658" s="164"/>
      <c r="I658" s="164"/>
      <c r="J658" s="164"/>
      <c r="K658" s="164"/>
      <c r="L658" s="164"/>
      <c r="M658" s="164"/>
      <c r="N658" s="164"/>
      <c r="O658" s="164"/>
      <c r="P658" s="164"/>
      <c r="Q658" s="164"/>
      <c r="R658" s="164"/>
      <c r="S658" s="165"/>
      <c r="T658" s="232" t="s">
        <v>823</v>
      </c>
      <c r="U658" s="152"/>
      <c r="V658" s="147"/>
      <c r="W658" s="147"/>
      <c r="X658" s="147"/>
    </row>
    <row r="659" spans="1:24">
      <c r="A659" s="163" t="s">
        <v>824</v>
      </c>
      <c r="B659" s="152"/>
      <c r="C659" s="168"/>
      <c r="D659" s="164"/>
      <c r="E659" s="164"/>
      <c r="F659" s="164"/>
      <c r="G659" s="164"/>
      <c r="H659" s="164"/>
      <c r="I659" s="164"/>
      <c r="J659" s="164"/>
      <c r="K659" s="164"/>
      <c r="L659" s="164"/>
      <c r="M659" s="164"/>
      <c r="N659" s="164"/>
      <c r="O659" s="164"/>
      <c r="P659" s="164"/>
      <c r="Q659" s="164"/>
      <c r="R659" s="164"/>
      <c r="S659" s="165"/>
      <c r="T659" s="232" t="s">
        <v>824</v>
      </c>
      <c r="U659" s="152"/>
      <c r="V659" s="147"/>
      <c r="W659" s="147"/>
      <c r="X659" s="147"/>
    </row>
    <row r="660" spans="1:24">
      <c r="A660" s="163" t="s">
        <v>825</v>
      </c>
      <c r="B660" s="152"/>
      <c r="C660" s="168"/>
      <c r="D660" s="164"/>
      <c r="E660" s="164"/>
      <c r="F660" s="164"/>
      <c r="G660" s="164"/>
      <c r="H660" s="164"/>
      <c r="I660" s="164"/>
      <c r="J660" s="164"/>
      <c r="K660" s="164"/>
      <c r="L660" s="164"/>
      <c r="M660" s="164"/>
      <c r="N660" s="164"/>
      <c r="O660" s="164"/>
      <c r="P660" s="164"/>
      <c r="Q660" s="164"/>
      <c r="R660" s="164"/>
      <c r="S660" s="165"/>
      <c r="T660" s="232" t="s">
        <v>825</v>
      </c>
      <c r="U660" s="152"/>
      <c r="V660" s="147"/>
      <c r="W660" s="147"/>
      <c r="X660" s="147"/>
    </row>
    <row r="661" spans="1:24">
      <c r="A661" s="163" t="s">
        <v>826</v>
      </c>
      <c r="B661" s="152"/>
      <c r="C661" s="168"/>
      <c r="D661" s="164"/>
      <c r="E661" s="164"/>
      <c r="F661" s="164"/>
      <c r="G661" s="164"/>
      <c r="H661" s="164"/>
      <c r="I661" s="164"/>
      <c r="J661" s="164"/>
      <c r="K661" s="164"/>
      <c r="L661" s="164"/>
      <c r="M661" s="164"/>
      <c r="N661" s="164"/>
      <c r="O661" s="164"/>
      <c r="P661" s="164"/>
      <c r="Q661" s="164"/>
      <c r="R661" s="164"/>
      <c r="S661" s="165"/>
      <c r="T661" s="232" t="s">
        <v>826</v>
      </c>
      <c r="U661" s="152"/>
      <c r="V661" s="147"/>
      <c r="W661" s="147"/>
      <c r="X661" s="147"/>
    </row>
    <row r="662" spans="1:24">
      <c r="A662" s="163" t="s">
        <v>827</v>
      </c>
      <c r="B662" s="152"/>
      <c r="C662" s="168"/>
      <c r="D662" s="164"/>
      <c r="E662" s="164"/>
      <c r="F662" s="164"/>
      <c r="G662" s="164"/>
      <c r="H662" s="164"/>
      <c r="I662" s="164"/>
      <c r="J662" s="164"/>
      <c r="K662" s="164"/>
      <c r="L662" s="164"/>
      <c r="M662" s="164"/>
      <c r="N662" s="164"/>
      <c r="O662" s="164"/>
      <c r="P662" s="126"/>
      <c r="Q662" s="164"/>
      <c r="R662" s="164"/>
      <c r="S662" s="165"/>
      <c r="T662" s="232" t="s">
        <v>827</v>
      </c>
      <c r="U662" s="152"/>
      <c r="V662" s="147"/>
      <c r="W662" s="147"/>
      <c r="X662" s="147"/>
    </row>
    <row r="663" spans="1:24">
      <c r="A663" s="163" t="s">
        <v>821</v>
      </c>
      <c r="B663" s="152"/>
      <c r="C663" s="168"/>
      <c r="D663" s="164"/>
      <c r="E663" s="164"/>
      <c r="F663" s="164"/>
      <c r="G663" s="164"/>
      <c r="H663" s="164"/>
      <c r="I663" s="164"/>
      <c r="J663" s="164"/>
      <c r="K663" s="164"/>
      <c r="L663" s="164"/>
      <c r="M663" s="164"/>
      <c r="N663" s="164"/>
      <c r="O663" s="164"/>
      <c r="P663" s="164"/>
      <c r="Q663" s="164"/>
      <c r="R663" s="164"/>
      <c r="S663" s="165"/>
      <c r="T663" s="232" t="s">
        <v>821</v>
      </c>
      <c r="U663" s="152"/>
      <c r="V663" s="147"/>
      <c r="W663" s="147"/>
      <c r="X663" s="147"/>
    </row>
    <row r="664" spans="1:24">
      <c r="A664" s="163" t="s">
        <v>822</v>
      </c>
      <c r="B664" s="152"/>
      <c r="C664" s="168"/>
      <c r="D664" s="164"/>
      <c r="E664" s="164"/>
      <c r="F664" s="164"/>
      <c r="G664" s="164"/>
      <c r="H664" s="164"/>
      <c r="I664" s="164"/>
      <c r="J664" s="164"/>
      <c r="K664" s="164"/>
      <c r="L664" s="164"/>
      <c r="M664" s="164"/>
      <c r="N664" s="164"/>
      <c r="O664" s="164"/>
      <c r="P664" s="126"/>
      <c r="Q664" s="164"/>
      <c r="R664" s="164"/>
      <c r="S664" s="165"/>
      <c r="T664" s="232" t="s">
        <v>822</v>
      </c>
      <c r="U664" s="152"/>
      <c r="V664" s="147"/>
      <c r="W664" s="147"/>
      <c r="X664" s="147"/>
    </row>
    <row r="665" spans="1:24">
      <c r="A665" s="163" t="s">
        <v>823</v>
      </c>
      <c r="B665" s="152"/>
      <c r="C665" s="168"/>
      <c r="D665" s="164"/>
      <c r="E665" s="164"/>
      <c r="F665" s="169"/>
      <c r="G665" s="164"/>
      <c r="H665" s="164"/>
      <c r="I665" s="164"/>
      <c r="J665" s="169"/>
      <c r="K665" s="169"/>
      <c r="L665" s="169"/>
      <c r="M665" s="169"/>
      <c r="N665" s="169"/>
      <c r="O665" s="169"/>
      <c r="P665" s="164"/>
      <c r="Q665" s="169"/>
      <c r="R665" s="169"/>
      <c r="S665" s="170"/>
      <c r="T665" s="232" t="s">
        <v>823</v>
      </c>
      <c r="U665" s="152"/>
      <c r="V665" s="147"/>
      <c r="W665" s="147"/>
      <c r="X665" s="147"/>
    </row>
    <row r="666" spans="1:24">
      <c r="A666" s="163" t="s">
        <v>824</v>
      </c>
      <c r="B666" s="152"/>
      <c r="C666" s="168"/>
      <c r="D666" s="164"/>
      <c r="E666" s="164"/>
      <c r="F666" s="169"/>
      <c r="G666" s="164"/>
      <c r="H666" s="164"/>
      <c r="I666" s="164"/>
      <c r="J666" s="169"/>
      <c r="K666" s="169"/>
      <c r="L666" s="169"/>
      <c r="M666" s="169"/>
      <c r="N666" s="169"/>
      <c r="O666" s="169"/>
      <c r="P666" s="126"/>
      <c r="Q666" s="169"/>
      <c r="R666" s="169"/>
      <c r="S666" s="170"/>
      <c r="T666" s="232" t="s">
        <v>824</v>
      </c>
      <c r="U666" s="152"/>
      <c r="V666" s="147"/>
      <c r="W666" s="147"/>
      <c r="X666" s="147"/>
    </row>
    <row r="667" spans="1:24">
      <c r="A667" s="163" t="s">
        <v>825</v>
      </c>
      <c r="B667" s="152"/>
      <c r="C667" s="168"/>
      <c r="D667" s="164"/>
      <c r="E667" s="164"/>
      <c r="F667" s="169"/>
      <c r="G667" s="164"/>
      <c r="H667" s="164"/>
      <c r="I667" s="164"/>
      <c r="J667" s="169"/>
      <c r="K667" s="169"/>
      <c r="L667" s="169"/>
      <c r="M667" s="169"/>
      <c r="N667" s="169"/>
      <c r="O667" s="169"/>
      <c r="P667" s="164"/>
      <c r="Q667" s="169"/>
      <c r="R667" s="169"/>
      <c r="S667" s="170"/>
      <c r="T667" s="232" t="s">
        <v>825</v>
      </c>
      <c r="U667" s="152"/>
      <c r="V667" s="147"/>
      <c r="W667" s="147"/>
      <c r="X667" s="147"/>
    </row>
    <row r="668" spans="1:24">
      <c r="A668" s="163" t="s">
        <v>826</v>
      </c>
      <c r="B668" s="152"/>
      <c r="C668" s="168"/>
      <c r="D668" s="164"/>
      <c r="E668" s="164"/>
      <c r="F668" s="169"/>
      <c r="G668" s="164"/>
      <c r="H668" s="164"/>
      <c r="I668" s="164"/>
      <c r="J668" s="169"/>
      <c r="K668" s="169"/>
      <c r="L668" s="169"/>
      <c r="M668" s="169"/>
      <c r="N668" s="169"/>
      <c r="O668" s="169"/>
      <c r="P668" s="126"/>
      <c r="Q668" s="169"/>
      <c r="R668" s="169"/>
      <c r="S668" s="170"/>
      <c r="T668" s="232" t="s">
        <v>826</v>
      </c>
      <c r="U668" s="152"/>
      <c r="V668" s="147"/>
      <c r="W668" s="147"/>
      <c r="X668" s="147"/>
    </row>
    <row r="669" spans="1:24" ht="15.75" thickBot="1">
      <c r="A669" s="163" t="s">
        <v>827</v>
      </c>
      <c r="B669" s="152"/>
      <c r="C669" s="168"/>
      <c r="D669" s="164"/>
      <c r="E669" s="164"/>
      <c r="F669" s="169"/>
      <c r="G669" s="164"/>
      <c r="H669" s="164"/>
      <c r="I669" s="164"/>
      <c r="J669" s="169"/>
      <c r="K669" s="169"/>
      <c r="L669" s="169"/>
      <c r="M669" s="169"/>
      <c r="N669" s="169"/>
      <c r="O669" s="169"/>
      <c r="P669" s="164"/>
      <c r="Q669" s="169"/>
      <c r="R669" s="169"/>
      <c r="S669" s="170"/>
      <c r="T669" s="232" t="s">
        <v>827</v>
      </c>
      <c r="U669" s="152"/>
      <c r="V669" s="147"/>
      <c r="W669" s="147"/>
      <c r="X669" s="147"/>
    </row>
    <row r="670" spans="1:24" ht="16.5" thickBot="1">
      <c r="A670" s="175" t="s">
        <v>791</v>
      </c>
      <c r="B670" s="176">
        <f>SUM(C670:S670)+U670</f>
        <v>0</v>
      </c>
      <c r="C670" s="173">
        <f t="shared" ref="C670:N670" si="57">SUM(C656:C669)</f>
        <v>0</v>
      </c>
      <c r="D670" s="173">
        <f t="shared" si="57"/>
        <v>0</v>
      </c>
      <c r="E670" s="173">
        <f t="shared" si="57"/>
        <v>0</v>
      </c>
      <c r="F670" s="173">
        <f t="shared" si="57"/>
        <v>0</v>
      </c>
      <c r="G670" s="173">
        <f t="shared" si="57"/>
        <v>0</v>
      </c>
      <c r="H670" s="173">
        <f t="shared" si="57"/>
        <v>0</v>
      </c>
      <c r="I670" s="173">
        <f t="shared" si="57"/>
        <v>0</v>
      </c>
      <c r="J670" s="173">
        <f t="shared" si="57"/>
        <v>0</v>
      </c>
      <c r="K670" s="173">
        <f t="shared" si="57"/>
        <v>0</v>
      </c>
      <c r="L670" s="173">
        <f t="shared" si="57"/>
        <v>0</v>
      </c>
      <c r="M670" s="173">
        <f t="shared" si="57"/>
        <v>0</v>
      </c>
      <c r="N670" s="173">
        <f t="shared" si="57"/>
        <v>0</v>
      </c>
      <c r="O670" s="173">
        <f>SUM(O656:O669)</f>
        <v>0</v>
      </c>
      <c r="P670" s="173">
        <f>SUM(P656:P669)</f>
        <v>0</v>
      </c>
      <c r="Q670" s="173">
        <f>SUM(Q656:Q669)</f>
        <v>0</v>
      </c>
      <c r="R670" s="173">
        <f>SUM(R656:R669)</f>
        <v>0</v>
      </c>
      <c r="S670" s="174">
        <f>SUM(S656:S669)</f>
        <v>0</v>
      </c>
      <c r="T670" s="175" t="s">
        <v>791</v>
      </c>
      <c r="U670" s="176">
        <f>SUM(V670:X670)</f>
        <v>0</v>
      </c>
      <c r="V670" s="147">
        <f>SUM(V656:V669)</f>
        <v>0</v>
      </c>
      <c r="W670" s="147">
        <f>SUM(W656:W669)</f>
        <v>0</v>
      </c>
      <c r="X670" s="147">
        <f>SUM(X656:X669)</f>
        <v>0</v>
      </c>
    </row>
    <row r="671" spans="1:24" ht="15.75" thickBot="1"/>
    <row r="672" spans="1:24" ht="15.75" thickBot="1">
      <c r="A672" s="1046" t="s">
        <v>666</v>
      </c>
      <c r="B672" s="1047"/>
      <c r="C672" s="1047"/>
      <c r="D672" s="1047"/>
      <c r="E672" s="1047"/>
      <c r="F672" s="1047"/>
      <c r="G672" s="1047"/>
      <c r="H672" s="1047"/>
      <c r="I672" s="1047"/>
      <c r="J672" s="1047"/>
      <c r="K672" s="1047"/>
      <c r="L672" s="1047"/>
      <c r="M672" s="1047"/>
      <c r="N672" s="1047"/>
      <c r="O672" s="1047"/>
      <c r="P672" s="1047"/>
      <c r="Q672" s="1047"/>
      <c r="R672" s="1047"/>
      <c r="S672" s="1048"/>
      <c r="T672" s="1024" t="s">
        <v>820</v>
      </c>
      <c r="U672" s="1025"/>
      <c r="V672" s="1025"/>
      <c r="W672" s="1025"/>
      <c r="X672" s="1026"/>
    </row>
    <row r="673" spans="1:24" ht="17.25">
      <c r="A673" s="155"/>
      <c r="B673" s="275"/>
      <c r="C673" s="285"/>
      <c r="D673" s="286"/>
      <c r="E673" s="287"/>
      <c r="F673" s="286"/>
      <c r="G673" s="286"/>
      <c r="H673" s="157"/>
      <c r="I673" s="189"/>
      <c r="J673" s="189"/>
      <c r="K673" s="213"/>
      <c r="L673" s="208"/>
      <c r="M673" s="209"/>
      <c r="N673" s="214"/>
      <c r="O673" s="209"/>
      <c r="P673" s="209"/>
      <c r="Q673" s="207"/>
      <c r="R673" s="189"/>
      <c r="S673" s="190"/>
      <c r="T673" s="228"/>
      <c r="U673" s="247"/>
      <c r="V673" s="369"/>
      <c r="W673" s="369"/>
      <c r="X673" s="369"/>
    </row>
    <row r="674" spans="1:24">
      <c r="A674" s="163" t="s">
        <v>821</v>
      </c>
      <c r="B674" s="17"/>
      <c r="C674" s="164"/>
      <c r="D674" s="164"/>
      <c r="E674" s="164"/>
      <c r="F674" s="164"/>
      <c r="G674" s="164"/>
      <c r="H674" s="164"/>
      <c r="I674" s="164"/>
      <c r="J674" s="164"/>
      <c r="K674" s="165"/>
      <c r="L674" s="46"/>
      <c r="M674" s="46"/>
      <c r="N674" s="46"/>
      <c r="O674" s="46"/>
      <c r="P674" s="183"/>
      <c r="Q674" s="166"/>
      <c r="R674" s="168"/>
      <c r="S674" s="184"/>
      <c r="T674" s="232" t="s">
        <v>821</v>
      </c>
      <c r="U674" s="152"/>
      <c r="V674" s="147"/>
      <c r="W674" s="147"/>
      <c r="X674" s="147"/>
    </row>
    <row r="675" spans="1:24">
      <c r="A675" s="163" t="s">
        <v>822</v>
      </c>
      <c r="B675" s="17"/>
      <c r="C675" s="164"/>
      <c r="D675" s="164"/>
      <c r="E675" s="164"/>
      <c r="F675" s="164"/>
      <c r="G675" s="164"/>
      <c r="H675" s="164"/>
      <c r="I675" s="164"/>
      <c r="J675" s="164"/>
      <c r="K675" s="165"/>
      <c r="L675" s="46"/>
      <c r="M675" s="46"/>
      <c r="N675" s="46"/>
      <c r="O675" s="46"/>
      <c r="P675" s="183"/>
      <c r="Q675" s="166"/>
      <c r="R675" s="189"/>
      <c r="S675" s="190"/>
      <c r="T675" s="232" t="s">
        <v>822</v>
      </c>
      <c r="U675" s="152"/>
      <c r="V675" s="147"/>
      <c r="W675" s="147"/>
      <c r="X675" s="147"/>
    </row>
    <row r="676" spans="1:24">
      <c r="A676" s="163" t="s">
        <v>823</v>
      </c>
      <c r="B676" s="17"/>
      <c r="C676" s="164"/>
      <c r="D676" s="164"/>
      <c r="E676" s="164"/>
      <c r="F676" s="164"/>
      <c r="G676" s="164"/>
      <c r="H676" s="164"/>
      <c r="I676" s="164"/>
      <c r="J676" s="164"/>
      <c r="K676" s="165"/>
      <c r="L676" s="46"/>
      <c r="M676" s="46"/>
      <c r="N676" s="46"/>
      <c r="O676" s="46"/>
      <c r="P676" s="183"/>
      <c r="Q676" s="166"/>
      <c r="R676" s="164"/>
      <c r="S676" s="191"/>
      <c r="T676" s="232" t="s">
        <v>823</v>
      </c>
      <c r="U676" s="152"/>
      <c r="V676" s="147"/>
      <c r="W676" s="147"/>
      <c r="X676" s="147"/>
    </row>
    <row r="677" spans="1:24">
      <c r="A677" s="163" t="s">
        <v>824</v>
      </c>
      <c r="B677" s="17"/>
      <c r="C677" s="164"/>
      <c r="D677" s="164"/>
      <c r="E677" s="164"/>
      <c r="F677" s="164"/>
      <c r="G677" s="164"/>
      <c r="H677" s="164"/>
      <c r="I677" s="164"/>
      <c r="J677" s="164"/>
      <c r="K677" s="165"/>
      <c r="L677" s="46"/>
      <c r="M677" s="46"/>
      <c r="N677" s="46"/>
      <c r="O677" s="46"/>
      <c r="P677" s="183"/>
      <c r="Q677" s="166"/>
      <c r="R677" s="164"/>
      <c r="S677" s="191"/>
      <c r="T677" s="232" t="s">
        <v>824</v>
      </c>
      <c r="U677" s="152"/>
      <c r="V677" s="147"/>
      <c r="W677" s="147"/>
      <c r="X677" s="147"/>
    </row>
    <row r="678" spans="1:24">
      <c r="A678" s="163" t="s">
        <v>825</v>
      </c>
      <c r="B678" s="17"/>
      <c r="C678" s="164"/>
      <c r="D678" s="164"/>
      <c r="E678" s="164"/>
      <c r="F678" s="164"/>
      <c r="G678" s="164"/>
      <c r="H678" s="164"/>
      <c r="I678" s="164"/>
      <c r="J678" s="164"/>
      <c r="K678" s="165"/>
      <c r="L678" s="46"/>
      <c r="M678" s="46"/>
      <c r="N678" s="46"/>
      <c r="O678" s="46"/>
      <c r="P678" s="183"/>
      <c r="Q678" s="166"/>
      <c r="R678" s="164"/>
      <c r="S678" s="191"/>
      <c r="T678" s="232" t="s">
        <v>825</v>
      </c>
      <c r="U678" s="152"/>
      <c r="V678" s="147"/>
      <c r="W678" s="147"/>
      <c r="X678" s="147"/>
    </row>
    <row r="679" spans="1:24">
      <c r="A679" s="163" t="s">
        <v>826</v>
      </c>
      <c r="B679" s="17"/>
      <c r="C679" s="164"/>
      <c r="D679" s="164"/>
      <c r="E679" s="164"/>
      <c r="F679" s="164"/>
      <c r="G679" s="164"/>
      <c r="H679" s="164"/>
      <c r="I679" s="164"/>
      <c r="J679" s="164"/>
      <c r="K679" s="165"/>
      <c r="L679" s="46"/>
      <c r="M679" s="46"/>
      <c r="N679" s="46"/>
      <c r="O679" s="46"/>
      <c r="P679" s="183"/>
      <c r="Q679" s="166"/>
      <c r="R679" s="164"/>
      <c r="S679" s="191"/>
      <c r="T679" s="232" t="s">
        <v>826</v>
      </c>
      <c r="U679" s="152"/>
      <c r="V679" s="147"/>
      <c r="W679" s="147"/>
      <c r="X679" s="147"/>
    </row>
    <row r="680" spans="1:24">
      <c r="A680" s="163" t="s">
        <v>827</v>
      </c>
      <c r="B680" s="17"/>
      <c r="C680" s="164"/>
      <c r="D680" s="164"/>
      <c r="E680" s="164"/>
      <c r="F680" s="164"/>
      <c r="G680" s="164"/>
      <c r="H680" s="164"/>
      <c r="I680" s="164"/>
      <c r="J680" s="164"/>
      <c r="K680" s="165"/>
      <c r="L680" s="46"/>
      <c r="M680" s="46"/>
      <c r="N680" s="46"/>
      <c r="O680" s="46"/>
      <c r="P680" s="183"/>
      <c r="Q680" s="166"/>
      <c r="R680" s="164"/>
      <c r="S680" s="191"/>
      <c r="T680" s="232" t="s">
        <v>827</v>
      </c>
      <c r="U680" s="152"/>
      <c r="V680" s="147"/>
      <c r="W680" s="147"/>
      <c r="X680" s="147"/>
    </row>
    <row r="681" spans="1:24">
      <c r="A681" s="163" t="s">
        <v>821</v>
      </c>
      <c r="B681" s="17"/>
      <c r="C681" s="164"/>
      <c r="D681" s="164"/>
      <c r="E681" s="164"/>
      <c r="F681" s="164"/>
      <c r="G681" s="164"/>
      <c r="H681" s="164"/>
      <c r="I681" s="164"/>
      <c r="J681" s="164"/>
      <c r="K681" s="165"/>
      <c r="L681" s="46"/>
      <c r="M681" s="46"/>
      <c r="N681" s="46"/>
      <c r="O681" s="46"/>
      <c r="P681" s="183"/>
      <c r="Q681" s="166"/>
      <c r="R681" s="164"/>
      <c r="S681" s="191"/>
      <c r="T681" s="232" t="s">
        <v>821</v>
      </c>
      <c r="U681" s="152"/>
      <c r="V681" s="147"/>
      <c r="W681" s="147"/>
      <c r="X681" s="147"/>
    </row>
    <row r="682" spans="1:24">
      <c r="A682" s="163" t="s">
        <v>822</v>
      </c>
      <c r="B682" s="17"/>
      <c r="C682" s="164"/>
      <c r="D682" s="164"/>
      <c r="E682" s="164"/>
      <c r="F682" s="164"/>
      <c r="G682" s="164"/>
      <c r="H682" s="164"/>
      <c r="I682" s="164"/>
      <c r="J682" s="164"/>
      <c r="K682" s="165"/>
      <c r="L682" s="46"/>
      <c r="M682" s="46"/>
      <c r="N682" s="46"/>
      <c r="O682" s="46"/>
      <c r="P682" s="183"/>
      <c r="Q682" s="166"/>
      <c r="R682" s="164"/>
      <c r="S682" s="191"/>
      <c r="T682" s="232" t="s">
        <v>822</v>
      </c>
      <c r="U682" s="152"/>
      <c r="V682" s="147"/>
      <c r="W682" s="147"/>
      <c r="X682" s="147"/>
    </row>
    <row r="683" spans="1:24">
      <c r="A683" s="163" t="s">
        <v>823</v>
      </c>
      <c r="B683" s="17"/>
      <c r="C683" s="164"/>
      <c r="D683" s="164"/>
      <c r="E683" s="164"/>
      <c r="F683" s="164"/>
      <c r="G683" s="164"/>
      <c r="H683" s="164"/>
      <c r="I683" s="164"/>
      <c r="J683" s="164"/>
      <c r="K683" s="165"/>
      <c r="L683" s="46"/>
      <c r="M683" s="46"/>
      <c r="N683" s="46"/>
      <c r="O683" s="46"/>
      <c r="P683" s="183"/>
      <c r="Q683" s="166"/>
      <c r="R683" s="169"/>
      <c r="S683" s="194"/>
      <c r="T683" s="232" t="s">
        <v>823</v>
      </c>
      <c r="U683" s="152"/>
      <c r="V683" s="147"/>
      <c r="W683" s="147"/>
      <c r="X683" s="147"/>
    </row>
    <row r="684" spans="1:24">
      <c r="A684" s="163" t="s">
        <v>824</v>
      </c>
      <c r="B684" s="17"/>
      <c r="C684" s="164"/>
      <c r="D684" s="164"/>
      <c r="E684" s="164"/>
      <c r="F684" s="164"/>
      <c r="G684" s="164"/>
      <c r="H684" s="164"/>
      <c r="I684" s="164"/>
      <c r="J684" s="164"/>
      <c r="K684" s="165"/>
      <c r="L684" s="46"/>
      <c r="M684" s="46"/>
      <c r="N684" s="46"/>
      <c r="O684" s="46"/>
      <c r="P684" s="183"/>
      <c r="Q684" s="166"/>
      <c r="R684" s="169"/>
      <c r="S684" s="194"/>
      <c r="T684" s="232" t="s">
        <v>824</v>
      </c>
      <c r="U684" s="152"/>
      <c r="V684" s="147"/>
      <c r="W684" s="147"/>
      <c r="X684" s="147"/>
    </row>
    <row r="685" spans="1:24">
      <c r="A685" s="163" t="s">
        <v>825</v>
      </c>
      <c r="B685" s="17"/>
      <c r="C685" s="164"/>
      <c r="D685" s="164"/>
      <c r="E685" s="164"/>
      <c r="F685" s="164"/>
      <c r="G685" s="164"/>
      <c r="H685" s="164"/>
      <c r="I685" s="164"/>
      <c r="J685" s="164"/>
      <c r="K685" s="165"/>
      <c r="L685" s="46"/>
      <c r="M685" s="46"/>
      <c r="N685" s="46"/>
      <c r="O685" s="46"/>
      <c r="P685" s="183"/>
      <c r="Q685" s="166"/>
      <c r="R685" s="169"/>
      <c r="S685" s="194"/>
      <c r="T685" s="232" t="s">
        <v>825</v>
      </c>
      <c r="U685" s="152"/>
      <c r="V685" s="147"/>
      <c r="W685" s="147"/>
      <c r="X685" s="147"/>
    </row>
    <row r="686" spans="1:24">
      <c r="A686" s="163" t="s">
        <v>826</v>
      </c>
      <c r="B686" s="17"/>
      <c r="C686" s="164"/>
      <c r="D686" s="164"/>
      <c r="E686" s="164"/>
      <c r="F686" s="164"/>
      <c r="G686" s="164"/>
      <c r="H686" s="164"/>
      <c r="I686" s="164"/>
      <c r="J686" s="164"/>
      <c r="K686" s="165"/>
      <c r="L686" s="46"/>
      <c r="M686" s="46"/>
      <c r="N686" s="46"/>
      <c r="O686" s="46"/>
      <c r="P686" s="183"/>
      <c r="Q686" s="166"/>
      <c r="R686" s="169"/>
      <c r="S686" s="194"/>
      <c r="T686" s="232" t="s">
        <v>826</v>
      </c>
      <c r="U686" s="152"/>
      <c r="V686" s="147"/>
      <c r="W686" s="147"/>
      <c r="X686" s="147"/>
    </row>
    <row r="687" spans="1:24" ht="15.75" thickBot="1">
      <c r="A687" s="163" t="s">
        <v>827</v>
      </c>
      <c r="B687" s="17"/>
      <c r="C687" s="164"/>
      <c r="D687" s="164"/>
      <c r="E687" s="164"/>
      <c r="F687" s="164"/>
      <c r="G687" s="164"/>
      <c r="H687" s="164"/>
      <c r="I687" s="164"/>
      <c r="J687" s="164"/>
      <c r="K687" s="165"/>
      <c r="L687" s="46"/>
      <c r="M687" s="46"/>
      <c r="N687" s="46"/>
      <c r="O687" s="46"/>
      <c r="P687" s="183"/>
      <c r="Q687" s="166"/>
      <c r="R687" s="212"/>
      <c r="S687" s="194"/>
      <c r="T687" s="232" t="s">
        <v>827</v>
      </c>
      <c r="U687" s="152"/>
      <c r="V687" s="147"/>
      <c r="W687" s="147"/>
      <c r="X687" s="147"/>
    </row>
    <row r="688" spans="1:24" ht="16.5" thickBot="1">
      <c r="A688" s="195"/>
      <c r="B688" s="176">
        <f>SUM(C688:S688)+U688</f>
        <v>0</v>
      </c>
      <c r="C688" s="177">
        <f>SUM(C674:C687)</f>
        <v>0</v>
      </c>
      <c r="D688" s="177">
        <f>SUM(D674:D687)</f>
        <v>0</v>
      </c>
      <c r="E688" s="177">
        <f>SUM(E674:E687)</f>
        <v>0</v>
      </c>
      <c r="F688" s="177">
        <f>SUM(F674:F687)</f>
        <v>0</v>
      </c>
      <c r="G688" s="177">
        <f>SUM(G674:G687)</f>
        <v>0</v>
      </c>
      <c r="H688" s="177">
        <f t="shared" ref="H688:S688" si="58">SUM(H674:H687)</f>
        <v>0</v>
      </c>
      <c r="I688" s="177">
        <f t="shared" si="58"/>
        <v>0</v>
      </c>
      <c r="J688" s="177">
        <f t="shared" si="58"/>
        <v>0</v>
      </c>
      <c r="K688" s="177">
        <f t="shared" si="58"/>
        <v>0</v>
      </c>
      <c r="L688" s="197">
        <f t="shared" si="58"/>
        <v>0</v>
      </c>
      <c r="M688" s="197">
        <f t="shared" si="58"/>
        <v>0</v>
      </c>
      <c r="N688" s="197">
        <f t="shared" si="58"/>
        <v>0</v>
      </c>
      <c r="O688" s="197">
        <f t="shared" si="58"/>
        <v>0</v>
      </c>
      <c r="P688" s="197">
        <f t="shared" si="58"/>
        <v>0</v>
      </c>
      <c r="Q688" s="197">
        <f t="shared" si="58"/>
        <v>0</v>
      </c>
      <c r="R688" s="197">
        <f t="shared" si="58"/>
        <v>0</v>
      </c>
      <c r="S688" s="198">
        <f t="shared" si="58"/>
        <v>0</v>
      </c>
      <c r="T688" s="175" t="s">
        <v>791</v>
      </c>
      <c r="U688" s="176">
        <f>SUM(V688:X688)</f>
        <v>0</v>
      </c>
      <c r="V688" s="147">
        <f>SUM(V674:V687)</f>
        <v>0</v>
      </c>
      <c r="W688" s="147">
        <f>SUM(W674:W687)</f>
        <v>0</v>
      </c>
      <c r="X688" s="147">
        <f>SUM(X674:X687)</f>
        <v>0</v>
      </c>
    </row>
  </sheetData>
  <sortState xmlns:xlrd2="http://schemas.microsoft.com/office/spreadsheetml/2017/richdata2" ref="L440:L459">
    <sortCondition ref="L440:L459"/>
  </sortState>
  <mergeCells count="76">
    <mergeCell ref="T37:X37"/>
    <mergeCell ref="A55:S55"/>
    <mergeCell ref="T55:X55"/>
    <mergeCell ref="A236:S236"/>
    <mergeCell ref="T236:X236"/>
    <mergeCell ref="T91:X91"/>
    <mergeCell ref="T348:X348"/>
    <mergeCell ref="T366:X366"/>
    <mergeCell ref="T1:X1"/>
    <mergeCell ref="T327:X327"/>
    <mergeCell ref="T181:X181"/>
    <mergeCell ref="T109:X109"/>
    <mergeCell ref="T19:X19"/>
    <mergeCell ref="T309:X309"/>
    <mergeCell ref="T163:X163"/>
    <mergeCell ref="T145:X145"/>
    <mergeCell ref="T199:X199"/>
    <mergeCell ref="T254:X254"/>
    <mergeCell ref="T272:X272"/>
    <mergeCell ref="T290:X290"/>
    <mergeCell ref="T217:X217"/>
    <mergeCell ref="T73:X73"/>
    <mergeCell ref="A1:S1"/>
    <mergeCell ref="A327:S327"/>
    <mergeCell ref="A181:S181"/>
    <mergeCell ref="A109:S109"/>
    <mergeCell ref="A19:S19"/>
    <mergeCell ref="A309:S309"/>
    <mergeCell ref="A145:S145"/>
    <mergeCell ref="A199:S199"/>
    <mergeCell ref="A127:S127"/>
    <mergeCell ref="A254:S254"/>
    <mergeCell ref="A272:S272"/>
    <mergeCell ref="A290:S290"/>
    <mergeCell ref="A37:S37"/>
    <mergeCell ref="A348:S348"/>
    <mergeCell ref="A366:S366"/>
    <mergeCell ref="A402:S402"/>
    <mergeCell ref="A73:S73"/>
    <mergeCell ref="A384:S384"/>
    <mergeCell ref="A163:S163"/>
    <mergeCell ref="A217:S217"/>
    <mergeCell ref="A91:S91"/>
    <mergeCell ref="A420:S420"/>
    <mergeCell ref="A672:S672"/>
    <mergeCell ref="A456:S456"/>
    <mergeCell ref="A474:S474"/>
    <mergeCell ref="A492:S492"/>
    <mergeCell ref="A510:S510"/>
    <mergeCell ref="A438:S438"/>
    <mergeCell ref="A654:S654"/>
    <mergeCell ref="A636:S636"/>
    <mergeCell ref="A618:S618"/>
    <mergeCell ref="T672:X672"/>
    <mergeCell ref="T582:X582"/>
    <mergeCell ref="T127:X127"/>
    <mergeCell ref="T546:X546"/>
    <mergeCell ref="T564:X564"/>
    <mergeCell ref="T654:X654"/>
    <mergeCell ref="T384:X384"/>
    <mergeCell ref="T402:X402"/>
    <mergeCell ref="T420:X420"/>
    <mergeCell ref="T438:X438"/>
    <mergeCell ref="T456:X456"/>
    <mergeCell ref="T474:X474"/>
    <mergeCell ref="T492:X492"/>
    <mergeCell ref="T510:X510"/>
    <mergeCell ref="T636:X636"/>
    <mergeCell ref="T618:X618"/>
    <mergeCell ref="T600:X600"/>
    <mergeCell ref="A600:S600"/>
    <mergeCell ref="A564:S564"/>
    <mergeCell ref="A528:S528"/>
    <mergeCell ref="A546:S546"/>
    <mergeCell ref="T528:X528"/>
    <mergeCell ref="A582:S582"/>
  </mergeCells>
  <phoneticPr fontId="109" type="noConversion"/>
  <conditionalFormatting sqref="C655">
    <cfRule type="duplicateValues" dxfId="49" priority="51"/>
    <cfRule type="duplicateValues" dxfId="48" priority="52"/>
  </conditionalFormatting>
  <conditionalFormatting sqref="C74:V74">
    <cfRule type="duplicateValues" dxfId="47" priority="341"/>
  </conditionalFormatting>
  <conditionalFormatting sqref="C92:X92">
    <cfRule type="duplicateValues" dxfId="46" priority="461"/>
  </conditionalFormatting>
  <conditionalFormatting sqref="P655">
    <cfRule type="duplicateValues" dxfId="45" priority="44"/>
    <cfRule type="duplicateValues" dxfId="44" priority="45"/>
    <cfRule type="duplicateValues" dxfId="43" priority="46"/>
    <cfRule type="duplicateValues" dxfId="42" priority="47"/>
  </conditionalFormatting>
  <conditionalFormatting sqref="P2:T2 C2:D2 G2:J2">
    <cfRule type="duplicateValues" dxfId="41" priority="31"/>
  </conditionalFormatting>
  <conditionalFormatting sqref="Q20:S20 C20:F20 H20:K20">
    <cfRule type="duplicateValues" dxfId="40" priority="25"/>
  </conditionalFormatting>
  <conditionalFormatting sqref="Q20:S20">
    <cfRule type="duplicateValues" dxfId="39" priority="26"/>
    <cfRule type="duplicateValues" dxfId="38" priority="27"/>
  </conditionalFormatting>
  <conditionalFormatting sqref="Q182:S182 H182:K182">
    <cfRule type="duplicateValues" dxfId="37" priority="30"/>
  </conditionalFormatting>
  <conditionalFormatting sqref="Q182:S182">
    <cfRule type="duplicateValues" dxfId="36" priority="29"/>
    <cfRule type="duplicateValues" dxfId="35" priority="275"/>
  </conditionalFormatting>
  <conditionalFormatting sqref="Q237:S237 F237 H237:K237">
    <cfRule type="duplicateValues" dxfId="34" priority="6"/>
  </conditionalFormatting>
  <conditionalFormatting sqref="Q237:S237">
    <cfRule type="duplicateValues" dxfId="33" priority="7"/>
    <cfRule type="duplicateValues" dxfId="32" priority="8"/>
  </conditionalFormatting>
  <conditionalFormatting sqref="Q255:S255 F255 H255:K255">
    <cfRule type="duplicateValues" dxfId="31" priority="16"/>
  </conditionalFormatting>
  <conditionalFormatting sqref="Q255:S255">
    <cfRule type="duplicateValues" dxfId="30" priority="17"/>
    <cfRule type="duplicateValues" dxfId="29" priority="18"/>
  </conditionalFormatting>
  <conditionalFormatting sqref="Q273:S273 H273:K273">
    <cfRule type="duplicateValues" dxfId="28" priority="12"/>
  </conditionalFormatting>
  <conditionalFormatting sqref="Q273:S273">
    <cfRule type="duplicateValues" dxfId="27" priority="13"/>
    <cfRule type="duplicateValues" dxfId="26" priority="14"/>
  </conditionalFormatting>
  <conditionalFormatting sqref="Q291:S291 H291:K291">
    <cfRule type="duplicateValues" dxfId="25" priority="10"/>
  </conditionalFormatting>
  <conditionalFormatting sqref="Q291:S291">
    <cfRule type="duplicateValues" dxfId="24" priority="9"/>
    <cfRule type="duplicateValues" dxfId="23" priority="11"/>
  </conditionalFormatting>
  <conditionalFormatting sqref="Q619:S619 C619:F619 H619:K619">
    <cfRule type="duplicateValues" dxfId="22" priority="270"/>
  </conditionalFormatting>
  <conditionalFormatting sqref="Q619:S619">
    <cfRule type="duplicateValues" dxfId="21" priority="273"/>
    <cfRule type="duplicateValues" dxfId="20" priority="274"/>
  </conditionalFormatting>
  <conditionalFormatting sqref="Q655:S655 D655:O655">
    <cfRule type="duplicateValues" dxfId="19" priority="213"/>
    <cfRule type="duplicateValues" dxfId="18" priority="214"/>
  </conditionalFormatting>
  <conditionalFormatting sqref="R2:T2">
    <cfRule type="duplicateValues" dxfId="17" priority="32"/>
    <cfRule type="duplicateValues" dxfId="16" priority="33"/>
  </conditionalFormatting>
  <conditionalFormatting sqref="T655">
    <cfRule type="duplicateValues" dxfId="15" priority="261"/>
    <cfRule type="duplicateValues" dxfId="14" priority="262"/>
  </conditionalFormatting>
  <conditionalFormatting sqref="T56:V56 F56:H56 C56 M56:Q56">
    <cfRule type="duplicateValues" dxfId="13" priority="19"/>
  </conditionalFormatting>
  <conditionalFormatting sqref="T56:V56">
    <cfRule type="duplicateValues" dxfId="12" priority="20"/>
    <cfRule type="duplicateValues" dxfId="11" priority="21"/>
  </conditionalFormatting>
  <conditionalFormatting sqref="W38">
    <cfRule type="duplicateValues" dxfId="10" priority="1"/>
  </conditionalFormatting>
  <conditionalFormatting sqref="Y74">
    <cfRule type="duplicateValues" dxfId="9" priority="5"/>
  </conditionalFormatting>
  <conditionalFormatting sqref="AA92">
    <cfRule type="duplicateValues" dxfId="8" priority="3"/>
  </conditionalFormatting>
  <conditionalFormatting sqref="AB38:AD38 Q38:T38 G38:K38 C38:E38">
    <cfRule type="duplicateValues" dxfId="7" priority="22"/>
  </conditionalFormatting>
  <conditionalFormatting sqref="AB38:AD38">
    <cfRule type="duplicateValues" dxfId="6" priority="23"/>
    <cfRule type="duplicateValues" dxfId="5" priority="24"/>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X92"/>
  <sheetViews>
    <sheetView topLeftCell="A71" zoomScaleNormal="100" workbookViewId="0">
      <pane xSplit="2" topLeftCell="C1" activePane="topRight" state="frozen"/>
      <selection activeCell="B13" sqref="B13"/>
      <selection pane="topRight" activeCell="N24" sqref="N24"/>
    </sheetView>
  </sheetViews>
  <sheetFormatPr defaultColWidth="9" defaultRowHeight="15"/>
  <cols>
    <col min="2" max="2" width="13.7109375" customWidth="1"/>
    <col min="3" max="3" width="11.7109375" customWidth="1"/>
    <col min="4" max="4" width="9.140625" customWidth="1"/>
    <col min="5" max="5" width="10.42578125" customWidth="1"/>
    <col min="7" max="9" width="9.140625" customWidth="1"/>
    <col min="11" max="12" width="9.140625" customWidth="1"/>
    <col min="13" max="13" width="12" customWidth="1"/>
    <col min="14" max="14" width="9.140625" customWidth="1"/>
    <col min="15" max="15" width="11.42578125" customWidth="1"/>
    <col min="18" max="18" width="9" customWidth="1"/>
    <col min="20" max="20" width="12.140625" customWidth="1"/>
    <col min="21" max="21" width="11" customWidth="1"/>
    <col min="22" max="28" width="9.140625" customWidth="1"/>
    <col min="29" max="29" width="9" customWidth="1"/>
    <col min="30" max="32" width="9.140625" customWidth="1"/>
    <col min="33" max="33" width="9" customWidth="1"/>
    <col min="34" max="35" width="9.140625" customWidth="1"/>
    <col min="36" max="36" width="9.7109375" customWidth="1"/>
    <col min="37" max="40" width="9.140625" customWidth="1"/>
    <col min="41" max="41" width="10.5703125" customWidth="1"/>
    <col min="42" max="53" width="9.140625" customWidth="1"/>
  </cols>
  <sheetData>
    <row r="1" spans="1:91" ht="15.75" thickBot="1"/>
    <row r="2" spans="1:91" ht="15.75" thickBot="1">
      <c r="A2" s="1024" t="s">
        <v>1006</v>
      </c>
      <c r="B2" s="1025"/>
      <c r="C2" s="1025"/>
      <c r="D2" s="1025"/>
      <c r="E2" s="1025"/>
      <c r="F2" s="1025"/>
      <c r="G2" s="1025"/>
      <c r="H2" s="1025"/>
      <c r="I2" s="1025"/>
      <c r="J2" s="1025"/>
      <c r="K2" s="1025"/>
      <c r="L2" s="1025"/>
      <c r="M2" s="1025"/>
      <c r="N2" s="1025"/>
      <c r="O2" s="1025"/>
      <c r="P2" s="1025"/>
      <c r="Q2" s="1025"/>
      <c r="R2" s="1026"/>
      <c r="T2" s="1024" t="s">
        <v>820</v>
      </c>
      <c r="U2" s="1025"/>
      <c r="V2" s="1025"/>
      <c r="W2" s="1025"/>
      <c r="X2" s="1026"/>
      <c r="AO2" s="42"/>
      <c r="AP2" s="42"/>
      <c r="AQ2" s="42"/>
      <c r="AR2" s="42"/>
      <c r="AS2" s="42"/>
    </row>
    <row r="3" spans="1:91" s="42" customFormat="1" ht="111.75" customHeight="1">
      <c r="A3" s="155"/>
      <c r="B3" s="247" t="s">
        <v>876</v>
      </c>
      <c r="C3" s="651" t="s">
        <v>129</v>
      </c>
      <c r="D3" s="652" t="s">
        <v>1007</v>
      </c>
      <c r="E3" s="652" t="s">
        <v>130</v>
      </c>
      <c r="F3" s="651" t="s">
        <v>131</v>
      </c>
      <c r="G3" s="652" t="s">
        <v>1008</v>
      </c>
      <c r="H3" s="651" t="s">
        <v>1009</v>
      </c>
      <c r="I3" s="651" t="s">
        <v>1010</v>
      </c>
      <c r="J3" s="651" t="s">
        <v>135</v>
      </c>
      <c r="K3" s="653" t="s">
        <v>137</v>
      </c>
      <c r="L3" s="651" t="s">
        <v>138</v>
      </c>
      <c r="M3" s="652" t="s">
        <v>140</v>
      </c>
      <c r="N3" s="654" t="s">
        <v>1011</v>
      </c>
      <c r="O3" s="654" t="s">
        <v>1012</v>
      </c>
      <c r="P3" s="653" t="s">
        <v>1013</v>
      </c>
      <c r="Q3" s="654" t="s">
        <v>1014</v>
      </c>
      <c r="R3" s="653" t="s">
        <v>1015</v>
      </c>
      <c r="S3" s="653" t="s">
        <v>1016</v>
      </c>
      <c r="T3" s="652" t="s">
        <v>143</v>
      </c>
      <c r="U3" s="654" t="s">
        <v>1017</v>
      </c>
      <c r="V3" s="654" t="s">
        <v>1018</v>
      </c>
      <c r="W3" s="766" t="s">
        <v>1019</v>
      </c>
      <c r="X3" s="654" t="s">
        <v>1020</v>
      </c>
      <c r="Y3" s="654" t="s">
        <v>1021</v>
      </c>
      <c r="Z3" s="654" t="s">
        <v>155</v>
      </c>
      <c r="AA3" s="654" t="s">
        <v>156</v>
      </c>
      <c r="AB3" s="653" t="s">
        <v>158</v>
      </c>
      <c r="AC3" s="708" t="s">
        <v>146</v>
      </c>
      <c r="AD3" s="708" t="s">
        <v>189</v>
      </c>
      <c r="AE3" s="654" t="s">
        <v>1022</v>
      </c>
      <c r="AF3" s="652" t="s">
        <v>166</v>
      </c>
      <c r="AG3" s="652" t="s">
        <v>1023</v>
      </c>
      <c r="AH3" s="710" t="s">
        <v>160</v>
      </c>
      <c r="AI3" s="653" t="s">
        <v>1024</v>
      </c>
      <c r="AJ3" s="653" t="s">
        <v>1025</v>
      </c>
      <c r="AK3" s="655" t="s">
        <v>1026</v>
      </c>
      <c r="AL3" s="653" t="s">
        <v>169</v>
      </c>
      <c r="AM3" s="653" t="s">
        <v>162</v>
      </c>
      <c r="AN3" s="698" t="s">
        <v>171</v>
      </c>
      <c r="AO3" s="653" t="s">
        <v>173</v>
      </c>
      <c r="AP3" s="653" t="s">
        <v>175</v>
      </c>
      <c r="AQ3" s="653" t="s">
        <v>174</v>
      </c>
      <c r="AR3" s="653" t="s">
        <v>177</v>
      </c>
      <c r="AS3" s="653" t="s">
        <v>1027</v>
      </c>
      <c r="AT3" s="653" t="s">
        <v>1028</v>
      </c>
      <c r="AU3" s="653" t="s">
        <v>283</v>
      </c>
      <c r="AV3" s="653" t="s">
        <v>185</v>
      </c>
      <c r="AW3" s="653" t="s">
        <v>1029</v>
      </c>
      <c r="AX3" s="653" t="s">
        <v>188</v>
      </c>
      <c r="AY3" s="653" t="s">
        <v>1030</v>
      </c>
      <c r="AZ3" s="654" t="s">
        <v>191</v>
      </c>
      <c r="BA3" s="656" t="s">
        <v>1031</v>
      </c>
      <c r="BB3" s="657" t="s">
        <v>1032</v>
      </c>
      <c r="BC3" s="654" t="s">
        <v>1033</v>
      </c>
      <c r="BD3" s="654" t="s">
        <v>1034</v>
      </c>
      <c r="BE3" s="654" t="s">
        <v>303</v>
      </c>
      <c r="BF3" s="654" t="s">
        <v>1035</v>
      </c>
      <c r="BG3" s="653" t="s">
        <v>1036</v>
      </c>
      <c r="BH3" s="653" t="s">
        <v>1037</v>
      </c>
      <c r="BI3" s="653" t="s">
        <v>198</v>
      </c>
      <c r="BJ3" s="654" t="s">
        <v>200</v>
      </c>
      <c r="BK3" s="653" t="s">
        <v>182</v>
      </c>
      <c r="BL3" s="658" t="s">
        <v>1038</v>
      </c>
      <c r="BN3" s="232" t="s">
        <v>821</v>
      </c>
      <c r="BO3" s="152" t="s">
        <v>1039</v>
      </c>
      <c r="BP3" s="458" t="s">
        <v>1040</v>
      </c>
      <c r="BQ3" s="147"/>
      <c r="BR3" s="147"/>
      <c r="CI3"/>
      <c r="CJ3"/>
      <c r="CK3"/>
      <c r="CL3"/>
      <c r="CM3"/>
    </row>
    <row r="4" spans="1:91" ht="15.75">
      <c r="A4" s="163" t="s">
        <v>821</v>
      </c>
      <c r="B4" s="247">
        <v>23</v>
      </c>
      <c r="C4" s="678"/>
      <c r="D4" s="678"/>
      <c r="E4" s="678"/>
      <c r="F4" s="678"/>
      <c r="G4" s="678"/>
      <c r="H4" s="678"/>
      <c r="I4" s="678"/>
      <c r="J4" s="678"/>
      <c r="K4" s="678"/>
      <c r="L4" s="775"/>
      <c r="M4" s="678"/>
      <c r="N4" s="678"/>
      <c r="O4" s="678"/>
      <c r="P4" s="678"/>
      <c r="Q4" s="678"/>
      <c r="R4" s="678"/>
      <c r="S4" s="678"/>
      <c r="T4" s="678"/>
      <c r="U4" s="678"/>
      <c r="V4" s="678"/>
      <c r="W4" s="678"/>
      <c r="X4" s="678"/>
      <c r="Y4" s="678"/>
      <c r="Z4" s="678"/>
      <c r="AA4" s="678"/>
      <c r="AB4" s="678"/>
      <c r="AC4" s="678"/>
      <c r="AD4" s="678"/>
      <c r="AE4" s="678"/>
      <c r="AF4" s="678"/>
      <c r="AG4" s="678"/>
      <c r="AH4" s="678"/>
      <c r="AI4" s="678"/>
      <c r="AJ4" s="678"/>
      <c r="AK4" s="678"/>
      <c r="AL4" s="678"/>
      <c r="AM4" s="678"/>
      <c r="AN4" s="678"/>
      <c r="AO4" s="678"/>
      <c r="AP4" s="678"/>
      <c r="AQ4" s="678"/>
      <c r="AR4" s="678"/>
      <c r="AS4" s="678"/>
      <c r="AT4" s="678"/>
      <c r="AU4" s="678"/>
      <c r="AV4" s="678"/>
      <c r="AW4" s="678"/>
      <c r="AX4" s="678"/>
      <c r="AY4" s="678"/>
      <c r="AZ4" s="678"/>
      <c r="BA4" s="678"/>
      <c r="BB4" s="678"/>
      <c r="BC4" s="678"/>
      <c r="BD4" s="678"/>
      <c r="BE4" s="678"/>
      <c r="BF4" s="678"/>
      <c r="BG4" s="678"/>
      <c r="BH4" s="678"/>
      <c r="BI4" s="678"/>
      <c r="BJ4" s="678"/>
      <c r="BK4" s="678"/>
      <c r="BL4" s="678"/>
      <c r="BM4" s="599"/>
      <c r="BN4" s="459" t="s">
        <v>821</v>
      </c>
      <c r="BO4" s="164">
        <v>21</v>
      </c>
      <c r="BP4" s="193"/>
      <c r="BQ4" s="193"/>
      <c r="BR4" s="193"/>
    </row>
    <row r="5" spans="1:91" ht="15.75">
      <c r="A5" s="163" t="s">
        <v>822</v>
      </c>
      <c r="B5" s="247">
        <v>24</v>
      </c>
      <c r="C5" s="678"/>
      <c r="D5" s="678"/>
      <c r="E5" s="678"/>
      <c r="F5" s="678"/>
      <c r="G5" s="678"/>
      <c r="H5" s="678"/>
      <c r="I5" s="678"/>
      <c r="J5" s="678"/>
      <c r="K5" s="678"/>
      <c r="L5" s="678"/>
      <c r="M5" s="678"/>
      <c r="N5" s="678"/>
      <c r="O5" s="678"/>
      <c r="P5" s="678"/>
      <c r="Q5" s="678"/>
      <c r="R5" s="678"/>
      <c r="S5" s="678"/>
      <c r="T5" s="678"/>
      <c r="U5" s="678"/>
      <c r="V5" s="678"/>
      <c r="W5" s="678"/>
      <c r="X5" s="678"/>
      <c r="Y5" s="678"/>
      <c r="Z5" s="678"/>
      <c r="AA5" s="678"/>
      <c r="AB5" s="678"/>
      <c r="AC5" s="678"/>
      <c r="AD5" s="678"/>
      <c r="AE5" s="678"/>
      <c r="AF5" s="678"/>
      <c r="AG5" s="678"/>
      <c r="AH5" s="678"/>
      <c r="AI5" s="678"/>
      <c r="AJ5" s="678"/>
      <c r="AK5" s="678"/>
      <c r="AL5" s="678"/>
      <c r="AM5" s="678"/>
      <c r="AN5" s="678"/>
      <c r="AO5" s="678"/>
      <c r="AP5" s="678"/>
      <c r="AQ5" s="678"/>
      <c r="AR5" s="678"/>
      <c r="AS5" s="678"/>
      <c r="AT5" s="678"/>
      <c r="AU5" s="678"/>
      <c r="AV5" s="678"/>
      <c r="AW5" s="678"/>
      <c r="AX5" s="678"/>
      <c r="AY5" s="678"/>
      <c r="AZ5" s="678"/>
      <c r="BA5" s="678"/>
      <c r="BB5" s="678"/>
      <c r="BC5" s="678"/>
      <c r="BD5" s="678"/>
      <c r="BE5" s="678"/>
      <c r="BF5" s="678"/>
      <c r="BG5" s="678"/>
      <c r="BH5" s="678"/>
      <c r="BI5" s="678"/>
      <c r="BJ5" s="678"/>
      <c r="BK5" s="678"/>
      <c r="BL5" s="678"/>
      <c r="BM5" s="599">
        <f>BM13-BM12</f>
        <v>0</v>
      </c>
      <c r="BN5" s="460" t="s">
        <v>822</v>
      </c>
      <c r="BO5" s="152">
        <v>22</v>
      </c>
      <c r="BP5" s="147"/>
      <c r="BQ5" s="147"/>
      <c r="BR5" s="147"/>
    </row>
    <row r="6" spans="1:91" ht="15.75">
      <c r="A6" s="163" t="s">
        <v>823</v>
      </c>
      <c r="B6" s="247">
        <v>25</v>
      </c>
      <c r="C6" s="719"/>
      <c r="D6" s="719"/>
      <c r="E6" s="719"/>
      <c r="F6" s="722"/>
      <c r="G6" s="719"/>
      <c r="H6" s="719"/>
      <c r="I6" s="719"/>
      <c r="J6" s="719"/>
      <c r="K6" s="719"/>
      <c r="L6" s="719"/>
      <c r="M6" s="719"/>
      <c r="N6" s="722"/>
      <c r="O6" s="719"/>
      <c r="P6" s="719"/>
      <c r="Q6" s="722"/>
      <c r="R6" s="719"/>
      <c r="S6" s="722"/>
      <c r="T6" s="719"/>
      <c r="U6" s="719"/>
      <c r="V6" s="719"/>
      <c r="W6" s="719"/>
      <c r="X6" s="719"/>
      <c r="Y6" s="719"/>
      <c r="Z6" s="719"/>
      <c r="AA6" s="719"/>
      <c r="AB6" s="769"/>
      <c r="AC6" s="722"/>
      <c r="AD6" s="722"/>
      <c r="AE6" s="719"/>
      <c r="AF6" s="719"/>
      <c r="AG6" s="719"/>
      <c r="AH6" s="719"/>
      <c r="AI6" s="719"/>
      <c r="AJ6" s="719"/>
      <c r="AK6" s="722"/>
      <c r="AL6" s="719"/>
      <c r="AM6" s="719"/>
      <c r="AN6" s="719"/>
      <c r="AO6" s="722"/>
      <c r="AP6" s="719"/>
      <c r="AQ6" s="719"/>
      <c r="AR6" s="719"/>
      <c r="AS6" s="719"/>
      <c r="AT6" s="719"/>
      <c r="AU6" s="719"/>
      <c r="AV6" s="719"/>
      <c r="AW6" s="719"/>
      <c r="AX6" s="722"/>
      <c r="AY6" s="719"/>
      <c r="AZ6" s="719"/>
      <c r="BA6" s="719"/>
      <c r="BB6" s="719"/>
      <c r="BC6" s="719"/>
      <c r="BD6" s="719"/>
      <c r="BE6" s="719"/>
      <c r="BF6" s="719"/>
      <c r="BG6" s="719"/>
      <c r="BH6" s="719"/>
      <c r="BI6" s="719"/>
      <c r="BJ6" s="719"/>
      <c r="BK6" s="719"/>
      <c r="BL6" s="719"/>
      <c r="BM6" s="770"/>
      <c r="BN6" s="460" t="s">
        <v>823</v>
      </c>
      <c r="BO6" s="164">
        <v>23</v>
      </c>
      <c r="BP6" s="147"/>
      <c r="BQ6" s="147"/>
      <c r="BR6" s="147"/>
    </row>
    <row r="7" spans="1:91" ht="15.75">
      <c r="A7" s="163" t="s">
        <v>824</v>
      </c>
      <c r="B7" s="247">
        <v>26</v>
      </c>
      <c r="C7" s="719"/>
      <c r="D7" s="719"/>
      <c r="E7" s="719"/>
      <c r="F7" s="719"/>
      <c r="G7" s="719"/>
      <c r="H7" s="719"/>
      <c r="I7" s="719"/>
      <c r="J7" s="719"/>
      <c r="K7" s="719"/>
      <c r="L7" s="719"/>
      <c r="M7" s="719"/>
      <c r="N7" s="722"/>
      <c r="O7" s="719"/>
      <c r="P7" s="719"/>
      <c r="Q7" s="722"/>
      <c r="R7" s="719"/>
      <c r="S7" s="719"/>
      <c r="T7" s="719"/>
      <c r="U7" s="719"/>
      <c r="V7" s="719"/>
      <c r="W7" s="719"/>
      <c r="X7" s="719"/>
      <c r="Y7" s="719"/>
      <c r="Z7" s="719"/>
      <c r="AA7" s="719"/>
      <c r="AB7" s="719"/>
      <c r="AC7" s="722"/>
      <c r="AD7" s="722"/>
      <c r="AE7" s="719"/>
      <c r="AF7" s="719"/>
      <c r="AG7" s="719"/>
      <c r="AH7" s="719"/>
      <c r="AI7" s="719"/>
      <c r="AJ7" s="719"/>
      <c r="AK7" s="719"/>
      <c r="AL7" s="719"/>
      <c r="AM7" s="719"/>
      <c r="AN7" s="771"/>
      <c r="AO7" s="719"/>
      <c r="AP7" s="719"/>
      <c r="AQ7" s="719"/>
      <c r="AR7" s="719"/>
      <c r="AS7" s="719"/>
      <c r="AT7" s="719"/>
      <c r="AU7" s="719"/>
      <c r="AV7" s="719"/>
      <c r="AW7" s="771"/>
      <c r="AX7" s="722"/>
      <c r="AY7" s="719"/>
      <c r="AZ7" s="719"/>
      <c r="BA7" s="719"/>
      <c r="BB7" s="719"/>
      <c r="BC7" s="719"/>
      <c r="BD7" s="719"/>
      <c r="BE7" s="719"/>
      <c r="BF7" s="719"/>
      <c r="BG7" s="719"/>
      <c r="BH7" s="719"/>
      <c r="BI7" s="719"/>
      <c r="BJ7" s="719"/>
      <c r="BK7" s="719"/>
      <c r="BL7" s="719"/>
      <c r="BM7" s="770"/>
      <c r="BN7" s="460" t="s">
        <v>824</v>
      </c>
      <c r="BO7" s="152">
        <v>24</v>
      </c>
      <c r="BP7" s="147"/>
      <c r="BQ7" s="147"/>
      <c r="BR7" s="147"/>
    </row>
    <row r="8" spans="1:91" ht="15.75">
      <c r="A8" s="163" t="s">
        <v>825</v>
      </c>
      <c r="B8" s="247">
        <v>27</v>
      </c>
      <c r="C8" s="719"/>
      <c r="D8" s="719"/>
      <c r="E8" s="719"/>
      <c r="F8" s="770"/>
      <c r="G8" s="719"/>
      <c r="H8" s="719"/>
      <c r="I8" s="719"/>
      <c r="J8" s="719"/>
      <c r="K8" s="719"/>
      <c r="L8" s="719"/>
      <c r="M8" s="719"/>
      <c r="N8" s="719"/>
      <c r="O8" s="719"/>
      <c r="P8" s="719"/>
      <c r="Q8" s="719"/>
      <c r="R8" s="719"/>
      <c r="S8" s="719"/>
      <c r="T8" s="719"/>
      <c r="U8" s="719"/>
      <c r="V8" s="719"/>
      <c r="W8" s="719"/>
      <c r="X8" s="719"/>
      <c r="Y8" s="719"/>
      <c r="Z8" s="719"/>
      <c r="AA8" s="719"/>
      <c r="AB8" s="769"/>
      <c r="AC8" s="719"/>
      <c r="AD8" s="719"/>
      <c r="AE8" s="719"/>
      <c r="AF8" s="719"/>
      <c r="AG8" s="719"/>
      <c r="AH8" s="719"/>
      <c r="AI8" s="719"/>
      <c r="AJ8" s="719"/>
      <c r="AK8" s="719"/>
      <c r="AL8" s="719"/>
      <c r="AM8" s="719"/>
      <c r="AN8" s="719"/>
      <c r="AO8" s="719"/>
      <c r="AP8" s="719"/>
      <c r="AQ8" s="770"/>
      <c r="AR8" s="719"/>
      <c r="AS8" s="719"/>
      <c r="AT8" s="719"/>
      <c r="AU8" s="719"/>
      <c r="AV8" s="719"/>
      <c r="AW8" s="719"/>
      <c r="AX8" s="719"/>
      <c r="AY8" s="719"/>
      <c r="AZ8" s="719"/>
      <c r="BA8" s="719"/>
      <c r="BB8" s="719"/>
      <c r="BC8" s="719"/>
      <c r="BD8" s="719"/>
      <c r="BE8" s="719"/>
      <c r="BF8" s="719"/>
      <c r="BG8" s="719"/>
      <c r="BH8" s="719"/>
      <c r="BI8" s="719"/>
      <c r="BJ8" s="719"/>
      <c r="BK8" s="719"/>
      <c r="BL8" s="719"/>
      <c r="BM8" s="770"/>
      <c r="BN8" s="460" t="s">
        <v>825</v>
      </c>
      <c r="BO8" s="164">
        <v>25</v>
      </c>
      <c r="BP8" s="147"/>
      <c r="BQ8" s="147"/>
      <c r="BR8" s="147"/>
    </row>
    <row r="9" spans="1:91" ht="15.75">
      <c r="A9" s="163" t="s">
        <v>826</v>
      </c>
      <c r="B9" s="247">
        <v>28</v>
      </c>
      <c r="C9" s="719"/>
      <c r="D9" s="719"/>
      <c r="E9" s="719"/>
      <c r="F9" s="719"/>
      <c r="G9" s="719"/>
      <c r="H9" s="719"/>
      <c r="I9" s="719"/>
      <c r="J9" s="719"/>
      <c r="K9" s="719"/>
      <c r="L9" s="719"/>
      <c r="M9" s="719"/>
      <c r="N9" s="719"/>
      <c r="O9" s="719"/>
      <c r="P9" s="719"/>
      <c r="Q9" s="719"/>
      <c r="R9" s="719"/>
      <c r="S9" s="719"/>
      <c r="T9" s="719"/>
      <c r="U9" s="719"/>
      <c r="V9" s="719"/>
      <c r="W9" s="719"/>
      <c r="X9" s="719"/>
      <c r="Y9" s="719"/>
      <c r="Z9" s="719"/>
      <c r="AA9" s="719"/>
      <c r="AB9" s="769"/>
      <c r="AC9" s="719"/>
      <c r="AD9" s="719"/>
      <c r="AE9" s="772"/>
      <c r="AF9" s="719"/>
      <c r="AG9" s="719"/>
      <c r="AH9" s="719"/>
      <c r="AI9" s="719"/>
      <c r="AJ9" s="719"/>
      <c r="AK9" s="719"/>
      <c r="AL9" s="719"/>
      <c r="AM9" s="719"/>
      <c r="AN9" s="719"/>
      <c r="AO9" s="719"/>
      <c r="AP9" s="719"/>
      <c r="AQ9" s="719"/>
      <c r="AR9" s="719"/>
      <c r="AS9" s="719"/>
      <c r="AT9" s="719"/>
      <c r="AU9" s="719"/>
      <c r="AV9" s="719"/>
      <c r="AW9" s="719"/>
      <c r="AX9" s="719"/>
      <c r="AY9" s="719"/>
      <c r="AZ9" s="719"/>
      <c r="BA9" s="719"/>
      <c r="BB9" s="719"/>
      <c r="BC9" s="719"/>
      <c r="BD9" s="719"/>
      <c r="BE9" s="719"/>
      <c r="BF9" s="719"/>
      <c r="BG9" s="719"/>
      <c r="BH9" s="719"/>
      <c r="BI9" s="719"/>
      <c r="BJ9" s="719"/>
      <c r="BK9" s="719"/>
      <c r="BL9" s="719"/>
      <c r="BM9" s="770"/>
      <c r="BN9" s="460" t="s">
        <v>826</v>
      </c>
      <c r="BO9" s="152">
        <v>26</v>
      </c>
      <c r="BP9" s="147"/>
      <c r="BQ9" s="147"/>
      <c r="BR9" s="147"/>
    </row>
    <row r="10" spans="1:91" ht="15.75">
      <c r="A10" s="163" t="s">
        <v>827</v>
      </c>
      <c r="B10" s="247">
        <v>29</v>
      </c>
      <c r="C10" s="719"/>
      <c r="D10" s="719"/>
      <c r="E10" s="719"/>
      <c r="F10" s="719"/>
      <c r="G10" s="781"/>
      <c r="H10" s="719"/>
      <c r="I10" s="719"/>
      <c r="J10" s="719"/>
      <c r="K10" s="719"/>
      <c r="L10" s="719"/>
      <c r="M10" s="719"/>
      <c r="N10" s="719"/>
      <c r="O10" s="719"/>
      <c r="P10" s="719"/>
      <c r="Q10" s="771"/>
      <c r="R10" s="719"/>
      <c r="S10" s="719"/>
      <c r="T10" s="719"/>
      <c r="U10" s="719"/>
      <c r="V10" s="719"/>
      <c r="W10" s="719"/>
      <c r="X10" s="719"/>
      <c r="Y10" s="773"/>
      <c r="Z10" s="719"/>
      <c r="AA10" s="719"/>
      <c r="AB10" s="769"/>
      <c r="AC10" s="719"/>
      <c r="AD10" s="719"/>
      <c r="AE10" s="719"/>
      <c r="AF10" s="719"/>
      <c r="AG10" s="719"/>
      <c r="AH10" s="719"/>
      <c r="AI10" s="719"/>
      <c r="AJ10" s="719"/>
      <c r="AK10" s="719"/>
      <c r="AL10" s="719"/>
      <c r="AM10" s="719"/>
      <c r="AN10" s="719"/>
      <c r="AO10" s="719"/>
      <c r="AP10" s="719"/>
      <c r="AQ10" s="719"/>
      <c r="AR10" s="719"/>
      <c r="AS10" s="719"/>
      <c r="AT10" s="719"/>
      <c r="AU10" s="719"/>
      <c r="AV10" s="719"/>
      <c r="AW10" s="719"/>
      <c r="AX10" s="719"/>
      <c r="AY10" s="719"/>
      <c r="AZ10" s="719"/>
      <c r="BA10" s="719"/>
      <c r="BB10" s="719"/>
      <c r="BC10" s="719"/>
      <c r="BD10" s="719"/>
      <c r="BE10" s="719"/>
      <c r="BF10" s="719"/>
      <c r="BG10" s="719"/>
      <c r="BH10" s="769"/>
      <c r="BI10" s="719"/>
      <c r="BJ10" s="719"/>
      <c r="BK10" s="719"/>
      <c r="BL10" s="719"/>
      <c r="BM10" s="770"/>
      <c r="BN10" s="460" t="s">
        <v>827</v>
      </c>
      <c r="BO10" s="164">
        <v>27</v>
      </c>
      <c r="BP10" s="147"/>
      <c r="BQ10" s="147"/>
      <c r="BR10" s="147"/>
    </row>
    <row r="11" spans="1:91" ht="15.75">
      <c r="A11" s="163" t="s">
        <v>821</v>
      </c>
      <c r="B11" s="247">
        <v>30</v>
      </c>
      <c r="C11" s="719"/>
      <c r="D11" s="719"/>
      <c r="E11" s="719"/>
      <c r="F11" s="719"/>
      <c r="G11" s="719"/>
      <c r="H11" s="719"/>
      <c r="I11" s="719"/>
      <c r="J11" s="719"/>
      <c r="K11" s="719"/>
      <c r="L11" s="719"/>
      <c r="M11" s="719"/>
      <c r="N11" s="719"/>
      <c r="O11" s="773"/>
      <c r="P11" s="719"/>
      <c r="Q11" s="719"/>
      <c r="R11" s="719"/>
      <c r="S11" s="719"/>
      <c r="T11" s="719"/>
      <c r="U11" s="719"/>
      <c r="V11" s="719"/>
      <c r="W11" s="719"/>
      <c r="X11" s="719"/>
      <c r="Y11" s="719"/>
      <c r="Z11" s="719"/>
      <c r="AA11" s="719"/>
      <c r="AB11" s="769"/>
      <c r="AC11" s="719"/>
      <c r="AD11" s="719"/>
      <c r="AE11" s="719"/>
      <c r="AF11" s="719"/>
      <c r="AG11" s="719"/>
      <c r="AH11" s="719"/>
      <c r="AI11" s="719"/>
      <c r="AJ11" s="719"/>
      <c r="AK11" s="774"/>
      <c r="AL11" s="719"/>
      <c r="AM11" s="719"/>
      <c r="AN11" s="771"/>
      <c r="AO11" s="719"/>
      <c r="AP11" s="719"/>
      <c r="AQ11" s="719"/>
      <c r="AR11" s="719"/>
      <c r="AS11" s="719"/>
      <c r="AT11" s="719"/>
      <c r="AU11" s="719"/>
      <c r="AV11" s="719"/>
      <c r="AW11" s="719"/>
      <c r="AX11" s="719"/>
      <c r="AY11" s="719"/>
      <c r="AZ11" s="719"/>
      <c r="BA11" s="719"/>
      <c r="BB11" s="719"/>
      <c r="BC11" s="719"/>
      <c r="BD11" s="719"/>
      <c r="BE11" s="719"/>
      <c r="BF11" s="719"/>
      <c r="BG11" s="719"/>
      <c r="BH11" s="769"/>
      <c r="BI11" s="719"/>
      <c r="BJ11" s="719"/>
      <c r="BK11" s="719"/>
      <c r="BL11" s="719"/>
      <c r="BM11" s="770"/>
      <c r="BN11" s="460" t="s">
        <v>821</v>
      </c>
      <c r="BO11" s="152">
        <v>28</v>
      </c>
      <c r="BP11" s="147"/>
      <c r="BQ11" s="147"/>
      <c r="BR11" s="147"/>
    </row>
    <row r="12" spans="1:91" ht="15.75">
      <c r="A12" s="163" t="s">
        <v>822</v>
      </c>
      <c r="B12" s="247">
        <v>31</v>
      </c>
      <c r="C12" s="719"/>
      <c r="D12" s="719"/>
      <c r="E12" s="719"/>
      <c r="F12" s="719"/>
      <c r="G12" s="719"/>
      <c r="H12" s="719"/>
      <c r="I12" s="719"/>
      <c r="J12" s="719"/>
      <c r="K12" s="719"/>
      <c r="L12" s="719"/>
      <c r="M12" s="719"/>
      <c r="N12" s="719"/>
      <c r="O12" s="719"/>
      <c r="P12" s="719"/>
      <c r="Q12" s="719"/>
      <c r="R12" s="719"/>
      <c r="S12" s="719"/>
      <c r="T12" s="719"/>
      <c r="U12" s="719"/>
      <c r="V12" s="719"/>
      <c r="W12" s="719"/>
      <c r="X12" s="719"/>
      <c r="Y12" s="719"/>
      <c r="Z12" s="719"/>
      <c r="AA12" s="719"/>
      <c r="AB12" s="769"/>
      <c r="AC12" s="719"/>
      <c r="AD12" s="719"/>
      <c r="AE12" s="773"/>
      <c r="AF12" s="719"/>
      <c r="AG12" s="719"/>
      <c r="AH12" s="719"/>
      <c r="AI12" s="719"/>
      <c r="AJ12" s="719"/>
      <c r="AK12" s="719"/>
      <c r="AL12" s="719"/>
      <c r="AM12" s="719"/>
      <c r="AN12" s="719"/>
      <c r="AO12" s="719"/>
      <c r="AP12" s="719"/>
      <c r="AQ12" s="719"/>
      <c r="AR12" s="719"/>
      <c r="AS12" s="719"/>
      <c r="AT12" s="719"/>
      <c r="AU12" s="719"/>
      <c r="AV12" s="719"/>
      <c r="AW12" s="719"/>
      <c r="AX12" s="719"/>
      <c r="AY12" s="719"/>
      <c r="AZ12" s="719"/>
      <c r="BA12" s="719"/>
      <c r="BB12" s="719"/>
      <c r="BC12" s="719"/>
      <c r="BD12" s="719"/>
      <c r="BE12" s="719"/>
      <c r="BF12" s="719"/>
      <c r="BG12" s="719"/>
      <c r="BH12" s="773"/>
      <c r="BI12" s="719"/>
      <c r="BJ12" s="719"/>
      <c r="BK12" s="719"/>
      <c r="BL12" s="719"/>
      <c r="BM12" s="770">
        <f>SUM(C6:BL12)</f>
        <v>0</v>
      </c>
      <c r="BN12" s="460" t="s">
        <v>822</v>
      </c>
      <c r="BO12" s="164">
        <v>29</v>
      </c>
      <c r="BP12" s="147"/>
      <c r="BQ12" s="147"/>
      <c r="BR12" s="147"/>
    </row>
    <row r="13" spans="1:91" ht="15.75">
      <c r="A13" s="163" t="s">
        <v>823</v>
      </c>
      <c r="B13" s="247">
        <v>1</v>
      </c>
      <c r="C13" s="678"/>
      <c r="D13" s="678"/>
      <c r="E13" s="678"/>
      <c r="F13" s="678"/>
      <c r="G13" s="678"/>
      <c r="H13" s="678"/>
      <c r="I13" s="678"/>
      <c r="J13" s="678"/>
      <c r="K13" s="678"/>
      <c r="L13" s="678"/>
      <c r="M13" s="678"/>
      <c r="N13" s="678"/>
      <c r="O13" s="678"/>
      <c r="P13" s="678"/>
      <c r="Q13" s="678"/>
      <c r="R13" s="678"/>
      <c r="S13" s="678"/>
      <c r="T13" s="678"/>
      <c r="U13" s="678"/>
      <c r="V13" s="678"/>
      <c r="W13" s="727"/>
      <c r="X13" s="678"/>
      <c r="Y13" s="678"/>
      <c r="Z13" s="678"/>
      <c r="AA13" s="678"/>
      <c r="AB13" s="678"/>
      <c r="AC13" s="702"/>
      <c r="AD13" s="702"/>
      <c r="AE13" s="678"/>
      <c r="AF13" s="678"/>
      <c r="AG13" s="678"/>
      <c r="AH13" s="711"/>
      <c r="AI13" s="678"/>
      <c r="AJ13" s="678"/>
      <c r="AK13" s="677"/>
      <c r="AL13" s="678"/>
      <c r="AM13" s="678"/>
      <c r="AN13" s="699"/>
      <c r="AO13" s="678"/>
      <c r="AP13" s="678"/>
      <c r="AQ13" s="678"/>
      <c r="AR13" s="678"/>
      <c r="AS13" s="678"/>
      <c r="AT13" s="678"/>
      <c r="AU13" s="678"/>
      <c r="AV13" s="678"/>
      <c r="AW13" s="678"/>
      <c r="AX13" s="678"/>
      <c r="AY13" s="678"/>
      <c r="AZ13" s="678"/>
      <c r="BA13" s="675"/>
      <c r="BB13" s="676"/>
      <c r="BC13" s="678"/>
      <c r="BD13" s="678"/>
      <c r="BE13" s="678"/>
      <c r="BF13" s="678"/>
      <c r="BG13" s="678"/>
      <c r="BH13" s="678"/>
      <c r="BI13" s="678"/>
      <c r="BJ13" s="678"/>
      <c r="BK13" s="678"/>
      <c r="BL13" s="678"/>
      <c r="BM13">
        <f>SUM(C4:BL12)</f>
        <v>0</v>
      </c>
      <c r="BN13" s="460" t="s">
        <v>823</v>
      </c>
      <c r="BO13" s="152">
        <v>30</v>
      </c>
      <c r="BP13" s="147"/>
      <c r="BQ13" s="147"/>
      <c r="BR13" s="147"/>
      <c r="BS13">
        <f>SUM(C13:BL13)</f>
        <v>0</v>
      </c>
    </row>
    <row r="14" spans="1:91" ht="15.75">
      <c r="A14" s="163" t="s">
        <v>824</v>
      </c>
      <c r="B14" s="247">
        <v>2</v>
      </c>
      <c r="C14" s="678"/>
      <c r="D14" s="678"/>
      <c r="E14" s="678"/>
      <c r="F14" s="678"/>
      <c r="G14" s="678"/>
      <c r="H14" s="678"/>
      <c r="I14" s="678"/>
      <c r="J14" s="678"/>
      <c r="K14" s="678"/>
      <c r="L14" s="678"/>
      <c r="M14" s="678"/>
      <c r="N14" s="678"/>
      <c r="O14" s="678"/>
      <c r="P14" s="678"/>
      <c r="Q14" s="678"/>
      <c r="R14" s="678"/>
      <c r="S14" s="678"/>
      <c r="T14" s="678"/>
      <c r="U14" s="678"/>
      <c r="V14" s="678"/>
      <c r="W14" s="727"/>
      <c r="X14" s="678"/>
      <c r="Y14" s="678"/>
      <c r="Z14" s="678"/>
      <c r="AA14" s="678"/>
      <c r="AB14" s="678"/>
      <c r="AC14" s="702"/>
      <c r="AD14" s="702"/>
      <c r="AE14" s="678"/>
      <c r="AF14" s="678"/>
      <c r="AG14" s="678"/>
      <c r="AH14" s="711"/>
      <c r="AI14" s="678"/>
      <c r="AJ14" s="678"/>
      <c r="AK14" s="677"/>
      <c r="AL14" s="678"/>
      <c r="AM14" s="678"/>
      <c r="AN14" s="699"/>
      <c r="AO14" s="678"/>
      <c r="AP14" s="678"/>
      <c r="AQ14" s="678"/>
      <c r="AR14" s="678"/>
      <c r="AS14" s="678"/>
      <c r="AT14" s="678"/>
      <c r="AU14" s="678"/>
      <c r="AV14" s="678"/>
      <c r="AW14" s="678"/>
      <c r="AX14" s="678"/>
      <c r="AY14" s="678"/>
      <c r="AZ14" s="678"/>
      <c r="BA14" s="675"/>
      <c r="BB14" s="676"/>
      <c r="BC14" s="678"/>
      <c r="BD14" s="678"/>
      <c r="BE14" s="678"/>
      <c r="BF14" s="678"/>
      <c r="BG14" s="678"/>
      <c r="BH14" s="678"/>
      <c r="BI14" s="678"/>
      <c r="BJ14" s="678"/>
      <c r="BK14" s="678"/>
      <c r="BL14" s="678"/>
      <c r="BN14" s="460" t="s">
        <v>824</v>
      </c>
      <c r="BO14" s="152">
        <v>1</v>
      </c>
      <c r="BP14" s="147"/>
      <c r="BQ14" s="147"/>
      <c r="BR14" s="147"/>
      <c r="BS14">
        <f>SUM(C14:BL14)</f>
        <v>0</v>
      </c>
    </row>
    <row r="15" spans="1:91" ht="15.75">
      <c r="A15" s="163" t="s">
        <v>825</v>
      </c>
      <c r="B15" s="247">
        <v>3</v>
      </c>
      <c r="C15" s="678"/>
      <c r="D15" s="678"/>
      <c r="E15" s="678"/>
      <c r="F15" s="678"/>
      <c r="G15" s="678"/>
      <c r="H15" s="678"/>
      <c r="I15" s="678"/>
      <c r="J15" s="678"/>
      <c r="K15" s="678"/>
      <c r="L15" s="678"/>
      <c r="M15" s="678"/>
      <c r="N15" s="678"/>
      <c r="O15" s="678"/>
      <c r="P15" s="678"/>
      <c r="Q15" s="678"/>
      <c r="R15" s="678"/>
      <c r="S15" s="678"/>
      <c r="T15" s="678"/>
      <c r="U15" s="678"/>
      <c r="V15" s="678"/>
      <c r="W15" s="727"/>
      <c r="X15" s="678"/>
      <c r="Y15" s="678"/>
      <c r="Z15" s="678"/>
      <c r="AA15" s="678"/>
      <c r="AB15" s="678"/>
      <c r="AC15" s="702"/>
      <c r="AD15" s="702"/>
      <c r="AE15" s="678"/>
      <c r="AF15" s="678"/>
      <c r="AG15" s="678"/>
      <c r="AH15" s="711"/>
      <c r="AI15" s="678"/>
      <c r="AJ15" s="678"/>
      <c r="AK15" s="677"/>
      <c r="AL15" s="678"/>
      <c r="AM15" s="678"/>
      <c r="AN15" s="699"/>
      <c r="AO15" s="678"/>
      <c r="AP15" s="678"/>
      <c r="AQ15" s="678"/>
      <c r="AR15" s="678"/>
      <c r="AS15" s="678"/>
      <c r="AT15" s="678"/>
      <c r="AU15" s="678"/>
      <c r="AV15" s="678"/>
      <c r="AW15" s="678"/>
      <c r="AX15" s="678"/>
      <c r="AY15" s="678"/>
      <c r="AZ15" s="678"/>
      <c r="BA15" s="675"/>
      <c r="BB15" s="676"/>
      <c r="BC15" s="678"/>
      <c r="BD15" s="678"/>
      <c r="BE15" s="678"/>
      <c r="BF15" s="678"/>
      <c r="BG15" s="678"/>
      <c r="BH15" s="678"/>
      <c r="BI15" s="678"/>
      <c r="BJ15" s="678"/>
      <c r="BK15" s="678"/>
      <c r="BL15" s="678"/>
      <c r="BN15" s="460" t="s">
        <v>825</v>
      </c>
      <c r="BO15" s="152">
        <v>2</v>
      </c>
      <c r="BP15" s="147"/>
      <c r="BQ15" s="147"/>
      <c r="BR15" s="147"/>
      <c r="BS15">
        <f>SUM(C15:BL15)</f>
        <v>0</v>
      </c>
    </row>
    <row r="16" spans="1:91" ht="15.75">
      <c r="A16" s="163" t="s">
        <v>826</v>
      </c>
      <c r="B16" s="247">
        <v>4</v>
      </c>
      <c r="C16" s="678"/>
      <c r="D16" s="678"/>
      <c r="E16" s="678"/>
      <c r="F16" s="678"/>
      <c r="G16" s="678"/>
      <c r="H16" s="678"/>
      <c r="I16" s="678"/>
      <c r="J16" s="678"/>
      <c r="K16" s="678"/>
      <c r="L16" s="678"/>
      <c r="M16" s="678"/>
      <c r="N16" s="678"/>
      <c r="O16" s="678"/>
      <c r="P16" s="678"/>
      <c r="Q16" s="678"/>
      <c r="R16" s="678"/>
      <c r="S16" s="678"/>
      <c r="T16" s="678"/>
      <c r="U16" s="678"/>
      <c r="V16" s="678"/>
      <c r="W16" s="727"/>
      <c r="X16" s="678"/>
      <c r="Y16" s="678"/>
      <c r="Z16" s="678"/>
      <c r="AA16" s="678"/>
      <c r="AB16" s="678"/>
      <c r="AC16" s="702"/>
      <c r="AD16" s="702"/>
      <c r="AE16" s="678"/>
      <c r="AF16" s="678"/>
      <c r="AG16" s="678"/>
      <c r="AH16" s="711"/>
      <c r="AI16" s="678"/>
      <c r="AJ16" s="678"/>
      <c r="AK16" s="677"/>
      <c r="AL16" s="678"/>
      <c r="AM16" s="678"/>
      <c r="AN16" s="699"/>
      <c r="AO16" s="678"/>
      <c r="AP16" s="678"/>
      <c r="AQ16" s="678"/>
      <c r="AR16" s="678"/>
      <c r="AS16" s="678"/>
      <c r="AT16" s="678"/>
      <c r="AU16" s="678"/>
      <c r="AV16" s="678"/>
      <c r="AW16" s="678"/>
      <c r="AX16" s="678"/>
      <c r="AY16" s="678"/>
      <c r="AZ16" s="678"/>
      <c r="BA16" s="675"/>
      <c r="BB16" s="676"/>
      <c r="BC16" s="678"/>
      <c r="BD16" s="678"/>
      <c r="BE16" s="678"/>
      <c r="BF16" s="678"/>
      <c r="BG16" s="678"/>
      <c r="BH16" s="678"/>
      <c r="BI16" s="678"/>
      <c r="BJ16" s="678"/>
      <c r="BK16" s="678"/>
      <c r="BL16" s="678"/>
      <c r="BN16" s="460" t="s">
        <v>826</v>
      </c>
      <c r="BO16" s="152">
        <v>3</v>
      </c>
      <c r="BP16" s="147"/>
      <c r="BQ16" s="147"/>
      <c r="BR16" s="147"/>
      <c r="BS16">
        <f>SUM(C16:BL16)</f>
        <v>0</v>
      </c>
    </row>
    <row r="17" spans="1:102" ht="16.5" thickBot="1">
      <c r="A17" s="163" t="s">
        <v>827</v>
      </c>
      <c r="B17" s="247">
        <v>5</v>
      </c>
      <c r="C17" s="678"/>
      <c r="D17" s="678"/>
      <c r="E17" s="678"/>
      <c r="F17" s="678"/>
      <c r="G17" s="678"/>
      <c r="H17" s="678"/>
      <c r="I17" s="678"/>
      <c r="J17" s="678"/>
      <c r="K17" s="678"/>
      <c r="L17" s="678"/>
      <c r="M17" s="678"/>
      <c r="N17" s="678"/>
      <c r="O17" s="678"/>
      <c r="P17" s="678"/>
      <c r="Q17" s="678"/>
      <c r="R17" s="678"/>
      <c r="S17" s="678"/>
      <c r="T17" s="678"/>
      <c r="U17" s="678"/>
      <c r="V17" s="678"/>
      <c r="W17" s="727"/>
      <c r="X17" s="678"/>
      <c r="Y17" s="678"/>
      <c r="Z17" s="678"/>
      <c r="AA17" s="678"/>
      <c r="AB17" s="678"/>
      <c r="AC17" s="702"/>
      <c r="AD17" s="702"/>
      <c r="AE17" s="678"/>
      <c r="AF17" s="678"/>
      <c r="AG17" s="678"/>
      <c r="AH17" s="711"/>
      <c r="AI17" s="678"/>
      <c r="AJ17" s="678"/>
      <c r="AK17" s="677"/>
      <c r="AL17" s="678"/>
      <c r="AM17" s="678"/>
      <c r="AN17" s="699"/>
      <c r="AO17" s="678"/>
      <c r="AP17" s="678"/>
      <c r="AQ17" s="678"/>
      <c r="AR17" s="678"/>
      <c r="AS17" s="678"/>
      <c r="AT17" s="678"/>
      <c r="AU17" s="678"/>
      <c r="AV17" s="678"/>
      <c r="AW17" s="678"/>
      <c r="AX17" s="679"/>
      <c r="AY17" s="678"/>
      <c r="AZ17" s="678"/>
      <c r="BA17" s="675"/>
      <c r="BB17" s="676"/>
      <c r="BC17" s="678"/>
      <c r="BD17" s="678"/>
      <c r="BE17" s="678"/>
      <c r="BF17" s="678"/>
      <c r="BG17" s="678"/>
      <c r="BH17" s="678"/>
      <c r="BI17" s="678"/>
      <c r="BJ17" s="678"/>
      <c r="BK17" s="678"/>
      <c r="BL17" s="678"/>
      <c r="BM17">
        <f>SUM(C13:BL17)</f>
        <v>0</v>
      </c>
      <c r="BN17" s="460" t="s">
        <v>827</v>
      </c>
      <c r="BO17" s="152">
        <v>4</v>
      </c>
      <c r="BP17" s="147"/>
      <c r="BQ17" s="147"/>
      <c r="BR17" s="147"/>
      <c r="BS17">
        <f>SUM(C17:BL17)</f>
        <v>0</v>
      </c>
    </row>
    <row r="18" spans="1:102" ht="16.5" thickBot="1">
      <c r="A18" s="175" t="s">
        <v>791</v>
      </c>
      <c r="B18" s="176">
        <f>SUM(C18:BL18)+BO18</f>
        <v>0</v>
      </c>
      <c r="C18" s="164">
        <f t="shared" ref="C18:T18" si="0">SUM(C4:C17)</f>
        <v>0</v>
      </c>
      <c r="D18" s="164">
        <f t="shared" si="0"/>
        <v>0</v>
      </c>
      <c r="E18" s="164">
        <f>SUM(E4:E17)</f>
        <v>0</v>
      </c>
      <c r="F18" s="391">
        <f t="shared" si="0"/>
        <v>0</v>
      </c>
      <c r="G18" s="164">
        <f>SUM(G4:G17)</f>
        <v>0</v>
      </c>
      <c r="H18" s="164">
        <f t="shared" si="0"/>
        <v>0</v>
      </c>
      <c r="I18" s="164">
        <f>SUM(I4:I17)</f>
        <v>0</v>
      </c>
      <c r="J18" s="164">
        <f t="shared" si="0"/>
        <v>0</v>
      </c>
      <c r="K18" s="164">
        <f t="shared" si="0"/>
        <v>0</v>
      </c>
      <c r="L18" s="390">
        <f t="shared" si="0"/>
        <v>0</v>
      </c>
      <c r="M18" s="164">
        <f t="shared" si="0"/>
        <v>0</v>
      </c>
      <c r="N18" s="186">
        <f t="shared" si="0"/>
        <v>0</v>
      </c>
      <c r="O18" s="164">
        <f t="shared" si="0"/>
        <v>0</v>
      </c>
      <c r="P18" s="164">
        <f t="shared" si="0"/>
        <v>0</v>
      </c>
      <c r="Q18" s="186">
        <f t="shared" si="0"/>
        <v>0</v>
      </c>
      <c r="R18" s="164">
        <f t="shared" si="0"/>
        <v>0</v>
      </c>
      <c r="S18" s="389">
        <f t="shared" si="0"/>
        <v>0</v>
      </c>
      <c r="T18" s="164">
        <f t="shared" si="0"/>
        <v>0</v>
      </c>
      <c r="U18" s="164">
        <f t="shared" ref="U18:Z18" si="1">SUM(U4:U17)</f>
        <v>0</v>
      </c>
      <c r="V18" s="164">
        <f>SUM(V4:V17)</f>
        <v>0</v>
      </c>
      <c r="W18" s="767">
        <f>SUM(W4:W17)</f>
        <v>0</v>
      </c>
      <c r="X18" s="164">
        <f>SUM(X4:X17)</f>
        <v>0</v>
      </c>
      <c r="Y18" s="164">
        <f t="shared" si="1"/>
        <v>0</v>
      </c>
      <c r="Z18" s="164">
        <f t="shared" si="1"/>
        <v>0</v>
      </c>
      <c r="AA18" s="164">
        <f t="shared" ref="AA18:BL18" si="2">SUM(AA4:AA17)</f>
        <v>0</v>
      </c>
      <c r="AB18" s="164">
        <f>SUM(AB4:AB17)</f>
        <v>0</v>
      </c>
      <c r="AC18" s="709">
        <f>SUM(AC4:AC17)</f>
        <v>0</v>
      </c>
      <c r="AD18" s="709">
        <f>SUM(AD4:AD17)</f>
        <v>0</v>
      </c>
      <c r="AE18" s="164">
        <f>SUM(AE4:AE17)</f>
        <v>0</v>
      </c>
      <c r="AF18" s="164">
        <f>SUM(AF4:AF17)</f>
        <v>0</v>
      </c>
      <c r="AG18" s="164">
        <f t="shared" si="2"/>
        <v>0</v>
      </c>
      <c r="AH18" s="712">
        <f t="shared" si="2"/>
        <v>0</v>
      </c>
      <c r="AI18" s="164">
        <f t="shared" si="2"/>
        <v>0</v>
      </c>
      <c r="AJ18" s="164">
        <f t="shared" si="2"/>
        <v>0</v>
      </c>
      <c r="AK18" s="524">
        <f t="shared" si="2"/>
        <v>0</v>
      </c>
      <c r="AL18" s="164">
        <f t="shared" si="2"/>
        <v>0</v>
      </c>
      <c r="AM18" s="164">
        <f>SUM(AM4:AM17)</f>
        <v>0</v>
      </c>
      <c r="AN18" s="700">
        <f t="shared" si="2"/>
        <v>0</v>
      </c>
      <c r="AO18" s="389">
        <f t="shared" si="2"/>
        <v>0</v>
      </c>
      <c r="AP18" s="389">
        <f t="shared" si="2"/>
        <v>0</v>
      </c>
      <c r="AQ18" s="389">
        <f>SUM(AQ4:AQ17)</f>
        <v>0</v>
      </c>
      <c r="AR18" s="164">
        <f t="shared" si="2"/>
        <v>0</v>
      </c>
      <c r="AS18" s="164">
        <f t="shared" si="2"/>
        <v>0</v>
      </c>
      <c r="AT18" s="164">
        <f t="shared" si="2"/>
        <v>0</v>
      </c>
      <c r="AU18" s="164">
        <f t="shared" si="2"/>
        <v>0</v>
      </c>
      <c r="AV18" s="164">
        <f t="shared" si="2"/>
        <v>0</v>
      </c>
      <c r="AW18" s="164">
        <f t="shared" si="2"/>
        <v>0</v>
      </c>
      <c r="AX18" s="164">
        <f t="shared" si="2"/>
        <v>0</v>
      </c>
      <c r="AY18" s="164">
        <f t="shared" si="2"/>
        <v>0</v>
      </c>
      <c r="AZ18" s="164">
        <f>SUM(AZ4:AZ17)</f>
        <v>0</v>
      </c>
      <c r="BA18" s="571">
        <f t="shared" si="2"/>
        <v>0</v>
      </c>
      <c r="BB18" s="530">
        <f t="shared" si="2"/>
        <v>0</v>
      </c>
      <c r="BC18" s="164">
        <f t="shared" si="2"/>
        <v>0</v>
      </c>
      <c r="BD18" s="164">
        <f t="shared" si="2"/>
        <v>0</v>
      </c>
      <c r="BE18" s="164">
        <f t="shared" si="2"/>
        <v>0</v>
      </c>
      <c r="BF18" s="164">
        <f t="shared" si="2"/>
        <v>0</v>
      </c>
      <c r="BG18" s="164">
        <f t="shared" si="2"/>
        <v>0</v>
      </c>
      <c r="BH18" s="164">
        <f t="shared" si="2"/>
        <v>0</v>
      </c>
      <c r="BI18" s="164">
        <f t="shared" si="2"/>
        <v>0</v>
      </c>
      <c r="BJ18" s="164">
        <f>SUM(BJ4:BJ17)</f>
        <v>0</v>
      </c>
      <c r="BK18" s="164">
        <f t="shared" si="2"/>
        <v>0</v>
      </c>
      <c r="BL18" s="484">
        <f t="shared" si="2"/>
        <v>0</v>
      </c>
      <c r="BN18" s="175" t="s">
        <v>791</v>
      </c>
      <c r="BO18" s="461">
        <f>SUM(BP18:BR18)</f>
        <v>0</v>
      </c>
      <c r="BP18" s="462">
        <f>SUM(BP3:BP17)</f>
        <v>0</v>
      </c>
      <c r="BQ18" s="462">
        <f>SUM(BQ3:BQ17)</f>
        <v>0</v>
      </c>
      <c r="BR18" s="462">
        <f>SUM(BR3:BR17)</f>
        <v>0</v>
      </c>
    </row>
    <row r="19" spans="1:102" ht="16.5" thickBot="1">
      <c r="A19" s="220"/>
      <c r="B19" s="453"/>
      <c r="C19" s="65"/>
      <c r="D19" s="65"/>
      <c r="E19" s="65"/>
      <c r="F19" s="65"/>
      <c r="G19" s="65"/>
      <c r="H19" s="65"/>
      <c r="I19" s="65"/>
      <c r="J19" s="65"/>
      <c r="K19" s="65"/>
      <c r="L19" s="65"/>
      <c r="M19" s="65"/>
      <c r="N19" s="65"/>
      <c r="O19" s="65"/>
      <c r="P19" s="65"/>
      <c r="Q19" s="65"/>
      <c r="R19" s="65"/>
      <c r="T19" s="220"/>
      <c r="U19" s="453"/>
      <c r="V19" s="406"/>
      <c r="W19" s="406"/>
      <c r="X19" s="406"/>
    </row>
    <row r="20" spans="1:102" ht="16.5" thickBot="1">
      <c r="A20" s="1055" t="s">
        <v>136</v>
      </c>
      <c r="B20" s="1056"/>
      <c r="C20" s="1056"/>
      <c r="D20" s="1056"/>
      <c r="E20" s="1056"/>
      <c r="F20" s="1056"/>
      <c r="G20" s="1056"/>
      <c r="H20" s="1056"/>
      <c r="I20" s="1056"/>
      <c r="J20" s="1056"/>
      <c r="K20" s="1056"/>
      <c r="L20" s="1056"/>
      <c r="M20" s="1056"/>
      <c r="N20" s="1056"/>
      <c r="O20" s="1056"/>
      <c r="P20" s="1056"/>
      <c r="Q20" s="1056"/>
      <c r="R20" s="1056"/>
      <c r="S20" s="1056"/>
      <c r="T20" s="1056"/>
      <c r="U20" s="1056"/>
      <c r="V20" s="1056"/>
      <c r="W20" s="1056"/>
      <c r="X20" s="1056"/>
      <c r="Y20" s="1056"/>
      <c r="Z20" s="1056"/>
      <c r="AA20" s="1056"/>
      <c r="AB20" s="1056"/>
      <c r="AC20" s="1056"/>
      <c r="AD20" s="1056"/>
      <c r="AE20" s="1056"/>
      <c r="AF20" s="1056"/>
      <c r="AG20" s="1056"/>
      <c r="AH20" s="1056"/>
      <c r="AI20" s="1056"/>
      <c r="AJ20" s="1056"/>
      <c r="AK20" s="1057"/>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row>
    <row r="21" spans="1:102" s="42" customFormat="1" ht="78.75" customHeight="1" thickBot="1">
      <c r="A21" s="713"/>
      <c r="B21" s="247" t="str">
        <f>B3</f>
        <v>August - Sept</v>
      </c>
      <c r="C21" s="651" t="s">
        <v>259</v>
      </c>
      <c r="D21" s="651" t="s">
        <v>1041</v>
      </c>
      <c r="E21" s="651" t="s">
        <v>1042</v>
      </c>
      <c r="F21" s="651" t="s">
        <v>261</v>
      </c>
      <c r="G21" s="652" t="s">
        <v>266</v>
      </c>
      <c r="H21" s="662" t="s">
        <v>1043</v>
      </c>
      <c r="I21" s="654" t="s">
        <v>129</v>
      </c>
      <c r="J21" s="651" t="s">
        <v>131</v>
      </c>
      <c r="K21" s="654" t="s">
        <v>1008</v>
      </c>
      <c r="L21" s="654" t="s">
        <v>1009</v>
      </c>
      <c r="M21" s="654" t="s">
        <v>134</v>
      </c>
      <c r="N21" s="654" t="s">
        <v>1044</v>
      </c>
      <c r="O21" s="654" t="s">
        <v>137</v>
      </c>
      <c r="P21" s="654" t="s">
        <v>263</v>
      </c>
      <c r="Q21" s="654" t="s">
        <v>1011</v>
      </c>
      <c r="R21" s="654" t="s">
        <v>1045</v>
      </c>
      <c r="S21" s="654" t="s">
        <v>1046</v>
      </c>
      <c r="T21" s="654" t="s">
        <v>143</v>
      </c>
      <c r="U21" s="654" t="s">
        <v>1047</v>
      </c>
      <c r="V21" s="654" t="s">
        <v>269</v>
      </c>
      <c r="W21" s="654" t="s">
        <v>271</v>
      </c>
      <c r="X21" s="653" t="s">
        <v>272</v>
      </c>
      <c r="Y21" s="654" t="s">
        <v>1048</v>
      </c>
      <c r="Z21" s="654" t="s">
        <v>1018</v>
      </c>
      <c r="AA21" s="654" t="s">
        <v>1020</v>
      </c>
      <c r="AB21" s="654" t="s">
        <v>1021</v>
      </c>
      <c r="AC21" s="651" t="s">
        <v>155</v>
      </c>
      <c r="AD21" s="654" t="s">
        <v>303</v>
      </c>
      <c r="AE21" s="654" t="s">
        <v>1049</v>
      </c>
      <c r="AF21" s="653" t="s">
        <v>156</v>
      </c>
      <c r="AG21" s="653" t="s">
        <v>1050</v>
      </c>
      <c r="AH21" s="653" t="s">
        <v>1024</v>
      </c>
      <c r="AI21" s="659" t="s">
        <v>160</v>
      </c>
      <c r="AJ21" s="653" t="s">
        <v>276</v>
      </c>
      <c r="AK21" s="654" t="s">
        <v>277</v>
      </c>
      <c r="AL21" s="653" t="s">
        <v>278</v>
      </c>
      <c r="AM21" s="660" t="s">
        <v>279</v>
      </c>
      <c r="AN21" s="654" t="s">
        <v>280</v>
      </c>
      <c r="AO21" s="653" t="s">
        <v>281</v>
      </c>
      <c r="AP21" s="653" t="s">
        <v>283</v>
      </c>
      <c r="AQ21" s="653" t="s">
        <v>284</v>
      </c>
      <c r="AR21" s="653" t="s">
        <v>1051</v>
      </c>
      <c r="AS21" s="653" t="s">
        <v>1016</v>
      </c>
      <c r="AT21" s="653" t="s">
        <v>285</v>
      </c>
      <c r="AU21" s="653" t="s">
        <v>282</v>
      </c>
      <c r="AV21" s="653" t="s">
        <v>287</v>
      </c>
      <c r="AW21" s="653" t="s">
        <v>171</v>
      </c>
      <c r="AX21" s="653" t="s">
        <v>288</v>
      </c>
      <c r="AY21" s="653" t="s">
        <v>289</v>
      </c>
      <c r="AZ21" s="653" t="s">
        <v>173</v>
      </c>
      <c r="BA21" s="653" t="s">
        <v>1052</v>
      </c>
      <c r="BB21" s="653" t="s">
        <v>1026</v>
      </c>
      <c r="BC21" s="653" t="s">
        <v>292</v>
      </c>
      <c r="BD21" s="653" t="s">
        <v>1053</v>
      </c>
      <c r="BE21" s="653" t="s">
        <v>175</v>
      </c>
      <c r="BF21" s="653" t="s">
        <v>177</v>
      </c>
      <c r="BG21" s="653" t="s">
        <v>294</v>
      </c>
      <c r="BH21" s="653" t="s">
        <v>295</v>
      </c>
      <c r="BI21" s="653" t="s">
        <v>296</v>
      </c>
      <c r="BJ21" s="653" t="s">
        <v>179</v>
      </c>
      <c r="BK21" s="653" t="s">
        <v>297</v>
      </c>
      <c r="BL21" s="653" t="s">
        <v>298</v>
      </c>
      <c r="BM21" s="653" t="s">
        <v>299</v>
      </c>
      <c r="BN21" s="653" t="s">
        <v>309</v>
      </c>
      <c r="BO21" s="653" t="s">
        <v>183</v>
      </c>
      <c r="BP21" s="660" t="s">
        <v>300</v>
      </c>
      <c r="BQ21" s="653" t="s">
        <v>188</v>
      </c>
      <c r="BR21" s="653" t="s">
        <v>190</v>
      </c>
      <c r="BS21" s="653" t="s">
        <v>302</v>
      </c>
      <c r="BT21" s="654" t="s">
        <v>1032</v>
      </c>
      <c r="BU21" s="653" t="s">
        <v>197</v>
      </c>
      <c r="BV21" s="653" t="s">
        <v>1035</v>
      </c>
      <c r="BW21" s="653" t="s">
        <v>305</v>
      </c>
      <c r="BX21" s="653" t="s">
        <v>1054</v>
      </c>
      <c r="BY21" s="653" t="s">
        <v>306</v>
      </c>
      <c r="BZ21" s="653" t="s">
        <v>1055</v>
      </c>
      <c r="CA21" s="653" t="s">
        <v>308</v>
      </c>
      <c r="CB21" s="653" t="s">
        <v>124</v>
      </c>
      <c r="CC21" s="653" t="s">
        <v>1056</v>
      </c>
      <c r="CD21" s="653" t="s">
        <v>200</v>
      </c>
      <c r="CE21" s="653" t="s">
        <v>312</v>
      </c>
      <c r="CF21" s="661" t="s">
        <v>313</v>
      </c>
      <c r="CG21" s="653" t="s">
        <v>314</v>
      </c>
      <c r="CH21" s="653" t="s">
        <v>1057</v>
      </c>
      <c r="CI21" s="701" t="s">
        <v>316</v>
      </c>
      <c r="CJ21" s="701" t="s">
        <v>146</v>
      </c>
      <c r="CK21" s="701" t="s">
        <v>317</v>
      </c>
      <c r="CL21" s="701" t="s">
        <v>113</v>
      </c>
      <c r="CM21" s="701" t="s">
        <v>318</v>
      </c>
      <c r="CN21" s="701" t="s">
        <v>319</v>
      </c>
      <c r="CO21" s="701" t="s">
        <v>320</v>
      </c>
      <c r="CP21" s="714"/>
      <c r="CT21" s="368"/>
      <c r="CU21" s="559" t="s">
        <v>896</v>
      </c>
      <c r="CV21" s="653" t="s">
        <v>1057</v>
      </c>
      <c r="CW21" s="559"/>
      <c r="CX21" s="384"/>
    </row>
    <row r="22" spans="1:102" ht="15.75">
      <c r="A22" s="715" t="s">
        <v>821</v>
      </c>
      <c r="B22" s="247">
        <f t="shared" ref="B22:B35" si="3">B4</f>
        <v>23</v>
      </c>
      <c r="C22" s="9"/>
      <c r="D22" s="744"/>
      <c r="E22" s="744"/>
      <c r="F22" s="9"/>
      <c r="G22" s="744"/>
      <c r="H22" s="745"/>
      <c r="I22" s="9"/>
      <c r="J22" s="744"/>
      <c r="K22" s="9"/>
      <c r="L22" s="9"/>
      <c r="M22" s="9"/>
      <c r="N22" s="9"/>
      <c r="O22" s="744"/>
      <c r="P22" s="744"/>
      <c r="Q22" s="9"/>
      <c r="R22" s="9"/>
      <c r="S22" s="9"/>
      <c r="T22" s="744"/>
      <c r="U22" s="744"/>
      <c r="V22" s="9"/>
      <c r="W22" s="9"/>
      <c r="X22" s="9"/>
      <c r="Y22" s="744"/>
      <c r="Z22" s="744"/>
      <c r="AA22" s="9"/>
      <c r="AB22" s="744"/>
      <c r="AC22" s="744"/>
      <c r="AD22" s="744"/>
      <c r="AE22" s="9"/>
      <c r="AF22" s="9"/>
      <c r="AG22" s="744"/>
      <c r="AH22" s="744"/>
      <c r="AI22" s="716"/>
      <c r="AJ22" s="9"/>
      <c r="AK22" s="9"/>
      <c r="AL22" s="9"/>
      <c r="AM22" s="717"/>
      <c r="AN22" s="9"/>
      <c r="AO22" s="9"/>
      <c r="AP22" s="744"/>
      <c r="AQ22" s="9"/>
      <c r="AR22" s="9"/>
      <c r="AS22" s="744"/>
      <c r="AT22" s="9"/>
      <c r="AU22" s="9"/>
      <c r="AV22" s="9"/>
      <c r="AW22" s="9"/>
      <c r="AX22" s="9"/>
      <c r="AY22" s="9"/>
      <c r="AZ22" s="9"/>
      <c r="BA22" s="744"/>
      <c r="BB22" s="9"/>
      <c r="BC22" s="9"/>
      <c r="BD22" s="9"/>
      <c r="BE22" s="9"/>
      <c r="BF22" s="9"/>
      <c r="BG22" s="9"/>
      <c r="BH22" s="9"/>
      <c r="BI22" s="9"/>
      <c r="BJ22" s="9"/>
      <c r="BK22" s="9"/>
      <c r="BL22" s="744"/>
      <c r="BM22" s="9"/>
      <c r="BN22" s="9"/>
      <c r="BO22" s="9"/>
      <c r="BP22" s="717"/>
      <c r="BQ22" s="9"/>
      <c r="BR22" s="9"/>
      <c r="BS22" s="9"/>
      <c r="BT22" s="744"/>
      <c r="BU22" s="744"/>
      <c r="BV22" s="718"/>
      <c r="BW22" s="8"/>
      <c r="BX22" s="9"/>
      <c r="BY22" s="9"/>
      <c r="BZ22" s="744"/>
      <c r="CA22" s="9"/>
      <c r="CB22" s="9"/>
      <c r="CC22" s="744"/>
      <c r="CD22" s="9"/>
      <c r="CE22" s="9"/>
      <c r="CF22" s="719"/>
      <c r="CG22" s="9"/>
      <c r="CH22" s="9"/>
      <c r="CI22" s="702"/>
      <c r="CJ22" s="702"/>
      <c r="CK22" s="702"/>
      <c r="CL22" s="702"/>
      <c r="CM22" s="702"/>
      <c r="CN22" s="702"/>
      <c r="CO22" s="702"/>
      <c r="CP22" s="9"/>
      <c r="CT22" s="163" t="s">
        <v>821</v>
      </c>
      <c r="CU22" s="152">
        <v>12</v>
      </c>
      <c r="CV22" s="9"/>
      <c r="CW22" s="147"/>
      <c r="CX22" s="147"/>
    </row>
    <row r="23" spans="1:102" s="65" customFormat="1" ht="15.75">
      <c r="A23" s="715" t="s">
        <v>822</v>
      </c>
      <c r="B23" s="247">
        <f t="shared" si="3"/>
        <v>24</v>
      </c>
      <c r="C23" s="9"/>
      <c r="D23" s="744"/>
      <c r="E23" s="744"/>
      <c r="F23" s="9"/>
      <c r="G23" s="744"/>
      <c r="H23" s="745"/>
      <c r="I23" s="9"/>
      <c r="J23" s="744"/>
      <c r="K23" s="9"/>
      <c r="L23" s="9"/>
      <c r="M23" s="9"/>
      <c r="N23" s="9"/>
      <c r="O23" s="744"/>
      <c r="P23" s="744"/>
      <c r="Q23" s="9"/>
      <c r="R23" s="9"/>
      <c r="S23" s="9"/>
      <c r="T23" s="744"/>
      <c r="U23" s="744"/>
      <c r="V23" s="9"/>
      <c r="W23" s="9"/>
      <c r="X23" s="9"/>
      <c r="Y23" s="744"/>
      <c r="Z23" s="744"/>
      <c r="AA23" s="9"/>
      <c r="AB23" s="744"/>
      <c r="AC23" s="744"/>
      <c r="AD23" s="744"/>
      <c r="AE23" s="9"/>
      <c r="AF23" s="9"/>
      <c r="AG23" s="744"/>
      <c r="AH23" s="744"/>
      <c r="AI23" s="716"/>
      <c r="AJ23" s="9"/>
      <c r="AK23" s="9"/>
      <c r="AL23" s="9"/>
      <c r="AM23" s="717"/>
      <c r="AN23" s="9"/>
      <c r="AO23" s="9"/>
      <c r="AP23" s="744"/>
      <c r="AQ23" s="9"/>
      <c r="AR23" s="9"/>
      <c r="AS23" s="744"/>
      <c r="AT23" s="9"/>
      <c r="AU23" s="9"/>
      <c r="AV23" s="9"/>
      <c r="AW23" s="9"/>
      <c r="AX23" s="9"/>
      <c r="AY23" s="9"/>
      <c r="AZ23" s="9"/>
      <c r="BA23" s="744"/>
      <c r="BB23" s="9"/>
      <c r="BC23" s="9"/>
      <c r="BD23" s="9"/>
      <c r="BE23" s="9"/>
      <c r="BF23" s="9"/>
      <c r="BG23" s="9"/>
      <c r="BH23" s="9"/>
      <c r="BI23" s="9"/>
      <c r="BJ23" s="9"/>
      <c r="BK23" s="9"/>
      <c r="BL23" s="744"/>
      <c r="BM23" s="9"/>
      <c r="BN23" s="9"/>
      <c r="BO23" s="9"/>
      <c r="BP23" s="717"/>
      <c r="BQ23" s="9"/>
      <c r="BR23" s="9"/>
      <c r="BS23" s="9"/>
      <c r="BT23" s="744"/>
      <c r="BU23" s="744"/>
      <c r="BV23" s="744"/>
      <c r="BW23" s="9"/>
      <c r="BX23" s="9"/>
      <c r="BY23" s="9"/>
      <c r="BZ23" s="744"/>
      <c r="CA23" s="9"/>
      <c r="CB23" s="9"/>
      <c r="CC23" s="744"/>
      <c r="CD23" s="9"/>
      <c r="CE23" s="9"/>
      <c r="CF23" s="719"/>
      <c r="CG23" s="9"/>
      <c r="CH23" s="9"/>
      <c r="CI23" s="702"/>
      <c r="CJ23" s="702"/>
      <c r="CK23" s="702"/>
      <c r="CL23" s="702"/>
      <c r="CM23" s="702"/>
      <c r="CN23" s="702"/>
      <c r="CO23" s="702"/>
      <c r="CP23" s="9"/>
      <c r="CT23" s="163" t="s">
        <v>822</v>
      </c>
      <c r="CU23" s="152">
        <v>13</v>
      </c>
      <c r="CV23" s="9"/>
      <c r="CW23" s="147"/>
      <c r="CX23" s="147"/>
    </row>
    <row r="24" spans="1:102" s="216" customFormat="1" ht="15.75">
      <c r="A24" s="715" t="s">
        <v>823</v>
      </c>
      <c r="B24" s="247">
        <f t="shared" si="3"/>
        <v>25</v>
      </c>
      <c r="C24" s="674"/>
      <c r="D24" s="744"/>
      <c r="E24" s="744"/>
      <c r="F24" s="674"/>
      <c r="G24" s="744"/>
      <c r="H24" s="745"/>
      <c r="I24" s="674"/>
      <c r="J24" s="744"/>
      <c r="K24" s="674"/>
      <c r="L24" s="674"/>
      <c r="M24" s="674"/>
      <c r="N24" s="674"/>
      <c r="O24" s="744"/>
      <c r="P24" s="744"/>
      <c r="Q24" s="674"/>
      <c r="R24" s="674"/>
      <c r="S24" s="674"/>
      <c r="T24" s="744"/>
      <c r="U24" s="744"/>
      <c r="V24" s="674"/>
      <c r="W24" s="674"/>
      <c r="X24" s="674"/>
      <c r="Y24" s="744"/>
      <c r="Z24" s="746"/>
      <c r="AA24" s="674"/>
      <c r="AB24" s="744"/>
      <c r="AC24" s="744"/>
      <c r="AD24" s="744"/>
      <c r="AE24" s="9"/>
      <c r="AF24" s="674"/>
      <c r="AG24" s="744"/>
      <c r="AH24" s="744"/>
      <c r="AI24" s="720"/>
      <c r="AJ24" s="674"/>
      <c r="AK24" s="674"/>
      <c r="AL24" s="674"/>
      <c r="AM24" s="721"/>
      <c r="AN24" s="674"/>
      <c r="AO24" s="674"/>
      <c r="AP24" s="744"/>
      <c r="AQ24" s="674"/>
      <c r="AR24" s="674"/>
      <c r="AS24" s="744"/>
      <c r="AT24" s="674"/>
      <c r="AU24" s="674"/>
      <c r="AV24" s="674"/>
      <c r="AW24" s="674"/>
      <c r="AX24" s="674"/>
      <c r="AY24" s="9"/>
      <c r="AZ24" s="674"/>
      <c r="BA24" s="744"/>
      <c r="BB24" s="674"/>
      <c r="BC24" s="674"/>
      <c r="BD24" s="674"/>
      <c r="BE24" s="674"/>
      <c r="BF24" s="9"/>
      <c r="BG24" s="674"/>
      <c r="BH24" s="674"/>
      <c r="BI24" s="674"/>
      <c r="BJ24" s="674"/>
      <c r="BK24" s="674"/>
      <c r="BL24" s="744"/>
      <c r="BM24" s="674"/>
      <c r="BN24" s="674"/>
      <c r="BO24" s="674"/>
      <c r="BP24" s="721"/>
      <c r="BQ24" s="674"/>
      <c r="BR24" s="674"/>
      <c r="BS24" s="674"/>
      <c r="BT24" s="744"/>
      <c r="BU24" s="744"/>
      <c r="BV24" s="744"/>
      <c r="BW24" s="674"/>
      <c r="BX24" s="674"/>
      <c r="BY24" s="674"/>
      <c r="BZ24" s="744"/>
      <c r="CA24" s="674"/>
      <c r="CB24" s="674"/>
      <c r="CC24" s="744"/>
      <c r="CD24" s="674"/>
      <c r="CE24" s="674"/>
      <c r="CF24" s="722"/>
      <c r="CG24" s="674"/>
      <c r="CH24" s="9"/>
      <c r="CI24" s="702"/>
      <c r="CJ24" s="702"/>
      <c r="CK24" s="702"/>
      <c r="CL24" s="702"/>
      <c r="CM24" s="702"/>
      <c r="CN24" s="702"/>
      <c r="CO24" s="702"/>
      <c r="CP24" s="674"/>
      <c r="CT24" s="163" t="s">
        <v>823</v>
      </c>
      <c r="CU24" s="152">
        <v>14</v>
      </c>
      <c r="CV24" s="9"/>
      <c r="CW24" s="147"/>
      <c r="CX24" s="147"/>
    </row>
    <row r="25" spans="1:102" ht="15.75">
      <c r="A25" s="715" t="s">
        <v>824</v>
      </c>
      <c r="B25" s="247">
        <f t="shared" si="3"/>
        <v>26</v>
      </c>
      <c r="C25" s="723"/>
      <c r="D25" s="718"/>
      <c r="E25" s="718"/>
      <c r="F25" s="9"/>
      <c r="G25" s="744"/>
      <c r="H25" s="745"/>
      <c r="I25" s="674"/>
      <c r="J25" s="744"/>
      <c r="K25" s="674"/>
      <c r="L25" s="674"/>
      <c r="M25" s="674"/>
      <c r="N25" s="674"/>
      <c r="O25" s="744"/>
      <c r="P25" s="744"/>
      <c r="Q25" s="674"/>
      <c r="R25" s="674"/>
      <c r="S25" s="674"/>
      <c r="T25" s="744"/>
      <c r="U25" s="744"/>
      <c r="V25" s="9"/>
      <c r="W25" s="674"/>
      <c r="X25" s="9"/>
      <c r="Y25" s="744"/>
      <c r="Z25" s="746"/>
      <c r="AA25" s="674"/>
      <c r="AB25" s="744"/>
      <c r="AC25" s="744"/>
      <c r="AD25" s="744"/>
      <c r="AE25" s="9"/>
      <c r="AF25" s="9"/>
      <c r="AG25" s="744"/>
      <c r="AH25" s="744"/>
      <c r="AI25" s="716"/>
      <c r="AJ25" s="9"/>
      <c r="AK25" s="9"/>
      <c r="AL25" s="9"/>
      <c r="AM25" s="717"/>
      <c r="AN25" s="674"/>
      <c r="AO25" s="9"/>
      <c r="AP25" s="744"/>
      <c r="AQ25" s="9"/>
      <c r="AR25" s="9"/>
      <c r="AS25" s="744"/>
      <c r="AT25" s="9"/>
      <c r="AU25" s="9"/>
      <c r="AV25" s="9"/>
      <c r="AW25" s="9"/>
      <c r="AX25" s="9"/>
      <c r="AY25" s="9"/>
      <c r="AZ25" s="9"/>
      <c r="BA25" s="744"/>
      <c r="BB25" s="9"/>
      <c r="BC25" s="9"/>
      <c r="BD25" s="9"/>
      <c r="BE25" s="9"/>
      <c r="BF25" s="9"/>
      <c r="BG25" s="9"/>
      <c r="BH25" s="9"/>
      <c r="BI25" s="9"/>
      <c r="BJ25" s="9"/>
      <c r="BK25" s="9"/>
      <c r="BL25" s="744"/>
      <c r="BM25" s="9"/>
      <c r="BN25" s="9"/>
      <c r="BO25" s="9"/>
      <c r="BP25" s="717"/>
      <c r="BQ25" s="9"/>
      <c r="BR25" s="9"/>
      <c r="BS25" s="9"/>
      <c r="BT25" s="744"/>
      <c r="BU25" s="744"/>
      <c r="BV25" s="744"/>
      <c r="BW25" s="9"/>
      <c r="BX25" s="9"/>
      <c r="BY25" s="9"/>
      <c r="BZ25" s="744"/>
      <c r="CA25" s="9"/>
      <c r="CB25" s="9"/>
      <c r="CC25" s="744"/>
      <c r="CD25" s="9"/>
      <c r="CE25" s="9"/>
      <c r="CF25" s="722"/>
      <c r="CG25" s="9"/>
      <c r="CH25" s="9"/>
      <c r="CI25" s="702"/>
      <c r="CJ25" s="702"/>
      <c r="CK25" s="702"/>
      <c r="CL25" s="702"/>
      <c r="CM25" s="702"/>
      <c r="CN25" s="702"/>
      <c r="CO25" s="702"/>
      <c r="CP25" s="9"/>
      <c r="CT25" s="163" t="s">
        <v>824</v>
      </c>
      <c r="CU25" s="152">
        <v>15</v>
      </c>
      <c r="CV25" s="9"/>
      <c r="CW25" s="147"/>
      <c r="CX25" s="147"/>
    </row>
    <row r="26" spans="1:102" ht="15.75">
      <c r="A26" s="715" t="s">
        <v>825</v>
      </c>
      <c r="B26" s="247">
        <f t="shared" si="3"/>
        <v>27</v>
      </c>
      <c r="C26" s="9"/>
      <c r="D26" s="744"/>
      <c r="E26" s="744"/>
      <c r="F26" s="9"/>
      <c r="G26" s="744"/>
      <c r="H26" s="745"/>
      <c r="I26" s="9"/>
      <c r="J26" s="744"/>
      <c r="K26" s="9"/>
      <c r="L26" s="9"/>
      <c r="M26" s="9"/>
      <c r="N26" s="9"/>
      <c r="O26" s="744"/>
      <c r="P26" s="744"/>
      <c r="Q26" s="9"/>
      <c r="R26" s="9"/>
      <c r="S26" s="9"/>
      <c r="T26" s="744"/>
      <c r="U26" s="744"/>
      <c r="V26" s="9"/>
      <c r="W26" s="9"/>
      <c r="X26" s="9"/>
      <c r="Y26" s="744"/>
      <c r="Z26" s="744"/>
      <c r="AA26" s="9"/>
      <c r="AB26" s="744"/>
      <c r="AC26" s="744"/>
      <c r="AD26" s="744"/>
      <c r="AE26" s="9"/>
      <c r="AF26" s="9"/>
      <c r="AG26" s="744"/>
      <c r="AH26" s="744"/>
      <c r="AI26" s="716"/>
      <c r="AJ26" s="9"/>
      <c r="AK26" s="9"/>
      <c r="AL26" s="9"/>
      <c r="AM26" s="717"/>
      <c r="AN26" s="9"/>
      <c r="AO26" s="9"/>
      <c r="AP26" s="744"/>
      <c r="AQ26" s="9"/>
      <c r="AR26" s="9"/>
      <c r="AS26" s="744"/>
      <c r="AT26" s="9"/>
      <c r="AU26" s="9"/>
      <c r="AV26" s="9"/>
      <c r="AW26" s="9"/>
      <c r="AX26" s="9"/>
      <c r="AY26" s="9"/>
      <c r="AZ26" s="9"/>
      <c r="BA26" s="744"/>
      <c r="BB26" s="9"/>
      <c r="BC26" s="9"/>
      <c r="BD26" s="9"/>
      <c r="BE26" s="9"/>
      <c r="BF26" s="9"/>
      <c r="BG26" s="9"/>
      <c r="BH26" s="9"/>
      <c r="BI26" s="9"/>
      <c r="BJ26" s="9"/>
      <c r="BK26" s="9"/>
      <c r="BL26" s="744"/>
      <c r="BM26" s="9"/>
      <c r="BN26" s="9"/>
      <c r="BO26" s="9"/>
      <c r="BP26" s="717"/>
      <c r="BQ26" s="9"/>
      <c r="BR26" s="9"/>
      <c r="BS26" s="9"/>
      <c r="BT26" s="744"/>
      <c r="BU26" s="744"/>
      <c r="BV26" s="744"/>
      <c r="BW26" s="9"/>
      <c r="BX26" s="9"/>
      <c r="BY26" s="9"/>
      <c r="BZ26" s="744"/>
      <c r="CA26" s="9"/>
      <c r="CB26" s="9"/>
      <c r="CC26" s="744"/>
      <c r="CD26" s="9"/>
      <c r="CE26" s="9"/>
      <c r="CF26" s="719"/>
      <c r="CG26" s="9"/>
      <c r="CH26" s="9"/>
      <c r="CI26" s="702"/>
      <c r="CJ26" s="702"/>
      <c r="CK26" s="702"/>
      <c r="CL26" s="702"/>
      <c r="CM26" s="702"/>
      <c r="CN26" s="702"/>
      <c r="CO26" s="702"/>
      <c r="CP26" s="9"/>
      <c r="CT26" s="163" t="s">
        <v>825</v>
      </c>
      <c r="CU26" s="152">
        <v>16</v>
      </c>
      <c r="CV26" s="9"/>
      <c r="CW26" s="147"/>
      <c r="CX26" s="147"/>
    </row>
    <row r="27" spans="1:102" ht="15.75">
      <c r="A27" s="715" t="s">
        <v>826</v>
      </c>
      <c r="B27" s="247">
        <f t="shared" si="3"/>
        <v>28</v>
      </c>
      <c r="C27" s="9"/>
      <c r="D27" s="744"/>
      <c r="E27" s="744"/>
      <c r="F27" s="9"/>
      <c r="G27" s="744"/>
      <c r="H27" s="745"/>
      <c r="I27" s="9"/>
      <c r="J27" s="744"/>
      <c r="K27" s="9"/>
      <c r="L27" s="9"/>
      <c r="M27" s="9"/>
      <c r="N27" s="9"/>
      <c r="O27" s="744"/>
      <c r="P27" s="744"/>
      <c r="Q27" s="9"/>
      <c r="R27" s="9"/>
      <c r="S27" s="9"/>
      <c r="T27" s="744"/>
      <c r="U27" s="744"/>
      <c r="V27" s="9"/>
      <c r="W27" s="9"/>
      <c r="X27" s="9"/>
      <c r="Y27" s="744"/>
      <c r="Z27" s="744"/>
      <c r="AA27" s="9"/>
      <c r="AB27" s="744"/>
      <c r="AC27" s="744"/>
      <c r="AD27" s="744"/>
      <c r="AE27" s="9"/>
      <c r="AF27" s="9"/>
      <c r="AG27" s="744"/>
      <c r="AH27" s="744"/>
      <c r="AI27" s="716"/>
      <c r="AJ27" s="9"/>
      <c r="AK27" s="9"/>
      <c r="AL27" s="9"/>
      <c r="AM27" s="717"/>
      <c r="AN27" s="9"/>
      <c r="AO27" s="9"/>
      <c r="AP27" s="744"/>
      <c r="AQ27" s="9"/>
      <c r="AR27" s="9"/>
      <c r="AS27" s="744"/>
      <c r="AT27" s="9"/>
      <c r="AU27" s="9"/>
      <c r="AV27" s="9"/>
      <c r="AW27" s="9"/>
      <c r="AX27" s="9"/>
      <c r="AY27" s="9"/>
      <c r="AZ27" s="9"/>
      <c r="BA27" s="744"/>
      <c r="BB27" s="9"/>
      <c r="BC27" s="9"/>
      <c r="BD27" s="9"/>
      <c r="BE27" s="9"/>
      <c r="BF27" s="9"/>
      <c r="BG27" s="9"/>
      <c r="BH27" s="9"/>
      <c r="BI27" s="9"/>
      <c r="BJ27" s="9"/>
      <c r="BK27" s="9"/>
      <c r="BL27" s="746"/>
      <c r="BM27" s="9"/>
      <c r="BN27" s="9"/>
      <c r="BO27" s="9"/>
      <c r="BP27" s="717"/>
      <c r="BQ27" s="9"/>
      <c r="BR27" s="9"/>
      <c r="BS27" s="9"/>
      <c r="BT27" s="744"/>
      <c r="BU27" s="744"/>
      <c r="BV27" s="744"/>
      <c r="BW27" s="9"/>
      <c r="BX27" s="9"/>
      <c r="BY27" s="9"/>
      <c r="BZ27" s="744"/>
      <c r="CA27" s="9"/>
      <c r="CB27" s="9"/>
      <c r="CC27" s="746"/>
      <c r="CD27" s="9"/>
      <c r="CE27" s="9"/>
      <c r="CF27" s="719"/>
      <c r="CG27" s="9"/>
      <c r="CH27" s="9"/>
      <c r="CI27" s="702"/>
      <c r="CJ27" s="702"/>
      <c r="CK27" s="702"/>
      <c r="CL27" s="702"/>
      <c r="CM27" s="702"/>
      <c r="CN27" s="702"/>
      <c r="CO27" s="702"/>
      <c r="CP27" s="9"/>
      <c r="CT27" s="163" t="s">
        <v>826</v>
      </c>
      <c r="CU27" s="152">
        <v>17</v>
      </c>
      <c r="CV27" s="9"/>
      <c r="CW27" s="147"/>
      <c r="CX27" s="147"/>
    </row>
    <row r="28" spans="1:102" ht="15.75">
      <c r="A28" s="715" t="s">
        <v>827</v>
      </c>
      <c r="B28" s="247">
        <f t="shared" si="3"/>
        <v>29</v>
      </c>
      <c r="C28" s="9"/>
      <c r="D28" s="744"/>
      <c r="E28" s="744"/>
      <c r="F28" s="9"/>
      <c r="G28" s="744"/>
      <c r="H28" s="745"/>
      <c r="I28" s="9"/>
      <c r="J28" s="744"/>
      <c r="K28" s="9"/>
      <c r="L28" s="9"/>
      <c r="M28" s="9"/>
      <c r="N28" s="9"/>
      <c r="O28" s="744"/>
      <c r="P28" s="744"/>
      <c r="Q28" s="9"/>
      <c r="R28" s="9"/>
      <c r="S28" s="9"/>
      <c r="T28" s="744"/>
      <c r="U28" s="744"/>
      <c r="V28" s="9"/>
      <c r="W28" s="9"/>
      <c r="X28" s="9"/>
      <c r="Y28" s="744"/>
      <c r="Z28" s="744"/>
      <c r="AA28" s="9"/>
      <c r="AB28" s="744"/>
      <c r="AC28" s="744"/>
      <c r="AD28" s="744"/>
      <c r="AE28" s="9"/>
      <c r="AF28" s="9"/>
      <c r="AG28" s="744"/>
      <c r="AH28" s="744"/>
      <c r="AI28" s="716"/>
      <c r="AJ28" s="9"/>
      <c r="AK28" s="9"/>
      <c r="AL28" s="9"/>
      <c r="AM28" s="717"/>
      <c r="AN28" s="9"/>
      <c r="AO28" s="9"/>
      <c r="AP28" s="744"/>
      <c r="AQ28" s="9"/>
      <c r="AR28" s="9"/>
      <c r="AS28" s="744"/>
      <c r="AT28" s="9"/>
      <c r="AU28" s="9"/>
      <c r="AV28" s="9"/>
      <c r="AW28" s="9"/>
      <c r="AX28" s="9"/>
      <c r="AY28" s="9"/>
      <c r="AZ28" s="9"/>
      <c r="BA28" s="744"/>
      <c r="BB28" s="9"/>
      <c r="BC28" s="9"/>
      <c r="BD28" s="9"/>
      <c r="BE28" s="9"/>
      <c r="BF28" s="9"/>
      <c r="BG28" s="9"/>
      <c r="BH28" s="9"/>
      <c r="BI28" s="9"/>
      <c r="BJ28" s="9"/>
      <c r="BK28" s="9"/>
      <c r="BL28" s="746"/>
      <c r="BM28" s="9"/>
      <c r="BN28" s="9"/>
      <c r="BO28" s="9"/>
      <c r="BP28" s="717"/>
      <c r="BQ28" s="9"/>
      <c r="BR28" s="9"/>
      <c r="BS28" s="9"/>
      <c r="BT28" s="744"/>
      <c r="BU28" s="744"/>
      <c r="BV28" s="744"/>
      <c r="BW28" s="9"/>
      <c r="BX28" s="9"/>
      <c r="BY28" s="9"/>
      <c r="BZ28" s="744"/>
      <c r="CA28" s="9"/>
      <c r="CB28" s="9"/>
      <c r="CC28" s="746"/>
      <c r="CD28" s="9"/>
      <c r="CE28" s="9"/>
      <c r="CF28" s="719"/>
      <c r="CG28" s="9"/>
      <c r="CH28" s="9"/>
      <c r="CI28" s="702"/>
      <c r="CJ28" s="702"/>
      <c r="CK28" s="702"/>
      <c r="CL28" s="702"/>
      <c r="CM28" s="702"/>
      <c r="CN28" s="702"/>
      <c r="CO28" s="702"/>
      <c r="CP28" s="9"/>
      <c r="CR28">
        <f>SUM(C22:CQ28)</f>
        <v>0</v>
      </c>
      <c r="CT28" s="163" t="s">
        <v>827</v>
      </c>
      <c r="CU28" s="152">
        <v>18</v>
      </c>
      <c r="CV28" s="9"/>
      <c r="CW28" s="147"/>
      <c r="CX28" s="147"/>
    </row>
    <row r="29" spans="1:102" s="219" customFormat="1" ht="15.75">
      <c r="A29" s="715" t="s">
        <v>821</v>
      </c>
      <c r="B29" s="247">
        <f t="shared" si="3"/>
        <v>30</v>
      </c>
      <c r="C29" s="724"/>
      <c r="D29" s="724"/>
      <c r="E29" s="724"/>
      <c r="F29" s="724"/>
      <c r="G29" s="724"/>
      <c r="H29" s="724"/>
      <c r="I29" s="724"/>
      <c r="J29" s="724"/>
      <c r="K29" s="724"/>
      <c r="L29" s="724"/>
      <c r="M29" s="724"/>
      <c r="N29" s="724"/>
      <c r="O29" s="724"/>
      <c r="P29" s="724"/>
      <c r="Q29" s="724"/>
      <c r="R29" s="724"/>
      <c r="S29" s="724"/>
      <c r="T29" s="724"/>
      <c r="U29" s="724"/>
      <c r="V29" s="724"/>
      <c r="W29" s="724"/>
      <c r="X29" s="724"/>
      <c r="Y29" s="724"/>
      <c r="Z29" s="724"/>
      <c r="AA29" s="724"/>
      <c r="AB29" s="724"/>
      <c r="AC29" s="724"/>
      <c r="AD29" s="724"/>
      <c r="AE29" s="724"/>
      <c r="AF29" s="724"/>
      <c r="AG29" s="724"/>
      <c r="AH29" s="724"/>
      <c r="AI29" s="724"/>
      <c r="AJ29" s="724"/>
      <c r="AK29" s="724"/>
      <c r="AL29" s="724"/>
      <c r="AM29" s="724"/>
      <c r="AN29" s="724"/>
      <c r="AO29" s="724"/>
      <c r="AP29" s="724"/>
      <c r="AQ29" s="724"/>
      <c r="AR29" s="724"/>
      <c r="AS29" s="724"/>
      <c r="AT29" s="724"/>
      <c r="AU29" s="724"/>
      <c r="AV29" s="724"/>
      <c r="AW29" s="724"/>
      <c r="AX29" s="724"/>
      <c r="AY29" s="724"/>
      <c r="AZ29" s="724"/>
      <c r="BA29" s="724"/>
      <c r="BB29" s="724"/>
      <c r="BC29" s="724"/>
      <c r="BD29" s="724"/>
      <c r="BE29" s="724"/>
      <c r="BF29" s="724"/>
      <c r="BG29" s="724"/>
      <c r="BH29" s="724"/>
      <c r="BI29" s="724"/>
      <c r="BJ29" s="724"/>
      <c r="BK29" s="724"/>
      <c r="BL29" s="724"/>
      <c r="BM29" s="724"/>
      <c r="BN29" s="724"/>
      <c r="BO29" s="724"/>
      <c r="BP29" s="724"/>
      <c r="BQ29" s="724"/>
      <c r="BR29" s="724"/>
      <c r="BS29" s="724"/>
      <c r="BT29" s="724"/>
      <c r="BU29" s="724"/>
      <c r="BV29" s="724"/>
      <c r="BW29" s="724"/>
      <c r="BX29" s="724"/>
      <c r="BY29" s="724"/>
      <c r="BZ29" s="724"/>
      <c r="CA29" s="724"/>
      <c r="CB29" s="724"/>
      <c r="CC29" s="724"/>
      <c r="CD29" s="724"/>
      <c r="CE29" s="724"/>
      <c r="CF29" s="724"/>
      <c r="CG29" s="724"/>
      <c r="CH29" s="9"/>
      <c r="CI29" s="702"/>
      <c r="CJ29" s="702"/>
      <c r="CK29" s="702"/>
      <c r="CL29" s="702"/>
      <c r="CM29" s="702"/>
      <c r="CN29" s="702"/>
      <c r="CO29" s="702"/>
      <c r="CP29" s="724"/>
      <c r="CT29" s="163" t="s">
        <v>821</v>
      </c>
      <c r="CU29" s="152">
        <v>19</v>
      </c>
      <c r="CV29" s="9"/>
      <c r="CW29" s="147"/>
      <c r="CX29" s="147"/>
    </row>
    <row r="30" spans="1:102" ht="15.75">
      <c r="A30" s="715" t="s">
        <v>822</v>
      </c>
      <c r="B30" s="247">
        <f t="shared" si="3"/>
        <v>31</v>
      </c>
      <c r="C30" s="678"/>
      <c r="D30" s="678"/>
      <c r="E30" s="678"/>
      <c r="F30" s="724"/>
      <c r="G30" s="724"/>
      <c r="H30" s="725"/>
      <c r="I30" s="678"/>
      <c r="J30" s="724"/>
      <c r="K30" s="678"/>
      <c r="L30" s="678"/>
      <c r="M30" s="678"/>
      <c r="N30" s="678"/>
      <c r="O30" s="678"/>
      <c r="P30" s="678"/>
      <c r="Q30" s="678"/>
      <c r="R30" s="678"/>
      <c r="S30" s="678"/>
      <c r="T30" s="678"/>
      <c r="U30" s="678"/>
      <c r="V30" s="678"/>
      <c r="W30" s="678"/>
      <c r="X30" s="678"/>
      <c r="Y30" s="678"/>
      <c r="Z30" s="678"/>
      <c r="AA30" s="678"/>
      <c r="AB30" s="678"/>
      <c r="AC30" s="678"/>
      <c r="AD30" s="678"/>
      <c r="AE30" s="678"/>
      <c r="AF30" s="678"/>
      <c r="AG30" s="678"/>
      <c r="AH30" s="678"/>
      <c r="AI30" s="726"/>
      <c r="AJ30" s="724"/>
      <c r="AK30" s="678"/>
      <c r="AL30" s="678"/>
      <c r="AM30" s="717"/>
      <c r="AN30" s="678"/>
      <c r="AO30" s="678"/>
      <c r="AP30" s="678"/>
      <c r="AQ30" s="678"/>
      <c r="AR30" s="678"/>
      <c r="AS30" s="678"/>
      <c r="AT30" s="678"/>
      <c r="AU30" s="678"/>
      <c r="AV30" s="678"/>
      <c r="AW30" s="678"/>
      <c r="AX30" s="678"/>
      <c r="AY30" s="678"/>
      <c r="AZ30" s="678"/>
      <c r="BA30" s="678"/>
      <c r="BB30" s="678"/>
      <c r="BC30" s="678"/>
      <c r="BD30" s="678"/>
      <c r="BE30" s="678"/>
      <c r="BF30" s="678"/>
      <c r="BG30" s="678"/>
      <c r="BH30" s="678"/>
      <c r="BI30" s="678"/>
      <c r="BJ30" s="678"/>
      <c r="BK30" s="678"/>
      <c r="BL30" s="678"/>
      <c r="BM30" s="678"/>
      <c r="BN30" s="678"/>
      <c r="BO30" s="678"/>
      <c r="BP30" s="717"/>
      <c r="BQ30" s="678"/>
      <c r="BR30" s="678"/>
      <c r="BS30" s="678"/>
      <c r="BT30" s="724"/>
      <c r="BU30" s="678"/>
      <c r="BV30" s="678"/>
      <c r="BW30" s="678"/>
      <c r="BX30" s="678"/>
      <c r="BY30" s="678"/>
      <c r="BZ30" s="678"/>
      <c r="CA30" s="724"/>
      <c r="CB30" s="724"/>
      <c r="CC30" s="724"/>
      <c r="CD30" s="678"/>
      <c r="CE30" s="678"/>
      <c r="CF30" s="678"/>
      <c r="CG30" s="678"/>
      <c r="CH30" s="9"/>
      <c r="CI30" s="702"/>
      <c r="CJ30" s="702"/>
      <c r="CK30" s="702"/>
      <c r="CL30" s="702"/>
      <c r="CM30" s="702"/>
      <c r="CN30" s="702"/>
      <c r="CO30" s="702"/>
      <c r="CP30" s="678"/>
      <c r="CT30" s="163" t="s">
        <v>822</v>
      </c>
      <c r="CU30" s="152">
        <v>20</v>
      </c>
      <c r="CV30" s="9"/>
      <c r="CW30" s="147"/>
      <c r="CX30" s="147"/>
    </row>
    <row r="31" spans="1:102" ht="15.75">
      <c r="A31" s="715" t="s">
        <v>823</v>
      </c>
      <c r="B31" s="247">
        <f t="shared" si="3"/>
        <v>1</v>
      </c>
      <c r="C31" s="678"/>
      <c r="D31" s="678"/>
      <c r="E31" s="678"/>
      <c r="F31" s="678"/>
      <c r="G31" s="724"/>
      <c r="H31" s="725"/>
      <c r="I31" s="678"/>
      <c r="J31" s="678"/>
      <c r="K31" s="678"/>
      <c r="L31" s="678"/>
      <c r="M31" s="678"/>
      <c r="N31" s="678"/>
      <c r="O31" s="678"/>
      <c r="P31" s="678"/>
      <c r="Q31" s="678"/>
      <c r="R31" s="678"/>
      <c r="S31" s="678"/>
      <c r="T31" s="678"/>
      <c r="U31" s="678"/>
      <c r="V31" s="678"/>
      <c r="W31" s="678"/>
      <c r="X31" s="678"/>
      <c r="Y31" s="678"/>
      <c r="Z31" s="678"/>
      <c r="AA31" s="678"/>
      <c r="AB31" s="678"/>
      <c r="AC31" s="678"/>
      <c r="AD31" s="678"/>
      <c r="AE31" s="678"/>
      <c r="AF31" s="678"/>
      <c r="AG31" s="678"/>
      <c r="AH31" s="678"/>
      <c r="AI31" s="716"/>
      <c r="AJ31" s="678"/>
      <c r="AK31" s="678"/>
      <c r="AL31" s="678"/>
      <c r="AM31" s="717"/>
      <c r="AN31" s="678"/>
      <c r="AO31" s="678"/>
      <c r="AP31" s="678"/>
      <c r="AQ31" s="678"/>
      <c r="AR31" s="678"/>
      <c r="AS31" s="678"/>
      <c r="AT31" s="678"/>
      <c r="AU31" s="678"/>
      <c r="AV31" s="678"/>
      <c r="AW31" s="678"/>
      <c r="AX31" s="678"/>
      <c r="AY31" s="678"/>
      <c r="AZ31" s="678"/>
      <c r="BA31" s="678"/>
      <c r="BB31" s="678"/>
      <c r="BC31" s="678"/>
      <c r="BD31" s="678"/>
      <c r="BE31" s="678"/>
      <c r="BF31" s="678"/>
      <c r="BG31" s="678"/>
      <c r="BH31" s="678"/>
      <c r="BI31" s="678"/>
      <c r="BJ31" s="678"/>
      <c r="BK31" s="678"/>
      <c r="BL31" s="678"/>
      <c r="BM31" s="678"/>
      <c r="BN31" s="678"/>
      <c r="BO31" s="678"/>
      <c r="BP31" s="717"/>
      <c r="BQ31" s="678"/>
      <c r="BR31" s="678"/>
      <c r="BS31" s="678"/>
      <c r="BT31" s="678"/>
      <c r="BU31" s="678"/>
      <c r="BV31" s="678"/>
      <c r="BW31" s="678"/>
      <c r="BX31" s="678"/>
      <c r="BY31" s="678"/>
      <c r="BZ31" s="678"/>
      <c r="CA31" s="678"/>
      <c r="CB31" s="678"/>
      <c r="CC31" s="678"/>
      <c r="CD31" s="678"/>
      <c r="CE31" s="678"/>
      <c r="CF31" s="678"/>
      <c r="CG31" s="678"/>
      <c r="CH31" s="9"/>
      <c r="CI31" s="702"/>
      <c r="CJ31" s="702"/>
      <c r="CK31" s="702"/>
      <c r="CL31" s="702"/>
      <c r="CM31" s="702"/>
      <c r="CN31" s="702"/>
      <c r="CO31" s="702"/>
      <c r="CP31" s="678"/>
      <c r="CT31" s="163" t="s">
        <v>823</v>
      </c>
      <c r="CU31" s="152">
        <v>21</v>
      </c>
      <c r="CV31" s="9"/>
      <c r="CW31" s="147"/>
      <c r="CX31" s="147"/>
    </row>
    <row r="32" spans="1:102" ht="15.75">
      <c r="A32" s="715" t="s">
        <v>824</v>
      </c>
      <c r="B32" s="247">
        <f t="shared" si="3"/>
        <v>2</v>
      </c>
      <c r="C32" s="678"/>
      <c r="D32" s="678"/>
      <c r="E32" s="678"/>
      <c r="F32" s="678"/>
      <c r="G32" s="678"/>
      <c r="H32" s="727"/>
      <c r="I32" s="678"/>
      <c r="J32" s="678"/>
      <c r="K32" s="678"/>
      <c r="L32" s="678"/>
      <c r="M32" s="678"/>
      <c r="N32" s="678"/>
      <c r="O32" s="678"/>
      <c r="P32" s="678"/>
      <c r="Q32" s="678"/>
      <c r="R32" s="678"/>
      <c r="S32" s="678"/>
      <c r="T32" s="678"/>
      <c r="U32" s="678"/>
      <c r="V32" s="678"/>
      <c r="W32" s="678"/>
      <c r="X32" s="678"/>
      <c r="Y32" s="678"/>
      <c r="Z32" s="678"/>
      <c r="AA32" s="678"/>
      <c r="AB32" s="678"/>
      <c r="AC32" s="678"/>
      <c r="AD32" s="678"/>
      <c r="AE32" s="678"/>
      <c r="AF32" s="678"/>
      <c r="AG32" s="678"/>
      <c r="AH32" s="678"/>
      <c r="AI32" s="716"/>
      <c r="AJ32" s="678"/>
      <c r="AK32" s="678"/>
      <c r="AL32" s="678"/>
      <c r="AM32" s="717"/>
      <c r="AN32" s="678"/>
      <c r="AO32" s="678"/>
      <c r="AP32" s="678"/>
      <c r="AQ32" s="678"/>
      <c r="AR32" s="678"/>
      <c r="AS32" s="678"/>
      <c r="AT32" s="678"/>
      <c r="AU32" s="678"/>
      <c r="AV32" s="678"/>
      <c r="AW32" s="678"/>
      <c r="AX32" s="678"/>
      <c r="AY32" s="678"/>
      <c r="AZ32" s="678"/>
      <c r="BA32" s="678"/>
      <c r="BB32" s="678"/>
      <c r="BC32" s="678"/>
      <c r="BD32" s="678"/>
      <c r="BE32" s="678"/>
      <c r="BF32" s="678"/>
      <c r="BG32" s="678"/>
      <c r="BH32" s="678"/>
      <c r="BI32" s="678"/>
      <c r="BJ32" s="678"/>
      <c r="BK32" s="678"/>
      <c r="BL32" s="678"/>
      <c r="BM32" s="678"/>
      <c r="BN32" s="678"/>
      <c r="BO32" s="678"/>
      <c r="BP32" s="717"/>
      <c r="BQ32" s="678"/>
      <c r="BR32" s="678"/>
      <c r="BS32" s="678"/>
      <c r="BT32" s="678"/>
      <c r="BU32" s="678"/>
      <c r="BV32" s="678"/>
      <c r="BW32" s="678"/>
      <c r="BX32" s="678"/>
      <c r="BY32" s="678"/>
      <c r="BZ32" s="678"/>
      <c r="CA32" s="678"/>
      <c r="CB32" s="678"/>
      <c r="CC32" s="678"/>
      <c r="CD32" s="678"/>
      <c r="CE32" s="678"/>
      <c r="CF32" s="678"/>
      <c r="CG32" s="678"/>
      <c r="CH32" s="9"/>
      <c r="CI32" s="702"/>
      <c r="CJ32" s="702"/>
      <c r="CK32" s="702"/>
      <c r="CL32" s="702"/>
      <c r="CM32" s="702"/>
      <c r="CN32" s="702"/>
      <c r="CO32" s="702"/>
      <c r="CP32" s="678"/>
      <c r="CT32" s="163" t="s">
        <v>824</v>
      </c>
      <c r="CU32" s="152">
        <v>22</v>
      </c>
      <c r="CV32" s="9"/>
      <c r="CW32" s="147"/>
      <c r="CX32" s="147"/>
    </row>
    <row r="33" spans="1:102" ht="15.75">
      <c r="A33" s="715" t="s">
        <v>825</v>
      </c>
      <c r="B33" s="247">
        <f t="shared" si="3"/>
        <v>3</v>
      </c>
      <c r="C33" s="678"/>
      <c r="D33" s="678"/>
      <c r="E33" s="678"/>
      <c r="F33" s="678"/>
      <c r="G33" s="678"/>
      <c r="H33" s="727"/>
      <c r="I33" s="678"/>
      <c r="J33" s="678"/>
      <c r="K33" s="678"/>
      <c r="L33" s="678"/>
      <c r="M33" s="678"/>
      <c r="N33" s="678"/>
      <c r="O33" s="678"/>
      <c r="P33" s="678"/>
      <c r="Q33" s="678"/>
      <c r="R33" s="678"/>
      <c r="S33" s="678"/>
      <c r="T33" s="678"/>
      <c r="U33" s="678"/>
      <c r="V33" s="678"/>
      <c r="W33" s="678"/>
      <c r="X33" s="678"/>
      <c r="Y33" s="678"/>
      <c r="Z33" s="678"/>
      <c r="AA33" s="678"/>
      <c r="AB33" s="678"/>
      <c r="AC33" s="678"/>
      <c r="AD33" s="678"/>
      <c r="AE33" s="678"/>
      <c r="AF33" s="678"/>
      <c r="AG33" s="678"/>
      <c r="AH33" s="678"/>
      <c r="AI33" s="716"/>
      <c r="AJ33" s="678"/>
      <c r="AK33" s="678"/>
      <c r="AL33" s="678"/>
      <c r="AM33" s="717"/>
      <c r="AN33" s="678"/>
      <c r="AO33" s="678"/>
      <c r="AP33" s="678"/>
      <c r="AQ33" s="678"/>
      <c r="AR33" s="678"/>
      <c r="AS33" s="678"/>
      <c r="AT33" s="678"/>
      <c r="AU33" s="678"/>
      <c r="AV33" s="678"/>
      <c r="AW33" s="678"/>
      <c r="AX33" s="678"/>
      <c r="AY33" s="678"/>
      <c r="AZ33" s="678"/>
      <c r="BA33" s="678"/>
      <c r="BB33" s="678"/>
      <c r="BC33" s="678"/>
      <c r="BD33" s="678"/>
      <c r="BE33" s="678"/>
      <c r="BF33" s="678"/>
      <c r="BG33" s="678"/>
      <c r="BH33" s="678"/>
      <c r="BI33" s="678"/>
      <c r="BJ33" s="678"/>
      <c r="BK33" s="678"/>
      <c r="BL33" s="678"/>
      <c r="BM33" s="678"/>
      <c r="BN33" s="678"/>
      <c r="BO33" s="678"/>
      <c r="BP33" s="717"/>
      <c r="BQ33" s="678"/>
      <c r="BR33" s="678"/>
      <c r="BS33" s="678"/>
      <c r="BT33" s="678"/>
      <c r="BU33" s="678"/>
      <c r="BV33" s="678"/>
      <c r="BW33" s="678"/>
      <c r="BX33" s="678"/>
      <c r="BY33" s="678"/>
      <c r="BZ33" s="678"/>
      <c r="CA33" s="678"/>
      <c r="CB33" s="678"/>
      <c r="CC33" s="678"/>
      <c r="CD33" s="678"/>
      <c r="CE33" s="678"/>
      <c r="CF33" s="678"/>
      <c r="CG33" s="678"/>
      <c r="CH33" s="9"/>
      <c r="CI33" s="702"/>
      <c r="CJ33" s="702"/>
      <c r="CK33" s="702"/>
      <c r="CL33" s="702"/>
      <c r="CM33" s="702"/>
      <c r="CN33" s="702"/>
      <c r="CO33" s="702"/>
      <c r="CP33" s="678"/>
      <c r="CT33" s="163" t="s">
        <v>825</v>
      </c>
      <c r="CU33" s="152">
        <v>23</v>
      </c>
      <c r="CV33" s="9"/>
      <c r="CW33" s="147"/>
      <c r="CX33" s="147"/>
    </row>
    <row r="34" spans="1:102" ht="15.75">
      <c r="A34" s="715" t="s">
        <v>826</v>
      </c>
      <c r="B34" s="247">
        <f t="shared" si="3"/>
        <v>4</v>
      </c>
      <c r="C34" s="678"/>
      <c r="D34" s="678"/>
      <c r="E34" s="678"/>
      <c r="F34" s="678"/>
      <c r="G34" s="678"/>
      <c r="H34" s="727"/>
      <c r="I34" s="678"/>
      <c r="J34" s="678"/>
      <c r="K34" s="678"/>
      <c r="L34" s="678"/>
      <c r="M34" s="678"/>
      <c r="N34" s="678"/>
      <c r="O34" s="678"/>
      <c r="P34" s="678"/>
      <c r="Q34" s="678"/>
      <c r="R34" s="678"/>
      <c r="S34" s="678"/>
      <c r="T34" s="678"/>
      <c r="U34" s="678"/>
      <c r="V34" s="678"/>
      <c r="W34" s="678"/>
      <c r="X34" s="678"/>
      <c r="Y34" s="678"/>
      <c r="Z34" s="678"/>
      <c r="AA34" s="678"/>
      <c r="AB34" s="678"/>
      <c r="AC34" s="678"/>
      <c r="AD34" s="678"/>
      <c r="AE34" s="678"/>
      <c r="AF34" s="678"/>
      <c r="AG34" s="678"/>
      <c r="AH34" s="678"/>
      <c r="AI34" s="716"/>
      <c r="AJ34" s="678"/>
      <c r="AK34" s="678"/>
      <c r="AL34" s="678"/>
      <c r="AM34" s="717"/>
      <c r="AN34" s="678"/>
      <c r="AO34" s="678"/>
      <c r="AP34" s="678"/>
      <c r="AQ34" s="678"/>
      <c r="AR34" s="678"/>
      <c r="AS34" s="678"/>
      <c r="AT34" s="678"/>
      <c r="AU34" s="678"/>
      <c r="AV34" s="678"/>
      <c r="AW34" s="678"/>
      <c r="AX34" s="678"/>
      <c r="AY34" s="678"/>
      <c r="AZ34" s="678"/>
      <c r="BA34" s="678"/>
      <c r="BB34" s="678"/>
      <c r="BC34" s="678"/>
      <c r="BD34" s="678"/>
      <c r="BE34" s="678"/>
      <c r="BF34" s="678"/>
      <c r="BG34" s="678"/>
      <c r="BH34" s="678"/>
      <c r="BI34" s="678"/>
      <c r="BJ34" s="678"/>
      <c r="BK34" s="678"/>
      <c r="BL34" s="678"/>
      <c r="BM34" s="678"/>
      <c r="BN34" s="678"/>
      <c r="BO34" s="678"/>
      <c r="BP34" s="717"/>
      <c r="BQ34" s="678"/>
      <c r="BR34" s="678"/>
      <c r="BS34" s="678"/>
      <c r="BT34" s="678"/>
      <c r="BU34" s="678"/>
      <c r="BV34" s="678"/>
      <c r="BW34" s="678"/>
      <c r="BX34" s="678"/>
      <c r="BY34" s="678"/>
      <c r="BZ34" s="678"/>
      <c r="CA34" s="678"/>
      <c r="CB34" s="678"/>
      <c r="CC34" s="678"/>
      <c r="CD34" s="678"/>
      <c r="CE34" s="678"/>
      <c r="CF34" s="678"/>
      <c r="CG34" s="678"/>
      <c r="CH34" s="9"/>
      <c r="CI34" s="702"/>
      <c r="CJ34" s="702"/>
      <c r="CK34" s="702"/>
      <c r="CL34" s="702"/>
      <c r="CM34" s="702"/>
      <c r="CN34" s="702"/>
      <c r="CO34" s="702"/>
      <c r="CP34" s="678"/>
      <c r="CT34" s="163" t="s">
        <v>826</v>
      </c>
      <c r="CU34" s="152">
        <v>24</v>
      </c>
      <c r="CV34" s="9"/>
      <c r="CW34" s="147"/>
      <c r="CX34" s="147"/>
    </row>
    <row r="35" spans="1:102" ht="16.5" thickBot="1">
      <c r="A35" s="715" t="s">
        <v>827</v>
      </c>
      <c r="B35" s="247">
        <f t="shared" si="3"/>
        <v>5</v>
      </c>
      <c r="C35" s="678"/>
      <c r="D35" s="678"/>
      <c r="E35" s="678"/>
      <c r="F35" s="678"/>
      <c r="G35" s="678"/>
      <c r="H35" s="727"/>
      <c r="I35" s="678"/>
      <c r="J35" s="678"/>
      <c r="K35" s="678"/>
      <c r="L35" s="678"/>
      <c r="M35" s="678"/>
      <c r="N35" s="678"/>
      <c r="O35" s="678"/>
      <c r="P35" s="678"/>
      <c r="Q35" s="678"/>
      <c r="R35" s="678"/>
      <c r="S35" s="678"/>
      <c r="T35" s="678"/>
      <c r="U35" s="678"/>
      <c r="V35" s="678"/>
      <c r="W35" s="678"/>
      <c r="X35" s="678"/>
      <c r="Y35" s="678"/>
      <c r="Z35" s="678"/>
      <c r="AA35" s="678"/>
      <c r="AB35" s="678"/>
      <c r="AC35" s="678"/>
      <c r="AD35" s="678"/>
      <c r="AE35" s="678"/>
      <c r="AF35" s="678"/>
      <c r="AG35" s="678"/>
      <c r="AH35" s="678"/>
      <c r="AI35" s="716"/>
      <c r="AJ35" s="678"/>
      <c r="AK35" s="678"/>
      <c r="AL35" s="678"/>
      <c r="AM35" s="717"/>
      <c r="AN35" s="678"/>
      <c r="AO35" s="678"/>
      <c r="AP35" s="678"/>
      <c r="AQ35" s="678"/>
      <c r="AR35" s="678"/>
      <c r="AS35" s="678"/>
      <c r="AT35" s="678"/>
      <c r="AU35" s="678"/>
      <c r="AV35" s="678"/>
      <c r="AW35" s="678"/>
      <c r="AX35" s="678"/>
      <c r="AY35" s="678"/>
      <c r="AZ35" s="678"/>
      <c r="BA35" s="678"/>
      <c r="BB35" s="678"/>
      <c r="BC35" s="678"/>
      <c r="BD35" s="678"/>
      <c r="BE35" s="678"/>
      <c r="BF35" s="678"/>
      <c r="BG35" s="678"/>
      <c r="BH35" s="678"/>
      <c r="BI35" s="678"/>
      <c r="BJ35" s="678"/>
      <c r="BK35" s="678"/>
      <c r="BL35" s="678"/>
      <c r="BM35" s="678"/>
      <c r="BN35" s="678"/>
      <c r="BO35" s="678"/>
      <c r="BP35" s="717"/>
      <c r="BQ35" s="678"/>
      <c r="BR35" s="678"/>
      <c r="BS35" s="678"/>
      <c r="BT35" s="678"/>
      <c r="BU35" s="678"/>
      <c r="BV35" s="678"/>
      <c r="BW35" s="678"/>
      <c r="BX35" s="678"/>
      <c r="BY35" s="678"/>
      <c r="BZ35" s="678"/>
      <c r="CA35" s="678"/>
      <c r="CB35" s="678"/>
      <c r="CC35" s="678"/>
      <c r="CD35" s="678"/>
      <c r="CE35" s="678"/>
      <c r="CF35" s="678"/>
      <c r="CG35" s="678"/>
      <c r="CH35" s="9"/>
      <c r="CI35" s="702"/>
      <c r="CJ35" s="702"/>
      <c r="CK35" s="702"/>
      <c r="CL35" s="702"/>
      <c r="CM35" s="702"/>
      <c r="CN35" s="702"/>
      <c r="CO35" s="702"/>
      <c r="CP35" s="678"/>
      <c r="CR35">
        <f>SUM(C29:CQ35)</f>
        <v>0</v>
      </c>
      <c r="CT35" s="163" t="s">
        <v>827</v>
      </c>
      <c r="CU35" s="152">
        <v>25</v>
      </c>
      <c r="CV35" s="9"/>
      <c r="CW35" s="147"/>
      <c r="CX35" s="147"/>
    </row>
    <row r="36" spans="1:102" ht="16.5" thickBot="1">
      <c r="A36" s="747" t="s">
        <v>791</v>
      </c>
      <c r="B36" s="748">
        <f>SUM(C36:CP36)</f>
        <v>0</v>
      </c>
      <c r="C36" s="728">
        <f t="shared" ref="C36:W36" si="4">SUM(C22:C35)</f>
        <v>0</v>
      </c>
      <c r="D36" s="728">
        <f>SUM(D22:D35)</f>
        <v>0</v>
      </c>
      <c r="E36" s="728">
        <f t="shared" si="4"/>
        <v>0</v>
      </c>
      <c r="F36" s="728">
        <f t="shared" si="4"/>
        <v>0</v>
      </c>
      <c r="G36" s="728">
        <f t="shared" si="4"/>
        <v>0</v>
      </c>
      <c r="H36" s="729">
        <f t="shared" si="4"/>
        <v>0</v>
      </c>
      <c r="I36" s="730">
        <f t="shared" si="4"/>
        <v>0</v>
      </c>
      <c r="J36" s="728">
        <f t="shared" si="4"/>
        <v>0</v>
      </c>
      <c r="K36" s="730">
        <f>SUM(K22:K35)</f>
        <v>0</v>
      </c>
      <c r="L36" s="730">
        <f t="shared" si="4"/>
        <v>0</v>
      </c>
      <c r="M36" s="730">
        <f>SUM(M22:M35)</f>
        <v>0</v>
      </c>
      <c r="N36" s="730">
        <f t="shared" si="4"/>
        <v>0</v>
      </c>
      <c r="O36" s="730">
        <f t="shared" si="4"/>
        <v>0</v>
      </c>
      <c r="P36" s="730">
        <f>SUM(P22:P35)</f>
        <v>0</v>
      </c>
      <c r="Q36" s="730">
        <f t="shared" si="4"/>
        <v>0</v>
      </c>
      <c r="R36" s="730">
        <f t="shared" si="4"/>
        <v>0</v>
      </c>
      <c r="S36" s="730">
        <f t="shared" si="4"/>
        <v>0</v>
      </c>
      <c r="T36" s="730">
        <f t="shared" si="4"/>
        <v>0</v>
      </c>
      <c r="U36" s="730">
        <f t="shared" si="4"/>
        <v>0</v>
      </c>
      <c r="V36" s="730">
        <f t="shared" si="4"/>
        <v>0</v>
      </c>
      <c r="W36" s="730">
        <f t="shared" si="4"/>
        <v>0</v>
      </c>
      <c r="X36" s="731">
        <f t="shared" ref="X36:BI36" si="5">SUM(X22:X35)</f>
        <v>0</v>
      </c>
      <c r="Y36" s="730">
        <f>SUM(Y22:Y35)</f>
        <v>0</v>
      </c>
      <c r="Z36" s="9">
        <f>SUM(Z22:Z35)</f>
        <v>0</v>
      </c>
      <c r="AA36" s="730">
        <f t="shared" si="5"/>
        <v>0</v>
      </c>
      <c r="AB36" s="9">
        <f t="shared" si="5"/>
        <v>0</v>
      </c>
      <c r="AC36" s="728">
        <f t="shared" si="5"/>
        <v>0</v>
      </c>
      <c r="AD36" s="9">
        <f>SUM(AD22:AD35)</f>
        <v>0</v>
      </c>
      <c r="AE36" s="9">
        <f>SUM(AE22:AE35)</f>
        <v>0</v>
      </c>
      <c r="AF36" s="731">
        <f t="shared" si="5"/>
        <v>0</v>
      </c>
      <c r="AG36" s="731">
        <f t="shared" si="5"/>
        <v>0</v>
      </c>
      <c r="AH36" s="731">
        <f>SUM(AH22:AH35)</f>
        <v>0</v>
      </c>
      <c r="AI36" s="732">
        <f t="shared" si="5"/>
        <v>0</v>
      </c>
      <c r="AJ36" s="731">
        <f t="shared" si="5"/>
        <v>0</v>
      </c>
      <c r="AK36" s="730">
        <f t="shared" si="5"/>
        <v>0</v>
      </c>
      <c r="AL36" s="731">
        <f>SUM(AL22:AL35)</f>
        <v>0</v>
      </c>
      <c r="AM36" s="733">
        <f t="shared" si="5"/>
        <v>0</v>
      </c>
      <c r="AN36" s="730">
        <f t="shared" si="5"/>
        <v>0</v>
      </c>
      <c r="AO36" s="731">
        <f>SUM(AO22:AO35)</f>
        <v>0</v>
      </c>
      <c r="AP36" s="731">
        <f>SUM(AP22:AP35)</f>
        <v>0</v>
      </c>
      <c r="AQ36" s="731">
        <f t="shared" si="5"/>
        <v>0</v>
      </c>
      <c r="AR36" s="731">
        <f t="shared" si="5"/>
        <v>0</v>
      </c>
      <c r="AS36" s="731">
        <f t="shared" si="5"/>
        <v>0</v>
      </c>
      <c r="AT36" s="731">
        <f>SUM(AT22:AT35)</f>
        <v>0</v>
      </c>
      <c r="AU36" s="731">
        <f>SUM(AU22:AU35)</f>
        <v>0</v>
      </c>
      <c r="AV36" s="731">
        <f>SUM(AV22:AV35)</f>
        <v>0</v>
      </c>
      <c r="AW36" s="731">
        <f t="shared" si="5"/>
        <v>0</v>
      </c>
      <c r="AX36" s="731">
        <f t="shared" si="5"/>
        <v>0</v>
      </c>
      <c r="AY36" s="731">
        <f t="shared" si="5"/>
        <v>0</v>
      </c>
      <c r="AZ36" s="731">
        <f t="shared" si="5"/>
        <v>0</v>
      </c>
      <c r="BA36" s="731">
        <f t="shared" si="5"/>
        <v>0</v>
      </c>
      <c r="BB36" s="731">
        <f>SUM(BB22:BB35)</f>
        <v>0</v>
      </c>
      <c r="BC36" s="731">
        <f t="shared" si="5"/>
        <v>0</v>
      </c>
      <c r="BD36" s="731">
        <f>SUM(BD22:BD35)</f>
        <v>0</v>
      </c>
      <c r="BE36" s="731">
        <f t="shared" si="5"/>
        <v>0</v>
      </c>
      <c r="BF36" s="731">
        <f t="shared" si="5"/>
        <v>0</v>
      </c>
      <c r="BG36" s="731">
        <f t="shared" si="5"/>
        <v>0</v>
      </c>
      <c r="BH36" s="731">
        <f t="shared" si="5"/>
        <v>0</v>
      </c>
      <c r="BI36" s="731">
        <f t="shared" si="5"/>
        <v>0</v>
      </c>
      <c r="BJ36" s="731">
        <f>SUM(BJ22:BJ35)</f>
        <v>0</v>
      </c>
      <c r="BK36" s="731">
        <f t="shared" ref="BK36:BW36" si="6">SUM(BK22:BK35)</f>
        <v>0</v>
      </c>
      <c r="BL36" s="731">
        <f>SUM(BL22:BL35)</f>
        <v>0</v>
      </c>
      <c r="BM36" s="731">
        <f>SUM(BM22:BM35)</f>
        <v>0</v>
      </c>
      <c r="BN36" s="731">
        <f>SUM(BN22:BN35)</f>
        <v>0</v>
      </c>
      <c r="BO36" s="731">
        <f t="shared" si="6"/>
        <v>0</v>
      </c>
      <c r="BP36" s="733">
        <f t="shared" si="6"/>
        <v>0</v>
      </c>
      <c r="BQ36" s="731">
        <f t="shared" si="6"/>
        <v>0</v>
      </c>
      <c r="BR36" s="731">
        <f>SUM(BR22:BR35)</f>
        <v>0</v>
      </c>
      <c r="BS36" s="731">
        <f>SUM(BS22:BS35)</f>
        <v>0</v>
      </c>
      <c r="BT36" s="9">
        <f t="shared" si="6"/>
        <v>0</v>
      </c>
      <c r="BU36" s="731">
        <f t="shared" si="6"/>
        <v>0</v>
      </c>
      <c r="BV36" s="731">
        <f>SUM(BV22:BV35)</f>
        <v>0</v>
      </c>
      <c r="BW36" s="731">
        <f t="shared" si="6"/>
        <v>0</v>
      </c>
      <c r="BX36" s="731">
        <f>SUM(BX22:BX35)</f>
        <v>0</v>
      </c>
      <c r="BY36" s="731">
        <f>SUM(BY22:BY35)</f>
        <v>0</v>
      </c>
      <c r="BZ36" s="731">
        <f>SUM(BZ22:BZ35)</f>
        <v>0</v>
      </c>
      <c r="CA36" s="731">
        <f t="shared" ref="CA36:CP36" si="7">SUM(CA22:CA35)</f>
        <v>0</v>
      </c>
      <c r="CB36" s="731">
        <f>SUM(CB22:CB35)</f>
        <v>0</v>
      </c>
      <c r="CC36" s="731">
        <f t="shared" si="7"/>
        <v>0</v>
      </c>
      <c r="CD36" s="731">
        <f>SUM(CD22:CD35)</f>
        <v>0</v>
      </c>
      <c r="CE36" s="731">
        <f t="shared" si="7"/>
        <v>0</v>
      </c>
      <c r="CF36" s="734">
        <f t="shared" si="7"/>
        <v>0</v>
      </c>
      <c r="CG36" s="731">
        <f t="shared" si="7"/>
        <v>0</v>
      </c>
      <c r="CH36" s="9">
        <f t="shared" si="7"/>
        <v>0</v>
      </c>
      <c r="CI36" s="702">
        <f t="shared" si="7"/>
        <v>0</v>
      </c>
      <c r="CJ36" s="702">
        <f t="shared" si="7"/>
        <v>0</v>
      </c>
      <c r="CK36" s="702">
        <f t="shared" si="7"/>
        <v>0</v>
      </c>
      <c r="CL36" s="702">
        <f t="shared" si="7"/>
        <v>0</v>
      </c>
      <c r="CM36" s="702">
        <f t="shared" si="7"/>
        <v>0</v>
      </c>
      <c r="CN36" s="702">
        <f t="shared" si="7"/>
        <v>0</v>
      </c>
      <c r="CO36" s="702">
        <f t="shared" si="7"/>
        <v>0</v>
      </c>
      <c r="CP36" s="731">
        <f t="shared" si="7"/>
        <v>0</v>
      </c>
      <c r="CT36" s="175" t="s">
        <v>791</v>
      </c>
      <c r="CU36" s="342">
        <f>SUM(CV36:GI36)+GN35</f>
        <v>0</v>
      </c>
      <c r="CV36" s="164">
        <f>SUM(CV22:CV35)</f>
        <v>0</v>
      </c>
      <c r="CW36" s="147">
        <f>SUM(CW22:CW35)</f>
        <v>0</v>
      </c>
      <c r="CX36" s="147">
        <f>SUM(CX22:CX35)</f>
        <v>0</v>
      </c>
    </row>
    <row r="37" spans="1:102" ht="16.5" thickBot="1">
      <c r="A37" s="8"/>
      <c r="B37" s="8"/>
      <c r="C37" s="718">
        <f t="shared" ref="C37:S37" si="8">SUM(C29:C35)</f>
        <v>0</v>
      </c>
      <c r="D37" s="718">
        <f>SUM(D29:D35)</f>
        <v>0</v>
      </c>
      <c r="E37" s="718">
        <f t="shared" si="8"/>
        <v>0</v>
      </c>
      <c r="F37" s="718">
        <f t="shared" si="8"/>
        <v>0</v>
      </c>
      <c r="G37" s="718">
        <f t="shared" si="8"/>
        <v>0</v>
      </c>
      <c r="H37" s="718">
        <f t="shared" si="8"/>
        <v>0</v>
      </c>
      <c r="I37" s="718">
        <f t="shared" si="8"/>
        <v>0</v>
      </c>
      <c r="J37" s="718">
        <f t="shared" si="8"/>
        <v>0</v>
      </c>
      <c r="K37" s="718">
        <f>SUM(K29:K35)</f>
        <v>0</v>
      </c>
      <c r="L37" s="718">
        <f t="shared" si="8"/>
        <v>0</v>
      </c>
      <c r="M37" s="718">
        <f>SUM(M29:M35)</f>
        <v>0</v>
      </c>
      <c r="N37" s="718">
        <f t="shared" si="8"/>
        <v>0</v>
      </c>
      <c r="O37" s="718">
        <f t="shared" si="8"/>
        <v>0</v>
      </c>
      <c r="P37" s="718">
        <f>SUM(P29:P35)</f>
        <v>0</v>
      </c>
      <c r="Q37" s="718">
        <f t="shared" si="8"/>
        <v>0</v>
      </c>
      <c r="R37" s="718">
        <f t="shared" si="8"/>
        <v>0</v>
      </c>
      <c r="S37" s="718">
        <f t="shared" si="8"/>
        <v>0</v>
      </c>
      <c r="T37" s="718">
        <f>SUM(T29:T35)</f>
        <v>0</v>
      </c>
      <c r="U37" s="718">
        <f t="shared" ref="U37:CP37" si="9">SUM(U29:U35)</f>
        <v>0</v>
      </c>
      <c r="V37" s="718">
        <f>SUM(V29:V35)</f>
        <v>0</v>
      </c>
      <c r="W37" s="718">
        <f t="shared" si="9"/>
        <v>0</v>
      </c>
      <c r="X37" s="718">
        <f t="shared" si="9"/>
        <v>0</v>
      </c>
      <c r="Y37" s="718">
        <f>SUM(Y29:Y35)</f>
        <v>0</v>
      </c>
      <c r="Z37" s="718">
        <f>SUM(Z29:Z35)</f>
        <v>0</v>
      </c>
      <c r="AA37" s="718">
        <f t="shared" si="9"/>
        <v>0</v>
      </c>
      <c r="AB37" s="718">
        <f t="shared" si="9"/>
        <v>0</v>
      </c>
      <c r="AC37" s="718">
        <f t="shared" si="9"/>
        <v>0</v>
      </c>
      <c r="AD37" s="718">
        <f>SUM(AD29:AD35)</f>
        <v>0</v>
      </c>
      <c r="AE37" s="718">
        <f>SUM(AE29:AE35)</f>
        <v>0</v>
      </c>
      <c r="AF37" s="718">
        <f t="shared" si="9"/>
        <v>0</v>
      </c>
      <c r="AG37" s="718">
        <f t="shared" si="9"/>
        <v>0</v>
      </c>
      <c r="AH37" s="718">
        <f>SUM(AH29:AH35)</f>
        <v>0</v>
      </c>
      <c r="AI37" s="735">
        <f t="shared" si="9"/>
        <v>0</v>
      </c>
      <c r="AJ37" s="718">
        <f t="shared" si="9"/>
        <v>0</v>
      </c>
      <c r="AK37" s="718">
        <f t="shared" si="9"/>
        <v>0</v>
      </c>
      <c r="AL37" s="718">
        <f>SUM(AL29:AL35)</f>
        <v>0</v>
      </c>
      <c r="AM37" s="718">
        <f t="shared" si="9"/>
        <v>0</v>
      </c>
      <c r="AN37" s="718">
        <f t="shared" si="9"/>
        <v>0</v>
      </c>
      <c r="AO37" s="718">
        <f>SUM(AO29:AO35)</f>
        <v>0</v>
      </c>
      <c r="AP37" s="718">
        <f>SUM(AP29:AP35)</f>
        <v>0</v>
      </c>
      <c r="AQ37" s="718">
        <f t="shared" si="9"/>
        <v>0</v>
      </c>
      <c r="AR37" s="718">
        <f t="shared" si="9"/>
        <v>0</v>
      </c>
      <c r="AS37" s="718">
        <f t="shared" si="9"/>
        <v>0</v>
      </c>
      <c r="AT37" s="718">
        <f>SUM(AT29:AT35)</f>
        <v>0</v>
      </c>
      <c r="AU37" s="718">
        <f>SUM(AU29:AU35)</f>
        <v>0</v>
      </c>
      <c r="AV37" s="718">
        <f t="shared" si="9"/>
        <v>0</v>
      </c>
      <c r="AW37" s="718">
        <f t="shared" si="9"/>
        <v>0</v>
      </c>
      <c r="AX37" s="718">
        <f t="shared" si="9"/>
        <v>0</v>
      </c>
      <c r="AY37" s="718">
        <f t="shared" si="9"/>
        <v>0</v>
      </c>
      <c r="AZ37" s="718">
        <f t="shared" si="9"/>
        <v>0</v>
      </c>
      <c r="BA37" s="718">
        <f t="shared" si="9"/>
        <v>0</v>
      </c>
      <c r="BB37" s="718">
        <f>SUM(BB29:BB35)</f>
        <v>0</v>
      </c>
      <c r="BC37" s="718">
        <f t="shared" si="9"/>
        <v>0</v>
      </c>
      <c r="BD37" s="718">
        <f t="shared" si="9"/>
        <v>0</v>
      </c>
      <c r="BE37" s="718">
        <f t="shared" si="9"/>
        <v>0</v>
      </c>
      <c r="BF37" s="718">
        <f t="shared" si="9"/>
        <v>0</v>
      </c>
      <c r="BG37" s="718">
        <f t="shared" si="9"/>
        <v>0</v>
      </c>
      <c r="BH37" s="718">
        <f t="shared" si="9"/>
        <v>0</v>
      </c>
      <c r="BI37" s="718">
        <f t="shared" si="9"/>
        <v>0</v>
      </c>
      <c r="BJ37" s="718">
        <f t="shared" si="9"/>
        <v>0</v>
      </c>
      <c r="BK37" s="718">
        <f t="shared" si="9"/>
        <v>0</v>
      </c>
      <c r="BL37" s="718">
        <f>SUM(BL29:BL35)</f>
        <v>0</v>
      </c>
      <c r="BM37" s="718">
        <f>SUM(BM29:BM35)</f>
        <v>0</v>
      </c>
      <c r="BN37" s="718">
        <f>SUM(BN29:BN35)</f>
        <v>0</v>
      </c>
      <c r="BO37" s="718">
        <f t="shared" si="9"/>
        <v>0</v>
      </c>
      <c r="BP37" s="718">
        <f t="shared" si="9"/>
        <v>0</v>
      </c>
      <c r="BQ37" s="718">
        <f t="shared" si="9"/>
        <v>0</v>
      </c>
      <c r="BR37" s="718">
        <f>SUM(BR29:BR35)</f>
        <v>0</v>
      </c>
      <c r="BS37" s="718">
        <f>SUM(BS29:BS35)</f>
        <v>0</v>
      </c>
      <c r="BT37" s="718">
        <f t="shared" si="9"/>
        <v>0</v>
      </c>
      <c r="BU37" s="718">
        <f t="shared" si="9"/>
        <v>0</v>
      </c>
      <c r="BV37" s="718">
        <f>SUM(BV29:BV35)</f>
        <v>0</v>
      </c>
      <c r="BW37" s="718">
        <f t="shared" si="9"/>
        <v>0</v>
      </c>
      <c r="BX37" s="718">
        <f>SUM(BX29:BX35)</f>
        <v>0</v>
      </c>
      <c r="BY37" s="718">
        <f>SUM(BY29:BY35)</f>
        <v>0</v>
      </c>
      <c r="BZ37" s="718">
        <f>SUM(BZ29:BZ35)</f>
        <v>0</v>
      </c>
      <c r="CA37" s="718">
        <f t="shared" si="9"/>
        <v>0</v>
      </c>
      <c r="CB37" s="718">
        <f>SUM(CB29:CB35)</f>
        <v>0</v>
      </c>
      <c r="CC37" s="718">
        <f>SUM(CC29:CC35)</f>
        <v>0</v>
      </c>
      <c r="CD37" s="718">
        <f>SUM(CD29:CD35)</f>
        <v>0</v>
      </c>
      <c r="CE37" s="718">
        <f t="shared" si="9"/>
        <v>0</v>
      </c>
      <c r="CF37" s="718">
        <f t="shared" si="9"/>
        <v>0</v>
      </c>
      <c r="CG37" s="718">
        <f t="shared" ref="CG37:CO37" si="10">SUM(CG29:CG35)</f>
        <v>0</v>
      </c>
      <c r="CH37" s="718">
        <f t="shared" si="10"/>
        <v>0</v>
      </c>
      <c r="CI37" s="718">
        <f t="shared" si="10"/>
        <v>0</v>
      </c>
      <c r="CJ37" s="718">
        <f t="shared" si="10"/>
        <v>0</v>
      </c>
      <c r="CK37" s="718">
        <f t="shared" si="10"/>
        <v>0</v>
      </c>
      <c r="CL37" s="718">
        <f t="shared" si="10"/>
        <v>0</v>
      </c>
      <c r="CM37" s="718">
        <f t="shared" si="10"/>
        <v>0</v>
      </c>
      <c r="CN37" s="718">
        <f t="shared" si="10"/>
        <v>0</v>
      </c>
      <c r="CO37" s="718">
        <f t="shared" si="10"/>
        <v>0</v>
      </c>
      <c r="CP37" s="718">
        <f t="shared" si="9"/>
        <v>0</v>
      </c>
      <c r="CR37" s="220">
        <f>CR28+CR35</f>
        <v>0</v>
      </c>
    </row>
    <row r="38" spans="1:102" ht="15.75" thickBot="1">
      <c r="A38" s="1024" t="s">
        <v>1058</v>
      </c>
      <c r="B38" s="1025"/>
      <c r="C38" s="1025"/>
      <c r="D38" s="1025"/>
      <c r="E38" s="1025"/>
      <c r="F38" s="1025"/>
      <c r="G38" s="1025"/>
      <c r="H38" s="1025"/>
      <c r="I38" s="1025"/>
      <c r="J38" s="1025"/>
      <c r="K38" s="1025"/>
      <c r="L38" s="1025"/>
      <c r="M38" s="1025"/>
      <c r="N38" s="1025"/>
      <c r="O38" s="1025"/>
      <c r="P38" s="1026"/>
    </row>
    <row r="39" spans="1:102" ht="39.75">
      <c r="A39" s="713"/>
      <c r="B39" s="247" t="str">
        <f>B21</f>
        <v>August - Sept</v>
      </c>
      <c r="C39" s="934" t="s">
        <v>122</v>
      </c>
      <c r="D39" s="934" t="s">
        <v>123</v>
      </c>
      <c r="E39" s="934" t="s">
        <v>124</v>
      </c>
      <c r="F39" s="934" t="s">
        <v>1059</v>
      </c>
      <c r="G39" s="945"/>
      <c r="H39" s="934"/>
      <c r="I39" s="934"/>
      <c r="J39" s="934"/>
      <c r="K39" s="934"/>
      <c r="L39" s="934"/>
      <c r="M39" s="934"/>
      <c r="N39" s="151"/>
      <c r="O39" s="157"/>
      <c r="P39" s="934"/>
    </row>
    <row r="40" spans="1:102" ht="15.75">
      <c r="A40" s="715" t="s">
        <v>821</v>
      </c>
      <c r="B40" s="247">
        <f t="shared" ref="B40:B53" si="11">B22</f>
        <v>23</v>
      </c>
      <c r="C40" s="164"/>
      <c r="D40" s="164"/>
      <c r="E40" s="164"/>
      <c r="F40" s="164"/>
      <c r="G40" s="164"/>
      <c r="H40" s="164"/>
      <c r="I40" s="164"/>
      <c r="J40" s="164"/>
      <c r="K40" s="164"/>
      <c r="L40" s="164"/>
      <c r="M40" s="164"/>
      <c r="N40" s="164"/>
      <c r="O40" s="164"/>
      <c r="P40" s="164"/>
    </row>
    <row r="41" spans="1:102" ht="15.75">
      <c r="A41" s="715" t="s">
        <v>822</v>
      </c>
      <c r="B41" s="247">
        <f t="shared" si="11"/>
        <v>24</v>
      </c>
      <c r="C41" s="164"/>
      <c r="D41" s="164"/>
      <c r="E41" s="164"/>
      <c r="F41" s="164"/>
      <c r="G41" s="164"/>
      <c r="H41" s="164"/>
      <c r="I41" s="164"/>
      <c r="J41" s="164"/>
      <c r="K41" s="164"/>
      <c r="L41" s="164"/>
      <c r="M41" s="164"/>
      <c r="N41" s="164"/>
      <c r="O41" s="164"/>
      <c r="P41" s="164"/>
    </row>
    <row r="42" spans="1:102" ht="15.75">
      <c r="A42" s="715" t="s">
        <v>823</v>
      </c>
      <c r="B42" s="247">
        <f t="shared" si="11"/>
        <v>25</v>
      </c>
      <c r="C42" s="164"/>
      <c r="D42" s="164"/>
      <c r="E42" s="164"/>
      <c r="F42" s="164"/>
      <c r="G42" s="164"/>
      <c r="H42" s="164"/>
      <c r="I42" s="164"/>
      <c r="J42" s="164"/>
      <c r="K42" s="164"/>
      <c r="L42" s="164"/>
      <c r="M42" s="164"/>
      <c r="N42" s="164"/>
      <c r="O42" s="164"/>
      <c r="P42" s="164"/>
    </row>
    <row r="43" spans="1:102" ht="15.75">
      <c r="A43" s="715" t="s">
        <v>824</v>
      </c>
      <c r="B43" s="247">
        <f t="shared" si="11"/>
        <v>26</v>
      </c>
      <c r="C43" s="164"/>
      <c r="D43" s="164"/>
      <c r="E43" s="164"/>
      <c r="F43" s="164"/>
      <c r="G43" s="164"/>
      <c r="H43" s="164"/>
      <c r="I43" s="164"/>
      <c r="J43" s="164"/>
      <c r="K43" s="164"/>
      <c r="L43" s="164"/>
      <c r="M43" s="164"/>
      <c r="N43" s="164"/>
      <c r="O43" s="164"/>
      <c r="P43" s="164"/>
    </row>
    <row r="44" spans="1:102" ht="15.75">
      <c r="A44" s="715" t="s">
        <v>825</v>
      </c>
      <c r="B44" s="247">
        <f t="shared" si="11"/>
        <v>27</v>
      </c>
      <c r="C44" s="164"/>
      <c r="D44" s="164"/>
      <c r="E44" s="164"/>
      <c r="F44" s="164"/>
      <c r="G44" s="164"/>
      <c r="H44" s="164"/>
      <c r="I44" s="164"/>
      <c r="J44" s="164"/>
      <c r="K44" s="164"/>
      <c r="L44" s="164"/>
      <c r="M44" s="164"/>
      <c r="N44" s="164"/>
      <c r="O44" s="164"/>
      <c r="P44" s="164"/>
    </row>
    <row r="45" spans="1:102" ht="15.75">
      <c r="A45" s="715" t="s">
        <v>826</v>
      </c>
      <c r="B45" s="247">
        <f t="shared" si="11"/>
        <v>28</v>
      </c>
      <c r="C45" s="164"/>
      <c r="D45" s="164"/>
      <c r="E45" s="164"/>
      <c r="F45" s="164"/>
      <c r="G45" s="164"/>
      <c r="H45" s="164"/>
      <c r="I45" s="164"/>
      <c r="J45" s="164"/>
      <c r="K45" s="164"/>
      <c r="L45" s="164"/>
      <c r="M45" s="164"/>
      <c r="N45" s="164"/>
      <c r="O45" s="164"/>
      <c r="P45" s="164"/>
    </row>
    <row r="46" spans="1:102" ht="15.75">
      <c r="A46" s="715" t="s">
        <v>827</v>
      </c>
      <c r="B46" s="247">
        <f t="shared" si="11"/>
        <v>29</v>
      </c>
      <c r="C46" s="164"/>
      <c r="D46" s="164"/>
      <c r="E46" s="164"/>
      <c r="F46" s="164"/>
      <c r="G46" s="164"/>
      <c r="H46" s="164"/>
      <c r="I46" s="164"/>
      <c r="J46" s="164"/>
      <c r="K46" s="164"/>
      <c r="L46" s="164"/>
      <c r="M46" s="164"/>
      <c r="N46" s="164"/>
      <c r="O46" s="164"/>
      <c r="P46" s="164"/>
    </row>
    <row r="47" spans="1:102" ht="15.75">
      <c r="A47" s="715" t="s">
        <v>821</v>
      </c>
      <c r="B47" s="247">
        <f t="shared" si="11"/>
        <v>30</v>
      </c>
      <c r="C47" s="164"/>
      <c r="D47" s="164"/>
      <c r="E47" s="164"/>
      <c r="F47" s="164"/>
      <c r="G47" s="164"/>
      <c r="H47" s="164"/>
      <c r="I47" s="164"/>
      <c r="J47" s="164"/>
      <c r="K47" s="164"/>
      <c r="L47" s="164"/>
      <c r="M47" s="164"/>
      <c r="N47" s="164"/>
      <c r="O47" s="164"/>
      <c r="P47" s="164"/>
    </row>
    <row r="48" spans="1:102" ht="15.75">
      <c r="A48" s="715" t="s">
        <v>822</v>
      </c>
      <c r="B48" s="247">
        <f t="shared" si="11"/>
        <v>31</v>
      </c>
      <c r="C48" s="164"/>
      <c r="D48" s="164"/>
      <c r="E48" s="164"/>
      <c r="F48" s="164"/>
      <c r="G48" s="164"/>
      <c r="H48" s="164"/>
      <c r="I48" s="164"/>
      <c r="J48" s="164"/>
      <c r="K48" s="164"/>
      <c r="L48" s="164"/>
      <c r="M48" s="164"/>
      <c r="N48" s="164"/>
      <c r="O48" s="164"/>
      <c r="P48" s="164"/>
    </row>
    <row r="49" spans="1:94" ht="15.75">
      <c r="A49" s="715" t="s">
        <v>823</v>
      </c>
      <c r="B49" s="247">
        <f t="shared" si="11"/>
        <v>1</v>
      </c>
      <c r="C49" s="164"/>
      <c r="D49" s="164"/>
      <c r="E49" s="164"/>
      <c r="F49" s="164"/>
      <c r="G49" s="164"/>
      <c r="H49" s="164"/>
      <c r="I49" s="164"/>
      <c r="J49" s="164"/>
      <c r="K49" s="164"/>
      <c r="L49" s="164"/>
      <c r="M49" s="164"/>
      <c r="N49" s="164"/>
      <c r="O49" s="164"/>
      <c r="P49" s="164"/>
    </row>
    <row r="50" spans="1:94" ht="15.75">
      <c r="A50" s="715" t="s">
        <v>824</v>
      </c>
      <c r="B50" s="247">
        <f t="shared" si="11"/>
        <v>2</v>
      </c>
      <c r="C50" s="164"/>
      <c r="D50" s="164"/>
      <c r="E50" s="164"/>
      <c r="F50" s="164"/>
      <c r="G50" s="164"/>
      <c r="H50" s="164"/>
      <c r="I50" s="164"/>
      <c r="J50" s="164"/>
      <c r="K50" s="164"/>
      <c r="L50" s="164"/>
      <c r="M50" s="164"/>
      <c r="N50" s="164"/>
      <c r="O50" s="164"/>
      <c r="P50" s="164"/>
    </row>
    <row r="51" spans="1:94" ht="15.75">
      <c r="A51" s="715" t="s">
        <v>825</v>
      </c>
      <c r="B51" s="247">
        <f t="shared" si="11"/>
        <v>3</v>
      </c>
      <c r="C51" s="164"/>
      <c r="D51" s="164"/>
      <c r="E51" s="164"/>
      <c r="F51" s="164"/>
      <c r="G51" s="164"/>
      <c r="H51" s="164"/>
      <c r="I51" s="164"/>
      <c r="J51" s="164"/>
      <c r="K51" s="164"/>
      <c r="L51" s="164"/>
      <c r="M51" s="164"/>
      <c r="N51" s="164"/>
      <c r="O51" s="164"/>
      <c r="P51" s="164"/>
    </row>
    <row r="52" spans="1:94" ht="15.75">
      <c r="A52" s="715" t="s">
        <v>826</v>
      </c>
      <c r="B52" s="247">
        <f t="shared" si="11"/>
        <v>4</v>
      </c>
      <c r="C52" s="164"/>
      <c r="D52" s="164"/>
      <c r="E52" s="164"/>
      <c r="F52" s="164"/>
      <c r="G52" s="164"/>
      <c r="H52" s="164"/>
      <c r="I52" s="164"/>
      <c r="J52" s="164"/>
      <c r="K52" s="164"/>
      <c r="L52" s="164"/>
      <c r="M52" s="164"/>
      <c r="N52" s="164"/>
      <c r="O52" s="164"/>
      <c r="P52" s="164"/>
    </row>
    <row r="53" spans="1:94" ht="16.5" thickBot="1">
      <c r="A53" s="715" t="s">
        <v>827</v>
      </c>
      <c r="B53" s="247">
        <f t="shared" si="11"/>
        <v>5</v>
      </c>
      <c r="C53" s="164"/>
      <c r="D53" s="164"/>
      <c r="E53" s="164"/>
      <c r="F53" s="164"/>
      <c r="G53" s="164"/>
      <c r="H53" s="164"/>
      <c r="I53" s="164"/>
      <c r="J53" s="164"/>
      <c r="K53" s="164"/>
      <c r="L53" s="164"/>
      <c r="M53" s="164"/>
      <c r="N53" s="164"/>
      <c r="O53" s="164"/>
      <c r="P53" s="164"/>
    </row>
    <row r="54" spans="1:94" ht="16.5" thickBot="1">
      <c r="A54" s="175" t="s">
        <v>791</v>
      </c>
      <c r="B54" s="176">
        <f>SUM(C40:P53)</f>
        <v>0</v>
      </c>
      <c r="C54" s="173">
        <f t="shared" ref="C54:I54" si="12">SUM(C40:C53)</f>
        <v>0</v>
      </c>
      <c r="D54" s="173">
        <f t="shared" si="12"/>
        <v>0</v>
      </c>
      <c r="E54" s="173">
        <f t="shared" si="12"/>
        <v>0</v>
      </c>
      <c r="F54" s="173">
        <f t="shared" si="12"/>
        <v>0</v>
      </c>
      <c r="G54" s="173">
        <f t="shared" si="12"/>
        <v>0</v>
      </c>
      <c r="H54" s="173">
        <f t="shared" si="12"/>
        <v>0</v>
      </c>
      <c r="I54" s="173">
        <f t="shared" si="12"/>
        <v>0</v>
      </c>
      <c r="J54" s="173">
        <f t="shared" ref="J54:P54" si="13">SUM(J40:J53)</f>
        <v>0</v>
      </c>
      <c r="K54" s="173">
        <f t="shared" si="13"/>
        <v>0</v>
      </c>
      <c r="L54" s="173">
        <f t="shared" si="13"/>
        <v>0</v>
      </c>
      <c r="M54" s="173">
        <f t="shared" si="13"/>
        <v>0</v>
      </c>
      <c r="N54" s="173">
        <f t="shared" si="13"/>
        <v>0</v>
      </c>
      <c r="O54" s="173">
        <f t="shared" si="13"/>
        <v>0</v>
      </c>
      <c r="P54" s="173">
        <f t="shared" si="13"/>
        <v>0</v>
      </c>
    </row>
    <row r="55" spans="1:94" ht="15.75" thickBot="1"/>
    <row r="56" spans="1:94" ht="16.5" thickBot="1">
      <c r="A56" s="1055" t="s">
        <v>1060</v>
      </c>
      <c r="B56" s="1056"/>
      <c r="C56" s="1056"/>
      <c r="D56" s="1056"/>
      <c r="E56" s="1056"/>
      <c r="F56" s="1056"/>
      <c r="G56" s="1056"/>
      <c r="H56" s="1056"/>
      <c r="I56" s="1056"/>
      <c r="J56" s="1056"/>
      <c r="K56" s="1056"/>
      <c r="L56" s="1056"/>
      <c r="M56" s="1056"/>
      <c r="N56" s="1056"/>
      <c r="O56" s="1056"/>
      <c r="P56" s="1057"/>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row>
    <row r="57" spans="1:94" ht="44.25">
      <c r="A57" s="713"/>
      <c r="B57" s="736" t="s">
        <v>1061</v>
      </c>
      <c r="C57" s="291" t="s">
        <v>1050</v>
      </c>
      <c r="D57" s="291"/>
      <c r="E57" s="291" t="s">
        <v>1062</v>
      </c>
      <c r="F57" s="291"/>
      <c r="G57" s="737"/>
      <c r="H57" s="291"/>
      <c r="I57" s="291"/>
      <c r="J57" s="291"/>
      <c r="K57" s="291"/>
      <c r="L57" s="291"/>
      <c r="M57" s="291"/>
      <c r="N57" s="696"/>
      <c r="O57" s="291"/>
      <c r="P57" s="291"/>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row>
    <row r="58" spans="1:94" ht="15.75">
      <c r="A58" s="715" t="s">
        <v>821</v>
      </c>
      <c r="B58" s="94">
        <v>14</v>
      </c>
      <c r="C58" s="9"/>
      <c r="D58" s="9"/>
      <c r="E58" s="738"/>
      <c r="F58" s="9"/>
      <c r="G58" s="9"/>
      <c r="H58" s="739"/>
      <c r="I58" s="739"/>
      <c r="J58" s="739"/>
      <c r="K58" s="739"/>
      <c r="L58" s="739"/>
      <c r="M58" s="739"/>
      <c r="N58" s="94"/>
      <c r="O58" s="739"/>
      <c r="P58" s="9"/>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row>
    <row r="59" spans="1:94" ht="15.75">
      <c r="A59" s="715" t="s">
        <v>822</v>
      </c>
      <c r="B59" s="94">
        <v>15</v>
      </c>
      <c r="C59" s="9"/>
      <c r="D59" s="9"/>
      <c r="E59" s="9"/>
      <c r="F59" s="9"/>
      <c r="G59" s="9"/>
      <c r="H59" s="9"/>
      <c r="I59" s="9"/>
      <c r="J59" s="9"/>
      <c r="K59" s="9"/>
      <c r="L59" s="9"/>
      <c r="M59" s="9"/>
      <c r="N59" s="94"/>
      <c r="O59" s="9"/>
      <c r="P59" s="9"/>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row>
    <row r="60" spans="1:94" ht="15.75">
      <c r="A60" s="715" t="s">
        <v>823</v>
      </c>
      <c r="B60" s="94">
        <v>16</v>
      </c>
      <c r="C60" s="9"/>
      <c r="D60" s="9"/>
      <c r="E60" s="9"/>
      <c r="F60" s="9"/>
      <c r="G60" s="9"/>
      <c r="H60" s="723"/>
      <c r="I60" s="723"/>
      <c r="J60" s="723"/>
      <c r="K60" s="723"/>
      <c r="L60" s="723"/>
      <c r="M60" s="723"/>
      <c r="N60" s="94"/>
      <c r="O60" s="723"/>
      <c r="P60" s="723"/>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row>
    <row r="61" spans="1:94" ht="15.75">
      <c r="A61" s="715" t="s">
        <v>824</v>
      </c>
      <c r="B61" s="94">
        <v>17</v>
      </c>
      <c r="C61" s="9"/>
      <c r="D61" s="9"/>
      <c r="E61" s="9"/>
      <c r="F61" s="9"/>
      <c r="G61" s="9"/>
      <c r="H61" s="9"/>
      <c r="I61" s="9"/>
      <c r="J61" s="9"/>
      <c r="K61" s="9"/>
      <c r="L61" s="9"/>
      <c r="M61" s="9"/>
      <c r="N61" s="94"/>
      <c r="O61" s="9"/>
      <c r="P61" s="9"/>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row>
    <row r="62" spans="1:94" ht="15.75">
      <c r="A62" s="715" t="s">
        <v>825</v>
      </c>
      <c r="B62" s="94">
        <v>18</v>
      </c>
      <c r="C62" s="9"/>
      <c r="D62" s="9"/>
      <c r="E62" s="9"/>
      <c r="F62" s="9"/>
      <c r="G62" s="9"/>
      <c r="H62" s="9"/>
      <c r="I62" s="9"/>
      <c r="J62" s="9"/>
      <c r="K62" s="9"/>
      <c r="L62" s="9"/>
      <c r="M62" s="9"/>
      <c r="N62" s="94"/>
      <c r="O62" s="9"/>
      <c r="P62" s="9"/>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row>
    <row r="63" spans="1:94" ht="15.75">
      <c r="A63" s="715" t="s">
        <v>826</v>
      </c>
      <c r="B63" s="94">
        <v>19</v>
      </c>
      <c r="C63" s="9"/>
      <c r="D63" s="9"/>
      <c r="E63" s="9"/>
      <c r="F63" s="9"/>
      <c r="G63" s="9"/>
      <c r="H63" s="9"/>
      <c r="I63" s="9"/>
      <c r="J63" s="9"/>
      <c r="K63" s="9"/>
      <c r="L63" s="9"/>
      <c r="M63" s="9"/>
      <c r="N63" s="94"/>
      <c r="O63" s="9"/>
      <c r="P63" s="9"/>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row>
    <row r="64" spans="1:94" ht="15.75">
      <c r="A64" s="715" t="s">
        <v>827</v>
      </c>
      <c r="B64" s="94">
        <v>20</v>
      </c>
      <c r="C64" s="9"/>
      <c r="D64" s="9"/>
      <c r="E64" s="9"/>
      <c r="F64" s="9"/>
      <c r="G64" s="9"/>
      <c r="H64" s="9"/>
      <c r="I64" s="9"/>
      <c r="J64" s="9"/>
      <c r="K64" s="9"/>
      <c r="L64" s="9"/>
      <c r="M64" s="9"/>
      <c r="N64" s="94"/>
      <c r="O64" s="9"/>
      <c r="P64" s="9"/>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row>
    <row r="65" spans="1:94" ht="15.75">
      <c r="A65" s="715" t="s">
        <v>821</v>
      </c>
      <c r="B65" s="94">
        <v>21</v>
      </c>
      <c r="C65" s="9"/>
      <c r="D65" s="9"/>
      <c r="E65" s="9"/>
      <c r="F65" s="9"/>
      <c r="G65" s="9"/>
      <c r="H65" s="740"/>
      <c r="I65" s="740"/>
      <c r="J65" s="740"/>
      <c r="K65" s="740"/>
      <c r="L65" s="740"/>
      <c r="M65" s="740"/>
      <c r="N65" s="94"/>
      <c r="O65" s="740"/>
      <c r="P65" s="740"/>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row>
    <row r="66" spans="1:94" ht="15.75">
      <c r="A66" s="715" t="s">
        <v>822</v>
      </c>
      <c r="B66" s="94">
        <v>22</v>
      </c>
      <c r="C66" s="9"/>
      <c r="D66" s="9"/>
      <c r="E66" s="9"/>
      <c r="F66" s="9"/>
      <c r="G66" s="9"/>
      <c r="H66" s="9"/>
      <c r="I66" s="9"/>
      <c r="J66" s="9"/>
      <c r="K66" s="9"/>
      <c r="L66" s="9"/>
      <c r="M66" s="9"/>
      <c r="N66" s="94"/>
      <c r="O66" s="9"/>
      <c r="P66" s="9"/>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row>
    <row r="67" spans="1:94" ht="15.75">
      <c r="A67" s="715" t="s">
        <v>823</v>
      </c>
      <c r="B67" s="94">
        <v>23</v>
      </c>
      <c r="C67" s="9"/>
      <c r="D67" s="9"/>
      <c r="E67" s="9"/>
      <c r="F67" s="9"/>
      <c r="G67" s="9"/>
      <c r="H67" s="741"/>
      <c r="I67" s="741"/>
      <c r="J67" s="741"/>
      <c r="K67" s="741"/>
      <c r="L67" s="741"/>
      <c r="M67" s="741"/>
      <c r="N67" s="94"/>
      <c r="O67" s="741"/>
      <c r="P67" s="741"/>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row>
    <row r="68" spans="1:94" ht="15.75">
      <c r="A68" s="715" t="s">
        <v>824</v>
      </c>
      <c r="B68" s="94">
        <v>24</v>
      </c>
      <c r="C68" s="9"/>
      <c r="D68" s="9"/>
      <c r="E68" s="9"/>
      <c r="F68" s="9"/>
      <c r="G68" s="9"/>
      <c r="H68" s="741"/>
      <c r="I68" s="741"/>
      <c r="J68" s="741"/>
      <c r="K68" s="741"/>
      <c r="L68" s="741"/>
      <c r="M68" s="741"/>
      <c r="N68" s="94"/>
      <c r="O68" s="741"/>
      <c r="P68" s="741"/>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row>
    <row r="69" spans="1:94" ht="15.75">
      <c r="A69" s="715" t="s">
        <v>825</v>
      </c>
      <c r="B69" s="94">
        <v>25</v>
      </c>
      <c r="C69" s="9"/>
      <c r="D69" s="741"/>
      <c r="E69" s="738"/>
      <c r="F69" s="9"/>
      <c r="G69" s="9"/>
      <c r="H69" s="741"/>
      <c r="I69" s="741"/>
      <c r="J69" s="741"/>
      <c r="K69" s="741"/>
      <c r="L69" s="741"/>
      <c r="M69" s="741"/>
      <c r="N69" s="94"/>
      <c r="O69" s="741"/>
      <c r="P69" s="741"/>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row>
    <row r="70" spans="1:94" ht="15.75">
      <c r="A70" s="715" t="s">
        <v>826</v>
      </c>
      <c r="B70" s="94">
        <v>26</v>
      </c>
      <c r="C70" s="9"/>
      <c r="D70" s="741"/>
      <c r="E70" s="9"/>
      <c r="F70" s="9"/>
      <c r="G70" s="9"/>
      <c r="H70" s="741"/>
      <c r="I70" s="741"/>
      <c r="J70" s="741"/>
      <c r="K70" s="741"/>
      <c r="L70" s="741"/>
      <c r="M70" s="741"/>
      <c r="N70" s="94"/>
      <c r="O70" s="741"/>
      <c r="P70" s="741"/>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row>
    <row r="71" spans="1:94" ht="16.5" thickBot="1">
      <c r="A71" s="715" t="s">
        <v>827</v>
      </c>
      <c r="B71" s="94">
        <v>27</v>
      </c>
      <c r="C71" s="9"/>
      <c r="D71" s="741"/>
      <c r="E71" s="9"/>
      <c r="F71" s="9"/>
      <c r="G71" s="9"/>
      <c r="H71" s="741"/>
      <c r="I71" s="741"/>
      <c r="J71" s="741"/>
      <c r="K71" s="741"/>
      <c r="L71" s="741"/>
      <c r="M71" s="741"/>
      <c r="N71" s="94"/>
      <c r="O71" s="741"/>
      <c r="P71" s="741"/>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row>
    <row r="72" spans="1:94" ht="16.5" thickBot="1">
      <c r="A72" s="747" t="s">
        <v>791</v>
      </c>
      <c r="B72" s="748">
        <f>SUM(C72:BB72)+BG72</f>
        <v>0</v>
      </c>
      <c r="C72" s="742">
        <f t="shared" ref="C72:P72" si="14">SUM(C58:C71)</f>
        <v>0</v>
      </c>
      <c r="D72" s="742">
        <f t="shared" si="14"/>
        <v>0</v>
      </c>
      <c r="E72" s="742">
        <f t="shared" si="14"/>
        <v>0</v>
      </c>
      <c r="F72" s="742">
        <f t="shared" si="14"/>
        <v>0</v>
      </c>
      <c r="G72" s="742">
        <f t="shared" si="14"/>
        <v>0</v>
      </c>
      <c r="H72" s="742">
        <f t="shared" si="14"/>
        <v>0</v>
      </c>
      <c r="I72" s="742">
        <f t="shared" si="14"/>
        <v>0</v>
      </c>
      <c r="J72" s="742">
        <f t="shared" si="14"/>
        <v>0</v>
      </c>
      <c r="K72" s="742">
        <f t="shared" si="14"/>
        <v>0</v>
      </c>
      <c r="L72" s="742">
        <f t="shared" si="14"/>
        <v>0</v>
      </c>
      <c r="M72" s="742">
        <f t="shared" si="14"/>
        <v>0</v>
      </c>
      <c r="N72" s="742">
        <f t="shared" si="14"/>
        <v>0</v>
      </c>
      <c r="O72" s="742">
        <f t="shared" si="14"/>
        <v>0</v>
      </c>
      <c r="P72" s="742">
        <f t="shared" si="14"/>
        <v>0</v>
      </c>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row>
    <row r="73" spans="1:94" ht="15.75">
      <c r="A73" s="8"/>
      <c r="B73" s="8"/>
      <c r="C73" s="8">
        <f>SUM(C60:C67)</f>
        <v>0</v>
      </c>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row>
    <row r="74" spans="1:94" ht="15.75">
      <c r="A74" s="8"/>
      <c r="B74" s="8"/>
      <c r="C74" s="743">
        <f>C73*18</f>
        <v>0</v>
      </c>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row>
    <row r="75" spans="1:94" s="452" customFormat="1" ht="15.75" thickBot="1"/>
    <row r="76" spans="1:94" ht="15.75" thickBot="1">
      <c r="A76" s="1024" t="s">
        <v>1063</v>
      </c>
      <c r="B76" s="1025"/>
      <c r="C76" s="1025"/>
      <c r="D76" s="1025"/>
      <c r="E76" s="1025"/>
      <c r="F76" s="1025"/>
      <c r="G76" s="1025"/>
      <c r="H76" s="1025"/>
      <c r="I76" s="1025"/>
      <c r="J76" s="1025"/>
      <c r="K76" s="1025"/>
      <c r="L76" s="1025"/>
      <c r="M76" s="1025"/>
      <c r="N76" s="1025"/>
      <c r="O76" s="1025"/>
      <c r="P76" s="1025"/>
      <c r="Q76" s="1025"/>
      <c r="R76" s="1026"/>
      <c r="AT76" s="42"/>
    </row>
    <row r="77" spans="1:94" ht="38.25" customHeight="1">
      <c r="A77" s="155"/>
      <c r="B77" s="630" t="s">
        <v>889</v>
      </c>
      <c r="C77" s="945" t="s">
        <v>1064</v>
      </c>
      <c r="D77" s="934" t="s">
        <v>964</v>
      </c>
      <c r="E77" s="934"/>
      <c r="F77" s="934"/>
      <c r="G77" s="934"/>
      <c r="H77" s="157"/>
      <c r="I77" s="157"/>
      <c r="J77" s="158"/>
      <c r="K77" s="157"/>
      <c r="L77" s="158"/>
      <c r="M77" s="158"/>
      <c r="N77" s="157"/>
      <c r="O77" s="157"/>
      <c r="P77" s="157"/>
      <c r="Q77" s="157"/>
      <c r="R77" s="181"/>
    </row>
    <row r="78" spans="1:94">
      <c r="A78" s="163" t="s">
        <v>821</v>
      </c>
      <c r="B78" s="152">
        <v>31</v>
      </c>
      <c r="C78" s="211"/>
      <c r="D78" s="186"/>
      <c r="E78" s="189"/>
      <c r="F78" s="186"/>
      <c r="G78" s="189"/>
      <c r="H78" s="189"/>
      <c r="I78" s="189"/>
      <c r="J78" s="189"/>
      <c r="K78" s="189"/>
      <c r="L78" s="189"/>
      <c r="M78" s="189"/>
      <c r="N78" s="189"/>
      <c r="O78" s="189"/>
      <c r="P78" s="189"/>
      <c r="Q78" s="189"/>
      <c r="R78" s="190"/>
    </row>
    <row r="79" spans="1:94">
      <c r="A79" s="163" t="s">
        <v>822</v>
      </c>
      <c r="B79" s="152">
        <v>1</v>
      </c>
      <c r="C79" s="211"/>
      <c r="D79" s="189"/>
      <c r="E79" s="189"/>
      <c r="F79" s="189"/>
      <c r="G79" s="189"/>
      <c r="H79" s="189"/>
      <c r="I79" s="189"/>
      <c r="J79" s="189"/>
      <c r="K79" s="189"/>
      <c r="L79" s="189"/>
      <c r="M79" s="189"/>
      <c r="N79" s="189"/>
      <c r="O79" s="189"/>
      <c r="P79" s="189"/>
      <c r="Q79" s="189"/>
      <c r="R79" s="190"/>
    </row>
    <row r="80" spans="1:94">
      <c r="A80" s="163" t="s">
        <v>823</v>
      </c>
      <c r="B80" s="152">
        <v>2</v>
      </c>
      <c r="C80" s="168"/>
      <c r="D80" s="164"/>
      <c r="E80" s="164"/>
      <c r="F80" s="164"/>
      <c r="G80" s="164"/>
      <c r="H80" s="164"/>
      <c r="I80" s="164"/>
      <c r="J80" s="164"/>
      <c r="K80" s="164"/>
      <c r="L80" s="164"/>
      <c r="M80" s="164"/>
      <c r="N80" s="164"/>
      <c r="O80" s="164"/>
      <c r="P80" s="164"/>
      <c r="Q80" s="164"/>
      <c r="R80" s="191"/>
    </row>
    <row r="81" spans="1:18">
      <c r="A81" s="163" t="s">
        <v>824</v>
      </c>
      <c r="B81" s="152">
        <v>3</v>
      </c>
      <c r="C81" s="168"/>
      <c r="D81" s="164"/>
      <c r="E81" s="164"/>
      <c r="F81" s="164"/>
      <c r="G81" s="164"/>
      <c r="H81" s="164"/>
      <c r="I81" s="164"/>
      <c r="J81" s="164"/>
      <c r="K81" s="164"/>
      <c r="L81" s="164"/>
      <c r="M81" s="164"/>
      <c r="N81" s="164"/>
      <c r="O81" s="164"/>
      <c r="P81" s="164"/>
      <c r="Q81" s="164"/>
      <c r="R81" s="191"/>
    </row>
    <row r="82" spans="1:18">
      <c r="A82" s="163" t="s">
        <v>825</v>
      </c>
      <c r="B82" s="152">
        <v>4</v>
      </c>
      <c r="C82" s="168"/>
      <c r="D82" s="164"/>
      <c r="E82" s="164"/>
      <c r="F82" s="164"/>
      <c r="G82" s="164"/>
      <c r="H82" s="164"/>
      <c r="I82" s="164"/>
      <c r="J82" s="164"/>
      <c r="K82" s="164"/>
      <c r="L82" s="164"/>
      <c r="M82" s="164"/>
      <c r="N82" s="164"/>
      <c r="O82" s="164"/>
      <c r="P82" s="164"/>
      <c r="Q82" s="164"/>
      <c r="R82" s="191"/>
    </row>
    <row r="83" spans="1:18">
      <c r="A83" s="163" t="s">
        <v>826</v>
      </c>
      <c r="B83" s="152">
        <v>5</v>
      </c>
      <c r="C83" s="168"/>
      <c r="D83" s="164"/>
      <c r="E83" s="164"/>
      <c r="F83" s="164"/>
      <c r="G83" s="164"/>
      <c r="H83" s="164"/>
      <c r="I83" s="164"/>
      <c r="J83" s="164"/>
      <c r="K83" s="164"/>
      <c r="L83" s="164"/>
      <c r="M83" s="164"/>
      <c r="N83" s="164"/>
      <c r="O83" s="164"/>
      <c r="P83" s="164"/>
      <c r="Q83" s="164"/>
      <c r="R83" s="191"/>
    </row>
    <row r="84" spans="1:18">
      <c r="A84" s="163" t="s">
        <v>827</v>
      </c>
      <c r="B84" s="152">
        <v>6</v>
      </c>
      <c r="C84" s="168"/>
      <c r="D84" s="164"/>
      <c r="E84" s="164"/>
      <c r="F84" s="164"/>
      <c r="G84" s="164"/>
      <c r="H84" s="164"/>
      <c r="I84" s="164"/>
      <c r="J84" s="164"/>
      <c r="K84" s="164"/>
      <c r="L84" s="164"/>
      <c r="M84" s="164"/>
      <c r="N84" s="164"/>
      <c r="O84" s="164"/>
      <c r="P84" s="164"/>
      <c r="Q84" s="164"/>
      <c r="R84" s="191"/>
    </row>
    <row r="85" spans="1:18">
      <c r="A85" s="163" t="s">
        <v>821</v>
      </c>
      <c r="B85" s="152">
        <v>7</v>
      </c>
      <c r="C85" s="168"/>
      <c r="D85" s="164"/>
      <c r="E85" s="164"/>
      <c r="F85" s="164"/>
      <c r="G85" s="164"/>
      <c r="H85" s="164"/>
      <c r="I85" s="164"/>
      <c r="J85" s="164"/>
      <c r="K85" s="164"/>
      <c r="L85" s="164"/>
      <c r="M85" s="164"/>
      <c r="N85" s="164"/>
      <c r="O85" s="164"/>
      <c r="P85" s="164"/>
      <c r="Q85" s="164"/>
      <c r="R85" s="191"/>
    </row>
    <row r="86" spans="1:18">
      <c r="A86" s="163" t="s">
        <v>822</v>
      </c>
      <c r="B86" s="152">
        <v>8</v>
      </c>
      <c r="C86" s="168"/>
      <c r="D86" s="164"/>
      <c r="E86" s="164"/>
      <c r="F86" s="164"/>
      <c r="G86" s="164"/>
      <c r="H86" s="164"/>
      <c r="I86" s="164"/>
      <c r="J86" s="164"/>
      <c r="K86" s="164"/>
      <c r="L86" s="164"/>
      <c r="M86" s="164"/>
      <c r="N86" s="164"/>
      <c r="O86" s="164"/>
      <c r="P86" s="164"/>
      <c r="Q86" s="164"/>
      <c r="R86" s="191"/>
    </row>
    <row r="87" spans="1:18">
      <c r="A87" s="163" t="s">
        <v>823</v>
      </c>
      <c r="B87" s="152">
        <v>9</v>
      </c>
      <c r="C87" s="222"/>
      <c r="D87" s="169"/>
      <c r="E87" s="169"/>
      <c r="F87" s="169"/>
      <c r="G87" s="169"/>
      <c r="H87" s="169"/>
      <c r="I87" s="169"/>
      <c r="J87" s="169"/>
      <c r="K87" s="169"/>
      <c r="L87" s="169"/>
      <c r="M87" s="169"/>
      <c r="N87" s="169"/>
      <c r="O87" s="169"/>
      <c r="P87" s="169"/>
      <c r="Q87" s="169"/>
      <c r="R87" s="194"/>
    </row>
    <row r="88" spans="1:18">
      <c r="A88" s="163" t="s">
        <v>824</v>
      </c>
      <c r="B88" s="152">
        <v>10</v>
      </c>
      <c r="C88" s="222"/>
      <c r="D88" s="169"/>
      <c r="E88" s="169"/>
      <c r="F88" s="169"/>
      <c r="G88" s="169"/>
      <c r="H88" s="169"/>
      <c r="I88" s="169"/>
      <c r="J88" s="169"/>
      <c r="K88" s="169"/>
      <c r="L88" s="169"/>
      <c r="M88" s="169"/>
      <c r="N88" s="169"/>
      <c r="O88" s="169"/>
      <c r="P88" s="169"/>
      <c r="Q88" s="169"/>
      <c r="R88" s="194"/>
    </row>
    <row r="89" spans="1:18">
      <c r="A89" s="163" t="s">
        <v>825</v>
      </c>
      <c r="B89" s="152">
        <v>11</v>
      </c>
      <c r="C89" s="222"/>
      <c r="D89" s="169"/>
      <c r="E89" s="169"/>
      <c r="F89" s="169"/>
      <c r="G89" s="169"/>
      <c r="H89" s="169"/>
      <c r="I89" s="169"/>
      <c r="J89" s="169"/>
      <c r="K89" s="169"/>
      <c r="L89" s="169"/>
      <c r="M89" s="169"/>
      <c r="N89" s="169"/>
      <c r="O89" s="169"/>
      <c r="P89" s="169"/>
      <c r="Q89" s="169"/>
      <c r="R89" s="194"/>
    </row>
    <row r="90" spans="1:18">
      <c r="A90" s="163" t="s">
        <v>826</v>
      </c>
      <c r="B90" s="152">
        <v>12</v>
      </c>
      <c r="C90" s="222"/>
      <c r="D90" s="169"/>
      <c r="E90" s="169"/>
      <c r="F90" s="169"/>
      <c r="G90" s="169"/>
      <c r="H90" s="169"/>
      <c r="I90" s="169"/>
      <c r="J90" s="169"/>
      <c r="K90" s="169"/>
      <c r="L90" s="169"/>
      <c r="M90" s="169"/>
      <c r="N90" s="169"/>
      <c r="O90" s="169"/>
      <c r="P90" s="169"/>
      <c r="Q90" s="169"/>
      <c r="R90" s="194"/>
    </row>
    <row r="91" spans="1:18" ht="15.75" thickBot="1">
      <c r="A91" s="163" t="s">
        <v>827</v>
      </c>
      <c r="B91" s="152">
        <v>13</v>
      </c>
      <c r="C91" s="222"/>
      <c r="D91" s="169"/>
      <c r="E91" s="169"/>
      <c r="F91" s="169"/>
      <c r="G91" s="169"/>
      <c r="H91" s="169"/>
      <c r="I91" s="169"/>
      <c r="J91" s="169"/>
      <c r="K91" s="169"/>
      <c r="L91" s="169"/>
      <c r="M91" s="169"/>
      <c r="N91" s="169"/>
      <c r="O91" s="169"/>
      <c r="P91" s="169"/>
      <c r="Q91" s="169"/>
      <c r="R91" s="194"/>
    </row>
    <row r="92" spans="1:18" ht="16.5" thickBot="1">
      <c r="A92" s="223"/>
      <c r="B92" s="342">
        <f>SUM(C92:BB92)+BG92</f>
        <v>0</v>
      </c>
      <c r="C92" s="224">
        <f>SUM(C78:C91)</f>
        <v>0</v>
      </c>
      <c r="D92" s="224">
        <f t="shared" ref="D92:R92" si="15">SUM(D78:D91)</f>
        <v>0</v>
      </c>
      <c r="E92" s="224">
        <f t="shared" si="15"/>
        <v>0</v>
      </c>
      <c r="F92" s="224">
        <f t="shared" si="15"/>
        <v>0</v>
      </c>
      <c r="G92" s="224">
        <f t="shared" si="15"/>
        <v>0</v>
      </c>
      <c r="H92" s="224">
        <f t="shared" si="15"/>
        <v>0</v>
      </c>
      <c r="I92" s="224">
        <f t="shared" si="15"/>
        <v>0</v>
      </c>
      <c r="J92" s="224">
        <f t="shared" si="15"/>
        <v>0</v>
      </c>
      <c r="K92" s="224">
        <f t="shared" si="15"/>
        <v>0</v>
      </c>
      <c r="L92" s="224">
        <f t="shared" si="15"/>
        <v>0</v>
      </c>
      <c r="M92" s="224">
        <f t="shared" si="15"/>
        <v>0</v>
      </c>
      <c r="N92" s="224">
        <f t="shared" si="15"/>
        <v>0</v>
      </c>
      <c r="O92" s="224">
        <f t="shared" si="15"/>
        <v>0</v>
      </c>
      <c r="P92" s="224">
        <f t="shared" si="15"/>
        <v>0</v>
      </c>
      <c r="Q92" s="224">
        <f t="shared" si="15"/>
        <v>0</v>
      </c>
      <c r="R92" s="225">
        <f t="shared" si="15"/>
        <v>0</v>
      </c>
    </row>
  </sheetData>
  <mergeCells count="6">
    <mergeCell ref="A2:R2"/>
    <mergeCell ref="T2:X2"/>
    <mergeCell ref="A38:P38"/>
    <mergeCell ref="A76:R76"/>
    <mergeCell ref="A20:AK20"/>
    <mergeCell ref="A56:P56"/>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7E8EA-F019-4AC3-BFA8-5E678C156AE0}">
  <sheetPr>
    <tabColor theme="9" tint="-0.499984740745262"/>
  </sheetPr>
  <dimension ref="A1:BG706"/>
  <sheetViews>
    <sheetView zoomScale="90" zoomScaleNormal="90" workbookViewId="0">
      <selection activeCell="F13" sqref="F13"/>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3.85546875" style="648" customWidth="1"/>
    <col min="7" max="7" width="58.140625" style="313" customWidth="1"/>
    <col min="8" max="8" width="84.42578125" style="313" customWidth="1"/>
    <col min="9" max="9" width="68.7109375" style="313" customWidth="1"/>
    <col min="10" max="25" width="9" style="313"/>
    <col min="26" max="26" width="11" style="313" bestFit="1" customWidth="1"/>
    <col min="27" max="16384" width="9" style="313"/>
  </cols>
  <sheetData>
    <row r="1" spans="1:59" ht="18" customHeight="1">
      <c r="A1" s="131" t="s">
        <v>7139</v>
      </c>
      <c r="B1" s="131" t="s">
        <v>0</v>
      </c>
      <c r="C1" s="131" t="s">
        <v>1</v>
      </c>
      <c r="D1" s="131" t="s">
        <v>2</v>
      </c>
      <c r="E1" s="312" t="s">
        <v>19</v>
      </c>
      <c r="F1"/>
      <c r="G1"/>
      <c r="Z1" s="887">
        <f>IFERROR(
  DATEVALUE(
    MID(A1,12,FIND("-",A1)-12) &amp; ", " &amp; RIGHT(A1,4)
  ),
"")</f>
        <v>45976</v>
      </c>
    </row>
    <row r="2" spans="1:59" ht="18" customHeight="1">
      <c r="A2" s="414" t="s">
        <v>1065</v>
      </c>
      <c r="B2" s="415"/>
      <c r="C2" s="415"/>
      <c r="D2" s="415"/>
      <c r="E2" s="416"/>
      <c r="F2"/>
      <c r="G2"/>
      <c r="Z2" s="887" cm="1">
        <f t="array" ref="Z2">_xlfn.LET(
 _xlpm.hdr, TRIM(A1),
 _xlpm.yr, TRIM(RIGHT(_xlpm.hdr,4)),
 _xlpm.body, TRIM(MID(_xlpm.hdr, 12, FIND(",", _xlpm.hdr) - 12)),
 _xlpm.startPart, TRIM(LEFT(_xlpm.body, FIND("-", _xlpm.body) - 1)),
 _xlpm.endRaw, TRIM(MID(_xlpm.body, FIND("-", _xlpm.body) + 1, 999)),
 _xlpm.months, {"January","February","March","April","May","June","July","August","September","October","November","December"},
 _xlpm.hasMonth, SUM(--ISNUMBER(SEARCH(_xlpm.months, _xlpm.endRaw))),
 _xlpm.endPart, IF(_xlpm.hasMonth&gt;0, _xlpm.endRaw, LEFT(_xlpm.startPart, FIND(" ", _xlpm.startPart &amp; " ") - 1) &amp; " " &amp; _xlpm.endRaw),
 _xlpm.result, IFERROR(DATEVALUE(_xlpm.endPart &amp; ", " &amp; _xlpm.yr), ""),
 _xlpm.result
)</f>
        <v>45989</v>
      </c>
    </row>
    <row r="3" spans="1:59" ht="18" customHeight="1">
      <c r="A3" s="394" t="s">
        <v>1066</v>
      </c>
      <c r="B3" s="135" t="str" cm="1">
        <f t="array" ref="B3">IF((INDEX('British Columbia'!$C$18:$Z$18,ROW(A1)))=0,"",(INDEX('British Columbia'!$C$18:$Z$18,ROW(A1))))</f>
        <v/>
      </c>
      <c r="C3" s="135" t="s">
        <v>22</v>
      </c>
      <c r="D3" s="135">
        <v>16.649999999999999</v>
      </c>
      <c r="E3" s="314">
        <f>IF(B3="", 0, B3*D3)</f>
        <v>0</v>
      </c>
      <c r="F3"/>
      <c r="G3"/>
    </row>
    <row r="4" spans="1:59" ht="18" customHeight="1">
      <c r="A4" s="394" t="s">
        <v>1067</v>
      </c>
      <c r="B4" s="135" t="str" cm="1">
        <f t="array" ref="B4">IF((INDEX('British Columbia'!$C$18:$Z$18,ROW(A2)))=0,"",(INDEX('British Columbia'!$C$18:$Z$18,ROW(A2))))</f>
        <v/>
      </c>
      <c r="C4" s="135" t="s">
        <v>22</v>
      </c>
      <c r="D4" s="135">
        <v>17</v>
      </c>
      <c r="E4" s="314">
        <f t="shared" ref="E4:E13" si="0">IF(B4="", 0, B4*D4)</f>
        <v>0</v>
      </c>
      <c r="F4"/>
      <c r="G4"/>
    </row>
    <row r="5" spans="1:59" ht="18" customHeight="1">
      <c r="A5" s="394" t="s">
        <v>1068</v>
      </c>
      <c r="B5" s="135"/>
      <c r="C5" s="135" t="s">
        <v>22</v>
      </c>
      <c r="D5" s="135">
        <v>17</v>
      </c>
      <c r="E5" s="314">
        <f t="shared" si="0"/>
        <v>0</v>
      </c>
      <c r="F5"/>
      <c r="G5"/>
    </row>
    <row r="6" spans="1:59" s="529" customFormat="1" ht="18" customHeight="1">
      <c r="A6" s="394" t="s">
        <v>1047</v>
      </c>
      <c r="B6" s="135"/>
      <c r="C6" s="135" t="s">
        <v>22</v>
      </c>
      <c r="D6" s="135">
        <v>17</v>
      </c>
      <c r="E6" s="314">
        <f t="shared" si="0"/>
        <v>0</v>
      </c>
      <c r="F6"/>
      <c r="G6"/>
      <c r="H6" s="313"/>
      <c r="I6" s="313"/>
      <c r="J6" s="313"/>
      <c r="K6" s="313"/>
      <c r="L6" s="313"/>
      <c r="M6" s="313"/>
      <c r="N6" s="313"/>
      <c r="O6" s="313"/>
      <c r="P6" s="313"/>
      <c r="Q6" s="313"/>
      <c r="R6" s="313"/>
      <c r="S6" s="313"/>
      <c r="T6" s="313"/>
      <c r="U6" s="313"/>
      <c r="V6" s="313"/>
      <c r="W6" s="313"/>
      <c r="X6" s="313"/>
      <c r="Y6" s="313"/>
      <c r="Z6" s="313"/>
      <c r="AA6" s="313"/>
      <c r="AB6" s="313"/>
      <c r="AC6" s="313"/>
      <c r="AD6" s="313"/>
      <c r="AE6" s="313"/>
      <c r="AF6" s="313"/>
      <c r="AG6" s="313"/>
      <c r="AH6" s="313"/>
      <c r="AI6" s="313"/>
      <c r="AJ6" s="313"/>
      <c r="AK6" s="313"/>
      <c r="AL6" s="313"/>
      <c r="AM6" s="313"/>
      <c r="AN6" s="313"/>
      <c r="AO6" s="313"/>
      <c r="AP6" s="313"/>
      <c r="AQ6" s="313"/>
      <c r="AR6" s="313"/>
      <c r="AS6" s="313"/>
      <c r="AT6" s="313"/>
      <c r="AU6" s="313"/>
      <c r="AV6" s="313"/>
      <c r="AW6" s="313"/>
      <c r="AX6" s="313"/>
      <c r="AY6" s="313"/>
      <c r="AZ6" s="313"/>
      <c r="BA6" s="313"/>
      <c r="BB6" s="313"/>
      <c r="BC6" s="313"/>
      <c r="BD6" s="313"/>
      <c r="BE6" s="313"/>
      <c r="BF6" s="313"/>
      <c r="BG6" s="313"/>
    </row>
    <row r="7" spans="1:59" s="529" customFormat="1" ht="18" customHeight="1">
      <c r="A7" s="394" t="s">
        <v>7140</v>
      </c>
      <c r="B7" s="135"/>
      <c r="C7" s="135" t="s">
        <v>22</v>
      </c>
      <c r="D7" s="135">
        <v>17</v>
      </c>
      <c r="E7" s="314">
        <f t="shared" si="0"/>
        <v>0</v>
      </c>
      <c r="F7"/>
      <c r="G7"/>
      <c r="H7" s="313"/>
      <c r="I7" s="313"/>
      <c r="J7" s="313"/>
      <c r="K7" s="313"/>
      <c r="L7" s="313"/>
      <c r="M7" s="313"/>
      <c r="N7" s="313"/>
      <c r="O7" s="313"/>
      <c r="P7" s="313"/>
      <c r="Q7" s="313"/>
      <c r="R7" s="313"/>
      <c r="S7" s="313"/>
      <c r="T7" s="313"/>
      <c r="U7" s="313"/>
      <c r="V7" s="313"/>
      <c r="W7" s="313"/>
      <c r="X7" s="313"/>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row>
    <row r="8" spans="1:59" s="529" customFormat="1" ht="18" customHeight="1">
      <c r="A8" s="394" t="s">
        <v>1069</v>
      </c>
      <c r="B8" s="135"/>
      <c r="C8" s="135" t="s">
        <v>22</v>
      </c>
      <c r="D8" s="135">
        <v>18</v>
      </c>
      <c r="E8" s="314">
        <f t="shared" si="0"/>
        <v>0</v>
      </c>
      <c r="F8"/>
      <c r="G8"/>
      <c r="H8" s="313"/>
      <c r="I8" s="313"/>
      <c r="J8" s="313"/>
      <c r="K8" s="313"/>
      <c r="L8" s="313"/>
      <c r="M8" s="313"/>
      <c r="N8" s="313"/>
      <c r="O8" s="313"/>
      <c r="P8" s="313"/>
      <c r="Q8" s="313"/>
      <c r="R8" s="313"/>
      <c r="S8" s="313"/>
      <c r="T8" s="313"/>
      <c r="U8" s="313"/>
      <c r="V8" s="313"/>
      <c r="W8" s="313"/>
      <c r="X8" s="313"/>
      <c r="Y8" s="313"/>
      <c r="Z8" s="313"/>
      <c r="AA8" s="313"/>
      <c r="AB8" s="313"/>
      <c r="AC8" s="313"/>
      <c r="AD8" s="313"/>
      <c r="AE8" s="313"/>
      <c r="AF8" s="313"/>
      <c r="AG8" s="313"/>
      <c r="AH8" s="313"/>
      <c r="AI8" s="313"/>
      <c r="AJ8" s="313"/>
      <c r="AK8" s="313"/>
      <c r="AL8" s="313"/>
      <c r="AM8" s="313"/>
      <c r="AN8" s="313"/>
      <c r="AO8" s="313"/>
      <c r="AP8" s="313"/>
      <c r="AQ8" s="313"/>
      <c r="AR8" s="313"/>
      <c r="AS8" s="313"/>
      <c r="AT8" s="313"/>
      <c r="AU8" s="313"/>
      <c r="AV8" s="313"/>
      <c r="AW8" s="313"/>
      <c r="AX8" s="313"/>
      <c r="AY8" s="313"/>
      <c r="AZ8" s="313"/>
      <c r="BA8" s="313"/>
      <c r="BB8" s="313"/>
      <c r="BC8" s="313"/>
      <c r="BD8" s="313"/>
      <c r="BE8" s="313"/>
      <c r="BF8" s="313"/>
      <c r="BG8" s="313"/>
    </row>
    <row r="9" spans="1:59" s="529" customFormat="1" ht="18" customHeight="1">
      <c r="A9" s="394" t="s">
        <v>1070</v>
      </c>
      <c r="B9" s="135"/>
      <c r="C9" s="135" t="s">
        <v>22</v>
      </c>
      <c r="D9" s="135">
        <v>17</v>
      </c>
      <c r="E9" s="314">
        <f t="shared" si="0"/>
        <v>0</v>
      </c>
      <c r="F9"/>
      <c r="G9"/>
      <c r="H9" s="313"/>
      <c r="I9" s="313"/>
      <c r="J9" s="313"/>
      <c r="K9" s="313"/>
      <c r="L9" s="313"/>
      <c r="M9" s="313"/>
      <c r="N9" s="313"/>
      <c r="O9" s="313"/>
      <c r="P9" s="313"/>
      <c r="Q9" s="313"/>
      <c r="R9" s="313"/>
      <c r="S9" s="313"/>
      <c r="T9" s="313"/>
      <c r="U9" s="313"/>
      <c r="V9" s="313"/>
      <c r="W9" s="313"/>
      <c r="X9" s="313"/>
      <c r="Y9" s="313"/>
      <c r="Z9" s="313"/>
      <c r="AA9" s="313"/>
      <c r="AB9" s="313"/>
      <c r="AC9" s="313"/>
      <c r="AD9" s="313"/>
      <c r="AE9" s="313"/>
      <c r="AF9" s="313"/>
      <c r="AG9" s="313"/>
      <c r="AH9" s="313"/>
      <c r="AI9" s="313"/>
      <c r="AJ9" s="313"/>
      <c r="AK9" s="313"/>
      <c r="AL9" s="313"/>
      <c r="AM9" s="313"/>
      <c r="AN9" s="313"/>
      <c r="AO9" s="313"/>
      <c r="AP9" s="313"/>
      <c r="AQ9" s="313"/>
      <c r="AR9" s="313"/>
      <c r="AS9" s="313"/>
      <c r="AT9" s="313"/>
      <c r="AU9" s="313"/>
      <c r="AV9" s="313"/>
      <c r="AW9" s="313"/>
      <c r="AX9" s="313"/>
      <c r="AY9" s="313"/>
      <c r="AZ9" s="313"/>
      <c r="BA9" s="313"/>
      <c r="BB9" s="313"/>
      <c r="BC9" s="313"/>
      <c r="BD9" s="313"/>
      <c r="BE9" s="313"/>
      <c r="BF9" s="313"/>
      <c r="BG9" s="313"/>
    </row>
    <row r="10" spans="1:59" s="529" customFormat="1" ht="18" customHeight="1">
      <c r="A10" s="394" t="s">
        <v>7169</v>
      </c>
      <c r="B10" s="135">
        <f>'British Columbia'!J19</f>
        <v>23.5</v>
      </c>
      <c r="C10" s="135" t="s">
        <v>22</v>
      </c>
      <c r="D10" s="135">
        <v>17</v>
      </c>
      <c r="E10" s="314">
        <f t="shared" si="0"/>
        <v>399.5</v>
      </c>
      <c r="F10"/>
      <c r="G10"/>
      <c r="H10" s="313"/>
      <c r="I10" s="313"/>
      <c r="J10" s="313"/>
      <c r="K10" s="313"/>
      <c r="L10" s="313"/>
      <c r="M10" s="313"/>
      <c r="N10" s="313"/>
      <c r="O10" s="313"/>
      <c r="P10" s="313"/>
      <c r="Q10" s="313"/>
      <c r="R10" s="313"/>
      <c r="S10" s="313"/>
      <c r="T10" s="313"/>
      <c r="U10" s="313"/>
      <c r="V10" s="313"/>
      <c r="W10" s="313"/>
      <c r="X10" s="313"/>
      <c r="Y10" s="313"/>
      <c r="Z10" s="313"/>
      <c r="AA10" s="313"/>
      <c r="AB10" s="313"/>
      <c r="AC10" s="313"/>
      <c r="AD10" s="313"/>
      <c r="AE10" s="313"/>
      <c r="AF10" s="313"/>
      <c r="AG10" s="313"/>
      <c r="AH10" s="313"/>
      <c r="AI10" s="313"/>
      <c r="AJ10" s="313"/>
      <c r="AK10" s="313"/>
      <c r="AL10" s="313"/>
      <c r="AM10" s="313"/>
      <c r="AN10" s="313"/>
      <c r="AO10" s="313"/>
      <c r="AP10" s="313"/>
      <c r="AQ10" s="313"/>
      <c r="AR10" s="313"/>
      <c r="AS10" s="313"/>
      <c r="AT10" s="313"/>
      <c r="AU10" s="313"/>
      <c r="AV10" s="313"/>
      <c r="AW10" s="313"/>
      <c r="AX10" s="313"/>
      <c r="AY10" s="313"/>
      <c r="AZ10" s="313"/>
      <c r="BA10" s="313"/>
      <c r="BB10" s="313"/>
      <c r="BC10" s="313"/>
      <c r="BD10" s="313"/>
      <c r="BE10" s="313"/>
      <c r="BF10" s="313"/>
      <c r="BG10" s="313"/>
    </row>
    <row r="11" spans="1:59" s="529" customFormat="1" ht="18" customHeight="1">
      <c r="A11" s="394" t="s">
        <v>7170</v>
      </c>
      <c r="B11" s="135">
        <f>'British Columbia'!K19</f>
        <v>29</v>
      </c>
      <c r="C11" s="135" t="s">
        <v>22</v>
      </c>
      <c r="D11" s="135">
        <v>17</v>
      </c>
      <c r="E11" s="314">
        <f t="shared" si="0"/>
        <v>493</v>
      </c>
      <c r="F11"/>
      <c r="G11"/>
      <c r="H11" s="313"/>
      <c r="I11" s="313"/>
      <c r="J11" s="313"/>
      <c r="K11" s="313"/>
      <c r="L11" s="313"/>
      <c r="M11" s="313"/>
      <c r="N11" s="313"/>
      <c r="O11" s="313"/>
      <c r="P11" s="313"/>
      <c r="Q11" s="313"/>
      <c r="R11" s="313"/>
      <c r="S11" s="313"/>
      <c r="T11" s="313"/>
      <c r="U11" s="313"/>
      <c r="V11" s="313"/>
      <c r="W11" s="313"/>
      <c r="X11" s="313"/>
      <c r="Y11" s="313"/>
      <c r="Z11" s="313"/>
      <c r="AA11" s="313"/>
      <c r="AB11" s="313"/>
      <c r="AC11" s="313"/>
      <c r="AD11" s="313"/>
      <c r="AE11" s="313"/>
      <c r="AF11" s="313"/>
      <c r="AG11" s="313"/>
      <c r="AH11" s="313"/>
      <c r="AI11" s="313"/>
      <c r="AJ11" s="313"/>
      <c r="AK11" s="313"/>
      <c r="AL11" s="313"/>
      <c r="AM11" s="313"/>
      <c r="AN11" s="313"/>
      <c r="AO11" s="313"/>
      <c r="AP11" s="313"/>
      <c r="AQ11" s="313"/>
      <c r="AR11" s="313"/>
      <c r="AS11" s="313"/>
      <c r="AT11" s="313"/>
      <c r="AU11" s="313"/>
      <c r="AV11" s="313"/>
      <c r="AW11" s="313"/>
      <c r="AX11" s="313"/>
      <c r="AY11" s="313"/>
      <c r="AZ11" s="313"/>
      <c r="BA11" s="313"/>
      <c r="BB11" s="313"/>
      <c r="BC11" s="313"/>
      <c r="BD11" s="313"/>
      <c r="BE11" s="313"/>
      <c r="BF11" s="313"/>
      <c r="BG11" s="313"/>
    </row>
    <row r="12" spans="1:59" s="529" customFormat="1" ht="18" customHeight="1">
      <c r="A12" s="394" t="s">
        <v>7178</v>
      </c>
      <c r="B12" s="135">
        <f>'British Columbia'!L19</f>
        <v>13</v>
      </c>
      <c r="C12" s="135" t="s">
        <v>22</v>
      </c>
      <c r="D12" s="135">
        <v>17</v>
      </c>
      <c r="E12" s="314">
        <f t="shared" si="0"/>
        <v>221</v>
      </c>
      <c r="F12"/>
      <c r="G12"/>
      <c r="H12" s="313"/>
      <c r="I12" s="313"/>
      <c r="J12" s="313"/>
      <c r="K12" s="313"/>
      <c r="L12" s="313"/>
      <c r="M12" s="313"/>
      <c r="N12" s="313"/>
      <c r="O12" s="313"/>
      <c r="P12" s="313"/>
      <c r="Q12" s="313"/>
      <c r="R12" s="313"/>
      <c r="S12" s="313"/>
      <c r="T12" s="313"/>
      <c r="U12" s="313"/>
      <c r="V12" s="313"/>
      <c r="W12" s="313"/>
      <c r="X12" s="313"/>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row>
    <row r="13" spans="1:59" s="529" customFormat="1" ht="18" customHeight="1">
      <c r="A13" s="394" t="s">
        <v>1072</v>
      </c>
      <c r="B13" s="135" t="str" cm="1">
        <f t="array" ref="B13">IF((INDEX('British Columbia'!$C$18:$Z$18,ROW(A11)))=0,"",(INDEX('British Columbia'!$C$18:$Z$18,ROW(A11))))</f>
        <v/>
      </c>
      <c r="C13" s="135" t="s">
        <v>22</v>
      </c>
      <c r="D13" s="135">
        <v>17</v>
      </c>
      <c r="E13" s="314">
        <f t="shared" si="0"/>
        <v>0</v>
      </c>
      <c r="F13"/>
      <c r="G13"/>
      <c r="H13" s="313"/>
      <c r="I13" s="313"/>
      <c r="J13" s="313"/>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313"/>
      <c r="AH13" s="313"/>
      <c r="AI13" s="313"/>
      <c r="AJ13" s="313"/>
      <c r="AK13" s="313"/>
      <c r="AL13" s="313"/>
      <c r="AM13" s="313"/>
      <c r="AN13" s="313"/>
      <c r="AO13" s="313"/>
      <c r="AP13" s="313"/>
      <c r="AQ13" s="313"/>
      <c r="AR13" s="313"/>
      <c r="AS13" s="313"/>
      <c r="AT13" s="313"/>
      <c r="AU13" s="313"/>
      <c r="AV13" s="313"/>
      <c r="AW13" s="313"/>
      <c r="AX13" s="313"/>
      <c r="AY13" s="313"/>
      <c r="AZ13" s="313"/>
      <c r="BA13" s="313"/>
      <c r="BB13" s="313"/>
      <c r="BC13" s="313"/>
      <c r="BD13" s="313"/>
      <c r="BE13" s="313"/>
      <c r="BF13" s="313"/>
      <c r="BG13" s="313"/>
    </row>
    <row r="14" spans="1:59" ht="18" customHeight="1">
      <c r="A14" s="423"/>
      <c r="B14" s="419"/>
      <c r="C14" s="419"/>
      <c r="D14" s="419"/>
      <c r="E14" s="420">
        <f>SUM(E6:E11)</f>
        <v>892.5</v>
      </c>
      <c r="F14"/>
      <c r="G14"/>
      <c r="I14" s="647" t="s">
        <v>23</v>
      </c>
    </row>
    <row r="15" spans="1:59" ht="18" customHeight="1">
      <c r="A15" s="414" t="s">
        <v>1073</v>
      </c>
      <c r="B15" s="415">
        <f>SUM(B3:B14)</f>
        <v>65.5</v>
      </c>
      <c r="C15" s="415"/>
      <c r="D15" s="415"/>
      <c r="E15" s="415"/>
      <c r="F15"/>
      <c r="G15"/>
      <c r="I15" s="647"/>
    </row>
    <row r="16" spans="1:59" ht="18" customHeight="1">
      <c r="A16" s="394"/>
      <c r="B16" s="135"/>
      <c r="C16" s="135"/>
      <c r="D16" s="135"/>
      <c r="E16" s="314"/>
      <c r="F16"/>
      <c r="G16"/>
      <c r="I16" s="647" t="s">
        <v>65</v>
      </c>
    </row>
    <row r="17" spans="1:59" ht="18" customHeight="1">
      <c r="A17" s="394"/>
      <c r="B17" s="135"/>
      <c r="C17" s="135"/>
      <c r="D17" s="135"/>
      <c r="E17" s="314"/>
      <c r="F17"/>
      <c r="G17"/>
      <c r="I17" s="647" t="s">
        <v>65</v>
      </c>
    </row>
    <row r="18" spans="1:59" ht="18" customHeight="1">
      <c r="A18" s="414" t="s">
        <v>1074</v>
      </c>
      <c r="B18" s="415"/>
      <c r="C18" s="415"/>
      <c r="D18" s="415"/>
      <c r="E18" s="416"/>
      <c r="F18"/>
      <c r="G18"/>
    </row>
    <row r="19" spans="1:59" ht="18" customHeight="1">
      <c r="A19" s="394" t="s">
        <v>1075</v>
      </c>
      <c r="B19" s="135"/>
      <c r="C19" s="135" t="s">
        <v>22</v>
      </c>
      <c r="D19" s="135">
        <v>17</v>
      </c>
      <c r="E19" s="314">
        <f t="shared" ref="E19:E30" si="1">IF(B19="", 0, B19*D19)</f>
        <v>0</v>
      </c>
      <c r="F19"/>
      <c r="G19"/>
    </row>
    <row r="20" spans="1:59" ht="18" customHeight="1">
      <c r="A20" s="394" t="s">
        <v>1068</v>
      </c>
      <c r="B20" s="135" t="str" cm="1">
        <f t="array" ref="B20">IF((INDEX('British Columbia'!$C$37:$Z$37,ROW(A2)))=0,"",(INDEX('British Columbia'!$C$37:$Z$37,ROW(A2))))</f>
        <v/>
      </c>
      <c r="C20" s="135" t="s">
        <v>22</v>
      </c>
      <c r="D20" s="135">
        <v>17</v>
      </c>
      <c r="E20" s="314">
        <f t="shared" si="1"/>
        <v>0</v>
      </c>
      <c r="F20"/>
      <c r="G20"/>
    </row>
    <row r="21" spans="1:59" ht="18" customHeight="1">
      <c r="A21" s="394" t="s">
        <v>1047</v>
      </c>
      <c r="B21" s="135"/>
      <c r="C21" s="135" t="s">
        <v>22</v>
      </c>
      <c r="D21" s="135">
        <v>17</v>
      </c>
      <c r="E21" s="314">
        <f t="shared" si="1"/>
        <v>0</v>
      </c>
      <c r="F21"/>
      <c r="G21"/>
    </row>
    <row r="22" spans="1:59" s="529" customFormat="1" ht="18" customHeight="1">
      <c r="A22" s="394" t="s">
        <v>1076</v>
      </c>
      <c r="B22" s="135"/>
      <c r="C22" s="135" t="s">
        <v>22</v>
      </c>
      <c r="D22" s="135">
        <v>17</v>
      </c>
      <c r="E22" s="314">
        <f t="shared" si="1"/>
        <v>0</v>
      </c>
      <c r="F22"/>
      <c r="G22"/>
      <c r="H22" s="313"/>
      <c r="I22" s="313"/>
      <c r="J22" s="313"/>
      <c r="K22" s="313"/>
      <c r="L22" s="313"/>
      <c r="M22" s="313"/>
      <c r="N22" s="313"/>
      <c r="O22" s="313"/>
      <c r="P22" s="313"/>
      <c r="Q22" s="313"/>
      <c r="R22" s="313"/>
      <c r="S22" s="313"/>
      <c r="T22" s="313"/>
      <c r="U22" s="313"/>
      <c r="V22" s="313"/>
      <c r="W22" s="313"/>
      <c r="X22" s="313"/>
      <c r="Y22" s="313"/>
      <c r="Z22" s="313"/>
      <c r="AA22" s="313"/>
      <c r="AB22" s="313"/>
      <c r="AC22" s="313"/>
      <c r="AD22" s="313"/>
      <c r="AE22" s="313"/>
      <c r="AF22" s="313"/>
      <c r="AG22" s="313"/>
      <c r="AH22" s="313"/>
      <c r="AI22" s="313"/>
      <c r="AJ22" s="313"/>
      <c r="AK22" s="313"/>
      <c r="AL22" s="313"/>
      <c r="AM22" s="313"/>
      <c r="AN22" s="313"/>
      <c r="AO22" s="313"/>
      <c r="AP22" s="313"/>
      <c r="AQ22" s="313"/>
      <c r="AR22" s="313"/>
      <c r="AS22" s="313"/>
      <c r="AT22" s="313"/>
      <c r="AU22" s="313"/>
      <c r="AV22" s="313"/>
      <c r="AW22" s="313"/>
      <c r="AX22" s="313"/>
      <c r="AY22" s="313"/>
      <c r="AZ22" s="313"/>
      <c r="BA22" s="313"/>
      <c r="BB22" s="313"/>
      <c r="BC22" s="313"/>
      <c r="BD22" s="313"/>
      <c r="BE22" s="313"/>
      <c r="BF22" s="313"/>
      <c r="BG22" s="313"/>
    </row>
    <row r="23" spans="1:59" s="529" customFormat="1" ht="18" customHeight="1">
      <c r="A23" s="394" t="s">
        <v>1069</v>
      </c>
      <c r="B23" s="135"/>
      <c r="C23" s="135" t="s">
        <v>22</v>
      </c>
      <c r="D23" s="135">
        <v>18</v>
      </c>
      <c r="E23" s="314">
        <f>B23*D23</f>
        <v>0</v>
      </c>
      <c r="F23"/>
      <c r="G23"/>
      <c r="H23" s="313"/>
      <c r="I23" s="313"/>
      <c r="J23" s="313"/>
      <c r="K23" s="313"/>
      <c r="L23" s="313"/>
      <c r="M23" s="313"/>
      <c r="N23" s="313"/>
      <c r="O23" s="313"/>
      <c r="P23" s="313"/>
      <c r="Q23" s="313"/>
      <c r="R23" s="313"/>
      <c r="S23" s="313"/>
      <c r="T23" s="313"/>
      <c r="U23" s="313"/>
      <c r="V23" s="313"/>
      <c r="W23" s="313"/>
      <c r="X23" s="313"/>
      <c r="Y23" s="313"/>
      <c r="Z23" s="313"/>
      <c r="AA23" s="313"/>
      <c r="AB23" s="313"/>
      <c r="AC23" s="313"/>
      <c r="AD23" s="313"/>
      <c r="AE23" s="313"/>
      <c r="AF23" s="313"/>
      <c r="AG23" s="313"/>
      <c r="AH23" s="313"/>
      <c r="AI23" s="313"/>
      <c r="AJ23" s="313"/>
      <c r="AK23" s="313"/>
      <c r="AL23" s="313"/>
      <c r="AM23" s="313"/>
      <c r="AN23" s="313"/>
      <c r="AO23" s="313"/>
      <c r="AP23" s="313"/>
      <c r="AQ23" s="313"/>
      <c r="AR23" s="313"/>
      <c r="AS23" s="313"/>
      <c r="AT23" s="313"/>
      <c r="AU23" s="313"/>
      <c r="AV23" s="313"/>
      <c r="AW23" s="313"/>
      <c r="AX23" s="313"/>
      <c r="AY23" s="313"/>
      <c r="AZ23" s="313"/>
      <c r="BA23" s="313"/>
      <c r="BB23" s="313"/>
      <c r="BC23" s="313"/>
      <c r="BD23" s="313"/>
      <c r="BE23" s="313"/>
      <c r="BF23" s="313"/>
      <c r="BG23" s="313"/>
    </row>
    <row r="24" spans="1:59" s="529" customFormat="1" ht="18" customHeight="1">
      <c r="A24" s="394" t="s">
        <v>1311</v>
      </c>
      <c r="B24" s="135"/>
      <c r="C24" s="135" t="s">
        <v>22</v>
      </c>
      <c r="D24" s="135">
        <v>17</v>
      </c>
      <c r="E24" s="314">
        <f t="shared" si="1"/>
        <v>0</v>
      </c>
      <c r="F24"/>
      <c r="G24"/>
      <c r="H24" s="313"/>
      <c r="I24" s="313"/>
      <c r="J24" s="313"/>
      <c r="K24" s="313"/>
      <c r="L24" s="313"/>
      <c r="M24" s="313"/>
      <c r="N24" s="313"/>
      <c r="O24" s="313"/>
      <c r="P24" s="313"/>
      <c r="Q24" s="313"/>
      <c r="R24" s="313"/>
      <c r="S24" s="313"/>
      <c r="T24" s="313"/>
      <c r="U24" s="313"/>
      <c r="V24" s="313"/>
      <c r="W24" s="313"/>
      <c r="X24" s="313"/>
      <c r="Y24" s="313"/>
      <c r="Z24" s="313"/>
      <c r="AA24" s="313"/>
      <c r="AB24" s="313"/>
      <c r="AC24" s="313"/>
      <c r="AD24" s="313"/>
      <c r="AE24" s="313"/>
      <c r="AF24" s="313"/>
      <c r="AG24" s="313"/>
      <c r="AH24" s="313"/>
      <c r="AI24" s="313"/>
      <c r="AJ24" s="313"/>
      <c r="AK24" s="313"/>
      <c r="AL24" s="313"/>
      <c r="AM24" s="313"/>
      <c r="AN24" s="313"/>
      <c r="AO24" s="313"/>
      <c r="AP24" s="313"/>
      <c r="AQ24" s="313"/>
      <c r="AR24" s="313"/>
      <c r="AS24" s="313"/>
      <c r="AT24" s="313"/>
      <c r="AU24" s="313"/>
      <c r="AV24" s="313"/>
      <c r="AW24" s="313"/>
      <c r="AX24" s="313"/>
      <c r="AY24" s="313"/>
      <c r="AZ24" s="313"/>
      <c r="BA24" s="313"/>
      <c r="BB24" s="313"/>
      <c r="BC24" s="313"/>
      <c r="BD24" s="313"/>
      <c r="BE24" s="313"/>
      <c r="BF24" s="313"/>
      <c r="BG24" s="313"/>
    </row>
    <row r="25" spans="1:59" s="529" customFormat="1" ht="18" customHeight="1">
      <c r="A25" s="394" t="s">
        <v>7159</v>
      </c>
      <c r="B25" s="135"/>
      <c r="C25" s="135" t="s">
        <v>22</v>
      </c>
      <c r="D25" s="135">
        <v>17</v>
      </c>
      <c r="E25" s="314">
        <f t="shared" si="1"/>
        <v>0</v>
      </c>
      <c r="F25"/>
      <c r="G25"/>
      <c r="H25" s="313"/>
      <c r="I25" s="313"/>
      <c r="J25" s="313"/>
      <c r="K25" s="313"/>
      <c r="L25" s="313"/>
      <c r="M25" s="313"/>
      <c r="N25" s="313"/>
      <c r="O25" s="313"/>
      <c r="P25" s="313"/>
      <c r="Q25" s="313"/>
      <c r="R25" s="313"/>
      <c r="S25" s="313"/>
      <c r="T25" s="313"/>
      <c r="U25" s="313"/>
      <c r="V25" s="313"/>
      <c r="W25" s="313"/>
      <c r="X25" s="313"/>
      <c r="Y25" s="313"/>
      <c r="Z25" s="313"/>
      <c r="AA25" s="313"/>
      <c r="AB25" s="313"/>
      <c r="AC25" s="313"/>
      <c r="AD25" s="313"/>
      <c r="AE25" s="313"/>
      <c r="AF25" s="313"/>
      <c r="AG25" s="313"/>
      <c r="AH25" s="313"/>
      <c r="AI25" s="313"/>
      <c r="AJ25" s="313"/>
      <c r="AK25" s="313"/>
      <c r="AL25" s="313"/>
      <c r="AM25" s="313"/>
      <c r="AN25" s="313"/>
      <c r="AO25" s="313"/>
      <c r="AP25" s="313"/>
      <c r="AQ25" s="313"/>
      <c r="AR25" s="313"/>
      <c r="AS25" s="313"/>
      <c r="AT25" s="313"/>
      <c r="AU25" s="313"/>
      <c r="AV25" s="313"/>
      <c r="AW25" s="313"/>
      <c r="AX25" s="313"/>
      <c r="AY25" s="313"/>
      <c r="AZ25" s="313"/>
      <c r="BA25" s="313"/>
      <c r="BB25" s="313"/>
      <c r="BC25" s="313"/>
      <c r="BD25" s="313"/>
      <c r="BE25" s="313"/>
      <c r="BF25" s="313"/>
      <c r="BG25" s="313"/>
    </row>
    <row r="26" spans="1:59" s="529" customFormat="1" ht="18" customHeight="1">
      <c r="A26" s="394" t="s">
        <v>7160</v>
      </c>
      <c r="B26" s="135"/>
      <c r="C26" s="135" t="s">
        <v>22</v>
      </c>
      <c r="D26" s="135">
        <v>17</v>
      </c>
      <c r="E26" s="314">
        <f t="shared" si="1"/>
        <v>0</v>
      </c>
      <c r="F26"/>
      <c r="G26"/>
      <c r="H26" s="313"/>
      <c r="I26" s="313"/>
      <c r="J26" s="313"/>
      <c r="K26" s="313"/>
      <c r="L26" s="313"/>
      <c r="M26" s="313"/>
      <c r="N26" s="313"/>
      <c r="O26" s="313"/>
      <c r="P26" s="313"/>
      <c r="Q26" s="313"/>
      <c r="R26" s="313"/>
      <c r="S26" s="313"/>
      <c r="T26" s="313"/>
      <c r="U26" s="313"/>
      <c r="V26" s="313"/>
      <c r="W26" s="313"/>
      <c r="X26" s="313"/>
      <c r="Y26" s="313"/>
      <c r="Z26" s="313"/>
      <c r="AA26" s="313"/>
      <c r="AB26" s="313"/>
      <c r="AC26" s="313"/>
      <c r="AD26" s="313"/>
      <c r="AE26" s="313"/>
      <c r="AF26" s="313"/>
      <c r="AG26" s="313"/>
      <c r="AH26" s="313"/>
      <c r="AI26" s="313"/>
      <c r="AJ26" s="313"/>
      <c r="AK26" s="313"/>
      <c r="AL26" s="313"/>
      <c r="AM26" s="313"/>
      <c r="AN26" s="313"/>
      <c r="AO26" s="313"/>
      <c r="AP26" s="313"/>
      <c r="AQ26" s="313"/>
      <c r="AR26" s="313"/>
      <c r="AS26" s="313"/>
      <c r="AT26" s="313"/>
      <c r="AU26" s="313"/>
      <c r="AV26" s="313"/>
      <c r="AW26" s="313"/>
      <c r="AX26" s="313"/>
      <c r="AY26" s="313"/>
      <c r="AZ26" s="313"/>
      <c r="BA26" s="313"/>
      <c r="BB26" s="313"/>
      <c r="BC26" s="313"/>
      <c r="BD26" s="313"/>
      <c r="BE26" s="313"/>
      <c r="BF26" s="313"/>
      <c r="BG26" s="313"/>
    </row>
    <row r="27" spans="1:59" s="529" customFormat="1" ht="18" customHeight="1">
      <c r="A27" s="394" t="s">
        <v>1080</v>
      </c>
      <c r="B27" s="135"/>
      <c r="C27" s="135" t="s">
        <v>22</v>
      </c>
      <c r="D27" s="135">
        <v>17</v>
      </c>
      <c r="E27" s="314">
        <f t="shared" si="1"/>
        <v>0</v>
      </c>
      <c r="F27"/>
      <c r="G27"/>
      <c r="H27" s="313"/>
      <c r="I27" s="313"/>
      <c r="J27" s="313"/>
      <c r="K27" s="313"/>
      <c r="L27" s="313"/>
      <c r="M27" s="313"/>
      <c r="N27" s="313"/>
      <c r="O27" s="313"/>
      <c r="P27" s="313"/>
      <c r="Q27" s="313"/>
      <c r="R27" s="313"/>
      <c r="S27" s="313"/>
      <c r="T27" s="313"/>
      <c r="U27" s="313"/>
      <c r="V27" s="313"/>
      <c r="W27" s="313"/>
      <c r="X27" s="313"/>
      <c r="Y27" s="313"/>
      <c r="Z27" s="313"/>
      <c r="AA27" s="313"/>
      <c r="AB27" s="313"/>
      <c r="AC27" s="313"/>
      <c r="AD27" s="313"/>
      <c r="AE27" s="313"/>
      <c r="AF27" s="313"/>
      <c r="AG27" s="313"/>
      <c r="AH27" s="313"/>
      <c r="AI27" s="313"/>
      <c r="AJ27" s="313"/>
      <c r="AK27" s="313"/>
      <c r="AL27" s="313"/>
      <c r="AM27" s="313"/>
      <c r="AN27" s="313"/>
      <c r="AO27" s="313"/>
      <c r="AP27" s="313"/>
      <c r="AQ27" s="313"/>
      <c r="AR27" s="313"/>
      <c r="AS27" s="313"/>
      <c r="AT27" s="313"/>
      <c r="AU27" s="313"/>
      <c r="AV27" s="313"/>
      <c r="AW27" s="313"/>
      <c r="AX27" s="313"/>
      <c r="AY27" s="313"/>
      <c r="AZ27" s="313"/>
      <c r="BA27" s="313"/>
      <c r="BB27" s="313"/>
      <c r="BC27" s="313"/>
      <c r="BD27" s="313"/>
      <c r="BE27" s="313"/>
      <c r="BF27" s="313"/>
      <c r="BG27" s="313"/>
    </row>
    <row r="28" spans="1:59" s="529" customFormat="1" ht="18" customHeight="1">
      <c r="A28" s="394" t="s">
        <v>1081</v>
      </c>
      <c r="B28" s="135" t="str" cm="1">
        <f t="array" ref="B28">IF((INDEX('British Columbia'!$C$37:$Z$37,ROW(A10)))=0,"",(INDEX('British Columbia'!$C$37:$Z$37,ROW(A10))))</f>
        <v/>
      </c>
      <c r="C28" s="135" t="s">
        <v>22</v>
      </c>
      <c r="D28" s="135">
        <v>17</v>
      </c>
      <c r="E28" s="314">
        <f t="shared" si="1"/>
        <v>0</v>
      </c>
      <c r="F28"/>
      <c r="G28"/>
      <c r="H28" s="313"/>
      <c r="I28" s="313"/>
      <c r="J28" s="313"/>
      <c r="K28" s="313"/>
      <c r="L28" s="313"/>
      <c r="M28" s="313"/>
      <c r="N28" s="313"/>
      <c r="O28" s="313"/>
      <c r="P28" s="313"/>
      <c r="Q28" s="313"/>
      <c r="R28" s="313"/>
      <c r="S28" s="313"/>
      <c r="T28" s="313"/>
      <c r="U28" s="313"/>
      <c r="V28" s="313"/>
      <c r="W28" s="313"/>
      <c r="X28" s="313"/>
      <c r="Y28" s="313"/>
      <c r="Z28" s="313"/>
      <c r="AA28" s="313"/>
      <c r="AB28" s="313"/>
      <c r="AC28" s="313"/>
      <c r="AD28" s="313"/>
      <c r="AE28" s="313"/>
      <c r="AF28" s="313"/>
      <c r="AG28" s="313"/>
      <c r="AH28" s="313"/>
      <c r="AI28" s="313"/>
      <c r="AJ28" s="313"/>
      <c r="AK28" s="313"/>
      <c r="AL28" s="313"/>
      <c r="AM28" s="313"/>
      <c r="AN28" s="313"/>
      <c r="AO28" s="313"/>
      <c r="AP28" s="313"/>
      <c r="AQ28" s="313"/>
      <c r="AR28" s="313"/>
      <c r="AS28" s="313"/>
      <c r="AT28" s="313"/>
      <c r="AU28" s="313"/>
      <c r="AV28" s="313"/>
      <c r="AW28" s="313"/>
      <c r="AX28" s="313"/>
      <c r="AY28" s="313"/>
      <c r="AZ28" s="313"/>
      <c r="BA28" s="313"/>
      <c r="BB28" s="313"/>
      <c r="BC28" s="313"/>
      <c r="BD28" s="313"/>
      <c r="BE28" s="313"/>
      <c r="BF28" s="313"/>
      <c r="BG28" s="313"/>
    </row>
    <row r="29" spans="1:59" s="529" customFormat="1" ht="18" customHeight="1">
      <c r="A29" s="394" t="s">
        <v>1082</v>
      </c>
      <c r="B29" s="135"/>
      <c r="C29" s="135" t="s">
        <v>22</v>
      </c>
      <c r="D29" s="135">
        <v>17</v>
      </c>
      <c r="E29" s="314">
        <f t="shared" si="1"/>
        <v>0</v>
      </c>
      <c r="F29"/>
      <c r="G29"/>
      <c r="H29" s="313"/>
      <c r="I29" s="313"/>
      <c r="J29" s="313"/>
      <c r="K29" s="313"/>
      <c r="L29" s="313"/>
      <c r="M29" s="313"/>
      <c r="N29" s="313"/>
      <c r="O29" s="313"/>
      <c r="P29" s="313"/>
      <c r="Q29" s="313"/>
      <c r="R29" s="313"/>
      <c r="S29" s="313"/>
      <c r="T29" s="313"/>
      <c r="U29" s="313"/>
      <c r="V29" s="313"/>
      <c r="W29" s="313"/>
      <c r="X29" s="313"/>
      <c r="Y29" s="313"/>
      <c r="Z29" s="313"/>
      <c r="AA29" s="313"/>
      <c r="AB29" s="313"/>
      <c r="AC29" s="313"/>
      <c r="AD29" s="313"/>
      <c r="AE29" s="313"/>
      <c r="AF29" s="313"/>
      <c r="AG29" s="313"/>
      <c r="AH29" s="313"/>
      <c r="AI29" s="313"/>
      <c r="AJ29" s="313"/>
      <c r="AK29" s="313"/>
      <c r="AL29" s="313"/>
      <c r="AM29" s="313"/>
      <c r="AN29" s="313"/>
      <c r="AO29" s="313"/>
      <c r="AP29" s="313"/>
      <c r="AQ29" s="313"/>
      <c r="AR29" s="313"/>
      <c r="AS29" s="313"/>
      <c r="AT29" s="313"/>
      <c r="AU29" s="313"/>
      <c r="AV29" s="313"/>
      <c r="AW29" s="313"/>
      <c r="AX29" s="313"/>
      <c r="AY29" s="313"/>
      <c r="AZ29" s="313"/>
      <c r="BA29" s="313"/>
      <c r="BB29" s="313"/>
      <c r="BC29" s="313"/>
      <c r="BD29" s="313"/>
      <c r="BE29" s="313"/>
      <c r="BF29" s="313"/>
      <c r="BG29" s="313"/>
    </row>
    <row r="30" spans="1:59" s="529" customFormat="1" ht="18" customHeight="1">
      <c r="A30" s="394" t="s">
        <v>1083</v>
      </c>
      <c r="B30" s="135" t="str" cm="1">
        <f t="array" ref="B30">IF((INDEX('British Columbia'!$C$37:$Z$37,ROW(A12)))=0,"",(INDEX('British Columbia'!$C$37:$Z$37,ROW(A12))))</f>
        <v/>
      </c>
      <c r="C30" s="135" t="s">
        <v>22</v>
      </c>
      <c r="D30" s="135">
        <v>17</v>
      </c>
      <c r="E30" s="314">
        <f t="shared" si="1"/>
        <v>0</v>
      </c>
      <c r="F30">
        <f>B32+B53+B15</f>
        <v>65.5</v>
      </c>
      <c r="G30"/>
      <c r="H30" s="313"/>
      <c r="I30" s="313"/>
      <c r="J30" s="313"/>
      <c r="K30" s="313"/>
      <c r="L30" s="313"/>
      <c r="M30" s="313"/>
      <c r="N30" s="313"/>
      <c r="O30" s="313"/>
      <c r="P30" s="313"/>
      <c r="Q30" s="313"/>
      <c r="R30" s="313"/>
      <c r="S30" s="313"/>
      <c r="T30" s="313"/>
      <c r="U30" s="313"/>
      <c r="V30" s="313"/>
      <c r="W30" s="313"/>
      <c r="X30" s="313"/>
      <c r="Y30" s="313"/>
      <c r="Z30" s="313"/>
      <c r="AA30" s="313"/>
      <c r="AB30" s="313"/>
      <c r="AC30" s="313"/>
      <c r="AD30" s="313"/>
      <c r="AE30" s="313"/>
      <c r="AF30" s="313"/>
      <c r="AG30" s="313"/>
      <c r="AH30" s="313"/>
      <c r="AI30" s="313"/>
      <c r="AJ30" s="313"/>
      <c r="AK30" s="313"/>
      <c r="AL30" s="313"/>
      <c r="AM30" s="313"/>
      <c r="AN30" s="313"/>
      <c r="AO30" s="313"/>
      <c r="AP30" s="313"/>
      <c r="AQ30" s="313"/>
      <c r="AR30" s="313"/>
      <c r="AS30" s="313"/>
      <c r="AT30" s="313"/>
      <c r="AU30" s="313"/>
      <c r="AV30" s="313"/>
      <c r="AW30" s="313"/>
      <c r="AX30" s="313"/>
      <c r="AY30" s="313"/>
      <c r="AZ30" s="313"/>
      <c r="BA30" s="313"/>
      <c r="BB30" s="313"/>
      <c r="BC30" s="313"/>
      <c r="BD30" s="313"/>
      <c r="BE30" s="313"/>
      <c r="BF30" s="313"/>
      <c r="BG30" s="313"/>
    </row>
    <row r="31" spans="1:59" ht="18" customHeight="1">
      <c r="A31" s="423"/>
      <c r="B31" s="419"/>
      <c r="C31" s="419"/>
      <c r="D31" s="419"/>
      <c r="E31" s="420"/>
      <c r="F31"/>
      <c r="G31"/>
      <c r="I31" s="647" t="s">
        <v>23</v>
      </c>
    </row>
    <row r="32" spans="1:59" ht="18" customHeight="1">
      <c r="A32" s="414" t="s">
        <v>1074</v>
      </c>
      <c r="B32" s="415">
        <f>SUM(B19:B31)</f>
        <v>0</v>
      </c>
      <c r="C32" s="415"/>
      <c r="D32" s="415"/>
      <c r="E32" s="415"/>
      <c r="F32"/>
      <c r="G32"/>
      <c r="I32" s="647"/>
    </row>
    <row r="33" spans="1:59" ht="18" customHeight="1">
      <c r="A33" s="394"/>
      <c r="B33" s="135"/>
      <c r="C33" s="135"/>
      <c r="D33" s="135"/>
      <c r="E33" s="314"/>
      <c r="F33"/>
      <c r="G33"/>
      <c r="I33" s="647" t="s">
        <v>65</v>
      </c>
    </row>
    <row r="34" spans="1:59" ht="18" customHeight="1">
      <c r="A34" s="394"/>
      <c r="B34" s="135"/>
      <c r="C34" s="135"/>
      <c r="D34" s="135"/>
      <c r="E34" s="314"/>
      <c r="F34"/>
      <c r="G34"/>
      <c r="I34" s="647" t="s">
        <v>65</v>
      </c>
    </row>
    <row r="35" spans="1:59" ht="18" customHeight="1">
      <c r="A35" s="414" t="s">
        <v>1084</v>
      </c>
      <c r="B35" s="415"/>
      <c r="C35" s="415"/>
      <c r="D35" s="415"/>
      <c r="E35" s="416"/>
      <c r="F35"/>
      <c r="G35"/>
    </row>
    <row r="36" spans="1:59" s="529" customFormat="1" ht="18" customHeight="1">
      <c r="A36" s="572" t="s">
        <v>1066</v>
      </c>
      <c r="B36" s="481"/>
      <c r="C36" s="481" t="s">
        <v>22</v>
      </c>
      <c r="D36" s="481">
        <v>17</v>
      </c>
      <c r="E36" s="482">
        <f>B36*D36</f>
        <v>0</v>
      </c>
      <c r="F36"/>
      <c r="G36"/>
      <c r="H36" s="313"/>
      <c r="I36" s="313"/>
      <c r="J36" s="313"/>
      <c r="K36" s="313"/>
      <c r="L36" s="313"/>
      <c r="M36" s="313"/>
      <c r="N36" s="313"/>
      <c r="O36" s="313"/>
      <c r="P36" s="313"/>
      <c r="Q36" s="313"/>
      <c r="R36" s="313"/>
      <c r="S36" s="313"/>
      <c r="T36" s="313"/>
      <c r="U36" s="313"/>
      <c r="V36" s="313"/>
      <c r="W36" s="313"/>
      <c r="X36" s="313"/>
      <c r="Y36" s="313"/>
      <c r="Z36" s="313"/>
      <c r="AA36" s="313"/>
      <c r="AB36" s="313"/>
      <c r="AC36" s="313"/>
      <c r="AD36" s="313"/>
      <c r="AE36" s="313"/>
      <c r="AF36" s="313"/>
      <c r="AG36" s="313"/>
      <c r="AH36" s="313"/>
      <c r="AI36" s="313"/>
      <c r="AJ36" s="313"/>
      <c r="AK36" s="313"/>
      <c r="AL36" s="313"/>
      <c r="AM36" s="313"/>
      <c r="AN36" s="313"/>
      <c r="AO36" s="313"/>
      <c r="AP36" s="313"/>
      <c r="AQ36" s="313"/>
      <c r="AR36" s="313"/>
      <c r="AS36" s="313"/>
      <c r="AT36" s="313"/>
      <c r="AU36" s="313"/>
      <c r="AV36" s="313"/>
      <c r="AW36" s="313"/>
      <c r="AX36" s="313"/>
      <c r="AY36" s="313"/>
      <c r="AZ36" s="313"/>
      <c r="BA36" s="313"/>
      <c r="BB36" s="313"/>
      <c r="BC36" s="313"/>
      <c r="BD36" s="313"/>
      <c r="BE36" s="313"/>
      <c r="BF36" s="313"/>
      <c r="BG36" s="313"/>
    </row>
    <row r="37" spans="1:59" s="529" customFormat="1" ht="18" customHeight="1">
      <c r="A37" s="572" t="s">
        <v>1081</v>
      </c>
      <c r="B37" s="481"/>
      <c r="C37" s="481" t="s">
        <v>22</v>
      </c>
      <c r="D37" s="481">
        <v>17</v>
      </c>
      <c r="E37" s="482">
        <f t="shared" ref="E37:E42" si="2">B37*D37</f>
        <v>0</v>
      </c>
      <c r="F37"/>
      <c r="G37"/>
      <c r="H37" s="313"/>
      <c r="I37" s="313"/>
      <c r="J37" s="313"/>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row>
    <row r="38" spans="1:59" s="529" customFormat="1" ht="18" customHeight="1">
      <c r="A38" s="394" t="s">
        <v>7157</v>
      </c>
      <c r="B38" s="135"/>
      <c r="C38" s="135" t="s">
        <v>22</v>
      </c>
      <c r="D38" s="135">
        <v>17</v>
      </c>
      <c r="E38" s="314">
        <f t="shared" si="2"/>
        <v>0</v>
      </c>
      <c r="F38"/>
      <c r="G38"/>
      <c r="H38" s="313"/>
      <c r="I38" s="313"/>
      <c r="J38" s="313"/>
      <c r="K38" s="313"/>
      <c r="L38" s="313"/>
      <c r="M38" s="313"/>
      <c r="N38" s="313"/>
      <c r="O38" s="313"/>
      <c r="P38" s="313"/>
      <c r="Q38" s="313"/>
      <c r="R38" s="313"/>
      <c r="S38" s="313"/>
      <c r="T38" s="313"/>
      <c r="U38" s="313"/>
      <c r="V38" s="313"/>
      <c r="W38" s="313"/>
      <c r="X38" s="313"/>
      <c r="Y38" s="313"/>
      <c r="Z38" s="313"/>
      <c r="AA38" s="313"/>
      <c r="AB38" s="313"/>
      <c r="AC38" s="313"/>
      <c r="AD38" s="313"/>
      <c r="AE38" s="313"/>
      <c r="AF38" s="313"/>
      <c r="AG38" s="313"/>
      <c r="AH38" s="313"/>
      <c r="AI38" s="313"/>
      <c r="AJ38" s="313"/>
      <c r="AK38" s="313"/>
      <c r="AL38" s="313"/>
      <c r="AM38" s="313"/>
      <c r="AN38" s="313"/>
      <c r="AO38" s="313"/>
      <c r="AP38" s="313"/>
      <c r="AQ38" s="313"/>
      <c r="AR38" s="313"/>
      <c r="AS38" s="313"/>
      <c r="AT38" s="313"/>
      <c r="AU38" s="313"/>
      <c r="AV38" s="313"/>
      <c r="AW38" s="313"/>
      <c r="AX38" s="313"/>
      <c r="AY38" s="313"/>
      <c r="AZ38" s="313"/>
      <c r="BA38" s="313"/>
      <c r="BB38" s="313"/>
      <c r="BC38" s="313"/>
      <c r="BD38" s="313"/>
      <c r="BE38" s="313"/>
      <c r="BF38" s="313"/>
      <c r="BG38" s="313"/>
    </row>
    <row r="39" spans="1:59" s="529" customFormat="1" ht="18" customHeight="1">
      <c r="A39" s="394" t="s">
        <v>7158</v>
      </c>
      <c r="B39" s="135"/>
      <c r="C39" s="135" t="s">
        <v>22</v>
      </c>
      <c r="D39" s="135">
        <v>17</v>
      </c>
      <c r="E39" s="314">
        <f t="shared" si="2"/>
        <v>0</v>
      </c>
      <c r="F39"/>
      <c r="G39"/>
      <c r="H39" s="313"/>
      <c r="I39" s="313"/>
      <c r="J39" s="313"/>
      <c r="K39" s="313"/>
      <c r="L39" s="313"/>
      <c r="M39" s="313"/>
      <c r="N39" s="313"/>
      <c r="O39" s="313"/>
      <c r="P39" s="313"/>
      <c r="Q39" s="313"/>
      <c r="R39" s="313"/>
      <c r="S39" s="313"/>
      <c r="T39" s="313"/>
      <c r="U39" s="313"/>
      <c r="V39" s="313"/>
      <c r="W39" s="313"/>
      <c r="X39" s="313"/>
      <c r="Y39" s="313"/>
      <c r="Z39" s="313"/>
      <c r="AA39" s="313"/>
      <c r="AB39" s="313"/>
      <c r="AC39" s="313"/>
      <c r="AD39" s="313"/>
      <c r="AE39" s="313"/>
      <c r="AF39" s="313"/>
      <c r="AG39" s="313"/>
      <c r="AH39" s="313"/>
      <c r="AI39" s="313"/>
      <c r="AJ39" s="313"/>
      <c r="AK39" s="313"/>
      <c r="AL39" s="313"/>
      <c r="AM39" s="313"/>
      <c r="AN39" s="313"/>
      <c r="AO39" s="313"/>
      <c r="AP39" s="313"/>
      <c r="AQ39" s="313"/>
      <c r="AR39" s="313"/>
      <c r="AS39" s="313"/>
      <c r="AT39" s="313"/>
      <c r="AU39" s="313"/>
      <c r="AV39" s="313"/>
      <c r="AW39" s="313"/>
      <c r="AX39" s="313"/>
      <c r="AY39" s="313"/>
      <c r="AZ39" s="313"/>
      <c r="BA39" s="313"/>
      <c r="BB39" s="313"/>
      <c r="BC39" s="313"/>
      <c r="BD39" s="313"/>
      <c r="BE39" s="313"/>
      <c r="BF39" s="313"/>
      <c r="BG39" s="313"/>
    </row>
    <row r="40" spans="1:59" s="529" customFormat="1" ht="18" customHeight="1">
      <c r="A40" s="572" t="s">
        <v>1085</v>
      </c>
      <c r="B40" s="481"/>
      <c r="C40" s="481" t="s">
        <v>22</v>
      </c>
      <c r="D40" s="481">
        <v>18</v>
      </c>
      <c r="E40" s="482">
        <f t="shared" si="2"/>
        <v>0</v>
      </c>
      <c r="F40"/>
      <c r="G40"/>
      <c r="H40" s="313"/>
      <c r="I40" s="313"/>
      <c r="J40" s="313"/>
      <c r="K40" s="313"/>
      <c r="L40" s="313"/>
      <c r="M40" s="313"/>
      <c r="N40" s="313"/>
      <c r="O40" s="313"/>
      <c r="P40" s="313"/>
      <c r="Q40" s="313"/>
      <c r="R40" s="313"/>
      <c r="S40" s="313"/>
      <c r="T40" s="313"/>
      <c r="U40" s="313"/>
      <c r="V40" s="313"/>
      <c r="W40" s="313"/>
      <c r="X40" s="313"/>
      <c r="Y40" s="313"/>
      <c r="Z40" s="313"/>
      <c r="AA40" s="313"/>
      <c r="AB40" s="313"/>
      <c r="AC40" s="313"/>
      <c r="AD40" s="313"/>
      <c r="AE40" s="313"/>
      <c r="AF40" s="313"/>
      <c r="AG40" s="313"/>
      <c r="AH40" s="313"/>
      <c r="AI40" s="313"/>
      <c r="AJ40" s="313"/>
      <c r="AK40" s="313"/>
      <c r="AL40" s="313"/>
      <c r="AM40" s="313"/>
      <c r="AN40" s="313"/>
      <c r="AO40" s="313"/>
      <c r="AP40" s="313"/>
      <c r="AQ40" s="313"/>
      <c r="AR40" s="313"/>
      <c r="AS40" s="313"/>
      <c r="AT40" s="313"/>
      <c r="AU40" s="313"/>
      <c r="AV40" s="313"/>
      <c r="AW40" s="313"/>
      <c r="AX40" s="313"/>
      <c r="AY40" s="313"/>
      <c r="AZ40" s="313"/>
      <c r="BA40" s="313"/>
      <c r="BB40" s="313"/>
      <c r="BC40" s="313"/>
      <c r="BD40" s="313"/>
      <c r="BE40" s="313"/>
      <c r="BF40" s="313"/>
      <c r="BG40" s="313"/>
    </row>
    <row r="41" spans="1:59" s="529" customFormat="1" ht="18" customHeight="1">
      <c r="A41" s="572" t="s">
        <v>1079</v>
      </c>
      <c r="B41" s="481"/>
      <c r="C41" s="481" t="s">
        <v>22</v>
      </c>
      <c r="D41" s="481">
        <v>17</v>
      </c>
      <c r="E41" s="482">
        <f t="shared" si="2"/>
        <v>0</v>
      </c>
      <c r="F41"/>
      <c r="G41"/>
      <c r="H41" s="313"/>
      <c r="I41" s="313"/>
      <c r="J41" s="313"/>
      <c r="K41" s="313"/>
      <c r="L41" s="313"/>
      <c r="M41" s="313"/>
      <c r="N41" s="313"/>
      <c r="O41" s="313"/>
      <c r="P41" s="313"/>
      <c r="Q41" s="313"/>
      <c r="R41" s="313"/>
      <c r="S41" s="313"/>
      <c r="T41" s="313"/>
      <c r="U41" s="313"/>
      <c r="V41" s="313"/>
      <c r="W41" s="313"/>
      <c r="X41" s="313"/>
      <c r="Y41" s="313"/>
      <c r="Z41" s="313"/>
      <c r="AA41" s="313"/>
      <c r="AB41" s="313"/>
      <c r="AC41" s="313"/>
      <c r="AD41" s="313"/>
      <c r="AE41" s="313"/>
      <c r="AF41" s="313"/>
      <c r="AG41" s="313"/>
      <c r="AH41" s="313"/>
      <c r="AI41" s="313"/>
      <c r="AJ41" s="313"/>
      <c r="AK41" s="313"/>
      <c r="AL41" s="313"/>
      <c r="AM41" s="313"/>
      <c r="AN41" s="313"/>
      <c r="AO41" s="313"/>
      <c r="AP41" s="313"/>
      <c r="AQ41" s="313"/>
      <c r="AR41" s="313"/>
      <c r="AS41" s="313"/>
      <c r="AT41" s="313"/>
      <c r="AU41" s="313"/>
      <c r="AV41" s="313"/>
      <c r="AW41" s="313"/>
      <c r="AX41" s="313"/>
      <c r="AY41" s="313"/>
      <c r="AZ41" s="313"/>
      <c r="BA41" s="313"/>
      <c r="BB41" s="313"/>
      <c r="BC41" s="313"/>
      <c r="BD41" s="313"/>
      <c r="BE41" s="313"/>
      <c r="BF41" s="313"/>
      <c r="BG41" s="313"/>
    </row>
    <row r="42" spans="1:59" s="529" customFormat="1" ht="18" customHeight="1">
      <c r="A42" s="572" t="s">
        <v>1078</v>
      </c>
      <c r="B42" s="481"/>
      <c r="C42" s="481" t="s">
        <v>22</v>
      </c>
      <c r="D42" s="481">
        <v>17</v>
      </c>
      <c r="E42" s="482">
        <f t="shared" si="2"/>
        <v>0</v>
      </c>
      <c r="F42"/>
      <c r="G42"/>
      <c r="H42" s="313"/>
      <c r="I42" s="313"/>
      <c r="J42" s="313"/>
      <c r="K42" s="313"/>
      <c r="L42" s="313"/>
      <c r="M42" s="313"/>
      <c r="N42" s="313"/>
      <c r="O42" s="313"/>
      <c r="P42" s="313"/>
      <c r="Q42" s="313"/>
      <c r="R42" s="313"/>
      <c r="S42" s="313"/>
      <c r="T42" s="313"/>
      <c r="U42" s="313"/>
      <c r="V42" s="313"/>
      <c r="W42" s="313"/>
      <c r="X42" s="313"/>
      <c r="Y42" s="313"/>
      <c r="Z42" s="313"/>
      <c r="AA42" s="313"/>
      <c r="AB42" s="313"/>
      <c r="AC42" s="313"/>
      <c r="AD42" s="313"/>
      <c r="AE42" s="313"/>
      <c r="AF42" s="313"/>
      <c r="AG42" s="313"/>
      <c r="AH42" s="313"/>
      <c r="AI42" s="313"/>
      <c r="AJ42" s="313"/>
      <c r="AK42" s="313"/>
      <c r="AL42" s="313"/>
      <c r="AM42" s="313"/>
      <c r="AN42" s="313"/>
      <c r="AO42" s="313"/>
      <c r="AP42" s="313"/>
      <c r="AQ42" s="313"/>
      <c r="AR42" s="313"/>
      <c r="AS42" s="313"/>
      <c r="AT42" s="313"/>
      <c r="AU42" s="313"/>
      <c r="AV42" s="313"/>
      <c r="AW42" s="313"/>
      <c r="AX42" s="313"/>
      <c r="AY42" s="313"/>
      <c r="AZ42" s="313"/>
      <c r="BA42" s="313"/>
      <c r="BB42" s="313"/>
      <c r="BC42" s="313"/>
      <c r="BD42" s="313"/>
      <c r="BE42" s="313"/>
      <c r="BF42" s="313"/>
      <c r="BG42" s="313"/>
    </row>
    <row r="43" spans="1:59" s="529" customFormat="1" ht="18" customHeight="1">
      <c r="A43" s="572" t="s">
        <v>1086</v>
      </c>
      <c r="B43" s="481"/>
      <c r="C43" s="481" t="s">
        <v>22</v>
      </c>
      <c r="D43" s="481">
        <v>17</v>
      </c>
      <c r="E43" s="482">
        <f t="shared" ref="E43:E49" si="3">B43*D43</f>
        <v>0</v>
      </c>
      <c r="F43"/>
      <c r="G43"/>
      <c r="H43" s="313"/>
      <c r="I43" s="313"/>
      <c r="J43" s="313"/>
      <c r="K43" s="313"/>
      <c r="L43" s="313"/>
      <c r="M43" s="313"/>
      <c r="N43" s="313"/>
      <c r="O43" s="313"/>
      <c r="P43" s="313"/>
      <c r="Q43" s="313"/>
      <c r="R43" s="313"/>
      <c r="S43" s="313"/>
      <c r="T43" s="313"/>
      <c r="U43" s="313"/>
      <c r="V43" s="313"/>
      <c r="W43" s="313"/>
      <c r="X43" s="313"/>
      <c r="Y43" s="313"/>
      <c r="Z43" s="313"/>
      <c r="AA43" s="313"/>
      <c r="AB43" s="313"/>
      <c r="AC43" s="313"/>
      <c r="AD43" s="313"/>
      <c r="AE43" s="313"/>
      <c r="AF43" s="313"/>
      <c r="AG43" s="313"/>
      <c r="AH43" s="313"/>
      <c r="AI43" s="313"/>
      <c r="AJ43" s="313"/>
      <c r="AK43" s="313"/>
      <c r="AL43" s="313"/>
      <c r="AM43" s="313"/>
      <c r="AN43" s="313"/>
      <c r="AO43" s="313"/>
      <c r="AP43" s="313"/>
      <c r="AQ43" s="313"/>
      <c r="AR43" s="313"/>
      <c r="AS43" s="313"/>
      <c r="AT43" s="313"/>
      <c r="AU43" s="313"/>
      <c r="AV43" s="313"/>
      <c r="AW43" s="313"/>
      <c r="AX43" s="313"/>
      <c r="AY43" s="313"/>
      <c r="AZ43" s="313"/>
      <c r="BA43" s="313"/>
      <c r="BB43" s="313"/>
      <c r="BC43" s="313"/>
      <c r="BD43" s="313"/>
      <c r="BE43" s="313"/>
      <c r="BF43" s="313"/>
      <c r="BG43" s="313"/>
    </row>
    <row r="44" spans="1:59" s="529" customFormat="1" ht="18" customHeight="1">
      <c r="A44" s="572" t="s">
        <v>1087</v>
      </c>
      <c r="B44" s="481"/>
      <c r="C44" s="481" t="s">
        <v>22</v>
      </c>
      <c r="D44" s="481">
        <v>17</v>
      </c>
      <c r="E44" s="482">
        <f t="shared" si="3"/>
        <v>0</v>
      </c>
      <c r="F44"/>
      <c r="G44"/>
      <c r="H44" s="313"/>
      <c r="I44" s="313"/>
      <c r="J44" s="313"/>
      <c r="K44" s="313"/>
      <c r="L44" s="313"/>
      <c r="M44" s="313"/>
      <c r="N44" s="313"/>
      <c r="O44" s="313"/>
      <c r="P44" s="313"/>
      <c r="Q44" s="313"/>
      <c r="R44" s="313"/>
      <c r="S44" s="313"/>
      <c r="T44" s="313"/>
      <c r="U44" s="313"/>
      <c r="V44" s="313"/>
      <c r="W44" s="313"/>
      <c r="X44" s="313"/>
      <c r="Y44" s="313"/>
      <c r="Z44" s="313"/>
      <c r="AA44" s="313"/>
      <c r="AB44" s="313"/>
      <c r="AC44" s="313"/>
      <c r="AD44" s="313"/>
      <c r="AE44" s="313"/>
      <c r="AF44" s="313"/>
      <c r="AG44" s="313"/>
      <c r="AH44" s="313"/>
      <c r="AI44" s="313"/>
      <c r="AJ44" s="313"/>
      <c r="AK44" s="313"/>
      <c r="AL44" s="313"/>
      <c r="AM44" s="313"/>
      <c r="AN44" s="313"/>
      <c r="AO44" s="313"/>
      <c r="AP44" s="313"/>
      <c r="AQ44" s="313"/>
      <c r="AR44" s="313"/>
      <c r="AS44" s="313"/>
      <c r="AT44" s="313"/>
      <c r="AU44" s="313"/>
      <c r="AV44" s="313"/>
      <c r="AW44" s="313"/>
      <c r="AX44" s="313"/>
      <c r="AY44" s="313"/>
      <c r="AZ44" s="313"/>
      <c r="BA44" s="313"/>
      <c r="BB44" s="313"/>
      <c r="BC44" s="313"/>
      <c r="BD44" s="313"/>
      <c r="BE44" s="313"/>
      <c r="BF44" s="313"/>
      <c r="BG44" s="313"/>
    </row>
    <row r="45" spans="1:59" s="529" customFormat="1" ht="18" customHeight="1">
      <c r="A45" s="572" t="s">
        <v>1047</v>
      </c>
      <c r="B45" s="481">
        <f>'British Columbia'!R57</f>
        <v>0</v>
      </c>
      <c r="C45" s="481" t="s">
        <v>22</v>
      </c>
      <c r="D45" s="481">
        <v>17</v>
      </c>
      <c r="E45" s="482">
        <f t="shared" ref="E45" si="4">B45*D45</f>
        <v>0</v>
      </c>
      <c r="F45"/>
      <c r="G45"/>
      <c r="H45" s="313"/>
      <c r="I45" s="313"/>
      <c r="J45" s="313"/>
      <c r="K45" s="313"/>
      <c r="L45" s="313"/>
      <c r="M45" s="313"/>
      <c r="N45" s="313"/>
      <c r="O45" s="313"/>
      <c r="P45" s="313"/>
      <c r="Q45" s="313"/>
      <c r="R45" s="313"/>
      <c r="S45" s="313"/>
      <c r="T45" s="313"/>
      <c r="U45" s="313"/>
      <c r="V45" s="313"/>
      <c r="W45" s="313"/>
      <c r="X45" s="313"/>
      <c r="Y45" s="313"/>
      <c r="Z45" s="313"/>
      <c r="AA45" s="313"/>
      <c r="AB45" s="313"/>
      <c r="AC45" s="313"/>
      <c r="AD45" s="313"/>
      <c r="AE45" s="313"/>
      <c r="AF45" s="313"/>
      <c r="AG45" s="313"/>
      <c r="AH45" s="313"/>
      <c r="AI45" s="313"/>
      <c r="AJ45" s="313"/>
      <c r="AK45" s="313"/>
      <c r="AL45" s="313"/>
      <c r="AM45" s="313"/>
      <c r="AN45" s="313"/>
      <c r="AO45" s="313"/>
      <c r="AP45" s="313"/>
      <c r="AQ45" s="313"/>
      <c r="AR45" s="313"/>
      <c r="AS45" s="313"/>
      <c r="AT45" s="313"/>
      <c r="AU45" s="313"/>
      <c r="AV45" s="313"/>
      <c r="AW45" s="313"/>
      <c r="AX45" s="313"/>
      <c r="AY45" s="313"/>
      <c r="AZ45" s="313"/>
      <c r="BA45" s="313"/>
      <c r="BB45" s="313"/>
      <c r="BC45" s="313"/>
      <c r="BD45" s="313"/>
      <c r="BE45" s="313"/>
      <c r="BF45" s="313"/>
      <c r="BG45" s="313"/>
    </row>
    <row r="46" spans="1:59" s="529" customFormat="1" ht="18" customHeight="1">
      <c r="A46" s="572" t="s">
        <v>1088</v>
      </c>
      <c r="B46" s="481"/>
      <c r="C46" s="481" t="s">
        <v>22</v>
      </c>
      <c r="D46" s="481">
        <v>17</v>
      </c>
      <c r="E46" s="482">
        <f t="shared" si="3"/>
        <v>0</v>
      </c>
      <c r="F46"/>
      <c r="G46"/>
      <c r="H46" s="313"/>
      <c r="I46" s="313"/>
      <c r="J46" s="313"/>
      <c r="K46" s="313"/>
      <c r="L46" s="313"/>
      <c r="M46" s="313"/>
      <c r="N46" s="313"/>
      <c r="O46" s="313"/>
      <c r="P46" s="313"/>
      <c r="Q46" s="313"/>
      <c r="R46" s="313"/>
      <c r="S46" s="313"/>
      <c r="T46" s="313"/>
      <c r="U46" s="313"/>
      <c r="V46" s="313"/>
      <c r="W46" s="313"/>
      <c r="X46" s="313"/>
      <c r="Y46" s="313"/>
      <c r="Z46" s="313"/>
      <c r="AA46" s="313"/>
      <c r="AB46" s="313"/>
      <c r="AC46" s="313"/>
      <c r="AD46" s="313"/>
      <c r="AE46" s="313"/>
      <c r="AF46" s="313"/>
      <c r="AG46" s="313"/>
      <c r="AH46" s="313"/>
      <c r="AI46" s="313"/>
      <c r="AJ46" s="313"/>
      <c r="AK46" s="313"/>
      <c r="AL46" s="313"/>
      <c r="AM46" s="313"/>
      <c r="AN46" s="313"/>
      <c r="AO46" s="313"/>
      <c r="AP46" s="313"/>
      <c r="AQ46" s="313"/>
      <c r="AR46" s="313"/>
      <c r="AS46" s="313"/>
      <c r="AT46" s="313"/>
      <c r="AU46" s="313"/>
      <c r="AV46" s="313"/>
      <c r="AW46" s="313"/>
      <c r="AX46" s="313"/>
      <c r="AY46" s="313"/>
      <c r="AZ46" s="313"/>
      <c r="BA46" s="313"/>
      <c r="BB46" s="313"/>
      <c r="BC46" s="313"/>
      <c r="BD46" s="313"/>
      <c r="BE46" s="313"/>
      <c r="BF46" s="313"/>
      <c r="BG46" s="313"/>
    </row>
    <row r="47" spans="1:59" s="529" customFormat="1" ht="18" customHeight="1">
      <c r="A47" s="572" t="s">
        <v>1089</v>
      </c>
      <c r="B47" s="481"/>
      <c r="C47" s="481" t="s">
        <v>22</v>
      </c>
      <c r="D47" s="481">
        <v>17</v>
      </c>
      <c r="E47" s="482">
        <f t="shared" si="3"/>
        <v>0</v>
      </c>
      <c r="F47"/>
      <c r="G47"/>
      <c r="H47" s="313"/>
      <c r="I47" s="313"/>
      <c r="J47" s="313"/>
      <c r="K47" s="313"/>
      <c r="L47" s="313"/>
      <c r="M47" s="313"/>
      <c r="N47" s="313"/>
      <c r="O47" s="313"/>
      <c r="P47" s="313"/>
      <c r="Q47" s="313"/>
      <c r="R47" s="313"/>
      <c r="S47" s="313"/>
      <c r="T47" s="313"/>
      <c r="U47" s="313"/>
      <c r="V47" s="313"/>
      <c r="W47" s="313"/>
      <c r="X47" s="313"/>
      <c r="Y47" s="313"/>
      <c r="Z47" s="313"/>
      <c r="AA47" s="313"/>
      <c r="AB47" s="313"/>
      <c r="AC47" s="313"/>
      <c r="AD47" s="313"/>
      <c r="AE47" s="313"/>
      <c r="AF47" s="313"/>
      <c r="AG47" s="313"/>
      <c r="AH47" s="313"/>
      <c r="AI47" s="313"/>
      <c r="AJ47" s="313"/>
      <c r="AK47" s="313"/>
      <c r="AL47" s="313"/>
      <c r="AM47" s="313"/>
      <c r="AN47" s="313"/>
      <c r="AO47" s="313"/>
      <c r="AP47" s="313"/>
      <c r="AQ47" s="313"/>
      <c r="AR47" s="313"/>
      <c r="AS47" s="313"/>
      <c r="AT47" s="313"/>
      <c r="AU47" s="313"/>
      <c r="AV47" s="313"/>
      <c r="AW47" s="313"/>
      <c r="AX47" s="313"/>
      <c r="AY47" s="313"/>
      <c r="AZ47" s="313"/>
      <c r="BA47" s="313"/>
      <c r="BB47" s="313"/>
      <c r="BC47" s="313"/>
      <c r="BD47" s="313"/>
      <c r="BE47" s="313"/>
      <c r="BF47" s="313"/>
      <c r="BG47" s="313"/>
    </row>
    <row r="48" spans="1:59" s="529" customFormat="1" ht="18" customHeight="1">
      <c r="A48" s="572" t="s">
        <v>1090</v>
      </c>
      <c r="B48" s="481"/>
      <c r="C48" s="481" t="s">
        <v>22</v>
      </c>
      <c r="D48" s="481">
        <v>17</v>
      </c>
      <c r="E48" s="482">
        <f t="shared" si="3"/>
        <v>0</v>
      </c>
      <c r="F48"/>
      <c r="G48"/>
      <c r="H48" s="313"/>
      <c r="I48" s="313"/>
      <c r="J48" s="313"/>
      <c r="K48" s="313"/>
      <c r="L48" s="313"/>
      <c r="M48" s="313"/>
      <c r="N48" s="313"/>
      <c r="O48" s="313"/>
      <c r="P48" s="313"/>
      <c r="Q48" s="313"/>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313"/>
      <c r="AQ48" s="313"/>
      <c r="AR48" s="313"/>
      <c r="AS48" s="313"/>
      <c r="AT48" s="313"/>
      <c r="AU48" s="313"/>
      <c r="AV48" s="313"/>
      <c r="AW48" s="313"/>
      <c r="AX48" s="313"/>
      <c r="AY48" s="313"/>
      <c r="AZ48" s="313"/>
      <c r="BA48" s="313"/>
      <c r="BB48" s="313"/>
      <c r="BC48" s="313"/>
      <c r="BD48" s="313"/>
      <c r="BE48" s="313"/>
      <c r="BF48" s="313"/>
      <c r="BG48" s="313"/>
    </row>
    <row r="49" spans="1:59" s="529" customFormat="1" ht="18" customHeight="1">
      <c r="A49" s="572" t="s">
        <v>1067</v>
      </c>
      <c r="B49" s="481"/>
      <c r="C49" s="481" t="s">
        <v>22</v>
      </c>
      <c r="D49" s="481">
        <v>17</v>
      </c>
      <c r="E49" s="482">
        <f t="shared" si="3"/>
        <v>0</v>
      </c>
      <c r="F49"/>
      <c r="G49"/>
      <c r="H49" s="313"/>
      <c r="I49" s="313"/>
      <c r="J49" s="313"/>
      <c r="K49" s="313"/>
      <c r="L49" s="313"/>
      <c r="M49" s="313"/>
      <c r="N49" s="313"/>
      <c r="O49" s="313"/>
      <c r="P49" s="313"/>
      <c r="Q49" s="313"/>
      <c r="R49" s="313"/>
      <c r="S49" s="313"/>
      <c r="T49" s="313"/>
      <c r="U49" s="313"/>
      <c r="V49" s="313"/>
      <c r="W49" s="313"/>
      <c r="X49" s="313"/>
      <c r="Y49" s="313"/>
      <c r="Z49" s="313"/>
      <c r="AA49" s="313"/>
      <c r="AB49" s="313"/>
      <c r="AC49" s="313"/>
      <c r="AD49" s="313"/>
      <c r="AE49" s="313"/>
      <c r="AF49" s="313"/>
      <c r="AG49" s="313"/>
      <c r="AH49" s="313"/>
      <c r="AI49" s="313"/>
      <c r="AJ49" s="313"/>
      <c r="AK49" s="313"/>
      <c r="AL49" s="313"/>
      <c r="AM49" s="313"/>
      <c r="AN49" s="313"/>
      <c r="AO49" s="313"/>
      <c r="AP49" s="313"/>
      <c r="AQ49" s="313"/>
      <c r="AR49" s="313"/>
      <c r="AS49" s="313"/>
      <c r="AT49" s="313"/>
      <c r="AU49" s="313"/>
      <c r="AV49" s="313"/>
      <c r="AW49" s="313"/>
      <c r="AX49" s="313"/>
      <c r="AY49" s="313"/>
      <c r="AZ49" s="313"/>
      <c r="BA49" s="313"/>
      <c r="BB49" s="313"/>
      <c r="BC49" s="313"/>
      <c r="BD49" s="313"/>
      <c r="BE49" s="313"/>
      <c r="BF49" s="313"/>
      <c r="BG49" s="313"/>
    </row>
    <row r="50" spans="1:59" s="529" customFormat="1" ht="18" customHeight="1">
      <c r="A50" s="572" t="s">
        <v>1080</v>
      </c>
      <c r="B50" s="481"/>
      <c r="C50" s="481" t="s">
        <v>22</v>
      </c>
      <c r="D50" s="481">
        <v>17</v>
      </c>
      <c r="E50" s="482">
        <f t="shared" ref="E50" si="5">B50*D50</f>
        <v>0</v>
      </c>
      <c r="F50"/>
      <c r="G50"/>
      <c r="H50" s="313"/>
      <c r="I50" s="313"/>
      <c r="J50" s="313"/>
      <c r="K50" s="313"/>
      <c r="L50" s="313"/>
      <c r="M50" s="313"/>
      <c r="N50" s="313"/>
      <c r="O50" s="313"/>
      <c r="P50" s="313"/>
      <c r="Q50" s="313"/>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313"/>
      <c r="AQ50" s="313"/>
      <c r="AR50" s="313"/>
      <c r="AS50" s="313"/>
      <c r="AT50" s="313"/>
      <c r="AU50" s="313"/>
      <c r="AV50" s="313"/>
      <c r="AW50" s="313"/>
      <c r="AX50" s="313"/>
      <c r="AY50" s="313"/>
      <c r="AZ50" s="313"/>
      <c r="BA50" s="313"/>
      <c r="BB50" s="313"/>
      <c r="BC50" s="313"/>
      <c r="BD50" s="313"/>
      <c r="BE50" s="313"/>
      <c r="BF50" s="313"/>
      <c r="BG50" s="313"/>
    </row>
    <row r="51" spans="1:59" s="529" customFormat="1" ht="18" customHeight="1">
      <c r="A51" s="572" t="s">
        <v>1091</v>
      </c>
      <c r="B51" s="481"/>
      <c r="C51" s="481" t="s">
        <v>22</v>
      </c>
      <c r="D51" s="481">
        <v>17</v>
      </c>
      <c r="E51" s="482">
        <f>B51*D51</f>
        <v>0</v>
      </c>
      <c r="F51"/>
      <c r="G51"/>
      <c r="H51" s="313"/>
      <c r="I51" s="313"/>
      <c r="J51" s="313"/>
      <c r="K51" s="313"/>
      <c r="L51" s="313"/>
      <c r="M51" s="313"/>
      <c r="N51" s="313"/>
      <c r="O51" s="313"/>
      <c r="P51" s="313"/>
      <c r="Q51" s="313"/>
      <c r="R51" s="313"/>
      <c r="S51" s="313"/>
      <c r="T51" s="313"/>
      <c r="U51" s="313"/>
      <c r="V51" s="313"/>
      <c r="W51" s="313"/>
      <c r="X51" s="313"/>
      <c r="Y51" s="313"/>
      <c r="Z51" s="313"/>
      <c r="AA51" s="313"/>
      <c r="AB51" s="313"/>
      <c r="AC51" s="313"/>
      <c r="AD51" s="313"/>
      <c r="AE51" s="313"/>
      <c r="AF51" s="313"/>
      <c r="AG51" s="313"/>
      <c r="AH51" s="313"/>
      <c r="AI51" s="313"/>
      <c r="AJ51" s="313"/>
      <c r="AK51" s="313"/>
      <c r="AL51" s="313"/>
      <c r="AM51" s="313"/>
      <c r="AN51" s="313"/>
      <c r="AO51" s="313"/>
      <c r="AP51" s="313"/>
      <c r="AQ51" s="313"/>
      <c r="AR51" s="313"/>
      <c r="AS51" s="313"/>
      <c r="AT51" s="313"/>
      <c r="AU51" s="313"/>
      <c r="AV51" s="313"/>
      <c r="AW51" s="313"/>
      <c r="AX51" s="313"/>
      <c r="AY51" s="313"/>
      <c r="AZ51" s="313"/>
      <c r="BA51" s="313"/>
      <c r="BB51" s="313"/>
      <c r="BC51" s="313"/>
      <c r="BD51" s="313"/>
      <c r="BE51" s="313"/>
      <c r="BF51" s="313"/>
      <c r="BG51" s="313"/>
    </row>
    <row r="52" spans="1:59" ht="18" customHeight="1">
      <c r="A52" s="423"/>
      <c r="B52" s="419"/>
      <c r="C52" s="419"/>
      <c r="D52" s="419"/>
      <c r="E52" s="420"/>
      <c r="F52"/>
      <c r="G52"/>
      <c r="I52" s="647" t="s">
        <v>23</v>
      </c>
    </row>
    <row r="53" spans="1:59" ht="18" customHeight="1">
      <c r="A53" s="414" t="s">
        <v>1084</v>
      </c>
      <c r="B53" s="415">
        <f>SUM(B36:B52)</f>
        <v>0</v>
      </c>
      <c r="C53" s="415"/>
      <c r="D53" s="415"/>
      <c r="E53" s="415"/>
      <c r="F53"/>
      <c r="G53"/>
      <c r="I53" s="647"/>
    </row>
    <row r="54" spans="1:59" s="529" customFormat="1" ht="18" customHeight="1">
      <c r="A54" s="139"/>
      <c r="B54" s="139"/>
      <c r="C54" s="139"/>
      <c r="D54" s="139"/>
      <c r="E54" s="139"/>
      <c r="F54" s="648"/>
      <c r="G54" s="313"/>
      <c r="H54" s="313"/>
      <c r="I54" s="313"/>
      <c r="J54" s="313"/>
      <c r="K54" s="313"/>
      <c r="L54" s="313"/>
      <c r="M54" s="313"/>
      <c r="N54" s="313"/>
      <c r="O54" s="313"/>
      <c r="P54" s="313"/>
      <c r="Q54" s="313"/>
      <c r="R54" s="313"/>
      <c r="S54" s="313"/>
      <c r="T54" s="313"/>
      <c r="U54" s="313"/>
      <c r="V54" s="313"/>
      <c r="W54" s="313"/>
      <c r="X54" s="313"/>
      <c r="Y54" s="313"/>
      <c r="Z54" s="313"/>
      <c r="AA54" s="313"/>
      <c r="AB54" s="313"/>
      <c r="AC54" s="313"/>
      <c r="AD54" s="313"/>
      <c r="AE54" s="313"/>
      <c r="AF54" s="313"/>
      <c r="AG54" s="313"/>
      <c r="AH54" s="313"/>
      <c r="AI54" s="313"/>
      <c r="AJ54" s="313"/>
      <c r="AK54" s="313"/>
      <c r="AL54" s="313"/>
      <c r="AM54" s="313"/>
      <c r="AN54" s="313"/>
      <c r="AO54" s="313"/>
      <c r="AP54" s="313"/>
      <c r="AQ54" s="313"/>
      <c r="AR54" s="313"/>
      <c r="AS54" s="313"/>
      <c r="AT54" s="313"/>
      <c r="AU54" s="313"/>
      <c r="AV54" s="313"/>
      <c r="AW54" s="313"/>
      <c r="AX54" s="313"/>
      <c r="AY54" s="313"/>
      <c r="AZ54" s="313"/>
      <c r="BA54" s="313"/>
      <c r="BB54" s="313"/>
      <c r="BC54" s="313"/>
      <c r="BD54" s="313"/>
      <c r="BE54" s="313"/>
      <c r="BF54" s="313"/>
      <c r="BG54" s="313"/>
    </row>
    <row r="55" spans="1:59" s="529" customFormat="1" ht="18" customHeight="1">
      <c r="A55" s="414" t="s">
        <v>1092</v>
      </c>
      <c r="B55" s="415"/>
      <c r="C55" s="415"/>
      <c r="D55" s="415"/>
      <c r="E55" s="416"/>
      <c r="F55" s="648"/>
      <c r="G55" s="313"/>
      <c r="H55" s="313"/>
      <c r="I55" s="313"/>
      <c r="J55" s="313"/>
      <c r="K55" s="313"/>
      <c r="L55" s="313"/>
      <c r="M55" s="313"/>
      <c r="N55" s="313"/>
      <c r="O55" s="313"/>
      <c r="P55" s="313"/>
      <c r="Q55" s="313"/>
      <c r="R55" s="313"/>
      <c r="S55" s="313"/>
      <c r="T55" s="313"/>
      <c r="U55" s="313"/>
      <c r="V55" s="313"/>
      <c r="W55" s="313"/>
      <c r="X55" s="313"/>
      <c r="Y55" s="313"/>
      <c r="Z55" s="313"/>
      <c r="AA55" s="313"/>
      <c r="AB55" s="313"/>
      <c r="AC55" s="313"/>
      <c r="AD55" s="313"/>
      <c r="AE55" s="313"/>
      <c r="AF55" s="313"/>
      <c r="AG55" s="313"/>
      <c r="AH55" s="313"/>
      <c r="AI55" s="313"/>
      <c r="AJ55" s="313"/>
      <c r="AK55" s="313"/>
      <c r="AL55" s="313"/>
      <c r="AM55" s="313"/>
      <c r="AN55" s="313"/>
      <c r="AO55" s="313"/>
      <c r="AP55" s="313"/>
      <c r="AQ55" s="313"/>
      <c r="AR55" s="313"/>
      <c r="AS55" s="313"/>
      <c r="AT55" s="313"/>
      <c r="AU55" s="313"/>
      <c r="AV55" s="313"/>
      <c r="AW55" s="313"/>
      <c r="AX55" s="313"/>
      <c r="AY55" s="313"/>
      <c r="AZ55" s="313"/>
      <c r="BA55" s="313"/>
      <c r="BB55" s="313"/>
      <c r="BC55" s="313"/>
      <c r="BD55" s="313"/>
      <c r="BE55" s="313"/>
      <c r="BF55" s="313"/>
      <c r="BG55" s="313"/>
    </row>
    <row r="56" spans="1:59" s="529" customFormat="1" ht="18" customHeight="1">
      <c r="A56" s="394" t="s">
        <v>7175</v>
      </c>
      <c r="B56" s="135">
        <f xml:space="preserve"> 'British Columbia'!C74</f>
        <v>21.5</v>
      </c>
      <c r="C56" s="135" t="s">
        <v>22</v>
      </c>
      <c r="D56" s="135">
        <v>17</v>
      </c>
      <c r="E56" s="314">
        <f>(B56*D56)</f>
        <v>365.5</v>
      </c>
      <c r="F56" s="648"/>
      <c r="G56" s="313"/>
      <c r="H56" s="313"/>
      <c r="I56" s="313"/>
      <c r="J56" s="313"/>
      <c r="K56" s="313"/>
      <c r="L56" s="313"/>
      <c r="M56" s="313"/>
      <c r="N56" s="313"/>
      <c r="O56" s="313"/>
      <c r="P56" s="313"/>
      <c r="Q56" s="313"/>
      <c r="R56" s="313"/>
      <c r="S56" s="313"/>
      <c r="T56" s="313"/>
      <c r="U56" s="313"/>
      <c r="V56" s="313"/>
      <c r="W56" s="313"/>
      <c r="X56" s="313"/>
      <c r="Y56" s="313"/>
      <c r="Z56" s="313"/>
      <c r="AA56" s="313"/>
      <c r="AB56" s="313"/>
      <c r="AC56" s="313"/>
      <c r="AD56" s="313"/>
      <c r="AE56" s="313"/>
      <c r="AF56" s="313"/>
      <c r="AG56" s="313"/>
      <c r="AH56" s="313"/>
      <c r="AI56" s="313"/>
      <c r="AJ56" s="313"/>
      <c r="AK56" s="313"/>
      <c r="AL56" s="313"/>
      <c r="AM56" s="313"/>
      <c r="AN56" s="313"/>
      <c r="AO56" s="313"/>
      <c r="AP56" s="313"/>
      <c r="AQ56" s="313"/>
      <c r="AR56" s="313"/>
      <c r="AS56" s="313"/>
      <c r="AT56" s="313"/>
      <c r="AU56" s="313"/>
      <c r="AV56" s="313"/>
      <c r="AW56" s="313"/>
      <c r="AX56" s="313"/>
      <c r="AY56" s="313"/>
      <c r="AZ56" s="313"/>
      <c r="BA56" s="313"/>
      <c r="BB56" s="313"/>
      <c r="BC56" s="313"/>
      <c r="BD56" s="313"/>
      <c r="BE56" s="313"/>
      <c r="BF56" s="313"/>
      <c r="BG56" s="313"/>
    </row>
    <row r="57" spans="1:59" s="529" customFormat="1" ht="18" customHeight="1">
      <c r="A57" s="572" t="s">
        <v>1093</v>
      </c>
      <c r="B57" s="481"/>
      <c r="C57" s="481" t="s">
        <v>22</v>
      </c>
      <c r="D57" s="481">
        <v>17</v>
      </c>
      <c r="E57" s="482">
        <f>B57*D57</f>
        <v>0</v>
      </c>
      <c r="F57" s="648"/>
      <c r="G57" s="313"/>
      <c r="H57" s="313"/>
      <c r="I57" s="313"/>
      <c r="J57" s="313"/>
      <c r="K57" s="313"/>
      <c r="L57" s="313"/>
      <c r="M57" s="313"/>
      <c r="N57" s="313"/>
      <c r="O57" s="313"/>
      <c r="P57" s="313"/>
      <c r="Q57" s="313"/>
      <c r="R57" s="313"/>
      <c r="S57" s="313"/>
      <c r="T57" s="313"/>
      <c r="U57" s="313"/>
      <c r="V57" s="313"/>
      <c r="W57" s="313"/>
      <c r="X57" s="313"/>
      <c r="Y57" s="313"/>
      <c r="Z57" s="313"/>
      <c r="AA57" s="313"/>
      <c r="AB57" s="313"/>
      <c r="AC57" s="313"/>
      <c r="AD57" s="313"/>
      <c r="AE57" s="313"/>
      <c r="AF57" s="313"/>
      <c r="AG57" s="313"/>
      <c r="AH57" s="313"/>
      <c r="AI57" s="313"/>
      <c r="AJ57" s="313"/>
      <c r="AK57" s="313"/>
      <c r="AL57" s="313"/>
      <c r="AM57" s="313"/>
      <c r="AN57" s="313"/>
      <c r="AO57" s="313"/>
      <c r="AP57" s="313"/>
      <c r="AQ57" s="313"/>
      <c r="AR57" s="313"/>
      <c r="AS57" s="313"/>
      <c r="AT57" s="313"/>
      <c r="AU57" s="313"/>
      <c r="AV57" s="313"/>
      <c r="AW57" s="313"/>
      <c r="AX57" s="313"/>
      <c r="AY57" s="313"/>
      <c r="AZ57" s="313"/>
      <c r="BA57" s="313"/>
      <c r="BB57" s="313"/>
      <c r="BC57" s="313"/>
      <c r="BD57" s="313"/>
      <c r="BE57" s="313"/>
      <c r="BF57" s="313"/>
      <c r="BG57" s="313"/>
    </row>
    <row r="58" spans="1:59" s="529" customFormat="1" ht="18" customHeight="1">
      <c r="A58" s="572" t="s">
        <v>1094</v>
      </c>
      <c r="B58" s="481"/>
      <c r="C58" s="481" t="s">
        <v>22</v>
      </c>
      <c r="D58" s="481">
        <v>17</v>
      </c>
      <c r="E58" s="482">
        <f>B58*D58</f>
        <v>0</v>
      </c>
      <c r="F58" s="648"/>
      <c r="G58" s="313"/>
      <c r="H58" s="313"/>
      <c r="I58" s="313"/>
      <c r="J58" s="313"/>
      <c r="K58" s="313"/>
      <c r="L58" s="313"/>
      <c r="M58" s="313"/>
      <c r="N58" s="313"/>
      <c r="O58" s="313"/>
      <c r="P58" s="313"/>
      <c r="Q58" s="313"/>
      <c r="R58" s="313"/>
      <c r="S58" s="313"/>
      <c r="T58" s="313"/>
      <c r="U58" s="313"/>
      <c r="V58" s="313"/>
      <c r="W58" s="313"/>
      <c r="X58" s="313"/>
      <c r="Y58" s="313"/>
      <c r="Z58" s="313"/>
      <c r="AA58" s="313"/>
      <c r="AB58" s="313"/>
      <c r="AC58" s="313"/>
      <c r="AD58" s="313"/>
      <c r="AE58" s="313"/>
      <c r="AF58" s="313"/>
      <c r="AG58" s="313"/>
      <c r="AH58" s="313"/>
      <c r="AI58" s="313"/>
      <c r="AJ58" s="313"/>
      <c r="AK58" s="313"/>
      <c r="AL58" s="313"/>
      <c r="AM58" s="313"/>
      <c r="AN58" s="313"/>
      <c r="AO58" s="313"/>
      <c r="AP58" s="313"/>
      <c r="AQ58" s="313"/>
      <c r="AR58" s="313"/>
      <c r="AS58" s="313"/>
      <c r="AT58" s="313"/>
      <c r="AU58" s="313"/>
      <c r="AV58" s="313"/>
      <c r="AW58" s="313"/>
      <c r="AX58" s="313"/>
      <c r="AY58" s="313"/>
      <c r="AZ58" s="313"/>
      <c r="BA58" s="313"/>
      <c r="BB58" s="313"/>
      <c r="BC58" s="313"/>
      <c r="BD58" s="313"/>
      <c r="BE58" s="313"/>
      <c r="BF58" s="313"/>
      <c r="BG58" s="313"/>
    </row>
    <row r="59" spans="1:59" s="529" customFormat="1" ht="18" customHeight="1">
      <c r="A59" s="572" t="s">
        <v>1089</v>
      </c>
      <c r="B59" s="481">
        <f>'British Columbia'!F75</f>
        <v>0</v>
      </c>
      <c r="C59" s="481" t="s">
        <v>22</v>
      </c>
      <c r="D59" s="481">
        <v>17</v>
      </c>
      <c r="E59" s="482">
        <f>B59*D59</f>
        <v>0</v>
      </c>
      <c r="F59" s="648">
        <f>B61+B15</f>
        <v>87</v>
      </c>
      <c r="G59" s="313"/>
      <c r="H59" s="313"/>
      <c r="I59" s="313"/>
      <c r="J59" s="313"/>
      <c r="K59" s="313"/>
      <c r="L59" s="313"/>
      <c r="M59" s="313"/>
      <c r="N59" s="313"/>
      <c r="O59" s="313"/>
      <c r="P59" s="313"/>
      <c r="Q59" s="313"/>
      <c r="R59" s="313"/>
      <c r="S59" s="313"/>
      <c r="T59" s="313"/>
      <c r="U59" s="313"/>
      <c r="V59" s="313"/>
      <c r="W59" s="313"/>
      <c r="X59" s="313"/>
      <c r="Y59" s="313"/>
      <c r="Z59" s="313"/>
      <c r="AA59" s="313"/>
      <c r="AB59" s="313"/>
      <c r="AC59" s="313"/>
      <c r="AD59" s="313"/>
      <c r="AE59" s="313"/>
      <c r="AF59" s="313"/>
      <c r="AG59" s="313"/>
      <c r="AH59" s="313"/>
      <c r="AI59" s="313"/>
      <c r="AJ59" s="313"/>
      <c r="AK59" s="313"/>
      <c r="AL59" s="313"/>
      <c r="AM59" s="313"/>
      <c r="AN59" s="313"/>
      <c r="AO59" s="313"/>
      <c r="AP59" s="313"/>
      <c r="AQ59" s="313"/>
      <c r="AR59" s="313"/>
      <c r="AS59" s="313"/>
      <c r="AT59" s="313"/>
      <c r="AU59" s="313"/>
      <c r="AV59" s="313"/>
      <c r="AW59" s="313"/>
      <c r="AX59" s="313"/>
      <c r="AY59" s="313"/>
      <c r="AZ59" s="313"/>
      <c r="BA59" s="313"/>
      <c r="BB59" s="313"/>
      <c r="BC59" s="313"/>
      <c r="BD59" s="313"/>
      <c r="BE59" s="313"/>
      <c r="BF59" s="313"/>
      <c r="BG59" s="313"/>
    </row>
    <row r="60" spans="1:59" ht="18" customHeight="1">
      <c r="A60" s="423"/>
      <c r="B60" s="419"/>
      <c r="C60" s="419"/>
      <c r="D60" s="419"/>
      <c r="E60" s="420"/>
    </row>
    <row r="61" spans="1:59" ht="18" customHeight="1">
      <c r="A61" s="414" t="s">
        <v>1092</v>
      </c>
      <c r="B61" s="415">
        <f>SUM(B56:B60)</f>
        <v>21.5</v>
      </c>
      <c r="C61" s="415"/>
      <c r="D61" s="415"/>
      <c r="E61" s="415"/>
    </row>
    <row r="62" spans="1:59" s="529" customFormat="1" ht="18" customHeight="1">
      <c r="A62" s="139"/>
      <c r="B62" s="139"/>
      <c r="C62" s="139"/>
      <c r="D62" s="139"/>
      <c r="E62" s="139"/>
      <c r="F62" s="648"/>
      <c r="G62" s="313"/>
      <c r="H62" s="313"/>
      <c r="I62" s="313"/>
      <c r="J62" s="313"/>
      <c r="K62" s="313"/>
      <c r="L62" s="313"/>
      <c r="M62" s="313"/>
      <c r="N62" s="313"/>
      <c r="O62" s="313"/>
      <c r="P62" s="313"/>
      <c r="Q62" s="313"/>
      <c r="R62" s="313"/>
      <c r="S62" s="313"/>
      <c r="T62" s="313"/>
      <c r="U62" s="313"/>
      <c r="V62" s="313"/>
      <c r="W62" s="313"/>
      <c r="X62" s="313"/>
      <c r="Y62" s="313"/>
      <c r="Z62" s="313"/>
      <c r="AA62" s="313"/>
      <c r="AB62" s="313"/>
      <c r="AC62" s="313"/>
      <c r="AD62" s="313"/>
      <c r="AE62" s="313"/>
      <c r="AF62" s="313"/>
      <c r="AG62" s="313"/>
      <c r="AH62" s="313"/>
      <c r="AI62" s="313"/>
      <c r="AJ62" s="313"/>
      <c r="AK62" s="313"/>
      <c r="AL62" s="313"/>
      <c r="AM62" s="313"/>
      <c r="AN62" s="313"/>
      <c r="AO62" s="313"/>
      <c r="AP62" s="313"/>
      <c r="AQ62" s="313"/>
      <c r="AR62" s="313"/>
      <c r="AS62" s="313"/>
      <c r="AT62" s="313"/>
      <c r="AU62" s="313"/>
      <c r="AV62" s="313"/>
      <c r="AW62" s="313"/>
      <c r="AX62" s="313"/>
      <c r="AY62" s="313"/>
      <c r="AZ62" s="313"/>
      <c r="BA62" s="313"/>
      <c r="BB62" s="313"/>
      <c r="BC62" s="313"/>
      <c r="BD62" s="313"/>
      <c r="BE62" s="313"/>
      <c r="BF62" s="313"/>
      <c r="BG62" s="313"/>
    </row>
    <row r="63" spans="1:59" s="529" customFormat="1" ht="18" customHeight="1">
      <c r="A63" s="414" t="s">
        <v>1095</v>
      </c>
      <c r="B63" s="415"/>
      <c r="C63" s="415"/>
      <c r="D63" s="415"/>
      <c r="E63" s="416"/>
      <c r="F63" s="648"/>
      <c r="G63" s="313"/>
      <c r="H63" s="313"/>
      <c r="I63" s="313"/>
      <c r="J63" s="313"/>
      <c r="K63" s="313"/>
      <c r="L63" s="313"/>
      <c r="M63" s="313"/>
      <c r="N63" s="313"/>
      <c r="O63" s="313"/>
      <c r="P63" s="313"/>
      <c r="Q63" s="313"/>
      <c r="R63" s="313"/>
      <c r="S63" s="313"/>
      <c r="T63" s="313"/>
      <c r="U63" s="313"/>
      <c r="V63" s="313"/>
      <c r="W63" s="313"/>
      <c r="X63" s="313"/>
      <c r="Y63" s="313"/>
      <c r="Z63" s="313"/>
      <c r="AA63" s="313"/>
      <c r="AB63" s="313"/>
      <c r="AC63" s="313"/>
      <c r="AD63" s="313"/>
      <c r="AE63" s="313"/>
      <c r="AF63" s="313"/>
      <c r="AG63" s="313"/>
      <c r="AH63" s="313"/>
      <c r="AI63" s="313"/>
      <c r="AJ63" s="313"/>
      <c r="AK63" s="313"/>
      <c r="AL63" s="313"/>
      <c r="AM63" s="313"/>
      <c r="AN63" s="313"/>
      <c r="AO63" s="313"/>
      <c r="AP63" s="313"/>
      <c r="AQ63" s="313"/>
      <c r="AR63" s="313"/>
      <c r="AS63" s="313"/>
      <c r="AT63" s="313"/>
      <c r="AU63" s="313"/>
      <c r="AV63" s="313"/>
      <c r="AW63" s="313"/>
      <c r="AX63" s="313"/>
      <c r="AY63" s="313"/>
      <c r="AZ63" s="313"/>
      <c r="BA63" s="313"/>
      <c r="BB63" s="313"/>
      <c r="BC63" s="313"/>
      <c r="BD63" s="313"/>
      <c r="BE63" s="313"/>
      <c r="BF63" s="313"/>
      <c r="BG63" s="313"/>
    </row>
    <row r="64" spans="1:59" s="529" customFormat="1" ht="18" customHeight="1">
      <c r="A64" s="572" t="s">
        <v>1096</v>
      </c>
      <c r="B64" s="481">
        <f>'British Columbia'!C95</f>
        <v>0</v>
      </c>
      <c r="C64" s="481" t="s">
        <v>22</v>
      </c>
      <c r="D64" s="481">
        <v>17</v>
      </c>
      <c r="E64" s="482">
        <f>B64*D64</f>
        <v>0</v>
      </c>
      <c r="F64" s="648"/>
      <c r="G64" s="313"/>
      <c r="H64" s="313"/>
      <c r="I64" s="313"/>
      <c r="J64" s="313"/>
      <c r="K64" s="313"/>
      <c r="L64" s="313"/>
      <c r="M64" s="313"/>
      <c r="N64" s="313"/>
      <c r="O64" s="313"/>
      <c r="P64" s="313"/>
      <c r="Q64" s="313"/>
      <c r="R64" s="313"/>
      <c r="S64" s="313"/>
      <c r="T64" s="313"/>
      <c r="U64" s="313"/>
      <c r="V64" s="313"/>
      <c r="W64" s="313"/>
      <c r="X64" s="313"/>
      <c r="Y64" s="313"/>
      <c r="Z64" s="313"/>
      <c r="AA64" s="313"/>
      <c r="AB64" s="313"/>
      <c r="AC64" s="313"/>
      <c r="AD64" s="313"/>
      <c r="AE64" s="313"/>
      <c r="AF64" s="313"/>
      <c r="AG64" s="313"/>
      <c r="AH64" s="313"/>
      <c r="AI64" s="313"/>
      <c r="AJ64" s="313"/>
      <c r="AK64" s="313"/>
      <c r="AL64" s="313"/>
      <c r="AM64" s="313"/>
      <c r="AN64" s="313"/>
      <c r="AO64" s="313"/>
      <c r="AP64" s="313"/>
      <c r="AQ64" s="313"/>
      <c r="AR64" s="313"/>
      <c r="AS64" s="313"/>
      <c r="AT64" s="313"/>
      <c r="AU64" s="313"/>
      <c r="AV64" s="313"/>
      <c r="AW64" s="313"/>
      <c r="AX64" s="313"/>
      <c r="AY64" s="313"/>
      <c r="AZ64" s="313"/>
      <c r="BA64" s="313"/>
      <c r="BB64" s="313"/>
      <c r="BC64" s="313"/>
      <c r="BD64" s="313"/>
      <c r="BE64" s="313"/>
      <c r="BF64" s="313"/>
      <c r="BG64" s="313"/>
    </row>
    <row r="65" spans="1:5" ht="18" customHeight="1">
      <c r="A65" s="423"/>
      <c r="B65" s="419"/>
      <c r="C65" s="419"/>
      <c r="D65" s="419"/>
      <c r="E65" s="420"/>
    </row>
    <row r="66" spans="1:5" ht="18" customHeight="1">
      <c r="A66" s="414" t="s">
        <v>1095</v>
      </c>
      <c r="B66" s="415">
        <f>SUM(B64:B65)</f>
        <v>0</v>
      </c>
      <c r="C66" s="415"/>
      <c r="D66" s="415"/>
      <c r="E66" s="415"/>
    </row>
    <row r="86" spans="1:59" s="529" customFormat="1" ht="18" customHeight="1">
      <c r="A86" s="139"/>
      <c r="B86" s="139"/>
      <c r="C86" s="139"/>
      <c r="D86" s="139"/>
      <c r="E86" s="139"/>
      <c r="F86" s="648"/>
      <c r="G86" s="313"/>
      <c r="H86" s="313"/>
      <c r="I86" s="313"/>
      <c r="J86" s="313"/>
      <c r="K86" s="313"/>
      <c r="L86" s="313"/>
      <c r="M86" s="313"/>
      <c r="N86" s="313"/>
      <c r="O86" s="313"/>
      <c r="P86" s="313"/>
      <c r="Q86" s="313"/>
      <c r="R86" s="313"/>
      <c r="S86" s="313"/>
      <c r="T86" s="313"/>
      <c r="U86" s="313"/>
      <c r="V86" s="313"/>
      <c r="W86" s="313"/>
      <c r="X86" s="313"/>
      <c r="Y86" s="313"/>
      <c r="Z86" s="313"/>
      <c r="AA86" s="313"/>
      <c r="AB86" s="313"/>
      <c r="AC86" s="313"/>
      <c r="AD86" s="313"/>
      <c r="AE86" s="313"/>
      <c r="AF86" s="313"/>
      <c r="AG86" s="313"/>
      <c r="AH86" s="313"/>
      <c r="AI86" s="313"/>
      <c r="AJ86" s="313"/>
      <c r="AK86" s="313"/>
      <c r="AL86" s="313"/>
      <c r="AM86" s="313"/>
      <c r="AN86" s="313"/>
      <c r="AO86" s="313"/>
      <c r="AP86" s="313"/>
      <c r="AQ86" s="313"/>
      <c r="AR86" s="313"/>
      <c r="AS86" s="313"/>
      <c r="AT86" s="313"/>
      <c r="AU86" s="313"/>
      <c r="AV86" s="313"/>
      <c r="AW86" s="313"/>
      <c r="AX86" s="313"/>
      <c r="AY86" s="313"/>
      <c r="AZ86" s="313"/>
      <c r="BA86" s="313"/>
      <c r="BB86" s="313"/>
      <c r="BC86" s="313"/>
      <c r="BD86" s="313"/>
      <c r="BE86" s="313"/>
      <c r="BF86" s="313"/>
      <c r="BG86" s="313"/>
    </row>
    <row r="88" spans="1:59" s="529" customFormat="1" ht="18" customHeight="1">
      <c r="A88" s="139"/>
      <c r="B88" s="139"/>
      <c r="C88" s="139"/>
      <c r="D88" s="139"/>
      <c r="E88" s="139"/>
      <c r="F88" s="648"/>
      <c r="G88" s="313"/>
      <c r="H88" s="313"/>
      <c r="I88" s="313"/>
      <c r="J88" s="313"/>
      <c r="K88" s="313"/>
      <c r="L88" s="313"/>
      <c r="M88" s="313"/>
      <c r="N88" s="313"/>
      <c r="O88" s="313"/>
      <c r="P88" s="313"/>
      <c r="Q88" s="313"/>
      <c r="R88" s="313"/>
      <c r="S88" s="313"/>
      <c r="T88" s="313"/>
      <c r="U88" s="313"/>
      <c r="V88" s="313"/>
      <c r="W88" s="313"/>
      <c r="X88" s="313"/>
      <c r="Y88" s="313"/>
      <c r="Z88" s="313"/>
      <c r="AA88" s="313"/>
      <c r="AB88" s="313"/>
      <c r="AC88" s="313"/>
      <c r="AD88" s="313"/>
      <c r="AE88" s="313"/>
      <c r="AF88" s="313"/>
      <c r="AG88" s="313"/>
      <c r="AH88" s="313"/>
      <c r="AI88" s="313"/>
      <c r="AJ88" s="313"/>
      <c r="AK88" s="313"/>
      <c r="AL88" s="313"/>
      <c r="AM88" s="313"/>
      <c r="AN88" s="313"/>
      <c r="AO88" s="313"/>
      <c r="AP88" s="313"/>
      <c r="AQ88" s="313"/>
      <c r="AR88" s="313"/>
      <c r="AS88" s="313"/>
      <c r="AT88" s="313"/>
      <c r="AU88" s="313"/>
      <c r="AV88" s="313"/>
      <c r="AW88" s="313"/>
      <c r="AX88" s="313"/>
      <c r="AY88" s="313"/>
      <c r="AZ88" s="313"/>
      <c r="BA88" s="313"/>
      <c r="BB88" s="313"/>
      <c r="BC88" s="313"/>
      <c r="BD88" s="313"/>
      <c r="BE88" s="313"/>
      <c r="BF88" s="313"/>
      <c r="BG88" s="313"/>
    </row>
    <row r="89" spans="1:59" s="529" customFormat="1" ht="18" customHeight="1">
      <c r="A89" s="139"/>
      <c r="B89" s="139"/>
      <c r="C89" s="139"/>
      <c r="D89" s="139"/>
      <c r="E89" s="139"/>
      <c r="F89" s="648"/>
      <c r="G89" s="313"/>
      <c r="H89" s="313"/>
      <c r="I89" s="313"/>
      <c r="J89" s="313"/>
      <c r="K89" s="313"/>
      <c r="L89" s="313"/>
      <c r="M89" s="313"/>
      <c r="N89" s="313"/>
      <c r="O89" s="313"/>
      <c r="P89" s="313"/>
      <c r="Q89" s="313"/>
      <c r="R89" s="313"/>
      <c r="S89" s="313"/>
      <c r="T89" s="313"/>
      <c r="U89" s="313"/>
      <c r="V89" s="313"/>
      <c r="W89" s="313"/>
      <c r="X89" s="313"/>
      <c r="Y89" s="313"/>
      <c r="Z89" s="313"/>
      <c r="AA89" s="313"/>
      <c r="AB89" s="313"/>
      <c r="AC89" s="313"/>
      <c r="AD89" s="313"/>
      <c r="AE89" s="313"/>
      <c r="AF89" s="313"/>
      <c r="AG89" s="313"/>
      <c r="AH89" s="313"/>
      <c r="AI89" s="313"/>
      <c r="AJ89" s="313"/>
      <c r="AK89" s="313"/>
      <c r="AL89" s="313"/>
      <c r="AM89" s="313"/>
      <c r="AN89" s="313"/>
      <c r="AO89" s="313"/>
      <c r="AP89" s="313"/>
      <c r="AQ89" s="313"/>
      <c r="AR89" s="313"/>
      <c r="AS89" s="313"/>
      <c r="AT89" s="313"/>
      <c r="AU89" s="313"/>
      <c r="AV89" s="313"/>
      <c r="AW89" s="313"/>
      <c r="AX89" s="313"/>
      <c r="AY89" s="313"/>
      <c r="AZ89" s="313"/>
      <c r="BA89" s="313"/>
      <c r="BB89" s="313"/>
      <c r="BC89" s="313"/>
      <c r="BD89" s="313"/>
      <c r="BE89" s="313"/>
      <c r="BF89" s="313"/>
      <c r="BG89" s="313"/>
    </row>
    <row r="92" spans="1:59" s="529" customFormat="1" ht="18" customHeight="1">
      <c r="A92" s="139"/>
      <c r="B92" s="139"/>
      <c r="C92" s="139"/>
      <c r="D92" s="139"/>
      <c r="E92" s="139"/>
      <c r="F92" s="648"/>
      <c r="G92" s="313"/>
      <c r="H92" s="313"/>
      <c r="I92" s="313"/>
      <c r="J92" s="313"/>
      <c r="K92" s="313"/>
      <c r="L92" s="313"/>
      <c r="M92" s="313"/>
      <c r="N92" s="313"/>
      <c r="O92" s="313"/>
      <c r="P92" s="313"/>
      <c r="Q92" s="313"/>
      <c r="R92" s="313"/>
      <c r="S92" s="313"/>
      <c r="T92" s="313"/>
      <c r="U92" s="313"/>
      <c r="V92" s="313"/>
      <c r="W92" s="313"/>
      <c r="X92" s="313"/>
      <c r="Y92" s="313"/>
      <c r="Z92" s="313"/>
      <c r="AA92" s="313"/>
      <c r="AB92" s="313"/>
      <c r="AC92" s="313"/>
      <c r="AD92" s="313"/>
      <c r="AE92" s="313"/>
      <c r="AF92" s="313"/>
      <c r="AG92" s="313"/>
      <c r="AH92" s="313"/>
      <c r="AI92" s="313"/>
      <c r="AJ92" s="313"/>
      <c r="AK92" s="313"/>
      <c r="AL92" s="313"/>
      <c r="AM92" s="313"/>
      <c r="AN92" s="313"/>
      <c r="AO92" s="313"/>
      <c r="AP92" s="313"/>
      <c r="AQ92" s="313"/>
      <c r="AR92" s="313"/>
      <c r="AS92" s="313"/>
      <c r="AT92" s="313"/>
      <c r="AU92" s="313"/>
      <c r="AV92" s="313"/>
      <c r="AW92" s="313"/>
      <c r="AX92" s="313"/>
      <c r="AY92" s="313"/>
      <c r="AZ92" s="313"/>
      <c r="BA92" s="313"/>
      <c r="BB92" s="313"/>
      <c r="BC92" s="313"/>
      <c r="BD92" s="313"/>
      <c r="BE92" s="313"/>
      <c r="BF92" s="313"/>
      <c r="BG92" s="313"/>
    </row>
    <row r="98" spans="1:59" s="315" customFormat="1" ht="18" customHeight="1">
      <c r="A98" s="139"/>
      <c r="B98" s="139"/>
      <c r="C98" s="139"/>
      <c r="D98" s="139"/>
      <c r="E98" s="139"/>
      <c r="F98" s="648"/>
      <c r="G98" s="313"/>
      <c r="H98" s="313"/>
      <c r="I98" s="313"/>
      <c r="J98" s="313"/>
      <c r="K98" s="313"/>
      <c r="L98" s="313"/>
      <c r="M98" s="313"/>
      <c r="N98" s="313"/>
      <c r="O98" s="313"/>
      <c r="P98" s="313"/>
      <c r="Q98" s="313"/>
      <c r="R98" s="313"/>
      <c r="S98" s="313"/>
      <c r="T98" s="313"/>
      <c r="U98" s="313"/>
      <c r="V98" s="313"/>
      <c r="W98" s="313"/>
      <c r="X98" s="313"/>
      <c r="Y98" s="313"/>
      <c r="Z98" s="313"/>
      <c r="AA98" s="313"/>
      <c r="AB98" s="313"/>
      <c r="AC98" s="313"/>
      <c r="AD98" s="313"/>
      <c r="AE98" s="313"/>
      <c r="AF98" s="313"/>
      <c r="AG98" s="313"/>
      <c r="AH98" s="313"/>
      <c r="AI98" s="313"/>
      <c r="AJ98" s="313"/>
      <c r="AK98" s="313"/>
      <c r="AL98" s="313"/>
      <c r="AM98" s="313"/>
      <c r="AN98" s="313"/>
      <c r="AO98" s="313"/>
      <c r="AP98" s="313"/>
      <c r="AQ98" s="313"/>
      <c r="AR98" s="313"/>
      <c r="AS98" s="313"/>
      <c r="AT98" s="313"/>
      <c r="AU98" s="313"/>
      <c r="AV98" s="313"/>
      <c r="AW98" s="313"/>
      <c r="AX98" s="313"/>
      <c r="AY98" s="313"/>
      <c r="AZ98" s="313"/>
      <c r="BA98" s="313"/>
      <c r="BB98" s="313"/>
      <c r="BC98" s="313"/>
      <c r="BD98" s="313"/>
      <c r="BE98" s="313"/>
      <c r="BF98" s="313"/>
      <c r="BG98" s="313"/>
    </row>
    <row r="106" spans="1:59" s="529" customFormat="1" ht="18" customHeight="1">
      <c r="A106" s="139"/>
      <c r="B106" s="139"/>
      <c r="C106" s="139"/>
      <c r="D106" s="139"/>
      <c r="E106" s="139"/>
      <c r="F106" s="648"/>
      <c r="G106" s="313"/>
      <c r="H106" s="313"/>
      <c r="I106" s="313"/>
      <c r="J106" s="313"/>
      <c r="K106" s="313"/>
      <c r="L106" s="313"/>
      <c r="M106" s="313"/>
      <c r="N106" s="313"/>
      <c r="O106" s="313"/>
      <c r="P106" s="313"/>
      <c r="Q106" s="313"/>
      <c r="R106" s="313"/>
      <c r="S106" s="313"/>
      <c r="T106" s="313"/>
      <c r="U106" s="313"/>
      <c r="V106" s="313"/>
      <c r="W106" s="313"/>
      <c r="X106" s="313"/>
      <c r="Y106" s="313"/>
      <c r="Z106" s="313"/>
      <c r="AA106" s="313"/>
      <c r="AB106" s="313"/>
      <c r="AC106" s="313"/>
      <c r="AD106" s="313"/>
      <c r="AE106" s="313"/>
      <c r="AF106" s="313"/>
      <c r="AG106" s="313"/>
      <c r="AH106" s="313"/>
      <c r="AI106" s="313"/>
      <c r="AJ106" s="313"/>
      <c r="AK106" s="313"/>
      <c r="AL106" s="313"/>
      <c r="AM106" s="313"/>
      <c r="AN106" s="313"/>
      <c r="AO106" s="313"/>
      <c r="AP106" s="313"/>
      <c r="AQ106" s="313"/>
      <c r="AR106" s="313"/>
      <c r="AS106" s="313"/>
      <c r="AT106" s="313"/>
      <c r="AU106" s="313"/>
      <c r="AV106" s="313"/>
      <c r="AW106" s="313"/>
      <c r="AX106" s="313"/>
      <c r="AY106" s="313"/>
      <c r="AZ106" s="313"/>
      <c r="BA106" s="313"/>
      <c r="BB106" s="313"/>
      <c r="BC106" s="313"/>
      <c r="BD106" s="313"/>
      <c r="BE106" s="313"/>
      <c r="BF106" s="313"/>
      <c r="BG106" s="313"/>
    </row>
    <row r="107" spans="1:59" s="315" customFormat="1" ht="18" customHeight="1">
      <c r="A107" s="139"/>
      <c r="B107" s="139"/>
      <c r="C107" s="139"/>
      <c r="D107" s="139"/>
      <c r="E107" s="139"/>
      <c r="F107" s="648"/>
      <c r="G107" s="313"/>
      <c r="H107" s="313"/>
      <c r="I107" s="313"/>
      <c r="J107" s="313"/>
      <c r="K107" s="313"/>
      <c r="L107" s="313"/>
      <c r="M107" s="313"/>
      <c r="N107" s="313"/>
      <c r="O107" s="313"/>
      <c r="P107" s="313"/>
      <c r="Q107" s="313"/>
      <c r="R107" s="313"/>
      <c r="S107" s="313"/>
      <c r="T107" s="313"/>
      <c r="U107" s="313"/>
      <c r="V107" s="313"/>
      <c r="W107" s="313"/>
      <c r="X107" s="313"/>
      <c r="Y107" s="313"/>
      <c r="Z107" s="313"/>
      <c r="AA107" s="313"/>
      <c r="AB107" s="313"/>
      <c r="AC107" s="313"/>
      <c r="AD107" s="313"/>
      <c r="AE107" s="313"/>
      <c r="AF107" s="313"/>
      <c r="AG107" s="313"/>
      <c r="AH107" s="313"/>
      <c r="AI107" s="313"/>
      <c r="AJ107" s="313"/>
      <c r="AK107" s="313"/>
      <c r="AL107" s="313"/>
      <c r="AM107" s="313"/>
      <c r="AN107" s="313"/>
      <c r="AO107" s="313"/>
      <c r="AP107" s="313"/>
      <c r="AQ107" s="313"/>
      <c r="AR107" s="313"/>
      <c r="AS107" s="313"/>
      <c r="AT107" s="313"/>
      <c r="AU107" s="313"/>
      <c r="AV107" s="313"/>
      <c r="AW107" s="313"/>
      <c r="AX107" s="313"/>
      <c r="AY107" s="313"/>
      <c r="AZ107" s="313"/>
      <c r="BA107" s="313"/>
      <c r="BB107" s="313"/>
      <c r="BC107" s="313"/>
      <c r="BD107" s="313"/>
      <c r="BE107" s="313"/>
      <c r="BF107" s="313"/>
      <c r="BG107" s="313"/>
    </row>
    <row r="108" spans="1:59" s="315" customFormat="1" ht="18" customHeight="1">
      <c r="A108" s="139"/>
      <c r="B108" s="139"/>
      <c r="C108" s="139"/>
      <c r="D108" s="139"/>
      <c r="E108" s="139"/>
      <c r="F108" s="648"/>
      <c r="G108" s="313"/>
      <c r="H108" s="313"/>
      <c r="I108" s="313"/>
      <c r="J108" s="313"/>
      <c r="K108" s="313"/>
      <c r="L108" s="313"/>
      <c r="M108" s="313"/>
      <c r="N108" s="313"/>
      <c r="O108" s="313"/>
      <c r="P108" s="313"/>
      <c r="Q108" s="313"/>
      <c r="R108" s="313"/>
      <c r="S108" s="313"/>
      <c r="T108" s="313"/>
      <c r="U108" s="313"/>
      <c r="V108" s="313"/>
      <c r="W108" s="313"/>
      <c r="X108" s="313"/>
      <c r="Y108" s="313"/>
      <c r="Z108" s="313"/>
      <c r="AA108" s="313"/>
      <c r="AB108" s="313"/>
      <c r="AC108" s="313"/>
      <c r="AD108" s="313"/>
      <c r="AE108" s="313"/>
      <c r="AF108" s="313"/>
      <c r="AG108" s="313"/>
      <c r="AH108" s="313"/>
      <c r="AI108" s="313"/>
      <c r="AJ108" s="313"/>
      <c r="AK108" s="313"/>
      <c r="AL108" s="313"/>
      <c r="AM108" s="313"/>
      <c r="AN108" s="313"/>
      <c r="AO108" s="313"/>
      <c r="AP108" s="313"/>
      <c r="AQ108" s="313"/>
      <c r="AR108" s="313"/>
      <c r="AS108" s="313"/>
      <c r="AT108" s="313"/>
      <c r="AU108" s="313"/>
      <c r="AV108" s="313"/>
      <c r="AW108" s="313"/>
      <c r="AX108" s="313"/>
      <c r="AY108" s="313"/>
      <c r="AZ108" s="313"/>
      <c r="BA108" s="313"/>
      <c r="BB108" s="313"/>
      <c r="BC108" s="313"/>
      <c r="BD108" s="313"/>
      <c r="BE108" s="313"/>
      <c r="BF108" s="313"/>
      <c r="BG108" s="313"/>
    </row>
    <row r="109" spans="1:59" s="315" customFormat="1" ht="18" customHeight="1">
      <c r="A109" s="139"/>
      <c r="B109" s="139"/>
      <c r="C109" s="139"/>
      <c r="D109" s="139"/>
      <c r="E109" s="139"/>
      <c r="F109" s="648"/>
      <c r="G109" s="313"/>
      <c r="H109" s="313"/>
      <c r="I109" s="313"/>
      <c r="J109" s="313"/>
      <c r="K109" s="313"/>
      <c r="L109" s="313"/>
      <c r="M109" s="313"/>
      <c r="N109" s="313"/>
      <c r="O109" s="313"/>
      <c r="P109" s="313"/>
      <c r="Q109" s="313"/>
      <c r="R109" s="313"/>
      <c r="S109" s="313"/>
      <c r="T109" s="313"/>
      <c r="U109" s="313"/>
      <c r="V109" s="313"/>
      <c r="W109" s="313"/>
      <c r="X109" s="313"/>
      <c r="Y109" s="313"/>
      <c r="Z109" s="313"/>
      <c r="AA109" s="313"/>
      <c r="AB109" s="313"/>
      <c r="AC109" s="313"/>
      <c r="AD109" s="313"/>
      <c r="AE109" s="313"/>
      <c r="AF109" s="313"/>
      <c r="AG109" s="313"/>
      <c r="AH109" s="313"/>
      <c r="AI109" s="313"/>
      <c r="AJ109" s="313"/>
      <c r="AK109" s="313"/>
      <c r="AL109" s="313"/>
      <c r="AM109" s="313"/>
      <c r="AN109" s="313"/>
      <c r="AO109" s="313"/>
      <c r="AP109" s="313"/>
      <c r="AQ109" s="313"/>
      <c r="AR109" s="313"/>
      <c r="AS109" s="313"/>
      <c r="AT109" s="313"/>
      <c r="AU109" s="313"/>
      <c r="AV109" s="313"/>
      <c r="AW109" s="313"/>
      <c r="AX109" s="313"/>
      <c r="AY109" s="313"/>
      <c r="AZ109" s="313"/>
      <c r="BA109" s="313"/>
      <c r="BB109" s="313"/>
      <c r="BC109" s="313"/>
      <c r="BD109" s="313"/>
      <c r="BE109" s="313"/>
      <c r="BF109" s="313"/>
      <c r="BG109" s="313"/>
    </row>
    <row r="110" spans="1:59" s="529" customFormat="1" ht="18" customHeight="1">
      <c r="A110" s="139"/>
      <c r="B110" s="139"/>
      <c r="C110" s="139"/>
      <c r="D110" s="139"/>
      <c r="E110" s="139"/>
      <c r="F110" s="648"/>
      <c r="G110" s="313"/>
      <c r="H110" s="313"/>
      <c r="I110" s="313"/>
      <c r="J110" s="313"/>
      <c r="K110" s="313"/>
      <c r="L110" s="313"/>
      <c r="M110" s="313"/>
      <c r="N110" s="313"/>
      <c r="O110" s="313"/>
      <c r="P110" s="313"/>
      <c r="Q110" s="313"/>
      <c r="R110" s="313"/>
      <c r="S110" s="313"/>
      <c r="T110" s="313"/>
      <c r="U110" s="313"/>
      <c r="V110" s="313"/>
      <c r="W110" s="313"/>
      <c r="X110" s="313"/>
      <c r="Y110" s="313"/>
      <c r="Z110" s="313"/>
      <c r="AA110" s="313"/>
      <c r="AB110" s="313"/>
      <c r="AC110" s="313"/>
      <c r="AD110" s="313"/>
      <c r="AE110" s="313"/>
      <c r="AF110" s="313"/>
      <c r="AG110" s="313"/>
      <c r="AH110" s="313"/>
      <c r="AI110" s="313"/>
      <c r="AJ110" s="313"/>
      <c r="AK110" s="313"/>
      <c r="AL110" s="313"/>
      <c r="AM110" s="313"/>
      <c r="AN110" s="313"/>
      <c r="AO110" s="313"/>
      <c r="AP110" s="313"/>
      <c r="AQ110" s="313"/>
      <c r="AR110" s="313"/>
      <c r="AS110" s="313"/>
      <c r="AT110" s="313"/>
      <c r="AU110" s="313"/>
      <c r="AV110" s="313"/>
      <c r="AW110" s="313"/>
      <c r="AX110" s="313"/>
      <c r="AY110" s="313"/>
      <c r="AZ110" s="313"/>
      <c r="BA110" s="313"/>
      <c r="BB110" s="313"/>
      <c r="BC110" s="313"/>
      <c r="BD110" s="313"/>
      <c r="BE110" s="313"/>
      <c r="BF110" s="313"/>
      <c r="BG110" s="313"/>
    </row>
    <row r="111" spans="1:59" s="315" customFormat="1" ht="18" customHeight="1">
      <c r="A111" s="139"/>
      <c r="B111" s="139"/>
      <c r="C111" s="139"/>
      <c r="D111" s="139"/>
      <c r="E111" s="139"/>
      <c r="F111" s="648"/>
      <c r="G111" s="313"/>
      <c r="H111" s="313"/>
      <c r="I111" s="313"/>
      <c r="J111" s="313"/>
      <c r="K111" s="313"/>
      <c r="L111" s="313"/>
      <c r="M111" s="313"/>
      <c r="N111" s="313"/>
      <c r="O111" s="313"/>
      <c r="P111" s="313"/>
      <c r="Q111" s="313"/>
      <c r="R111" s="313"/>
      <c r="S111" s="313"/>
      <c r="T111" s="313"/>
      <c r="U111" s="313"/>
      <c r="V111" s="313"/>
      <c r="W111" s="313"/>
      <c r="X111" s="313"/>
      <c r="Y111" s="313"/>
      <c r="Z111" s="313"/>
      <c r="AA111" s="313"/>
      <c r="AB111" s="313"/>
      <c r="AC111" s="313"/>
      <c r="AD111" s="313"/>
      <c r="AE111" s="313"/>
      <c r="AF111" s="313"/>
      <c r="AG111" s="313"/>
      <c r="AH111" s="313"/>
      <c r="AI111" s="313"/>
      <c r="AJ111" s="313"/>
      <c r="AK111" s="313"/>
      <c r="AL111" s="313"/>
      <c r="AM111" s="313"/>
      <c r="AN111" s="313"/>
      <c r="AO111" s="313"/>
      <c r="AP111" s="313"/>
      <c r="AQ111" s="313"/>
      <c r="AR111" s="313"/>
      <c r="AS111" s="313"/>
      <c r="AT111" s="313"/>
      <c r="AU111" s="313"/>
      <c r="AV111" s="313"/>
      <c r="AW111" s="313"/>
      <c r="AX111" s="313"/>
      <c r="AY111" s="313"/>
      <c r="AZ111" s="313"/>
      <c r="BA111" s="313"/>
      <c r="BB111" s="313"/>
      <c r="BC111" s="313"/>
      <c r="BD111" s="313"/>
      <c r="BE111" s="313"/>
      <c r="BF111" s="313"/>
      <c r="BG111" s="313"/>
    </row>
    <row r="112" spans="1:59" s="315" customFormat="1" ht="18" customHeight="1">
      <c r="A112" s="139"/>
      <c r="B112" s="139"/>
      <c r="C112" s="139"/>
      <c r="D112" s="139"/>
      <c r="E112" s="139"/>
      <c r="F112" s="648"/>
      <c r="G112" s="313"/>
      <c r="H112" s="313"/>
      <c r="I112" s="313"/>
      <c r="J112" s="313"/>
      <c r="K112" s="313"/>
      <c r="L112" s="313"/>
      <c r="M112" s="313"/>
      <c r="N112" s="313"/>
      <c r="O112" s="313"/>
      <c r="P112" s="313"/>
      <c r="Q112" s="313"/>
      <c r="R112" s="313"/>
      <c r="S112" s="313"/>
      <c r="T112" s="313"/>
      <c r="U112" s="313"/>
      <c r="V112" s="313"/>
      <c r="W112" s="313"/>
      <c r="X112" s="313"/>
      <c r="Y112" s="313"/>
      <c r="Z112" s="313"/>
      <c r="AA112" s="313"/>
      <c r="AB112" s="313"/>
      <c r="AC112" s="313"/>
      <c r="AD112" s="313"/>
      <c r="AE112" s="313"/>
      <c r="AF112" s="313"/>
      <c r="AG112" s="313"/>
      <c r="AH112" s="313"/>
      <c r="AI112" s="313"/>
      <c r="AJ112" s="313"/>
      <c r="AK112" s="313"/>
      <c r="AL112" s="313"/>
      <c r="AM112" s="313"/>
      <c r="AN112" s="313"/>
      <c r="AO112" s="313"/>
      <c r="AP112" s="313"/>
      <c r="AQ112" s="313"/>
      <c r="AR112" s="313"/>
      <c r="AS112" s="313"/>
      <c r="AT112" s="313"/>
      <c r="AU112" s="313"/>
      <c r="AV112" s="313"/>
      <c r="AW112" s="313"/>
      <c r="AX112" s="313"/>
      <c r="AY112" s="313"/>
      <c r="AZ112" s="313"/>
      <c r="BA112" s="313"/>
      <c r="BB112" s="313"/>
      <c r="BC112" s="313"/>
      <c r="BD112" s="313"/>
      <c r="BE112" s="313"/>
      <c r="BF112" s="313"/>
      <c r="BG112" s="313"/>
    </row>
    <row r="113" spans="1:59" s="315" customFormat="1" ht="18" customHeight="1">
      <c r="A113" s="139"/>
      <c r="B113" s="139"/>
      <c r="C113" s="139"/>
      <c r="D113" s="139"/>
      <c r="E113" s="139"/>
      <c r="F113" s="648"/>
      <c r="G113" s="313"/>
      <c r="H113" s="313"/>
      <c r="I113" s="313"/>
      <c r="J113" s="313"/>
      <c r="K113" s="313"/>
      <c r="L113" s="313"/>
      <c r="M113" s="313"/>
      <c r="N113" s="313"/>
      <c r="O113" s="313"/>
      <c r="P113" s="313"/>
      <c r="Q113" s="313"/>
      <c r="R113" s="313"/>
      <c r="S113" s="313"/>
      <c r="T113" s="313"/>
      <c r="U113" s="313"/>
      <c r="V113" s="313"/>
      <c r="W113" s="313"/>
      <c r="X113" s="313"/>
      <c r="Y113" s="313"/>
      <c r="Z113" s="313"/>
      <c r="AA113" s="313"/>
      <c r="AB113" s="313"/>
      <c r="AC113" s="313"/>
      <c r="AD113" s="313"/>
      <c r="AE113" s="313"/>
      <c r="AF113" s="313"/>
      <c r="AG113" s="313"/>
      <c r="AH113" s="313"/>
      <c r="AI113" s="313"/>
      <c r="AJ113" s="313"/>
      <c r="AK113" s="313"/>
      <c r="AL113" s="313"/>
      <c r="AM113" s="313"/>
      <c r="AN113" s="313"/>
      <c r="AO113" s="313"/>
      <c r="AP113" s="313"/>
      <c r="AQ113" s="313"/>
      <c r="AR113" s="313"/>
      <c r="AS113" s="313"/>
      <c r="AT113" s="313"/>
      <c r="AU113" s="313"/>
      <c r="AV113" s="313"/>
      <c r="AW113" s="313"/>
      <c r="AX113" s="313"/>
      <c r="AY113" s="313"/>
      <c r="AZ113" s="313"/>
      <c r="BA113" s="313"/>
      <c r="BB113" s="313"/>
      <c r="BC113" s="313"/>
      <c r="BD113" s="313"/>
      <c r="BE113" s="313"/>
      <c r="BF113" s="313"/>
      <c r="BG113" s="313"/>
    </row>
    <row r="116" spans="1:59" s="315" customFormat="1" ht="18" customHeight="1">
      <c r="A116" s="139"/>
      <c r="B116" s="139"/>
      <c r="C116" s="139"/>
      <c r="D116" s="139"/>
      <c r="E116" s="139"/>
      <c r="F116" s="648"/>
      <c r="G116" s="313"/>
      <c r="H116" s="313"/>
      <c r="I116" s="313"/>
      <c r="J116" s="313"/>
      <c r="K116" s="313"/>
      <c r="L116" s="313"/>
      <c r="M116" s="313"/>
      <c r="N116" s="313"/>
      <c r="O116" s="313"/>
      <c r="P116" s="313"/>
      <c r="Q116" s="313"/>
      <c r="R116" s="313"/>
      <c r="S116" s="313"/>
      <c r="T116" s="313"/>
      <c r="U116" s="313"/>
      <c r="V116" s="313"/>
      <c r="W116" s="313"/>
      <c r="X116" s="313"/>
      <c r="Y116" s="313"/>
      <c r="Z116" s="313"/>
      <c r="AA116" s="313"/>
      <c r="AB116" s="313"/>
      <c r="AC116" s="313"/>
      <c r="AD116" s="313"/>
      <c r="AE116" s="313"/>
      <c r="AF116" s="313"/>
      <c r="AG116" s="313"/>
      <c r="AH116" s="313"/>
      <c r="AI116" s="313"/>
      <c r="AJ116" s="313"/>
      <c r="AK116" s="313"/>
      <c r="AL116" s="313"/>
      <c r="AM116" s="313"/>
      <c r="AN116" s="313"/>
      <c r="AO116" s="313"/>
      <c r="AP116" s="313"/>
      <c r="AQ116" s="313"/>
      <c r="AR116" s="313"/>
      <c r="AS116" s="313"/>
      <c r="AT116" s="313"/>
      <c r="AU116" s="313"/>
      <c r="AV116" s="313"/>
      <c r="AW116" s="313"/>
      <c r="AX116" s="313"/>
      <c r="AY116" s="313"/>
      <c r="AZ116" s="313"/>
      <c r="BA116" s="313"/>
      <c r="BB116" s="313"/>
      <c r="BC116" s="313"/>
      <c r="BD116" s="313"/>
      <c r="BE116" s="313"/>
      <c r="BF116" s="313"/>
      <c r="BG116" s="313"/>
    </row>
    <row r="117" spans="1:59" s="315" customFormat="1" ht="18" customHeight="1">
      <c r="A117" s="139"/>
      <c r="B117" s="139"/>
      <c r="C117" s="139"/>
      <c r="D117" s="139"/>
      <c r="E117" s="139"/>
      <c r="F117" s="648"/>
      <c r="G117" s="313"/>
      <c r="H117" s="313"/>
      <c r="I117" s="313"/>
      <c r="J117" s="313"/>
      <c r="K117" s="313"/>
      <c r="L117" s="313"/>
      <c r="M117" s="313"/>
      <c r="N117" s="313"/>
      <c r="O117" s="313"/>
      <c r="P117" s="313"/>
      <c r="Q117" s="313"/>
      <c r="R117" s="313"/>
      <c r="S117" s="313"/>
      <c r="T117" s="313"/>
      <c r="U117" s="313"/>
      <c r="V117" s="313"/>
      <c r="W117" s="313"/>
      <c r="X117" s="313"/>
      <c r="Y117" s="313"/>
      <c r="Z117" s="313"/>
      <c r="AA117" s="313"/>
      <c r="AB117" s="313"/>
      <c r="AC117" s="313"/>
      <c r="AD117" s="313"/>
      <c r="AE117" s="313"/>
      <c r="AF117" s="313"/>
      <c r="AG117" s="313"/>
      <c r="AH117" s="313"/>
      <c r="AI117" s="313"/>
      <c r="AJ117" s="313"/>
      <c r="AK117" s="313"/>
      <c r="AL117" s="313"/>
      <c r="AM117" s="313"/>
      <c r="AN117" s="313"/>
      <c r="AO117" s="313"/>
      <c r="AP117" s="313"/>
      <c r="AQ117" s="313"/>
      <c r="AR117" s="313"/>
      <c r="AS117" s="313"/>
      <c r="AT117" s="313"/>
      <c r="AU117" s="313"/>
      <c r="AV117" s="313"/>
      <c r="AW117" s="313"/>
      <c r="AX117" s="313"/>
      <c r="AY117" s="313"/>
      <c r="AZ117" s="313"/>
      <c r="BA117" s="313"/>
      <c r="BB117" s="313"/>
      <c r="BC117" s="313"/>
      <c r="BD117" s="313"/>
      <c r="BE117" s="313"/>
      <c r="BF117" s="313"/>
      <c r="BG117" s="313"/>
    </row>
    <row r="118" spans="1:59" s="315" customFormat="1" ht="18" customHeight="1">
      <c r="A118" s="139"/>
      <c r="B118" s="139"/>
      <c r="C118" s="139"/>
      <c r="D118" s="139"/>
      <c r="E118" s="139"/>
      <c r="F118" s="648"/>
      <c r="G118" s="313"/>
      <c r="H118" s="313"/>
      <c r="I118" s="313"/>
      <c r="J118" s="313"/>
      <c r="K118" s="313"/>
      <c r="L118" s="313"/>
      <c r="M118" s="313"/>
      <c r="N118" s="313"/>
      <c r="O118" s="313"/>
      <c r="P118" s="313"/>
      <c r="Q118" s="313"/>
      <c r="R118" s="313"/>
      <c r="S118" s="313"/>
      <c r="T118" s="313"/>
      <c r="U118" s="313"/>
      <c r="V118" s="313"/>
      <c r="W118" s="313"/>
      <c r="X118" s="313"/>
      <c r="Y118" s="313"/>
      <c r="Z118" s="313"/>
      <c r="AA118" s="313"/>
      <c r="AB118" s="313"/>
      <c r="AC118" s="313"/>
      <c r="AD118" s="313"/>
      <c r="AE118" s="313"/>
      <c r="AF118" s="313"/>
      <c r="AG118" s="313"/>
      <c r="AH118" s="313"/>
      <c r="AI118" s="313"/>
      <c r="AJ118" s="313"/>
      <c r="AK118" s="313"/>
      <c r="AL118" s="313"/>
      <c r="AM118" s="313"/>
      <c r="AN118" s="313"/>
      <c r="AO118" s="313"/>
      <c r="AP118" s="313"/>
      <c r="AQ118" s="313"/>
      <c r="AR118" s="313"/>
      <c r="AS118" s="313"/>
      <c r="AT118" s="313"/>
      <c r="AU118" s="313"/>
      <c r="AV118" s="313"/>
      <c r="AW118" s="313"/>
      <c r="AX118" s="313"/>
      <c r="AY118" s="313"/>
      <c r="AZ118" s="313"/>
      <c r="BA118" s="313"/>
      <c r="BB118" s="313"/>
      <c r="BC118" s="313"/>
      <c r="BD118" s="313"/>
      <c r="BE118" s="313"/>
      <c r="BF118" s="313"/>
      <c r="BG118" s="313"/>
    </row>
    <row r="123" spans="1:59" s="529" customFormat="1" ht="18" customHeight="1">
      <c r="A123" s="139"/>
      <c r="B123" s="139"/>
      <c r="C123" s="139"/>
      <c r="D123" s="139"/>
      <c r="E123" s="139"/>
      <c r="F123" s="648"/>
      <c r="G123" s="313"/>
      <c r="H123" s="313"/>
      <c r="I123" s="313"/>
      <c r="J123" s="313"/>
      <c r="K123" s="313"/>
      <c r="L123" s="313"/>
      <c r="M123" s="313"/>
      <c r="N123" s="313"/>
      <c r="O123" s="313"/>
      <c r="P123" s="313"/>
      <c r="Q123" s="313"/>
      <c r="R123" s="313"/>
      <c r="S123" s="313"/>
      <c r="T123" s="313"/>
      <c r="U123" s="313"/>
      <c r="V123" s="313"/>
      <c r="W123" s="313"/>
      <c r="X123" s="313"/>
      <c r="Y123" s="313"/>
      <c r="Z123" s="313"/>
      <c r="AA123" s="313"/>
      <c r="AB123" s="313"/>
      <c r="AC123" s="313"/>
      <c r="AD123" s="313"/>
      <c r="AE123" s="313"/>
      <c r="AF123" s="313"/>
      <c r="AG123" s="313"/>
      <c r="AH123" s="313"/>
      <c r="AI123" s="313"/>
      <c r="AJ123" s="313"/>
      <c r="AK123" s="313"/>
      <c r="AL123" s="313"/>
      <c r="AM123" s="313"/>
      <c r="AN123" s="313"/>
      <c r="AO123" s="313"/>
      <c r="AP123" s="313"/>
      <c r="AQ123" s="313"/>
      <c r="AR123" s="313"/>
      <c r="AS123" s="313"/>
      <c r="AT123" s="313"/>
      <c r="AU123" s="313"/>
      <c r="AV123" s="313"/>
      <c r="AW123" s="313"/>
      <c r="AX123" s="313"/>
      <c r="AY123" s="313"/>
      <c r="AZ123" s="313"/>
      <c r="BA123" s="313"/>
      <c r="BB123" s="313"/>
      <c r="BC123" s="313"/>
      <c r="BD123" s="313"/>
      <c r="BE123" s="313"/>
      <c r="BF123" s="313"/>
      <c r="BG123" s="313"/>
    </row>
    <row r="125" spans="1:59" s="529" customFormat="1" ht="18" customHeight="1">
      <c r="A125" s="139"/>
      <c r="B125" s="139"/>
      <c r="C125" s="139"/>
      <c r="D125" s="139"/>
      <c r="E125" s="139"/>
      <c r="F125" s="648"/>
      <c r="G125" s="313"/>
      <c r="H125" s="313"/>
      <c r="I125" s="313"/>
      <c r="J125" s="313"/>
      <c r="K125" s="313"/>
      <c r="L125" s="313"/>
      <c r="M125" s="313"/>
      <c r="N125" s="313"/>
      <c r="O125" s="313"/>
      <c r="P125" s="313"/>
      <c r="Q125" s="313"/>
      <c r="R125" s="313"/>
      <c r="S125" s="313"/>
      <c r="T125" s="313"/>
      <c r="U125" s="313"/>
      <c r="V125" s="313"/>
      <c r="W125" s="313"/>
      <c r="X125" s="313"/>
      <c r="Y125" s="313"/>
      <c r="Z125" s="313"/>
      <c r="AA125" s="313"/>
      <c r="AB125" s="313"/>
      <c r="AC125" s="313"/>
      <c r="AD125" s="313"/>
      <c r="AE125" s="313"/>
      <c r="AF125" s="313"/>
      <c r="AG125" s="313"/>
      <c r="AH125" s="313"/>
      <c r="AI125" s="313"/>
      <c r="AJ125" s="313"/>
      <c r="AK125" s="313"/>
      <c r="AL125" s="313"/>
      <c r="AM125" s="313"/>
      <c r="AN125" s="313"/>
      <c r="AO125" s="313"/>
      <c r="AP125" s="313"/>
      <c r="AQ125" s="313"/>
      <c r="AR125" s="313"/>
      <c r="AS125" s="313"/>
      <c r="AT125" s="313"/>
      <c r="AU125" s="313"/>
      <c r="AV125" s="313"/>
      <c r="AW125" s="313"/>
      <c r="AX125" s="313"/>
      <c r="AY125" s="313"/>
      <c r="AZ125" s="313"/>
      <c r="BA125" s="313"/>
      <c r="BB125" s="313"/>
      <c r="BC125" s="313"/>
      <c r="BD125" s="313"/>
      <c r="BE125" s="313"/>
      <c r="BF125" s="313"/>
      <c r="BG125" s="313"/>
    </row>
    <row r="138" spans="1:59" s="529" customFormat="1" ht="18" customHeight="1">
      <c r="A138" s="139"/>
      <c r="B138" s="139"/>
      <c r="C138" s="139"/>
      <c r="D138" s="139"/>
      <c r="E138" s="139"/>
      <c r="F138" s="648"/>
      <c r="G138" s="313"/>
      <c r="H138" s="313"/>
      <c r="I138" s="313"/>
      <c r="J138" s="313"/>
      <c r="K138" s="313"/>
      <c r="L138" s="313"/>
      <c r="M138" s="313"/>
      <c r="N138" s="313"/>
      <c r="O138" s="313"/>
      <c r="P138" s="313"/>
      <c r="Q138" s="313"/>
      <c r="R138" s="313"/>
      <c r="S138" s="313"/>
      <c r="T138" s="313"/>
      <c r="U138" s="313"/>
      <c r="V138" s="313"/>
      <c r="W138" s="313"/>
      <c r="X138" s="313"/>
      <c r="Y138" s="313"/>
      <c r="Z138" s="313"/>
      <c r="AA138" s="313"/>
      <c r="AB138" s="313"/>
      <c r="AC138" s="313"/>
      <c r="AD138" s="313"/>
      <c r="AE138" s="313"/>
      <c r="AF138" s="313"/>
      <c r="AG138" s="313"/>
      <c r="AH138" s="313"/>
      <c r="AI138" s="313"/>
      <c r="AJ138" s="313"/>
      <c r="AK138" s="313"/>
      <c r="AL138" s="313"/>
      <c r="AM138" s="313"/>
      <c r="AN138" s="313"/>
      <c r="AO138" s="313"/>
      <c r="AP138" s="313"/>
      <c r="AQ138" s="313"/>
      <c r="AR138" s="313"/>
      <c r="AS138" s="313"/>
      <c r="AT138" s="313"/>
      <c r="AU138" s="313"/>
      <c r="AV138" s="313"/>
      <c r="AW138" s="313"/>
      <c r="AX138" s="313"/>
      <c r="AY138" s="313"/>
      <c r="AZ138" s="313"/>
      <c r="BA138" s="313"/>
      <c r="BB138" s="313"/>
      <c r="BC138" s="313"/>
      <c r="BD138" s="313"/>
      <c r="BE138" s="313"/>
      <c r="BF138" s="313"/>
      <c r="BG138" s="313"/>
    </row>
    <row r="201" spans="1:59" s="529" customFormat="1" ht="18" customHeight="1">
      <c r="A201" s="139"/>
      <c r="B201" s="139"/>
      <c r="C201" s="139"/>
      <c r="D201" s="139"/>
      <c r="E201" s="139"/>
      <c r="F201" s="648"/>
      <c r="G201" s="313"/>
      <c r="H201" s="313"/>
      <c r="I201" s="313"/>
      <c r="J201" s="313"/>
      <c r="K201" s="313"/>
      <c r="L201" s="313"/>
      <c r="M201" s="313"/>
      <c r="N201" s="313"/>
      <c r="O201" s="313"/>
      <c r="P201" s="313"/>
      <c r="Q201" s="313"/>
      <c r="R201" s="313"/>
      <c r="S201" s="313"/>
      <c r="T201" s="313"/>
      <c r="U201" s="313"/>
      <c r="V201" s="313"/>
      <c r="W201" s="313"/>
      <c r="X201" s="313"/>
      <c r="Y201" s="313"/>
      <c r="Z201" s="313"/>
      <c r="AA201" s="313"/>
      <c r="AB201" s="313"/>
      <c r="AC201" s="313"/>
      <c r="AD201" s="313"/>
      <c r="AE201" s="313"/>
      <c r="AF201" s="313"/>
      <c r="AG201" s="313"/>
      <c r="AH201" s="313"/>
      <c r="AI201" s="313"/>
      <c r="AJ201" s="313"/>
      <c r="AK201" s="313"/>
      <c r="AL201" s="313"/>
      <c r="AM201" s="313"/>
      <c r="AN201" s="313"/>
      <c r="AO201" s="313"/>
      <c r="AP201" s="313"/>
      <c r="AQ201" s="313"/>
      <c r="AR201" s="313"/>
      <c r="AS201" s="313"/>
      <c r="AT201" s="313"/>
      <c r="AU201" s="313"/>
      <c r="AV201" s="313"/>
      <c r="AW201" s="313"/>
      <c r="AX201" s="313"/>
      <c r="AY201" s="313"/>
      <c r="AZ201" s="313"/>
      <c r="BA201" s="313"/>
      <c r="BB201" s="313"/>
      <c r="BC201" s="313"/>
      <c r="BD201" s="313"/>
      <c r="BE201" s="313"/>
      <c r="BF201" s="313"/>
      <c r="BG201" s="313"/>
    </row>
    <row r="202" spans="1:59" s="529" customFormat="1" ht="18" customHeight="1">
      <c r="A202" s="139"/>
      <c r="B202" s="139"/>
      <c r="C202" s="139"/>
      <c r="D202" s="139"/>
      <c r="E202" s="139"/>
      <c r="F202" s="648"/>
      <c r="G202" s="313"/>
      <c r="H202" s="313"/>
      <c r="I202" s="313"/>
      <c r="J202" s="313"/>
      <c r="K202" s="313"/>
      <c r="L202" s="313"/>
      <c r="M202" s="313"/>
      <c r="N202" s="313"/>
      <c r="O202" s="313"/>
      <c r="P202" s="313"/>
      <c r="Q202" s="313"/>
      <c r="R202" s="313"/>
      <c r="S202" s="313"/>
      <c r="T202" s="313"/>
      <c r="U202" s="313"/>
      <c r="V202" s="313"/>
      <c r="W202" s="313"/>
      <c r="X202" s="313"/>
      <c r="Y202" s="313"/>
      <c r="Z202" s="313"/>
      <c r="AA202" s="313"/>
      <c r="AB202" s="313"/>
      <c r="AC202" s="313"/>
      <c r="AD202" s="313"/>
      <c r="AE202" s="313"/>
      <c r="AF202" s="313"/>
      <c r="AG202" s="313"/>
      <c r="AH202" s="313"/>
      <c r="AI202" s="313"/>
      <c r="AJ202" s="313"/>
      <c r="AK202" s="313"/>
      <c r="AL202" s="313"/>
      <c r="AM202" s="313"/>
      <c r="AN202" s="313"/>
      <c r="AO202" s="313"/>
      <c r="AP202" s="313"/>
      <c r="AQ202" s="313"/>
      <c r="AR202" s="313"/>
      <c r="AS202" s="313"/>
      <c r="AT202" s="313"/>
      <c r="AU202" s="313"/>
      <c r="AV202" s="313"/>
      <c r="AW202" s="313"/>
      <c r="AX202" s="313"/>
      <c r="AY202" s="313"/>
      <c r="AZ202" s="313"/>
      <c r="BA202" s="313"/>
      <c r="BB202" s="313"/>
      <c r="BC202" s="313"/>
      <c r="BD202" s="313"/>
      <c r="BE202" s="313"/>
      <c r="BF202" s="313"/>
      <c r="BG202" s="313"/>
    </row>
    <row r="205" spans="1:59" s="529" customFormat="1" ht="18" customHeight="1">
      <c r="A205" s="139"/>
      <c r="B205" s="139"/>
      <c r="C205" s="139"/>
      <c r="D205" s="139"/>
      <c r="E205" s="139"/>
      <c r="F205" s="648"/>
      <c r="G205" s="313"/>
      <c r="H205" s="313"/>
      <c r="I205" s="313"/>
      <c r="J205" s="313"/>
      <c r="K205" s="313"/>
      <c r="L205" s="313"/>
      <c r="M205" s="313"/>
      <c r="N205" s="313"/>
      <c r="O205" s="313"/>
      <c r="P205" s="313"/>
      <c r="Q205" s="313"/>
      <c r="R205" s="313"/>
      <c r="S205" s="313"/>
      <c r="T205" s="313"/>
      <c r="U205" s="313"/>
      <c r="V205" s="313"/>
      <c r="W205" s="313"/>
      <c r="X205" s="313"/>
      <c r="Y205" s="313"/>
      <c r="Z205" s="313"/>
      <c r="AA205" s="313"/>
      <c r="AB205" s="313"/>
      <c r="AC205" s="313"/>
      <c r="AD205" s="313"/>
      <c r="AE205" s="313"/>
      <c r="AF205" s="313"/>
      <c r="AG205" s="313"/>
      <c r="AH205" s="313"/>
      <c r="AI205" s="313"/>
      <c r="AJ205" s="313"/>
      <c r="AK205" s="313"/>
      <c r="AL205" s="313"/>
      <c r="AM205" s="313"/>
      <c r="AN205" s="313"/>
      <c r="AO205" s="313"/>
      <c r="AP205" s="313"/>
      <c r="AQ205" s="313"/>
      <c r="AR205" s="313"/>
      <c r="AS205" s="313"/>
      <c r="AT205" s="313"/>
      <c r="AU205" s="313"/>
      <c r="AV205" s="313"/>
      <c r="AW205" s="313"/>
      <c r="AX205" s="313"/>
      <c r="AY205" s="313"/>
      <c r="AZ205" s="313"/>
      <c r="BA205" s="313"/>
      <c r="BB205" s="313"/>
      <c r="BC205" s="313"/>
      <c r="BD205" s="313"/>
      <c r="BE205" s="313"/>
      <c r="BF205" s="313"/>
      <c r="BG205" s="313"/>
    </row>
    <row r="215" spans="1:59" s="529" customFormat="1" ht="18" customHeight="1">
      <c r="A215" s="139"/>
      <c r="B215" s="139"/>
      <c r="C215" s="139"/>
      <c r="D215" s="139"/>
      <c r="E215" s="139"/>
      <c r="F215" s="648"/>
      <c r="G215" s="313"/>
      <c r="H215" s="313"/>
      <c r="I215" s="313"/>
      <c r="J215" s="313"/>
      <c r="K215" s="313"/>
      <c r="L215" s="313"/>
      <c r="M215" s="313"/>
      <c r="N215" s="313"/>
      <c r="O215" s="313"/>
      <c r="P215" s="313"/>
      <c r="Q215" s="313"/>
      <c r="R215" s="313"/>
      <c r="S215" s="313"/>
      <c r="T215" s="313"/>
      <c r="U215" s="313"/>
      <c r="V215" s="313"/>
      <c r="W215" s="313"/>
      <c r="X215" s="313"/>
      <c r="Y215" s="313"/>
      <c r="Z215" s="313"/>
      <c r="AA215" s="313"/>
      <c r="AB215" s="313"/>
      <c r="AC215" s="313"/>
      <c r="AD215" s="313"/>
      <c r="AE215" s="313"/>
      <c r="AF215" s="313"/>
      <c r="AG215" s="313"/>
      <c r="AH215" s="313"/>
      <c r="AI215" s="313"/>
      <c r="AJ215" s="313"/>
      <c r="AK215" s="313"/>
      <c r="AL215" s="313"/>
      <c r="AM215" s="313"/>
      <c r="AN215" s="313"/>
      <c r="AO215" s="313"/>
      <c r="AP215" s="313"/>
      <c r="AQ215" s="313"/>
      <c r="AR215" s="313"/>
      <c r="AS215" s="313"/>
      <c r="AT215" s="313"/>
      <c r="AU215" s="313"/>
      <c r="AV215" s="313"/>
      <c r="AW215" s="313"/>
      <c r="AX215" s="313"/>
      <c r="AY215" s="313"/>
      <c r="AZ215" s="313"/>
      <c r="BA215" s="313"/>
      <c r="BB215" s="313"/>
      <c r="BC215" s="313"/>
      <c r="BD215" s="313"/>
      <c r="BE215" s="313"/>
      <c r="BF215" s="313"/>
      <c r="BG215" s="313"/>
    </row>
    <row r="222" spans="1:59" s="529" customFormat="1" ht="18" customHeight="1">
      <c r="A222" s="139"/>
      <c r="B222" s="139"/>
      <c r="C222" s="139"/>
      <c r="D222" s="139"/>
      <c r="E222" s="139"/>
      <c r="F222" s="648"/>
      <c r="G222" s="313"/>
      <c r="H222" s="313"/>
      <c r="I222" s="313"/>
      <c r="J222" s="313"/>
      <c r="K222" s="313"/>
      <c r="L222" s="313"/>
      <c r="M222" s="313"/>
      <c r="N222" s="313"/>
      <c r="O222" s="313"/>
      <c r="P222" s="313"/>
      <c r="Q222" s="313"/>
      <c r="R222" s="313"/>
      <c r="S222" s="313"/>
      <c r="T222" s="313"/>
      <c r="U222" s="313"/>
      <c r="V222" s="313"/>
      <c r="W222" s="313"/>
      <c r="X222" s="313"/>
      <c r="Y222" s="313"/>
      <c r="Z222" s="313"/>
      <c r="AA222" s="313"/>
      <c r="AB222" s="313"/>
      <c r="AC222" s="313"/>
      <c r="AD222" s="313"/>
      <c r="AE222" s="313"/>
      <c r="AF222" s="313"/>
      <c r="AG222" s="313"/>
      <c r="AH222" s="313"/>
      <c r="AI222" s="313"/>
      <c r="AJ222" s="313"/>
      <c r="AK222" s="313"/>
      <c r="AL222" s="313"/>
      <c r="AM222" s="313"/>
      <c r="AN222" s="313"/>
      <c r="AO222" s="313"/>
      <c r="AP222" s="313"/>
      <c r="AQ222" s="313"/>
      <c r="AR222" s="313"/>
      <c r="AS222" s="313"/>
      <c r="AT222" s="313"/>
      <c r="AU222" s="313"/>
      <c r="AV222" s="313"/>
      <c r="AW222" s="313"/>
      <c r="AX222" s="313"/>
      <c r="AY222" s="313"/>
      <c r="AZ222" s="313"/>
      <c r="BA222" s="313"/>
      <c r="BB222" s="313"/>
      <c r="BC222" s="313"/>
      <c r="BD222" s="313"/>
      <c r="BE222" s="313"/>
      <c r="BF222" s="313"/>
      <c r="BG222" s="313"/>
    </row>
    <row r="229" spans="1:59" s="529" customFormat="1" ht="18" customHeight="1">
      <c r="A229" s="139"/>
      <c r="B229" s="139"/>
      <c r="C229" s="139"/>
      <c r="D229" s="139"/>
      <c r="E229" s="139"/>
      <c r="F229" s="648"/>
      <c r="G229" s="313"/>
      <c r="H229" s="313"/>
      <c r="I229" s="313"/>
      <c r="J229" s="313"/>
      <c r="K229" s="313"/>
      <c r="L229" s="313"/>
      <c r="M229" s="313"/>
      <c r="N229" s="313"/>
      <c r="O229" s="313"/>
      <c r="P229" s="313"/>
      <c r="Q229" s="313"/>
      <c r="R229" s="313"/>
      <c r="S229" s="313"/>
      <c r="T229" s="313"/>
      <c r="U229" s="313"/>
      <c r="V229" s="313"/>
      <c r="W229" s="313"/>
      <c r="X229" s="313"/>
      <c r="Y229" s="313"/>
      <c r="Z229" s="313"/>
      <c r="AA229" s="313"/>
      <c r="AB229" s="313"/>
      <c r="AC229" s="313"/>
      <c r="AD229" s="313"/>
      <c r="AE229" s="313"/>
      <c r="AF229" s="313"/>
      <c r="AG229" s="313"/>
      <c r="AH229" s="313"/>
      <c r="AI229" s="313"/>
      <c r="AJ229" s="313"/>
      <c r="AK229" s="313"/>
      <c r="AL229" s="313"/>
      <c r="AM229" s="313"/>
      <c r="AN229" s="313"/>
      <c r="AO229" s="313"/>
      <c r="AP229" s="313"/>
      <c r="AQ229" s="313"/>
      <c r="AR229" s="313"/>
      <c r="AS229" s="313"/>
      <c r="AT229" s="313"/>
      <c r="AU229" s="313"/>
      <c r="AV229" s="313"/>
      <c r="AW229" s="313"/>
      <c r="AX229" s="313"/>
      <c r="AY229" s="313"/>
      <c r="AZ229" s="313"/>
      <c r="BA229" s="313"/>
      <c r="BB229" s="313"/>
      <c r="BC229" s="313"/>
      <c r="BD229" s="313"/>
      <c r="BE229" s="313"/>
      <c r="BF229" s="313"/>
      <c r="BG229" s="313"/>
    </row>
    <row r="231" spans="1:59" s="529" customFormat="1" ht="18" customHeight="1">
      <c r="A231" s="139"/>
      <c r="B231" s="139"/>
      <c r="C231" s="139"/>
      <c r="D231" s="139"/>
      <c r="E231" s="139"/>
      <c r="F231" s="648"/>
      <c r="G231" s="313"/>
      <c r="H231" s="313"/>
      <c r="I231" s="313"/>
      <c r="J231" s="313"/>
      <c r="K231" s="313"/>
      <c r="L231" s="313"/>
      <c r="M231" s="313"/>
      <c r="N231" s="313"/>
      <c r="O231" s="313"/>
      <c r="P231" s="313"/>
      <c r="Q231" s="313"/>
      <c r="R231" s="313"/>
      <c r="S231" s="313"/>
      <c r="T231" s="313"/>
      <c r="U231" s="313"/>
      <c r="V231" s="313"/>
      <c r="W231" s="313"/>
      <c r="X231" s="313"/>
      <c r="Y231" s="313"/>
      <c r="Z231" s="313"/>
      <c r="AA231" s="313"/>
      <c r="AB231" s="313"/>
      <c r="AC231" s="313"/>
      <c r="AD231" s="313"/>
      <c r="AE231" s="313"/>
      <c r="AF231" s="313"/>
      <c r="AG231" s="313"/>
      <c r="AH231" s="313"/>
      <c r="AI231" s="313"/>
      <c r="AJ231" s="313"/>
      <c r="AK231" s="313"/>
      <c r="AL231" s="313"/>
      <c r="AM231" s="313"/>
      <c r="AN231" s="313"/>
      <c r="AO231" s="313"/>
      <c r="AP231" s="313"/>
      <c r="AQ231" s="313"/>
      <c r="AR231" s="313"/>
      <c r="AS231" s="313"/>
      <c r="AT231" s="313"/>
      <c r="AU231" s="313"/>
      <c r="AV231" s="313"/>
      <c r="AW231" s="313"/>
      <c r="AX231" s="313"/>
      <c r="AY231" s="313"/>
      <c r="AZ231" s="313"/>
      <c r="BA231" s="313"/>
      <c r="BB231" s="313"/>
      <c r="BC231" s="313"/>
      <c r="BD231" s="313"/>
      <c r="BE231" s="313"/>
      <c r="BF231" s="313"/>
      <c r="BG231" s="313"/>
    </row>
    <row r="232" spans="1:59" s="529" customFormat="1" ht="18" customHeight="1">
      <c r="A232" s="139"/>
      <c r="B232" s="139"/>
      <c r="C232" s="139"/>
      <c r="D232" s="139"/>
      <c r="E232" s="139"/>
      <c r="F232" s="648"/>
      <c r="G232" s="313"/>
      <c r="H232" s="313"/>
      <c r="I232" s="313"/>
      <c r="J232" s="313"/>
      <c r="K232" s="313"/>
      <c r="L232" s="313"/>
      <c r="M232" s="313"/>
      <c r="N232" s="313"/>
      <c r="O232" s="313"/>
      <c r="P232" s="313"/>
      <c r="Q232" s="313"/>
      <c r="R232" s="313"/>
      <c r="S232" s="313"/>
      <c r="T232" s="313"/>
      <c r="U232" s="313"/>
      <c r="V232" s="313"/>
      <c r="W232" s="313"/>
      <c r="X232" s="313"/>
      <c r="Y232" s="313"/>
      <c r="Z232" s="313"/>
      <c r="AA232" s="313"/>
      <c r="AB232" s="313"/>
      <c r="AC232" s="313"/>
      <c r="AD232" s="313"/>
      <c r="AE232" s="313"/>
      <c r="AF232" s="313"/>
      <c r="AG232" s="313"/>
      <c r="AH232" s="313"/>
      <c r="AI232" s="313"/>
      <c r="AJ232" s="313"/>
      <c r="AK232" s="313"/>
      <c r="AL232" s="313"/>
      <c r="AM232" s="313"/>
      <c r="AN232" s="313"/>
      <c r="AO232" s="313"/>
      <c r="AP232" s="313"/>
      <c r="AQ232" s="313"/>
      <c r="AR232" s="313"/>
      <c r="AS232" s="313"/>
      <c r="AT232" s="313"/>
      <c r="AU232" s="313"/>
      <c r="AV232" s="313"/>
      <c r="AW232" s="313"/>
      <c r="AX232" s="313"/>
      <c r="AY232" s="313"/>
      <c r="AZ232" s="313"/>
      <c r="BA232" s="313"/>
      <c r="BB232" s="313"/>
      <c r="BC232" s="313"/>
      <c r="BD232" s="313"/>
      <c r="BE232" s="313"/>
      <c r="BF232" s="313"/>
      <c r="BG232" s="313"/>
    </row>
    <row r="233" spans="1:59" s="529" customFormat="1" ht="18" customHeight="1">
      <c r="A233" s="139"/>
      <c r="B233" s="139"/>
      <c r="C233" s="139"/>
      <c r="D233" s="139"/>
      <c r="E233" s="139"/>
      <c r="F233" s="648"/>
      <c r="G233" s="313"/>
      <c r="H233" s="313"/>
      <c r="I233" s="313"/>
      <c r="J233" s="313"/>
      <c r="K233" s="313"/>
      <c r="L233" s="313"/>
      <c r="M233" s="313"/>
      <c r="N233" s="313"/>
      <c r="O233" s="313"/>
      <c r="P233" s="313"/>
      <c r="Q233" s="313"/>
      <c r="R233" s="313"/>
      <c r="S233" s="313"/>
      <c r="T233" s="313"/>
      <c r="U233" s="313"/>
      <c r="V233" s="313"/>
      <c r="W233" s="313"/>
      <c r="X233" s="313"/>
      <c r="Y233" s="313"/>
      <c r="Z233" s="313"/>
      <c r="AA233" s="313"/>
      <c r="AB233" s="313"/>
      <c r="AC233" s="313"/>
      <c r="AD233" s="313"/>
      <c r="AE233" s="313"/>
      <c r="AF233" s="313"/>
      <c r="AG233" s="313"/>
      <c r="AH233" s="313"/>
      <c r="AI233" s="313"/>
      <c r="AJ233" s="313"/>
      <c r="AK233" s="313"/>
      <c r="AL233" s="313"/>
      <c r="AM233" s="313"/>
      <c r="AN233" s="313"/>
      <c r="AO233" s="313"/>
      <c r="AP233" s="313"/>
      <c r="AQ233" s="313"/>
      <c r="AR233" s="313"/>
      <c r="AS233" s="313"/>
      <c r="AT233" s="313"/>
      <c r="AU233" s="313"/>
      <c r="AV233" s="313"/>
      <c r="AW233" s="313"/>
      <c r="AX233" s="313"/>
      <c r="AY233" s="313"/>
      <c r="AZ233" s="313"/>
      <c r="BA233" s="313"/>
      <c r="BB233" s="313"/>
      <c r="BC233" s="313"/>
      <c r="BD233" s="313"/>
      <c r="BE233" s="313"/>
      <c r="BF233" s="313"/>
      <c r="BG233" s="313"/>
    </row>
    <row r="235" spans="1:59" s="529" customFormat="1" ht="18" customHeight="1">
      <c r="A235" s="139"/>
      <c r="B235" s="139"/>
      <c r="C235" s="139"/>
      <c r="D235" s="139"/>
      <c r="E235" s="139"/>
      <c r="F235" s="648"/>
      <c r="G235" s="313"/>
      <c r="H235" s="313"/>
      <c r="I235" s="313"/>
      <c r="J235" s="313"/>
      <c r="K235" s="313"/>
      <c r="L235" s="313"/>
      <c r="M235" s="313"/>
      <c r="N235" s="313"/>
      <c r="O235" s="313"/>
      <c r="P235" s="313"/>
      <c r="Q235" s="313"/>
      <c r="R235" s="313"/>
      <c r="S235" s="313"/>
      <c r="T235" s="313"/>
      <c r="U235" s="313"/>
      <c r="V235" s="313"/>
      <c r="W235" s="313"/>
      <c r="X235" s="313"/>
      <c r="Y235" s="313"/>
      <c r="Z235" s="313"/>
      <c r="AA235" s="313"/>
      <c r="AB235" s="313"/>
      <c r="AC235" s="313"/>
      <c r="AD235" s="313"/>
      <c r="AE235" s="313"/>
      <c r="AF235" s="313"/>
      <c r="AG235" s="313"/>
      <c r="AH235" s="313"/>
      <c r="AI235" s="313"/>
      <c r="AJ235" s="313"/>
      <c r="AK235" s="313"/>
      <c r="AL235" s="313"/>
      <c r="AM235" s="313"/>
      <c r="AN235" s="313"/>
      <c r="AO235" s="313"/>
      <c r="AP235" s="313"/>
      <c r="AQ235" s="313"/>
      <c r="AR235" s="313"/>
      <c r="AS235" s="313"/>
      <c r="AT235" s="313"/>
      <c r="AU235" s="313"/>
      <c r="AV235" s="313"/>
      <c r="AW235" s="313"/>
      <c r="AX235" s="313"/>
      <c r="AY235" s="313"/>
      <c r="AZ235" s="313"/>
      <c r="BA235" s="313"/>
      <c r="BB235" s="313"/>
      <c r="BC235" s="313"/>
      <c r="BD235" s="313"/>
      <c r="BE235" s="313"/>
      <c r="BF235" s="313"/>
      <c r="BG235" s="313"/>
    </row>
    <row r="249" spans="1:59" s="529" customFormat="1" ht="18" customHeight="1">
      <c r="A249" s="139"/>
      <c r="B249" s="139"/>
      <c r="C249" s="139"/>
      <c r="D249" s="139"/>
      <c r="E249" s="139"/>
      <c r="F249" s="648"/>
      <c r="G249" s="313"/>
      <c r="H249" s="313"/>
      <c r="I249" s="313"/>
      <c r="J249" s="313"/>
      <c r="K249" s="313"/>
      <c r="L249" s="313"/>
      <c r="M249" s="313"/>
      <c r="N249" s="313"/>
      <c r="O249" s="313"/>
      <c r="P249" s="313"/>
      <c r="Q249" s="313"/>
      <c r="R249" s="313"/>
      <c r="S249" s="313"/>
      <c r="T249" s="313"/>
      <c r="U249" s="313"/>
      <c r="V249" s="313"/>
      <c r="W249" s="313"/>
      <c r="X249" s="313"/>
      <c r="Y249" s="313"/>
      <c r="Z249" s="313"/>
      <c r="AA249" s="313"/>
      <c r="AB249" s="313"/>
      <c r="AC249" s="313"/>
      <c r="AD249" s="313"/>
      <c r="AE249" s="313"/>
      <c r="AF249" s="313"/>
      <c r="AG249" s="313"/>
      <c r="AH249" s="313"/>
      <c r="AI249" s="313"/>
      <c r="AJ249" s="313"/>
      <c r="AK249" s="313"/>
      <c r="AL249" s="313"/>
      <c r="AM249" s="313"/>
      <c r="AN249" s="313"/>
      <c r="AO249" s="313"/>
      <c r="AP249" s="313"/>
      <c r="AQ249" s="313"/>
      <c r="AR249" s="313"/>
      <c r="AS249" s="313"/>
      <c r="AT249" s="313"/>
      <c r="AU249" s="313"/>
      <c r="AV249" s="313"/>
      <c r="AW249" s="313"/>
      <c r="AX249" s="313"/>
      <c r="AY249" s="313"/>
      <c r="AZ249" s="313"/>
      <c r="BA249" s="313"/>
      <c r="BB249" s="313"/>
      <c r="BC249" s="313"/>
      <c r="BD249" s="313"/>
      <c r="BE249" s="313"/>
      <c r="BF249" s="313"/>
      <c r="BG249" s="313"/>
    </row>
    <row r="253" spans="1:59" s="529" customFormat="1" ht="18" customHeight="1">
      <c r="A253" s="139"/>
      <c r="B253" s="139"/>
      <c r="C253" s="139"/>
      <c r="D253" s="139"/>
      <c r="E253" s="139"/>
      <c r="F253" s="648"/>
      <c r="G253" s="313"/>
      <c r="H253" s="313"/>
      <c r="I253" s="313"/>
      <c r="J253" s="313"/>
      <c r="K253" s="313"/>
      <c r="L253" s="313"/>
      <c r="M253" s="313"/>
      <c r="N253" s="313"/>
      <c r="O253" s="313"/>
      <c r="P253" s="313"/>
      <c r="Q253" s="313"/>
      <c r="R253" s="313"/>
      <c r="S253" s="313"/>
      <c r="T253" s="313"/>
      <c r="U253" s="313"/>
      <c r="V253" s="313"/>
      <c r="W253" s="313"/>
      <c r="X253" s="313"/>
      <c r="Y253" s="313"/>
      <c r="Z253" s="313"/>
      <c r="AA253" s="313"/>
      <c r="AB253" s="313"/>
      <c r="AC253" s="313"/>
      <c r="AD253" s="313"/>
      <c r="AE253" s="313"/>
      <c r="AF253" s="313"/>
      <c r="AG253" s="313"/>
      <c r="AH253" s="313"/>
      <c r="AI253" s="313"/>
      <c r="AJ253" s="313"/>
      <c r="AK253" s="313"/>
      <c r="AL253" s="313"/>
      <c r="AM253" s="313"/>
      <c r="AN253" s="313"/>
      <c r="AO253" s="313"/>
      <c r="AP253" s="313"/>
      <c r="AQ253" s="313"/>
      <c r="AR253" s="313"/>
      <c r="AS253" s="313"/>
      <c r="AT253" s="313"/>
      <c r="AU253" s="313"/>
      <c r="AV253" s="313"/>
      <c r="AW253" s="313"/>
      <c r="AX253" s="313"/>
      <c r="AY253" s="313"/>
      <c r="AZ253" s="313"/>
      <c r="BA253" s="313"/>
      <c r="BB253" s="313"/>
      <c r="BC253" s="313"/>
      <c r="BD253" s="313"/>
      <c r="BE253" s="313"/>
      <c r="BF253" s="313"/>
      <c r="BG253" s="313"/>
    </row>
    <row r="259" spans="1:59" s="529" customFormat="1" ht="18" customHeight="1">
      <c r="A259" s="139"/>
      <c r="B259" s="139"/>
      <c r="C259" s="139"/>
      <c r="D259" s="139"/>
      <c r="E259" s="139"/>
      <c r="F259" s="648"/>
      <c r="G259" s="313"/>
      <c r="H259" s="313"/>
      <c r="I259" s="313"/>
      <c r="J259" s="313"/>
      <c r="K259" s="313"/>
      <c r="L259" s="313"/>
      <c r="M259" s="313"/>
      <c r="N259" s="313"/>
      <c r="O259" s="313"/>
      <c r="P259" s="313"/>
      <c r="Q259" s="313"/>
      <c r="R259" s="313"/>
      <c r="S259" s="313"/>
      <c r="T259" s="313"/>
      <c r="U259" s="313"/>
      <c r="V259" s="313"/>
      <c r="W259" s="313"/>
      <c r="X259" s="313"/>
      <c r="Y259" s="313"/>
      <c r="Z259" s="313"/>
      <c r="AA259" s="313"/>
      <c r="AB259" s="313"/>
      <c r="AC259" s="313"/>
      <c r="AD259" s="313"/>
      <c r="AE259" s="313"/>
      <c r="AF259" s="313"/>
      <c r="AG259" s="313"/>
      <c r="AH259" s="313"/>
      <c r="AI259" s="313"/>
      <c r="AJ259" s="313"/>
      <c r="AK259" s="313"/>
      <c r="AL259" s="313"/>
      <c r="AM259" s="313"/>
      <c r="AN259" s="313"/>
      <c r="AO259" s="313"/>
      <c r="AP259" s="313"/>
      <c r="AQ259" s="313"/>
      <c r="AR259" s="313"/>
      <c r="AS259" s="313"/>
      <c r="AT259" s="313"/>
      <c r="AU259" s="313"/>
      <c r="AV259" s="313"/>
      <c r="AW259" s="313"/>
      <c r="AX259" s="313"/>
      <c r="AY259" s="313"/>
      <c r="AZ259" s="313"/>
      <c r="BA259" s="313"/>
      <c r="BB259" s="313"/>
      <c r="BC259" s="313"/>
      <c r="BD259" s="313"/>
      <c r="BE259" s="313"/>
      <c r="BF259" s="313"/>
      <c r="BG259" s="313"/>
    </row>
    <row r="382" spans="1:59" s="529" customFormat="1" ht="18" customHeight="1">
      <c r="A382" s="139"/>
      <c r="B382" s="139"/>
      <c r="C382" s="139"/>
      <c r="D382" s="139"/>
      <c r="E382" s="139"/>
      <c r="F382" s="648"/>
      <c r="G382" s="313"/>
      <c r="H382" s="313"/>
      <c r="I382" s="313"/>
      <c r="J382" s="313"/>
      <c r="K382" s="313"/>
      <c r="L382" s="313"/>
      <c r="M382" s="313"/>
      <c r="N382" s="313"/>
      <c r="O382" s="313"/>
      <c r="P382" s="313"/>
      <c r="Q382" s="313"/>
      <c r="R382" s="313"/>
      <c r="S382" s="313"/>
      <c r="T382" s="313"/>
      <c r="U382" s="313"/>
      <c r="V382" s="313"/>
      <c r="W382" s="313"/>
      <c r="X382" s="313"/>
      <c r="Y382" s="313"/>
      <c r="Z382" s="313"/>
      <c r="AA382" s="313"/>
      <c r="AB382" s="313"/>
      <c r="AC382" s="313"/>
      <c r="AD382" s="313"/>
      <c r="AE382" s="313"/>
      <c r="AF382" s="313"/>
      <c r="AG382" s="313"/>
      <c r="AH382" s="313"/>
      <c r="AI382" s="313"/>
      <c r="AJ382" s="313"/>
      <c r="AK382" s="313"/>
      <c r="AL382" s="313"/>
      <c r="AM382" s="313"/>
      <c r="AN382" s="313"/>
      <c r="AO382" s="313"/>
      <c r="AP382" s="313"/>
      <c r="AQ382" s="313"/>
      <c r="AR382" s="313"/>
      <c r="AS382" s="313"/>
      <c r="AT382" s="313"/>
      <c r="AU382" s="313"/>
      <c r="AV382" s="313"/>
      <c r="AW382" s="313"/>
      <c r="AX382" s="313"/>
      <c r="AY382" s="313"/>
      <c r="AZ382" s="313"/>
      <c r="BA382" s="313"/>
      <c r="BB382" s="313"/>
      <c r="BC382" s="313"/>
      <c r="BD382" s="313"/>
      <c r="BE382" s="313"/>
      <c r="BF382" s="313"/>
      <c r="BG382" s="313"/>
    </row>
    <row r="403" spans="1:59" s="529" customFormat="1" ht="18" customHeight="1">
      <c r="A403" s="139"/>
      <c r="B403" s="139"/>
      <c r="C403" s="139"/>
      <c r="D403" s="139"/>
      <c r="E403" s="139"/>
      <c r="F403" s="648"/>
      <c r="G403" s="313"/>
      <c r="H403" s="313"/>
      <c r="I403" s="313"/>
      <c r="J403" s="313"/>
      <c r="K403" s="313"/>
      <c r="L403" s="313"/>
      <c r="M403" s="313"/>
      <c r="N403" s="313"/>
      <c r="O403" s="313"/>
      <c r="P403" s="313"/>
      <c r="Q403" s="313"/>
      <c r="R403" s="313"/>
      <c r="S403" s="313"/>
      <c r="T403" s="313"/>
      <c r="U403" s="313"/>
      <c r="V403" s="313"/>
      <c r="W403" s="313"/>
      <c r="X403" s="313"/>
      <c r="Y403" s="313"/>
      <c r="Z403" s="313"/>
      <c r="AA403" s="313"/>
      <c r="AB403" s="313"/>
      <c r="AC403" s="313"/>
      <c r="AD403" s="313"/>
      <c r="AE403" s="313"/>
      <c r="AF403" s="313"/>
      <c r="AG403" s="313"/>
      <c r="AH403" s="313"/>
      <c r="AI403" s="313"/>
      <c r="AJ403" s="313"/>
      <c r="AK403" s="313"/>
      <c r="AL403" s="313"/>
      <c r="AM403" s="313"/>
      <c r="AN403" s="313"/>
      <c r="AO403" s="313"/>
      <c r="AP403" s="313"/>
      <c r="AQ403" s="313"/>
      <c r="AR403" s="313"/>
      <c r="AS403" s="313"/>
      <c r="AT403" s="313"/>
      <c r="AU403" s="313"/>
      <c r="AV403" s="313"/>
      <c r="AW403" s="313"/>
      <c r="AX403" s="313"/>
      <c r="AY403" s="313"/>
      <c r="AZ403" s="313"/>
      <c r="BA403" s="313"/>
      <c r="BB403" s="313"/>
      <c r="BC403" s="313"/>
      <c r="BD403" s="313"/>
      <c r="BE403" s="313"/>
      <c r="BF403" s="313"/>
      <c r="BG403" s="313"/>
    </row>
    <row r="424" spans="1:59" s="529" customFormat="1" ht="18" customHeight="1">
      <c r="A424" s="139"/>
      <c r="B424" s="139"/>
      <c r="C424" s="139"/>
      <c r="D424" s="139"/>
      <c r="E424" s="139"/>
      <c r="F424" s="648"/>
      <c r="G424" s="313"/>
      <c r="H424" s="313"/>
      <c r="I424" s="313"/>
      <c r="J424" s="313"/>
      <c r="K424" s="313"/>
      <c r="L424" s="313"/>
      <c r="M424" s="313"/>
      <c r="N424" s="313"/>
      <c r="O424" s="313"/>
      <c r="P424" s="313"/>
      <c r="Q424" s="313"/>
      <c r="R424" s="313"/>
      <c r="S424" s="313"/>
      <c r="T424" s="313"/>
      <c r="U424" s="313"/>
      <c r="V424" s="313"/>
      <c r="W424" s="313"/>
      <c r="X424" s="313"/>
      <c r="Y424" s="313"/>
      <c r="Z424" s="313"/>
      <c r="AA424" s="313"/>
      <c r="AB424" s="313"/>
      <c r="AC424" s="313"/>
      <c r="AD424" s="313"/>
      <c r="AE424" s="313"/>
      <c r="AF424" s="313"/>
      <c r="AG424" s="313"/>
      <c r="AH424" s="313"/>
      <c r="AI424" s="313"/>
      <c r="AJ424" s="313"/>
      <c r="AK424" s="313"/>
      <c r="AL424" s="313"/>
      <c r="AM424" s="313"/>
      <c r="AN424" s="313"/>
      <c r="AO424" s="313"/>
      <c r="AP424" s="313"/>
      <c r="AQ424" s="313"/>
      <c r="AR424" s="313"/>
      <c r="AS424" s="313"/>
      <c r="AT424" s="313"/>
      <c r="AU424" s="313"/>
      <c r="AV424" s="313"/>
      <c r="AW424" s="313"/>
      <c r="AX424" s="313"/>
      <c r="AY424" s="313"/>
      <c r="AZ424" s="313"/>
      <c r="BA424" s="313"/>
      <c r="BB424" s="313"/>
      <c r="BC424" s="313"/>
      <c r="BD424" s="313"/>
      <c r="BE424" s="313"/>
      <c r="BF424" s="313"/>
      <c r="BG424" s="313"/>
    </row>
    <row r="429" spans="1:59" s="529" customFormat="1" ht="18" customHeight="1">
      <c r="A429" s="139"/>
      <c r="B429" s="139"/>
      <c r="C429" s="139"/>
      <c r="D429" s="139"/>
      <c r="E429" s="139"/>
      <c r="F429" s="648"/>
      <c r="G429" s="313"/>
      <c r="H429" s="313"/>
      <c r="I429" s="313"/>
      <c r="J429" s="313"/>
      <c r="K429" s="313"/>
      <c r="L429" s="313"/>
      <c r="M429" s="313"/>
      <c r="N429" s="313"/>
      <c r="O429" s="313"/>
      <c r="P429" s="313"/>
      <c r="Q429" s="313"/>
      <c r="R429" s="313"/>
      <c r="S429" s="313"/>
      <c r="T429" s="313"/>
      <c r="U429" s="313"/>
      <c r="V429" s="313"/>
      <c r="W429" s="313"/>
      <c r="X429" s="313"/>
      <c r="Y429" s="313"/>
      <c r="Z429" s="313"/>
      <c r="AA429" s="313"/>
      <c r="AB429" s="313"/>
      <c r="AC429" s="313"/>
      <c r="AD429" s="313"/>
      <c r="AE429" s="313"/>
      <c r="AF429" s="313"/>
      <c r="AG429" s="313"/>
      <c r="AH429" s="313"/>
      <c r="AI429" s="313"/>
      <c r="AJ429" s="313"/>
      <c r="AK429" s="313"/>
      <c r="AL429" s="313"/>
      <c r="AM429" s="313"/>
      <c r="AN429" s="313"/>
      <c r="AO429" s="313"/>
      <c r="AP429" s="313"/>
      <c r="AQ429" s="313"/>
      <c r="AR429" s="313"/>
      <c r="AS429" s="313"/>
      <c r="AT429" s="313"/>
      <c r="AU429" s="313"/>
      <c r="AV429" s="313"/>
      <c r="AW429" s="313"/>
      <c r="AX429" s="313"/>
      <c r="AY429" s="313"/>
      <c r="AZ429" s="313"/>
      <c r="BA429" s="313"/>
      <c r="BB429" s="313"/>
      <c r="BC429" s="313"/>
      <c r="BD429" s="313"/>
      <c r="BE429" s="313"/>
      <c r="BF429" s="313"/>
      <c r="BG429" s="313"/>
    </row>
    <row r="447" spans="1:59" s="529" customFormat="1" ht="18" customHeight="1">
      <c r="A447" s="139"/>
      <c r="B447" s="139"/>
      <c r="C447" s="139"/>
      <c r="D447" s="139"/>
      <c r="E447" s="139"/>
      <c r="F447" s="648"/>
      <c r="G447" s="313"/>
      <c r="H447" s="313"/>
      <c r="I447" s="313"/>
      <c r="J447" s="313"/>
      <c r="K447" s="313"/>
      <c r="L447" s="313"/>
      <c r="M447" s="313"/>
      <c r="N447" s="313"/>
      <c r="O447" s="313"/>
      <c r="P447" s="313"/>
      <c r="Q447" s="313"/>
      <c r="R447" s="313"/>
      <c r="S447" s="313"/>
      <c r="T447" s="313"/>
      <c r="U447" s="313"/>
      <c r="V447" s="313"/>
      <c r="W447" s="313"/>
      <c r="X447" s="313"/>
      <c r="Y447" s="313"/>
      <c r="Z447" s="313"/>
      <c r="AA447" s="313"/>
      <c r="AB447" s="313"/>
      <c r="AC447" s="313"/>
      <c r="AD447" s="313"/>
      <c r="AE447" s="313"/>
      <c r="AF447" s="313"/>
      <c r="AG447" s="313"/>
      <c r="AH447" s="313"/>
      <c r="AI447" s="313"/>
      <c r="AJ447" s="313"/>
      <c r="AK447" s="313"/>
      <c r="AL447" s="313"/>
      <c r="AM447" s="313"/>
      <c r="AN447" s="313"/>
      <c r="AO447" s="313"/>
      <c r="AP447" s="313"/>
      <c r="AQ447" s="313"/>
      <c r="AR447" s="313"/>
      <c r="AS447" s="313"/>
      <c r="AT447" s="313"/>
      <c r="AU447" s="313"/>
      <c r="AV447" s="313"/>
      <c r="AW447" s="313"/>
      <c r="AX447" s="313"/>
      <c r="AY447" s="313"/>
      <c r="AZ447" s="313"/>
      <c r="BA447" s="313"/>
      <c r="BB447" s="313"/>
      <c r="BC447" s="313"/>
      <c r="BD447" s="313"/>
      <c r="BE447" s="313"/>
      <c r="BF447" s="313"/>
      <c r="BG447" s="313"/>
    </row>
    <row r="453" spans="1:59" s="529" customFormat="1" ht="18" customHeight="1">
      <c r="A453" s="139"/>
      <c r="B453" s="139"/>
      <c r="C453" s="139"/>
      <c r="D453" s="139"/>
      <c r="E453" s="139"/>
      <c r="F453" s="648"/>
      <c r="G453" s="313"/>
      <c r="H453" s="313"/>
      <c r="I453" s="313"/>
      <c r="J453" s="313"/>
      <c r="K453" s="313"/>
      <c r="L453" s="313"/>
      <c r="M453" s="313"/>
      <c r="N453" s="313"/>
      <c r="O453" s="313"/>
      <c r="P453" s="313"/>
      <c r="Q453" s="313"/>
      <c r="R453" s="313"/>
      <c r="S453" s="313"/>
      <c r="T453" s="313"/>
      <c r="U453" s="313"/>
      <c r="V453" s="313"/>
      <c r="W453" s="313"/>
      <c r="X453" s="313"/>
      <c r="Y453" s="313"/>
      <c r="Z453" s="313"/>
      <c r="AA453" s="313"/>
      <c r="AB453" s="313"/>
      <c r="AC453" s="313"/>
      <c r="AD453" s="313"/>
      <c r="AE453" s="313"/>
      <c r="AF453" s="313"/>
      <c r="AG453" s="313"/>
      <c r="AH453" s="313"/>
      <c r="AI453" s="313"/>
      <c r="AJ453" s="313"/>
      <c r="AK453" s="313"/>
      <c r="AL453" s="313"/>
      <c r="AM453" s="313"/>
      <c r="AN453" s="313"/>
      <c r="AO453" s="313"/>
      <c r="AP453" s="313"/>
      <c r="AQ453" s="313"/>
      <c r="AR453" s="313"/>
      <c r="AS453" s="313"/>
      <c r="AT453" s="313"/>
      <c r="AU453" s="313"/>
      <c r="AV453" s="313"/>
      <c r="AW453" s="313"/>
      <c r="AX453" s="313"/>
      <c r="AY453" s="313"/>
      <c r="AZ453" s="313"/>
      <c r="BA453" s="313"/>
      <c r="BB453" s="313"/>
      <c r="BC453" s="313"/>
      <c r="BD453" s="313"/>
      <c r="BE453" s="313"/>
      <c r="BF453" s="313"/>
      <c r="BG453" s="313"/>
    </row>
    <row r="466" spans="1:59" s="529" customFormat="1" ht="18" customHeight="1">
      <c r="A466" s="139"/>
      <c r="B466" s="139"/>
      <c r="C466" s="139"/>
      <c r="D466" s="139"/>
      <c r="E466" s="139"/>
      <c r="F466" s="648"/>
      <c r="G466" s="313"/>
      <c r="H466" s="313"/>
      <c r="I466" s="313"/>
      <c r="J466" s="313"/>
      <c r="K466" s="313"/>
      <c r="L466" s="313"/>
      <c r="M466" s="313"/>
      <c r="N466" s="313"/>
      <c r="O466" s="313"/>
      <c r="P466" s="313"/>
      <c r="Q466" s="313"/>
      <c r="R466" s="313"/>
      <c r="S466" s="313"/>
      <c r="T466" s="313"/>
      <c r="U466" s="313"/>
      <c r="V466" s="313"/>
      <c r="W466" s="313"/>
      <c r="X466" s="313"/>
      <c r="Y466" s="313"/>
      <c r="Z466" s="313"/>
      <c r="AA466" s="313"/>
      <c r="AB466" s="313"/>
      <c r="AC466" s="313"/>
      <c r="AD466" s="313"/>
      <c r="AE466" s="313"/>
      <c r="AF466" s="313"/>
      <c r="AG466" s="313"/>
      <c r="AH466" s="313"/>
      <c r="AI466" s="313"/>
      <c r="AJ466" s="313"/>
      <c r="AK466" s="313"/>
      <c r="AL466" s="313"/>
      <c r="AM466" s="313"/>
      <c r="AN466" s="313"/>
      <c r="AO466" s="313"/>
      <c r="AP466" s="313"/>
      <c r="AQ466" s="313"/>
      <c r="AR466" s="313"/>
      <c r="AS466" s="313"/>
      <c r="AT466" s="313"/>
      <c r="AU466" s="313"/>
      <c r="AV466" s="313"/>
      <c r="AW466" s="313"/>
      <c r="AX466" s="313"/>
      <c r="AY466" s="313"/>
      <c r="AZ466" s="313"/>
      <c r="BA466" s="313"/>
      <c r="BB466" s="313"/>
      <c r="BC466" s="313"/>
      <c r="BD466" s="313"/>
      <c r="BE466" s="313"/>
      <c r="BF466" s="313"/>
      <c r="BG466" s="313"/>
    </row>
    <row r="469" spans="1:59" s="529" customFormat="1" ht="18" customHeight="1">
      <c r="A469" s="139"/>
      <c r="B469" s="139"/>
      <c r="C469" s="139"/>
      <c r="D469" s="139"/>
      <c r="E469" s="139"/>
      <c r="F469" s="648"/>
      <c r="G469" s="313"/>
      <c r="H469" s="313"/>
      <c r="I469" s="313"/>
      <c r="J469" s="313"/>
      <c r="K469" s="313"/>
      <c r="L469" s="313"/>
      <c r="M469" s="313"/>
      <c r="N469" s="313"/>
      <c r="O469" s="313"/>
      <c r="P469" s="313"/>
      <c r="Q469" s="313"/>
      <c r="R469" s="313"/>
      <c r="S469" s="313"/>
      <c r="T469" s="313"/>
      <c r="U469" s="313"/>
      <c r="V469" s="313"/>
      <c r="W469" s="313"/>
      <c r="X469" s="313"/>
      <c r="Y469" s="313"/>
      <c r="Z469" s="313"/>
      <c r="AA469" s="313"/>
      <c r="AB469" s="313"/>
      <c r="AC469" s="313"/>
      <c r="AD469" s="313"/>
      <c r="AE469" s="313"/>
      <c r="AF469" s="313"/>
      <c r="AG469" s="313"/>
      <c r="AH469" s="313"/>
      <c r="AI469" s="313"/>
      <c r="AJ469" s="313"/>
      <c r="AK469" s="313"/>
      <c r="AL469" s="313"/>
      <c r="AM469" s="313"/>
      <c r="AN469" s="313"/>
      <c r="AO469" s="313"/>
      <c r="AP469" s="313"/>
      <c r="AQ469" s="313"/>
      <c r="AR469" s="313"/>
      <c r="AS469" s="313"/>
      <c r="AT469" s="313"/>
      <c r="AU469" s="313"/>
      <c r="AV469" s="313"/>
      <c r="AW469" s="313"/>
      <c r="AX469" s="313"/>
      <c r="AY469" s="313"/>
      <c r="AZ469" s="313"/>
      <c r="BA469" s="313"/>
      <c r="BB469" s="313"/>
      <c r="BC469" s="313"/>
      <c r="BD469" s="313"/>
      <c r="BE469" s="313"/>
      <c r="BF469" s="313"/>
      <c r="BG469" s="313"/>
    </row>
    <row r="470" spans="1:59" s="529" customFormat="1" ht="18" customHeight="1">
      <c r="A470" s="139"/>
      <c r="B470" s="139"/>
      <c r="C470" s="139"/>
      <c r="D470" s="139"/>
      <c r="E470" s="139"/>
      <c r="F470" s="648"/>
      <c r="G470" s="313"/>
      <c r="H470" s="313"/>
      <c r="I470" s="313"/>
      <c r="J470" s="313"/>
      <c r="K470" s="313"/>
      <c r="L470" s="313"/>
      <c r="M470" s="313"/>
      <c r="N470" s="313"/>
      <c r="O470" s="313"/>
      <c r="P470" s="313"/>
      <c r="Q470" s="313"/>
      <c r="R470" s="313"/>
      <c r="S470" s="313"/>
      <c r="T470" s="313"/>
      <c r="U470" s="313"/>
      <c r="V470" s="313"/>
      <c r="W470" s="313"/>
      <c r="X470" s="313"/>
      <c r="Y470" s="313"/>
      <c r="Z470" s="313"/>
      <c r="AA470" s="313"/>
      <c r="AB470" s="313"/>
      <c r="AC470" s="313"/>
      <c r="AD470" s="313"/>
      <c r="AE470" s="313"/>
      <c r="AF470" s="313"/>
      <c r="AG470" s="313"/>
      <c r="AH470" s="313"/>
      <c r="AI470" s="313"/>
      <c r="AJ470" s="313"/>
      <c r="AK470" s="313"/>
      <c r="AL470" s="313"/>
      <c r="AM470" s="313"/>
      <c r="AN470" s="313"/>
      <c r="AO470" s="313"/>
      <c r="AP470" s="313"/>
      <c r="AQ470" s="313"/>
      <c r="AR470" s="313"/>
      <c r="AS470" s="313"/>
      <c r="AT470" s="313"/>
      <c r="AU470" s="313"/>
      <c r="AV470" s="313"/>
      <c r="AW470" s="313"/>
      <c r="AX470" s="313"/>
      <c r="AY470" s="313"/>
      <c r="AZ470" s="313"/>
      <c r="BA470" s="313"/>
      <c r="BB470" s="313"/>
      <c r="BC470" s="313"/>
      <c r="BD470" s="313"/>
      <c r="BE470" s="313"/>
      <c r="BF470" s="313"/>
      <c r="BG470" s="313"/>
    </row>
    <row r="478" spans="1:59" s="529" customFormat="1" ht="18" customHeight="1">
      <c r="A478" s="139"/>
      <c r="B478" s="139"/>
      <c r="C478" s="139"/>
      <c r="D478" s="139"/>
      <c r="E478" s="139"/>
      <c r="F478" s="648"/>
      <c r="G478" s="313"/>
      <c r="H478" s="313"/>
      <c r="I478" s="313"/>
      <c r="J478" s="313"/>
      <c r="K478" s="313"/>
      <c r="L478" s="313"/>
      <c r="M478" s="313"/>
      <c r="N478" s="313"/>
      <c r="O478" s="313"/>
      <c r="P478" s="313"/>
      <c r="Q478" s="313"/>
      <c r="R478" s="313"/>
      <c r="S478" s="313"/>
      <c r="T478" s="313"/>
      <c r="U478" s="313"/>
      <c r="V478" s="313"/>
      <c r="W478" s="313"/>
      <c r="X478" s="313"/>
      <c r="Y478" s="313"/>
      <c r="Z478" s="313"/>
      <c r="AA478" s="313"/>
      <c r="AB478" s="313"/>
      <c r="AC478" s="313"/>
      <c r="AD478" s="313"/>
      <c r="AE478" s="313"/>
      <c r="AF478" s="313"/>
      <c r="AG478" s="313"/>
      <c r="AH478" s="313"/>
      <c r="AI478" s="313"/>
      <c r="AJ478" s="313"/>
      <c r="AK478" s="313"/>
      <c r="AL478" s="313"/>
      <c r="AM478" s="313"/>
      <c r="AN478" s="313"/>
      <c r="AO478" s="313"/>
      <c r="AP478" s="313"/>
      <c r="AQ478" s="313"/>
      <c r="AR478" s="313"/>
      <c r="AS478" s="313"/>
      <c r="AT478" s="313"/>
      <c r="AU478" s="313"/>
      <c r="AV478" s="313"/>
      <c r="AW478" s="313"/>
      <c r="AX478" s="313"/>
      <c r="AY478" s="313"/>
      <c r="AZ478" s="313"/>
      <c r="BA478" s="313"/>
      <c r="BB478" s="313"/>
      <c r="BC478" s="313"/>
      <c r="BD478" s="313"/>
      <c r="BE478" s="313"/>
      <c r="BF478" s="313"/>
      <c r="BG478" s="313"/>
    </row>
    <row r="507" spans="1:59" s="529" customFormat="1" ht="18" customHeight="1">
      <c r="A507" s="139"/>
      <c r="B507" s="139"/>
      <c r="C507" s="139"/>
      <c r="D507" s="139"/>
      <c r="E507" s="139"/>
      <c r="F507" s="648"/>
      <c r="G507" s="313"/>
      <c r="H507" s="313"/>
      <c r="I507" s="313"/>
      <c r="J507" s="313"/>
      <c r="K507" s="313"/>
      <c r="L507" s="313"/>
      <c r="M507" s="313"/>
      <c r="N507" s="313"/>
      <c r="O507" s="313"/>
      <c r="P507" s="313"/>
      <c r="Q507" s="313"/>
      <c r="R507" s="313"/>
      <c r="S507" s="313"/>
      <c r="T507" s="313"/>
      <c r="U507" s="313"/>
      <c r="V507" s="313"/>
      <c r="W507" s="313"/>
      <c r="X507" s="313"/>
      <c r="Y507" s="313"/>
      <c r="Z507" s="313"/>
      <c r="AA507" s="313"/>
      <c r="AB507" s="313"/>
      <c r="AC507" s="313"/>
      <c r="AD507" s="313"/>
      <c r="AE507" s="313"/>
      <c r="AF507" s="313"/>
      <c r="AG507" s="313"/>
      <c r="AH507" s="313"/>
      <c r="AI507" s="313"/>
      <c r="AJ507" s="313"/>
      <c r="AK507" s="313"/>
      <c r="AL507" s="313"/>
      <c r="AM507" s="313"/>
      <c r="AN507" s="313"/>
      <c r="AO507" s="313"/>
      <c r="AP507" s="313"/>
      <c r="AQ507" s="313"/>
      <c r="AR507" s="313"/>
      <c r="AS507" s="313"/>
      <c r="AT507" s="313"/>
      <c r="AU507" s="313"/>
      <c r="AV507" s="313"/>
      <c r="AW507" s="313"/>
      <c r="AX507" s="313"/>
      <c r="AY507" s="313"/>
      <c r="AZ507" s="313"/>
      <c r="BA507" s="313"/>
      <c r="BB507" s="313"/>
      <c r="BC507" s="313"/>
      <c r="BD507" s="313"/>
      <c r="BE507" s="313"/>
      <c r="BF507" s="313"/>
      <c r="BG507" s="313"/>
    </row>
    <row r="508" spans="1:59" s="529" customFormat="1" ht="18" customHeight="1">
      <c r="A508" s="139"/>
      <c r="B508" s="139"/>
      <c r="C508" s="139"/>
      <c r="D508" s="139"/>
      <c r="E508" s="139"/>
      <c r="F508" s="648"/>
      <c r="G508" s="313"/>
      <c r="H508" s="313"/>
      <c r="I508" s="313"/>
      <c r="J508" s="313"/>
      <c r="K508" s="313"/>
      <c r="L508" s="313"/>
      <c r="M508" s="313"/>
      <c r="N508" s="313"/>
      <c r="O508" s="313"/>
      <c r="P508" s="313"/>
      <c r="Q508" s="313"/>
      <c r="R508" s="313"/>
      <c r="S508" s="313"/>
      <c r="T508" s="313"/>
      <c r="U508" s="313"/>
      <c r="V508" s="313"/>
      <c r="W508" s="313"/>
      <c r="X508" s="313"/>
      <c r="Y508" s="313"/>
      <c r="Z508" s="313"/>
      <c r="AA508" s="313"/>
      <c r="AB508" s="313"/>
      <c r="AC508" s="313"/>
      <c r="AD508" s="313"/>
      <c r="AE508" s="313"/>
      <c r="AF508" s="313"/>
      <c r="AG508" s="313"/>
      <c r="AH508" s="313"/>
      <c r="AI508" s="313"/>
      <c r="AJ508" s="313"/>
      <c r="AK508" s="313"/>
      <c r="AL508" s="313"/>
      <c r="AM508" s="313"/>
      <c r="AN508" s="313"/>
      <c r="AO508" s="313"/>
      <c r="AP508" s="313"/>
      <c r="AQ508" s="313"/>
      <c r="AR508" s="313"/>
      <c r="AS508" s="313"/>
      <c r="AT508" s="313"/>
      <c r="AU508" s="313"/>
      <c r="AV508" s="313"/>
      <c r="AW508" s="313"/>
      <c r="AX508" s="313"/>
      <c r="AY508" s="313"/>
      <c r="AZ508" s="313"/>
      <c r="BA508" s="313"/>
      <c r="BB508" s="313"/>
      <c r="BC508" s="313"/>
      <c r="BD508" s="313"/>
      <c r="BE508" s="313"/>
      <c r="BF508" s="313"/>
      <c r="BG508" s="313"/>
    </row>
    <row r="525" spans="1:59" s="529" customFormat="1" ht="18" customHeight="1">
      <c r="A525" s="139"/>
      <c r="B525" s="139"/>
      <c r="C525" s="139"/>
      <c r="D525" s="139"/>
      <c r="E525" s="139"/>
      <c r="F525" s="648"/>
      <c r="G525" s="313"/>
      <c r="H525" s="313"/>
      <c r="I525" s="313"/>
      <c r="J525" s="313"/>
      <c r="K525" s="313"/>
      <c r="L525" s="313"/>
      <c r="M525" s="313"/>
      <c r="N525" s="313"/>
      <c r="O525" s="313"/>
      <c r="P525" s="313"/>
      <c r="Q525" s="313"/>
      <c r="R525" s="313"/>
      <c r="S525" s="313"/>
      <c r="T525" s="313"/>
      <c r="U525" s="313"/>
      <c r="V525" s="313"/>
      <c r="W525" s="313"/>
      <c r="X525" s="313"/>
      <c r="Y525" s="313"/>
      <c r="Z525" s="313"/>
      <c r="AA525" s="313"/>
      <c r="AB525" s="313"/>
      <c r="AC525" s="313"/>
      <c r="AD525" s="313"/>
      <c r="AE525" s="313"/>
      <c r="AF525" s="313"/>
      <c r="AG525" s="313"/>
      <c r="AH525" s="313"/>
      <c r="AI525" s="313"/>
      <c r="AJ525" s="313"/>
      <c r="AK525" s="313"/>
      <c r="AL525" s="313"/>
      <c r="AM525" s="313"/>
      <c r="AN525" s="313"/>
      <c r="AO525" s="313"/>
      <c r="AP525" s="313"/>
      <c r="AQ525" s="313"/>
      <c r="AR525" s="313"/>
      <c r="AS525" s="313"/>
      <c r="AT525" s="313"/>
      <c r="AU525" s="313"/>
      <c r="AV525" s="313"/>
      <c r="AW525" s="313"/>
      <c r="AX525" s="313"/>
      <c r="AY525" s="313"/>
      <c r="AZ525" s="313"/>
      <c r="BA525" s="313"/>
      <c r="BB525" s="313"/>
      <c r="BC525" s="313"/>
      <c r="BD525" s="313"/>
      <c r="BE525" s="313"/>
      <c r="BF525" s="313"/>
      <c r="BG525" s="313"/>
    </row>
    <row r="527" spans="1:59" s="529" customFormat="1" ht="18" customHeight="1">
      <c r="A527" s="139"/>
      <c r="B527" s="139"/>
      <c r="C527" s="139"/>
      <c r="D527" s="139"/>
      <c r="E527" s="139"/>
      <c r="F527" s="648"/>
      <c r="G527" s="313"/>
      <c r="H527" s="313"/>
      <c r="I527" s="313"/>
      <c r="J527" s="313"/>
      <c r="K527" s="313"/>
      <c r="L527" s="313"/>
      <c r="M527" s="313"/>
      <c r="N527" s="313"/>
      <c r="O527" s="313"/>
      <c r="P527" s="313"/>
      <c r="Q527" s="313"/>
      <c r="R527" s="313"/>
      <c r="S527" s="313"/>
      <c r="T527" s="313"/>
      <c r="U527" s="313"/>
      <c r="V527" s="313"/>
      <c r="W527" s="313"/>
      <c r="X527" s="313"/>
      <c r="Y527" s="313"/>
      <c r="Z527" s="313"/>
      <c r="AA527" s="313"/>
      <c r="AB527" s="313"/>
      <c r="AC527" s="313"/>
      <c r="AD527" s="313"/>
      <c r="AE527" s="313"/>
      <c r="AF527" s="313"/>
      <c r="AG527" s="313"/>
      <c r="AH527" s="313"/>
      <c r="AI527" s="313"/>
      <c r="AJ527" s="313"/>
      <c r="AK527" s="313"/>
      <c r="AL527" s="313"/>
      <c r="AM527" s="313"/>
      <c r="AN527" s="313"/>
      <c r="AO527" s="313"/>
      <c r="AP527" s="313"/>
      <c r="AQ527" s="313"/>
      <c r="AR527" s="313"/>
      <c r="AS527" s="313"/>
      <c r="AT527" s="313"/>
      <c r="AU527" s="313"/>
      <c r="AV527" s="313"/>
      <c r="AW527" s="313"/>
      <c r="AX527" s="313"/>
      <c r="AY527" s="313"/>
      <c r="AZ527" s="313"/>
      <c r="BA527" s="313"/>
      <c r="BB527" s="313"/>
      <c r="BC527" s="313"/>
      <c r="BD527" s="313"/>
      <c r="BE527" s="313"/>
      <c r="BF527" s="313"/>
      <c r="BG527" s="313"/>
    </row>
    <row r="528" spans="1:59" s="529" customFormat="1" ht="18" customHeight="1">
      <c r="A528" s="139"/>
      <c r="B528" s="139"/>
      <c r="C528" s="139"/>
      <c r="D528" s="139"/>
      <c r="E528" s="139"/>
      <c r="F528" s="648"/>
      <c r="G528" s="313"/>
      <c r="H528" s="313"/>
      <c r="I528" s="313"/>
      <c r="J528" s="313"/>
      <c r="K528" s="313"/>
      <c r="L528" s="313"/>
      <c r="M528" s="313"/>
      <c r="N528" s="313"/>
      <c r="O528" s="313"/>
      <c r="P528" s="313"/>
      <c r="Q528" s="313"/>
      <c r="R528" s="313"/>
      <c r="S528" s="313"/>
      <c r="T528" s="313"/>
      <c r="U528" s="313"/>
      <c r="V528" s="313"/>
      <c r="W528" s="313"/>
      <c r="X528" s="313"/>
      <c r="Y528" s="313"/>
      <c r="Z528" s="313"/>
      <c r="AA528" s="313"/>
      <c r="AB528" s="313"/>
      <c r="AC528" s="313"/>
      <c r="AD528" s="313"/>
      <c r="AE528" s="313"/>
      <c r="AF528" s="313"/>
      <c r="AG528" s="313"/>
      <c r="AH528" s="313"/>
      <c r="AI528" s="313"/>
      <c r="AJ528" s="313"/>
      <c r="AK528" s="313"/>
      <c r="AL528" s="313"/>
      <c r="AM528" s="313"/>
      <c r="AN528" s="313"/>
      <c r="AO528" s="313"/>
      <c r="AP528" s="313"/>
      <c r="AQ528" s="313"/>
      <c r="AR528" s="313"/>
      <c r="AS528" s="313"/>
      <c r="AT528" s="313"/>
      <c r="AU528" s="313"/>
      <c r="AV528" s="313"/>
      <c r="AW528" s="313"/>
      <c r="AX528" s="313"/>
      <c r="AY528" s="313"/>
      <c r="AZ528" s="313"/>
      <c r="BA528" s="313"/>
      <c r="BB528" s="313"/>
      <c r="BC528" s="313"/>
      <c r="BD528" s="313"/>
      <c r="BE528" s="313"/>
      <c r="BF528" s="313"/>
      <c r="BG528" s="313"/>
    </row>
    <row r="529" spans="1:59" s="529" customFormat="1" ht="18" customHeight="1">
      <c r="A529" s="139"/>
      <c r="B529" s="139"/>
      <c r="C529" s="139"/>
      <c r="D529" s="139"/>
      <c r="E529" s="139"/>
      <c r="F529" s="648"/>
      <c r="G529" s="313"/>
      <c r="H529" s="313"/>
      <c r="I529" s="313"/>
      <c r="J529" s="313"/>
      <c r="K529" s="313"/>
      <c r="L529" s="313"/>
      <c r="M529" s="313"/>
      <c r="N529" s="313"/>
      <c r="O529" s="313"/>
      <c r="P529" s="313"/>
      <c r="Q529" s="313"/>
      <c r="R529" s="313"/>
      <c r="S529" s="313"/>
      <c r="T529" s="313"/>
      <c r="U529" s="313"/>
      <c r="V529" s="313"/>
      <c r="W529" s="313"/>
      <c r="X529" s="313"/>
      <c r="Y529" s="313"/>
      <c r="Z529" s="313"/>
      <c r="AA529" s="313"/>
      <c r="AB529" s="313"/>
      <c r="AC529" s="313"/>
      <c r="AD529" s="313"/>
      <c r="AE529" s="313"/>
      <c r="AF529" s="313"/>
      <c r="AG529" s="313"/>
      <c r="AH529" s="313"/>
      <c r="AI529" s="313"/>
      <c r="AJ529" s="313"/>
      <c r="AK529" s="313"/>
      <c r="AL529" s="313"/>
      <c r="AM529" s="313"/>
      <c r="AN529" s="313"/>
      <c r="AO529" s="313"/>
      <c r="AP529" s="313"/>
      <c r="AQ529" s="313"/>
      <c r="AR529" s="313"/>
      <c r="AS529" s="313"/>
      <c r="AT529" s="313"/>
      <c r="AU529" s="313"/>
      <c r="AV529" s="313"/>
      <c r="AW529" s="313"/>
      <c r="AX529" s="313"/>
      <c r="AY529" s="313"/>
      <c r="AZ529" s="313"/>
      <c r="BA529" s="313"/>
      <c r="BB529" s="313"/>
      <c r="BC529" s="313"/>
      <c r="BD529" s="313"/>
      <c r="BE529" s="313"/>
      <c r="BF529" s="313"/>
      <c r="BG529" s="313"/>
    </row>
    <row r="530" spans="1:59" s="529" customFormat="1" ht="18" customHeight="1">
      <c r="A530" s="139"/>
      <c r="B530" s="139"/>
      <c r="C530" s="139"/>
      <c r="D530" s="139"/>
      <c r="E530" s="139"/>
      <c r="F530" s="648"/>
      <c r="G530" s="313"/>
      <c r="H530" s="313"/>
      <c r="I530" s="313"/>
      <c r="J530" s="313"/>
      <c r="K530" s="313"/>
      <c r="L530" s="313"/>
      <c r="M530" s="313"/>
      <c r="N530" s="313"/>
      <c r="O530" s="313"/>
      <c r="P530" s="313"/>
      <c r="Q530" s="313"/>
      <c r="R530" s="313"/>
      <c r="S530" s="313"/>
      <c r="T530" s="313"/>
      <c r="U530" s="313"/>
      <c r="V530" s="313"/>
      <c r="W530" s="313"/>
      <c r="X530" s="313"/>
      <c r="Y530" s="313"/>
      <c r="Z530" s="313"/>
      <c r="AA530" s="313"/>
      <c r="AB530" s="313"/>
      <c r="AC530" s="313"/>
      <c r="AD530" s="313"/>
      <c r="AE530" s="313"/>
      <c r="AF530" s="313"/>
      <c r="AG530" s="313"/>
      <c r="AH530" s="313"/>
      <c r="AI530" s="313"/>
      <c r="AJ530" s="313"/>
      <c r="AK530" s="313"/>
      <c r="AL530" s="313"/>
      <c r="AM530" s="313"/>
      <c r="AN530" s="313"/>
      <c r="AO530" s="313"/>
      <c r="AP530" s="313"/>
      <c r="AQ530" s="313"/>
      <c r="AR530" s="313"/>
      <c r="AS530" s="313"/>
      <c r="AT530" s="313"/>
      <c r="AU530" s="313"/>
      <c r="AV530" s="313"/>
      <c r="AW530" s="313"/>
      <c r="AX530" s="313"/>
      <c r="AY530" s="313"/>
      <c r="AZ530" s="313"/>
      <c r="BA530" s="313"/>
      <c r="BB530" s="313"/>
      <c r="BC530" s="313"/>
      <c r="BD530" s="313"/>
      <c r="BE530" s="313"/>
      <c r="BF530" s="313"/>
      <c r="BG530" s="313"/>
    </row>
    <row r="531" spans="1:59" s="529" customFormat="1" ht="18" customHeight="1">
      <c r="A531" s="139"/>
      <c r="B531" s="139"/>
      <c r="C531" s="139"/>
      <c r="D531" s="139"/>
      <c r="E531" s="139"/>
      <c r="F531" s="648"/>
      <c r="G531" s="313"/>
      <c r="H531" s="313"/>
      <c r="I531" s="313"/>
      <c r="J531" s="313"/>
      <c r="K531" s="313"/>
      <c r="L531" s="313"/>
      <c r="M531" s="313"/>
      <c r="N531" s="313"/>
      <c r="O531" s="313"/>
      <c r="P531" s="313"/>
      <c r="Q531" s="313"/>
      <c r="R531" s="313"/>
      <c r="S531" s="313"/>
      <c r="T531" s="313"/>
      <c r="U531" s="313"/>
      <c r="V531" s="313"/>
      <c r="W531" s="313"/>
      <c r="X531" s="313"/>
      <c r="Y531" s="313"/>
      <c r="Z531" s="313"/>
      <c r="AA531" s="313"/>
      <c r="AB531" s="313"/>
      <c r="AC531" s="313"/>
      <c r="AD531" s="313"/>
      <c r="AE531" s="313"/>
      <c r="AF531" s="313"/>
      <c r="AG531" s="313"/>
      <c r="AH531" s="313"/>
      <c r="AI531" s="313"/>
      <c r="AJ531" s="313"/>
      <c r="AK531" s="313"/>
      <c r="AL531" s="313"/>
      <c r="AM531" s="313"/>
      <c r="AN531" s="313"/>
      <c r="AO531" s="313"/>
      <c r="AP531" s="313"/>
      <c r="AQ531" s="313"/>
      <c r="AR531" s="313"/>
      <c r="AS531" s="313"/>
      <c r="AT531" s="313"/>
      <c r="AU531" s="313"/>
      <c r="AV531" s="313"/>
      <c r="AW531" s="313"/>
      <c r="AX531" s="313"/>
      <c r="AY531" s="313"/>
      <c r="AZ531" s="313"/>
      <c r="BA531" s="313"/>
      <c r="BB531" s="313"/>
      <c r="BC531" s="313"/>
      <c r="BD531" s="313"/>
      <c r="BE531" s="313"/>
      <c r="BF531" s="313"/>
      <c r="BG531" s="313"/>
    </row>
    <row r="532" spans="1:59" s="529" customFormat="1" ht="18" customHeight="1">
      <c r="A532" s="139"/>
      <c r="B532" s="139"/>
      <c r="C532" s="139"/>
      <c r="D532" s="139"/>
      <c r="E532" s="139"/>
      <c r="F532" s="648"/>
      <c r="G532" s="313"/>
      <c r="H532" s="313"/>
      <c r="I532" s="313"/>
      <c r="J532" s="313"/>
      <c r="K532" s="313"/>
      <c r="L532" s="313"/>
      <c r="M532" s="313"/>
      <c r="N532" s="313"/>
      <c r="O532" s="313"/>
      <c r="P532" s="313"/>
      <c r="Q532" s="313"/>
      <c r="R532" s="313"/>
      <c r="S532" s="313"/>
      <c r="T532" s="313"/>
      <c r="U532" s="313"/>
      <c r="V532" s="313"/>
      <c r="W532" s="313"/>
      <c r="X532" s="313"/>
      <c r="Y532" s="313"/>
      <c r="Z532" s="313"/>
      <c r="AA532" s="313"/>
      <c r="AB532" s="313"/>
      <c r="AC532" s="313"/>
      <c r="AD532" s="313"/>
      <c r="AE532" s="313"/>
      <c r="AF532" s="313"/>
      <c r="AG532" s="313"/>
      <c r="AH532" s="313"/>
      <c r="AI532" s="313"/>
      <c r="AJ532" s="313"/>
      <c r="AK532" s="313"/>
      <c r="AL532" s="313"/>
      <c r="AM532" s="313"/>
      <c r="AN532" s="313"/>
      <c r="AO532" s="313"/>
      <c r="AP532" s="313"/>
      <c r="AQ532" s="313"/>
      <c r="AR532" s="313"/>
      <c r="AS532" s="313"/>
      <c r="AT532" s="313"/>
      <c r="AU532" s="313"/>
      <c r="AV532" s="313"/>
      <c r="AW532" s="313"/>
      <c r="AX532" s="313"/>
      <c r="AY532" s="313"/>
      <c r="AZ532" s="313"/>
      <c r="BA532" s="313"/>
      <c r="BB532" s="313"/>
      <c r="BC532" s="313"/>
      <c r="BD532" s="313"/>
      <c r="BE532" s="313"/>
      <c r="BF532" s="313"/>
      <c r="BG532" s="313"/>
    </row>
    <row r="533" spans="1:59" s="529" customFormat="1" ht="18" customHeight="1">
      <c r="A533" s="139"/>
      <c r="B533" s="139"/>
      <c r="C533" s="139"/>
      <c r="D533" s="139"/>
      <c r="E533" s="139"/>
      <c r="F533" s="648"/>
      <c r="G533" s="313"/>
      <c r="H533" s="313"/>
      <c r="I533" s="313"/>
      <c r="J533" s="313"/>
      <c r="K533" s="313"/>
      <c r="L533" s="313"/>
      <c r="M533" s="313"/>
      <c r="N533" s="313"/>
      <c r="O533" s="313"/>
      <c r="P533" s="313"/>
      <c r="Q533" s="313"/>
      <c r="R533" s="313"/>
      <c r="S533" s="313"/>
      <c r="T533" s="313"/>
      <c r="U533" s="313"/>
      <c r="V533" s="313"/>
      <c r="W533" s="313"/>
      <c r="X533" s="313"/>
      <c r="Y533" s="313"/>
      <c r="Z533" s="313"/>
      <c r="AA533" s="313"/>
      <c r="AB533" s="313"/>
      <c r="AC533" s="313"/>
      <c r="AD533" s="313"/>
      <c r="AE533" s="313"/>
      <c r="AF533" s="313"/>
      <c r="AG533" s="313"/>
      <c r="AH533" s="313"/>
      <c r="AI533" s="313"/>
      <c r="AJ533" s="313"/>
      <c r="AK533" s="313"/>
      <c r="AL533" s="313"/>
      <c r="AM533" s="313"/>
      <c r="AN533" s="313"/>
      <c r="AO533" s="313"/>
      <c r="AP533" s="313"/>
      <c r="AQ533" s="313"/>
      <c r="AR533" s="313"/>
      <c r="AS533" s="313"/>
      <c r="AT533" s="313"/>
      <c r="AU533" s="313"/>
      <c r="AV533" s="313"/>
      <c r="AW533" s="313"/>
      <c r="AX533" s="313"/>
      <c r="AY533" s="313"/>
      <c r="AZ533" s="313"/>
      <c r="BA533" s="313"/>
      <c r="BB533" s="313"/>
      <c r="BC533" s="313"/>
      <c r="BD533" s="313"/>
      <c r="BE533" s="313"/>
      <c r="BF533" s="313"/>
      <c r="BG533" s="313"/>
    </row>
    <row r="569" spans="1:59" s="529" customFormat="1" ht="18" customHeight="1">
      <c r="A569" s="139"/>
      <c r="B569" s="139"/>
      <c r="C569" s="139"/>
      <c r="D569" s="139"/>
      <c r="E569" s="139"/>
      <c r="F569" s="648"/>
      <c r="G569" s="313"/>
      <c r="H569" s="313"/>
      <c r="I569" s="313"/>
      <c r="J569" s="313"/>
      <c r="K569" s="313"/>
      <c r="L569" s="313"/>
      <c r="M569" s="313"/>
      <c r="N569" s="313"/>
      <c r="O569" s="313"/>
      <c r="P569" s="313"/>
      <c r="Q569" s="313"/>
      <c r="R569" s="313"/>
      <c r="S569" s="313"/>
      <c r="T569" s="313"/>
      <c r="U569" s="313"/>
      <c r="V569" s="313"/>
      <c r="W569" s="313"/>
      <c r="X569" s="313"/>
      <c r="Y569" s="313"/>
      <c r="Z569" s="313"/>
      <c r="AA569" s="313"/>
      <c r="AB569" s="313"/>
      <c r="AC569" s="313"/>
      <c r="AD569" s="313"/>
      <c r="AE569" s="313"/>
      <c r="AF569" s="313"/>
      <c r="AG569" s="313"/>
      <c r="AH569" s="313"/>
      <c r="AI569" s="313"/>
      <c r="AJ569" s="313"/>
      <c r="AK569" s="313"/>
      <c r="AL569" s="313"/>
      <c r="AM569" s="313"/>
      <c r="AN569" s="313"/>
      <c r="AO569" s="313"/>
      <c r="AP569" s="313"/>
      <c r="AQ569" s="313"/>
      <c r="AR569" s="313"/>
      <c r="AS569" s="313"/>
      <c r="AT569" s="313"/>
      <c r="AU569" s="313"/>
      <c r="AV569" s="313"/>
      <c r="AW569" s="313"/>
      <c r="AX569" s="313"/>
      <c r="AY569" s="313"/>
      <c r="AZ569" s="313"/>
      <c r="BA569" s="313"/>
      <c r="BB569" s="313"/>
      <c r="BC569" s="313"/>
      <c r="BD569" s="313"/>
      <c r="BE569" s="313"/>
      <c r="BF569" s="313"/>
      <c r="BG569" s="313"/>
    </row>
    <row r="574" spans="1:59" s="529" customFormat="1" ht="18" customHeight="1">
      <c r="A574" s="139"/>
      <c r="B574" s="139"/>
      <c r="C574" s="139"/>
      <c r="D574" s="139"/>
      <c r="E574" s="139"/>
      <c r="F574" s="648"/>
      <c r="G574" s="313"/>
      <c r="H574" s="313"/>
      <c r="I574" s="313"/>
      <c r="J574" s="313"/>
      <c r="K574" s="313"/>
      <c r="L574" s="313"/>
      <c r="M574" s="313"/>
      <c r="N574" s="313"/>
      <c r="O574" s="313"/>
      <c r="P574" s="313"/>
      <c r="Q574" s="313"/>
      <c r="R574" s="313"/>
      <c r="S574" s="313"/>
      <c r="T574" s="313"/>
      <c r="U574" s="313"/>
      <c r="V574" s="313"/>
      <c r="W574" s="313"/>
      <c r="X574" s="313"/>
      <c r="Y574" s="313"/>
      <c r="Z574" s="313"/>
      <c r="AA574" s="313"/>
      <c r="AB574" s="313"/>
      <c r="AC574" s="313"/>
      <c r="AD574" s="313"/>
      <c r="AE574" s="313"/>
      <c r="AF574" s="313"/>
      <c r="AG574" s="313"/>
      <c r="AH574" s="313"/>
      <c r="AI574" s="313"/>
      <c r="AJ574" s="313"/>
      <c r="AK574" s="313"/>
      <c r="AL574" s="313"/>
      <c r="AM574" s="313"/>
      <c r="AN574" s="313"/>
      <c r="AO574" s="313"/>
      <c r="AP574" s="313"/>
      <c r="AQ574" s="313"/>
      <c r="AR574" s="313"/>
      <c r="AS574" s="313"/>
      <c r="AT574" s="313"/>
      <c r="AU574" s="313"/>
      <c r="AV574" s="313"/>
      <c r="AW574" s="313"/>
      <c r="AX574" s="313"/>
      <c r="AY574" s="313"/>
      <c r="AZ574" s="313"/>
      <c r="BA574" s="313"/>
      <c r="BB574" s="313"/>
      <c r="BC574" s="313"/>
      <c r="BD574" s="313"/>
      <c r="BE574" s="313"/>
      <c r="BF574" s="313"/>
      <c r="BG574" s="313"/>
    </row>
    <row r="581" spans="1:59" s="529" customFormat="1" ht="18" customHeight="1">
      <c r="A581" s="139"/>
      <c r="B581" s="139"/>
      <c r="C581" s="139"/>
      <c r="D581" s="139"/>
      <c r="E581" s="139"/>
      <c r="F581" s="648"/>
      <c r="G581" s="313"/>
      <c r="H581" s="313"/>
      <c r="I581" s="313"/>
      <c r="J581" s="313"/>
      <c r="K581" s="313"/>
      <c r="L581" s="313"/>
      <c r="M581" s="313"/>
      <c r="N581" s="313"/>
      <c r="O581" s="313"/>
      <c r="P581" s="313"/>
      <c r="Q581" s="313"/>
      <c r="R581" s="313"/>
      <c r="S581" s="313"/>
      <c r="T581" s="313"/>
      <c r="U581" s="313"/>
      <c r="V581" s="313"/>
      <c r="W581" s="313"/>
      <c r="X581" s="313"/>
      <c r="Y581" s="313"/>
      <c r="Z581" s="313"/>
      <c r="AA581" s="313"/>
      <c r="AB581" s="313"/>
      <c r="AC581" s="313"/>
      <c r="AD581" s="313"/>
      <c r="AE581" s="313"/>
      <c r="AF581" s="313"/>
      <c r="AG581" s="313"/>
      <c r="AH581" s="313"/>
      <c r="AI581" s="313"/>
      <c r="AJ581" s="313"/>
      <c r="AK581" s="313"/>
      <c r="AL581" s="313"/>
      <c r="AM581" s="313"/>
      <c r="AN581" s="313"/>
      <c r="AO581" s="313"/>
      <c r="AP581" s="313"/>
      <c r="AQ581" s="313"/>
      <c r="AR581" s="313"/>
      <c r="AS581" s="313"/>
      <c r="AT581" s="313"/>
      <c r="AU581" s="313"/>
      <c r="AV581" s="313"/>
      <c r="AW581" s="313"/>
      <c r="AX581" s="313"/>
      <c r="AY581" s="313"/>
      <c r="AZ581" s="313"/>
      <c r="BA581" s="313"/>
      <c r="BB581" s="313"/>
      <c r="BC581" s="313"/>
      <c r="BD581" s="313"/>
      <c r="BE581" s="313"/>
      <c r="BF581" s="313"/>
      <c r="BG581" s="313"/>
    </row>
    <row r="587" spans="1:59" s="529" customFormat="1" ht="18" customHeight="1">
      <c r="A587" s="139"/>
      <c r="B587" s="139"/>
      <c r="C587" s="139"/>
      <c r="D587" s="139"/>
      <c r="E587" s="139"/>
      <c r="F587" s="648"/>
      <c r="G587" s="313"/>
      <c r="H587" s="313"/>
      <c r="I587" s="313"/>
      <c r="J587" s="313"/>
      <c r="K587" s="313"/>
      <c r="L587" s="313"/>
      <c r="M587" s="313"/>
      <c r="N587" s="313"/>
      <c r="O587" s="313"/>
      <c r="P587" s="313"/>
      <c r="Q587" s="313"/>
      <c r="R587" s="313"/>
      <c r="S587" s="313"/>
      <c r="T587" s="313"/>
      <c r="U587" s="313"/>
      <c r="V587" s="313"/>
      <c r="W587" s="313"/>
      <c r="X587" s="313"/>
      <c r="Y587" s="313"/>
      <c r="Z587" s="313"/>
      <c r="AA587" s="313"/>
      <c r="AB587" s="313"/>
      <c r="AC587" s="313"/>
      <c r="AD587" s="313"/>
      <c r="AE587" s="313"/>
      <c r="AF587" s="313"/>
      <c r="AG587" s="313"/>
      <c r="AH587" s="313"/>
      <c r="AI587" s="313"/>
      <c r="AJ587" s="313"/>
      <c r="AK587" s="313"/>
      <c r="AL587" s="313"/>
      <c r="AM587" s="313"/>
      <c r="AN587" s="313"/>
      <c r="AO587" s="313"/>
      <c r="AP587" s="313"/>
      <c r="AQ587" s="313"/>
      <c r="AR587" s="313"/>
      <c r="AS587" s="313"/>
      <c r="AT587" s="313"/>
      <c r="AU587" s="313"/>
      <c r="AV587" s="313"/>
      <c r="AW587" s="313"/>
      <c r="AX587" s="313"/>
      <c r="AY587" s="313"/>
      <c r="AZ587" s="313"/>
      <c r="BA587" s="313"/>
      <c r="BB587" s="313"/>
      <c r="BC587" s="313"/>
      <c r="BD587" s="313"/>
      <c r="BE587" s="313"/>
      <c r="BF587" s="313"/>
      <c r="BG587" s="313"/>
    </row>
    <row r="592" spans="1:59" s="529" customFormat="1" ht="18" customHeight="1">
      <c r="A592" s="139"/>
      <c r="B592" s="139"/>
      <c r="C592" s="139"/>
      <c r="D592" s="139"/>
      <c r="E592" s="139"/>
      <c r="F592" s="648"/>
      <c r="G592" s="313"/>
      <c r="H592" s="313"/>
      <c r="I592" s="313"/>
      <c r="J592" s="313"/>
      <c r="K592" s="313"/>
      <c r="L592" s="313"/>
      <c r="M592" s="313"/>
      <c r="N592" s="313"/>
      <c r="O592" s="313"/>
      <c r="P592" s="313"/>
      <c r="Q592" s="313"/>
      <c r="R592" s="313"/>
      <c r="S592" s="313"/>
      <c r="T592" s="313"/>
      <c r="U592" s="313"/>
      <c r="V592" s="313"/>
      <c r="W592" s="313"/>
      <c r="X592" s="313"/>
      <c r="Y592" s="313"/>
      <c r="Z592" s="313"/>
      <c r="AA592" s="313"/>
      <c r="AB592" s="313"/>
      <c r="AC592" s="313"/>
      <c r="AD592" s="313"/>
      <c r="AE592" s="313"/>
      <c r="AF592" s="313"/>
      <c r="AG592" s="313"/>
      <c r="AH592" s="313"/>
      <c r="AI592" s="313"/>
      <c r="AJ592" s="313"/>
      <c r="AK592" s="313"/>
      <c r="AL592" s="313"/>
      <c r="AM592" s="313"/>
      <c r="AN592" s="313"/>
      <c r="AO592" s="313"/>
      <c r="AP592" s="313"/>
      <c r="AQ592" s="313"/>
      <c r="AR592" s="313"/>
      <c r="AS592" s="313"/>
      <c r="AT592" s="313"/>
      <c r="AU592" s="313"/>
      <c r="AV592" s="313"/>
      <c r="AW592" s="313"/>
      <c r="AX592" s="313"/>
      <c r="AY592" s="313"/>
      <c r="AZ592" s="313"/>
      <c r="BA592" s="313"/>
      <c r="BB592" s="313"/>
      <c r="BC592" s="313"/>
      <c r="BD592" s="313"/>
      <c r="BE592" s="313"/>
      <c r="BF592" s="313"/>
      <c r="BG592" s="313"/>
    </row>
    <row r="593" spans="1:59" s="529" customFormat="1" ht="18" customHeight="1">
      <c r="A593" s="139"/>
      <c r="B593" s="139"/>
      <c r="C593" s="139"/>
      <c r="D593" s="139"/>
      <c r="E593" s="139"/>
      <c r="F593" s="648"/>
      <c r="G593" s="313"/>
      <c r="H593" s="313"/>
      <c r="I593" s="313"/>
      <c r="J593" s="313"/>
      <c r="K593" s="313"/>
      <c r="L593" s="313"/>
      <c r="M593" s="313"/>
      <c r="N593" s="313"/>
      <c r="O593" s="313"/>
      <c r="P593" s="313"/>
      <c r="Q593" s="313"/>
      <c r="R593" s="313"/>
      <c r="S593" s="313"/>
      <c r="T593" s="313"/>
      <c r="U593" s="313"/>
      <c r="V593" s="313"/>
      <c r="W593" s="313"/>
      <c r="X593" s="313"/>
      <c r="Y593" s="313"/>
      <c r="Z593" s="313"/>
      <c r="AA593" s="313"/>
      <c r="AB593" s="313"/>
      <c r="AC593" s="313"/>
      <c r="AD593" s="313"/>
      <c r="AE593" s="313"/>
      <c r="AF593" s="313"/>
      <c r="AG593" s="313"/>
      <c r="AH593" s="313"/>
      <c r="AI593" s="313"/>
      <c r="AJ593" s="313"/>
      <c r="AK593" s="313"/>
      <c r="AL593" s="313"/>
      <c r="AM593" s="313"/>
      <c r="AN593" s="313"/>
      <c r="AO593" s="313"/>
      <c r="AP593" s="313"/>
      <c r="AQ593" s="313"/>
      <c r="AR593" s="313"/>
      <c r="AS593" s="313"/>
      <c r="AT593" s="313"/>
      <c r="AU593" s="313"/>
      <c r="AV593" s="313"/>
      <c r="AW593" s="313"/>
      <c r="AX593" s="313"/>
      <c r="AY593" s="313"/>
      <c r="AZ593" s="313"/>
      <c r="BA593" s="313"/>
      <c r="BB593" s="313"/>
      <c r="BC593" s="313"/>
      <c r="BD593" s="313"/>
      <c r="BE593" s="313"/>
      <c r="BF593" s="313"/>
      <c r="BG593" s="313"/>
    </row>
    <row r="706" spans="1:59" s="457" customFormat="1" ht="18" customHeight="1">
      <c r="A706" s="139"/>
      <c r="B706" s="139"/>
      <c r="C706" s="139"/>
      <c r="D706" s="139"/>
      <c r="E706" s="139"/>
      <c r="F706" s="648"/>
      <c r="G706" s="313"/>
      <c r="H706" s="313"/>
      <c r="I706" s="313"/>
      <c r="J706" s="313"/>
      <c r="K706" s="313"/>
      <c r="L706" s="313"/>
      <c r="M706" s="313"/>
      <c r="N706" s="313"/>
      <c r="O706" s="313"/>
      <c r="P706" s="313"/>
      <c r="Q706" s="313"/>
      <c r="R706" s="313"/>
      <c r="S706" s="313"/>
      <c r="T706" s="313"/>
      <c r="U706" s="313"/>
      <c r="V706" s="313"/>
      <c r="W706" s="313"/>
      <c r="X706" s="313"/>
      <c r="Y706" s="313"/>
      <c r="Z706" s="313"/>
      <c r="AA706" s="313"/>
      <c r="AB706" s="313"/>
      <c r="AC706" s="313"/>
      <c r="AD706" s="313"/>
      <c r="AE706" s="313"/>
      <c r="AF706" s="313"/>
      <c r="AG706" s="313"/>
      <c r="AH706" s="313"/>
      <c r="AI706" s="313"/>
      <c r="AJ706" s="313"/>
      <c r="AK706" s="313"/>
      <c r="AL706" s="313"/>
      <c r="AM706" s="313"/>
      <c r="AN706" s="313"/>
      <c r="AO706" s="313"/>
      <c r="AP706" s="313"/>
      <c r="AQ706" s="313"/>
      <c r="AR706" s="313"/>
      <c r="AS706" s="313"/>
      <c r="AT706" s="313"/>
      <c r="AU706" s="313"/>
      <c r="AV706" s="313"/>
      <c r="AW706" s="313"/>
      <c r="AX706" s="313"/>
      <c r="AY706" s="313"/>
      <c r="AZ706" s="313"/>
      <c r="BA706" s="313"/>
      <c r="BB706" s="313"/>
      <c r="BC706" s="313"/>
      <c r="BD706" s="313"/>
      <c r="BE706" s="313"/>
      <c r="BF706" s="313"/>
      <c r="BG706" s="313"/>
    </row>
  </sheetData>
  <pageMargins left="0.7" right="0.7" top="0.75" bottom="0.75" header="0.3" footer="0.3"/>
  <pageSetup scale="60" orientation="landscape" horizontalDpi="4294967292" verticalDpi="1200"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64F5-A4B2-420C-BC87-96E02F8B2229}">
  <sheetPr>
    <tabColor rgb="FF92D050"/>
  </sheetPr>
  <dimension ref="A1:CI292"/>
  <sheetViews>
    <sheetView zoomScale="85" zoomScaleNormal="85" workbookViewId="0">
      <selection activeCell="L13" sqref="L13"/>
    </sheetView>
  </sheetViews>
  <sheetFormatPr defaultColWidth="9.140625" defaultRowHeight="15"/>
  <cols>
    <col min="2" max="2" width="12.5703125" customWidth="1"/>
    <col min="3" max="3" width="11.85546875" customWidth="1"/>
    <col min="4" max="4" width="13.5703125" customWidth="1"/>
    <col min="5" max="10" width="9.140625" customWidth="1"/>
    <col min="13" max="13" width="9.28515625" customWidth="1"/>
    <col min="14" max="18" width="10.5703125" customWidth="1"/>
    <col min="19" max="20" width="11.140625" customWidth="1"/>
    <col min="21" max="21" width="9.7109375" customWidth="1"/>
    <col min="23" max="23" width="11.28515625" customWidth="1"/>
    <col min="27" max="27" width="10.5703125" bestFit="1" customWidth="1"/>
    <col min="28" max="45" width="9.140625" customWidth="1"/>
    <col min="46" max="72" width="9.140625" bestFit="1" customWidth="1"/>
  </cols>
  <sheetData>
    <row r="1" spans="1:30" ht="15.75" customHeight="1" thickBot="1">
      <c r="A1" s="1046" t="s">
        <v>1097</v>
      </c>
      <c r="B1" s="1047"/>
      <c r="C1" s="1047"/>
      <c r="D1" s="1047"/>
      <c r="E1" s="1047"/>
      <c r="F1" s="1047"/>
      <c r="G1" s="1047"/>
      <c r="H1" s="1047"/>
      <c r="I1" s="1047"/>
      <c r="J1" s="1049"/>
      <c r="K1" s="1049"/>
      <c r="L1" s="1049"/>
      <c r="M1" s="1049"/>
      <c r="N1" s="1049"/>
      <c r="O1" s="1049"/>
      <c r="P1" s="1049"/>
      <c r="Q1" s="1049"/>
      <c r="R1" s="1049"/>
      <c r="S1" s="1050"/>
      <c r="T1" s="28"/>
      <c r="U1" s="1024" t="s">
        <v>820</v>
      </c>
      <c r="V1" s="1025"/>
      <c r="W1" s="1025"/>
      <c r="X1" s="1025"/>
      <c r="Y1" s="1026"/>
    </row>
    <row r="2" spans="1:30" ht="74.25" customHeight="1">
      <c r="A2" s="155"/>
      <c r="B2" s="247" t="s">
        <v>7177</v>
      </c>
      <c r="C2" s="932" t="s">
        <v>1066</v>
      </c>
      <c r="D2" s="932" t="s">
        <v>1067</v>
      </c>
      <c r="E2" s="932" t="s">
        <v>1068</v>
      </c>
      <c r="F2" s="932" t="s">
        <v>1047</v>
      </c>
      <c r="G2" s="965" t="s">
        <v>959</v>
      </c>
      <c r="H2" s="932" t="s">
        <v>1069</v>
      </c>
      <c r="I2" s="932" t="s">
        <v>1070</v>
      </c>
      <c r="J2" s="972" t="s">
        <v>7157</v>
      </c>
      <c r="K2" s="972" t="s">
        <v>7158</v>
      </c>
      <c r="L2" s="979" t="s">
        <v>7178</v>
      </c>
      <c r="M2" s="932" t="s">
        <v>1072</v>
      </c>
      <c r="N2" s="932"/>
      <c r="O2" s="932"/>
      <c r="P2" s="932"/>
      <c r="Q2" s="932"/>
      <c r="R2" s="932"/>
      <c r="S2" s="932"/>
      <c r="T2" s="933"/>
      <c r="U2" s="228"/>
      <c r="V2" s="247" t="s">
        <v>896</v>
      </c>
      <c r="W2" s="932" t="s">
        <v>1069</v>
      </c>
      <c r="X2" s="932" t="s">
        <v>1070</v>
      </c>
      <c r="Y2" s="369"/>
      <c r="AA2" s="906"/>
    </row>
    <row r="3" spans="1:30">
      <c r="A3" s="607" t="s">
        <v>823</v>
      </c>
      <c r="B3" s="152">
        <v>12</v>
      </c>
      <c r="C3" s="407"/>
      <c r="D3" s="407"/>
      <c r="E3" s="610"/>
      <c r="F3" s="610"/>
      <c r="G3" s="608"/>
      <c r="H3" s="407"/>
      <c r="I3" s="609"/>
      <c r="J3" s="407"/>
      <c r="K3" s="407"/>
      <c r="L3" s="407"/>
      <c r="M3" s="407"/>
      <c r="N3" s="407"/>
      <c r="O3" s="407"/>
      <c r="P3" s="407"/>
      <c r="Q3" s="407"/>
      <c r="R3" s="407"/>
      <c r="S3" s="407"/>
      <c r="T3" s="570"/>
      <c r="U3" s="232" t="s">
        <v>823</v>
      </c>
      <c r="V3" s="152">
        <v>14</v>
      </c>
      <c r="W3" s="610"/>
      <c r="X3" s="610"/>
      <c r="Y3" s="147"/>
      <c r="AA3" s="946">
        <f>_xlfn.LET(
    _xlpm.monthText, $B$2,
    _xlpm.dayNum, B3,
    _xlpm.prevDay, IF(ROW()=3, 0, B2),
    _xlpm.month1, TRIM(LEFT(_xlpm.monthText, FIND("-", _xlpm.monthText &amp; "-") - 1)),
    _xlpm.month2, IFERROR(TRIM(MID(_xlpm.monthText, FIND("-", _xlpm.monthText &amp; "-") + 1, 99)), ""),
    _xlpm.useMonth,
        IF(
            _xlpm.month2 = "",
            _xlpm.month1,
            IF(ROW()=3, _xlpm.month1, IF(_xlpm.dayNum &lt; _xlpm.prevDay, _xlpm.month2, _xlpm.month1))
        ),
    IFERROR(DATEVALUE(_xlpm.useMonth &amp; " " &amp; _xlpm.dayNum &amp; ", " &amp; 2025), "")
)</f>
        <v>45669</v>
      </c>
      <c r="AD3">
        <f>5.5+6+7.5+7.5+7.5+6.75+4.45+7.25+6.25+8</f>
        <v>66.7</v>
      </c>
    </row>
    <row r="4" spans="1:30">
      <c r="A4" s="607" t="s">
        <v>824</v>
      </c>
      <c r="B4" s="152">
        <v>13</v>
      </c>
      <c r="C4" s="407"/>
      <c r="D4" s="407"/>
      <c r="E4" s="612"/>
      <c r="F4" s="612"/>
      <c r="G4" s="407"/>
      <c r="H4" s="407"/>
      <c r="I4" s="611"/>
      <c r="J4" s="407"/>
      <c r="K4" s="407">
        <v>5</v>
      </c>
      <c r="L4" s="407"/>
      <c r="M4" s="407"/>
      <c r="N4" s="407"/>
      <c r="O4" s="407"/>
      <c r="P4" s="407"/>
      <c r="Q4" s="407"/>
      <c r="R4" s="407"/>
      <c r="S4" s="407"/>
      <c r="T4" s="570"/>
      <c r="U4" s="232" t="s">
        <v>824</v>
      </c>
      <c r="V4" s="152">
        <v>15</v>
      </c>
      <c r="W4" s="612"/>
      <c r="X4" s="612"/>
      <c r="Y4" s="147"/>
      <c r="AA4" s="946">
        <f t="shared" ref="AA4:AA16" si="0">_xlfn.LET(
    _xlpm.monthText, $B$2,
    _xlpm.dayNum, B4,
    _xlpm.prevDay, IF(ROW()=3, 0, B3),
    _xlpm.month1, TRIM(LEFT(_xlpm.monthText, FIND("-", _xlpm.monthText &amp; "-") - 1)),
    _xlpm.month2, IFERROR(TRIM(MID(_xlpm.monthText, FIND("-", _xlpm.monthText &amp; "-") + 1, 99)), ""),
    _xlpm.useMonth,
        IF(
            _xlpm.month2 = "",
            _xlpm.month1,
            IF(ROW()=3, _xlpm.month1, IF(_xlpm.dayNum &lt; _xlpm.prevDay, _xlpm.month2, _xlpm.month1))
        ),
    IFERROR(DATEVALUE(_xlpm.useMonth &amp; " " &amp; _xlpm.dayNum &amp; ", " &amp; 2025), "")
)</f>
        <v>45670</v>
      </c>
    </row>
    <row r="5" spans="1:30">
      <c r="A5" s="607" t="s">
        <v>825</v>
      </c>
      <c r="B5" s="152">
        <v>14</v>
      </c>
      <c r="C5" s="407"/>
      <c r="D5" s="407"/>
      <c r="E5" s="612"/>
      <c r="F5" s="612"/>
      <c r="G5" s="407"/>
      <c r="H5" s="407"/>
      <c r="I5" s="611"/>
      <c r="J5" s="407">
        <v>4.5</v>
      </c>
      <c r="K5" s="407">
        <v>5</v>
      </c>
      <c r="L5" s="407"/>
      <c r="M5" s="407"/>
      <c r="N5" s="407"/>
      <c r="O5" s="407"/>
      <c r="P5" s="407"/>
      <c r="Q5" s="407"/>
      <c r="R5" s="407"/>
      <c r="S5" s="407"/>
      <c r="T5" s="570"/>
      <c r="U5" s="232" t="s">
        <v>825</v>
      </c>
      <c r="V5" s="152">
        <v>16</v>
      </c>
      <c r="W5" s="612"/>
      <c r="X5" s="612"/>
      <c r="Y5" s="147"/>
      <c r="AA5" s="946">
        <f t="shared" si="0"/>
        <v>45671</v>
      </c>
    </row>
    <row r="6" spans="1:30">
      <c r="A6" s="607" t="s">
        <v>826</v>
      </c>
      <c r="B6" s="152">
        <v>15</v>
      </c>
      <c r="C6" s="407"/>
      <c r="D6" s="407"/>
      <c r="E6" s="612"/>
      <c r="F6" s="612"/>
      <c r="G6" s="407"/>
      <c r="H6" s="407"/>
      <c r="I6" s="611"/>
      <c r="J6" s="407">
        <v>5.5</v>
      </c>
      <c r="K6" s="407">
        <v>5.5</v>
      </c>
      <c r="L6" s="407"/>
      <c r="M6" s="407"/>
      <c r="N6" s="407"/>
      <c r="O6" s="407"/>
      <c r="P6" s="407"/>
      <c r="Q6" s="407"/>
      <c r="R6" s="407"/>
      <c r="S6" s="407"/>
      <c r="T6" s="570"/>
      <c r="U6" s="232" t="s">
        <v>826</v>
      </c>
      <c r="V6" s="152">
        <v>17</v>
      </c>
      <c r="W6" s="612"/>
      <c r="X6" s="612"/>
      <c r="Y6" s="147"/>
      <c r="AA6" s="946">
        <f t="shared" si="0"/>
        <v>45672</v>
      </c>
    </row>
    <row r="7" spans="1:30">
      <c r="A7" s="607" t="s">
        <v>827</v>
      </c>
      <c r="B7" s="152">
        <v>16</v>
      </c>
      <c r="C7" s="407"/>
      <c r="D7" s="407"/>
      <c r="E7" s="612"/>
      <c r="F7" s="612"/>
      <c r="G7" s="407"/>
      <c r="H7" s="407"/>
      <c r="I7" s="611"/>
      <c r="J7" s="407">
        <v>5.5</v>
      </c>
      <c r="K7" s="407">
        <v>5.5</v>
      </c>
      <c r="L7" s="407"/>
      <c r="M7" s="407"/>
      <c r="N7" s="407"/>
      <c r="O7" s="407"/>
      <c r="P7" s="407"/>
      <c r="Q7" s="407"/>
      <c r="R7" s="407"/>
      <c r="S7" s="407"/>
      <c r="T7" s="570"/>
      <c r="U7" s="232" t="s">
        <v>827</v>
      </c>
      <c r="V7" s="152">
        <v>18</v>
      </c>
      <c r="W7" s="612"/>
      <c r="X7" s="612"/>
      <c r="Y7" s="147"/>
      <c r="AA7" s="946">
        <f t="shared" si="0"/>
        <v>45673</v>
      </c>
    </row>
    <row r="8" spans="1:30">
      <c r="A8" s="607" t="s">
        <v>821</v>
      </c>
      <c r="B8" s="152">
        <v>17</v>
      </c>
      <c r="C8" s="407"/>
      <c r="D8" s="407"/>
      <c r="E8" s="612"/>
      <c r="F8" s="612"/>
      <c r="G8" s="407"/>
      <c r="H8" s="407"/>
      <c r="I8" s="611"/>
      <c r="J8" s="407"/>
      <c r="K8" s="407">
        <v>4</v>
      </c>
      <c r="L8" s="407"/>
      <c r="M8" s="407"/>
      <c r="N8" s="407"/>
      <c r="O8" s="407"/>
      <c r="P8" s="407"/>
      <c r="Q8" s="407"/>
      <c r="R8" s="407"/>
      <c r="S8" s="407"/>
      <c r="T8" s="570"/>
      <c r="U8" s="232" t="s">
        <v>821</v>
      </c>
      <c r="V8" s="152">
        <v>19</v>
      </c>
      <c r="W8" s="612"/>
      <c r="X8" s="612"/>
      <c r="Y8" s="147"/>
      <c r="AA8" s="946">
        <f t="shared" si="0"/>
        <v>45674</v>
      </c>
    </row>
    <row r="9" spans="1:30">
      <c r="A9" s="607" t="s">
        <v>822</v>
      </c>
      <c r="B9" s="152">
        <v>18</v>
      </c>
      <c r="C9" s="407"/>
      <c r="D9" s="407"/>
      <c r="E9" s="612"/>
      <c r="F9" s="612"/>
      <c r="G9" s="407"/>
      <c r="H9" s="407"/>
      <c r="I9" s="611"/>
      <c r="J9" s="407"/>
      <c r="K9" s="407">
        <v>5.5</v>
      </c>
      <c r="L9" s="407"/>
      <c r="M9" s="407"/>
      <c r="N9" s="407"/>
      <c r="O9" s="407"/>
      <c r="P9" s="407"/>
      <c r="Q9" s="407"/>
      <c r="R9" s="407"/>
      <c r="S9" s="407"/>
      <c r="T9" s="672">
        <f>SUM(C3:S9)</f>
        <v>46</v>
      </c>
      <c r="U9" s="232" t="s">
        <v>822</v>
      </c>
      <c r="V9" s="152">
        <v>20</v>
      </c>
      <c r="W9" s="612"/>
      <c r="X9" s="612"/>
      <c r="Y9" s="147"/>
      <c r="AA9" s="946">
        <f t="shared" si="0"/>
        <v>45675</v>
      </c>
    </row>
    <row r="10" spans="1:30">
      <c r="A10" s="587" t="s">
        <v>823</v>
      </c>
      <c r="B10" s="152">
        <v>19</v>
      </c>
      <c r="C10" s="479"/>
      <c r="D10" s="581"/>
      <c r="E10" s="581"/>
      <c r="F10" s="581"/>
      <c r="G10" s="479"/>
      <c r="H10" s="479"/>
      <c r="I10" s="592"/>
      <c r="J10" s="479">
        <v>7</v>
      </c>
      <c r="K10" s="479"/>
      <c r="L10" s="479"/>
      <c r="M10" s="479"/>
      <c r="N10" s="479"/>
      <c r="O10" s="479"/>
      <c r="P10" s="479"/>
      <c r="Q10" s="479"/>
      <c r="R10" s="479"/>
      <c r="S10" s="479"/>
      <c r="T10" s="672"/>
      <c r="U10" s="232" t="s">
        <v>823</v>
      </c>
      <c r="V10" s="152">
        <v>21</v>
      </c>
      <c r="W10" s="581"/>
      <c r="X10" s="581"/>
      <c r="Y10" s="147"/>
      <c r="AA10" s="946">
        <f t="shared" si="0"/>
        <v>45676</v>
      </c>
    </row>
    <row r="11" spans="1:30">
      <c r="A11" s="587" t="s">
        <v>824</v>
      </c>
      <c r="B11" s="152">
        <v>20</v>
      </c>
      <c r="C11" s="479"/>
      <c r="D11" s="479"/>
      <c r="E11" s="581"/>
      <c r="F11" s="581"/>
      <c r="G11" s="479"/>
      <c r="H11" s="479"/>
      <c r="I11" s="592"/>
      <c r="J11" s="479"/>
      <c r="K11" s="479"/>
      <c r="L11" s="479">
        <v>8</v>
      </c>
      <c r="M11" s="479"/>
      <c r="N11" s="479"/>
      <c r="O11" s="479"/>
      <c r="P11" s="479"/>
      <c r="Q11" s="479"/>
      <c r="R11" s="479"/>
      <c r="S11" s="479"/>
      <c r="T11" s="672"/>
      <c r="U11" s="232" t="s">
        <v>824</v>
      </c>
      <c r="V11" s="152">
        <v>22</v>
      </c>
      <c r="W11" s="581"/>
      <c r="X11" s="581"/>
      <c r="Y11" s="147"/>
      <c r="AA11" s="946">
        <f t="shared" si="0"/>
        <v>45677</v>
      </c>
    </row>
    <row r="12" spans="1:30">
      <c r="A12" s="587" t="s">
        <v>825</v>
      </c>
      <c r="B12" s="152">
        <v>21</v>
      </c>
      <c r="C12" s="479"/>
      <c r="D12" s="479"/>
      <c r="E12" s="581"/>
      <c r="F12" s="581"/>
      <c r="G12" s="479"/>
      <c r="H12" s="479"/>
      <c r="I12" s="592"/>
      <c r="J12" s="479">
        <v>6</v>
      </c>
      <c r="K12" s="479">
        <v>6</v>
      </c>
      <c r="L12" s="479">
        <v>5</v>
      </c>
      <c r="M12" s="479"/>
      <c r="N12" s="479"/>
      <c r="O12" s="479"/>
      <c r="P12" s="479"/>
      <c r="Q12" s="479"/>
      <c r="R12" s="479"/>
      <c r="S12" s="479"/>
      <c r="T12" s="672"/>
      <c r="U12" s="232" t="s">
        <v>825</v>
      </c>
      <c r="V12" s="152">
        <v>23</v>
      </c>
      <c r="W12" s="581"/>
      <c r="X12" s="581"/>
      <c r="Y12" s="147"/>
      <c r="AA12" s="946">
        <f t="shared" si="0"/>
        <v>45678</v>
      </c>
    </row>
    <row r="13" spans="1:30">
      <c r="A13" s="587" t="s">
        <v>826</v>
      </c>
      <c r="B13" s="152">
        <v>22</v>
      </c>
      <c r="C13" s="479"/>
      <c r="D13" s="479"/>
      <c r="E13" s="581"/>
      <c r="F13" s="581"/>
      <c r="G13" s="479"/>
      <c r="H13" s="479"/>
      <c r="I13" s="592"/>
      <c r="J13" s="479">
        <v>5</v>
      </c>
      <c r="K13" s="479">
        <v>5</v>
      </c>
      <c r="L13" s="479"/>
      <c r="M13" s="479"/>
      <c r="N13" s="479"/>
      <c r="O13" s="479"/>
      <c r="P13" s="479"/>
      <c r="Q13" s="479"/>
      <c r="R13" s="479"/>
      <c r="S13" s="479"/>
      <c r="T13" s="672"/>
      <c r="U13" s="232" t="s">
        <v>826</v>
      </c>
      <c r="V13" s="152">
        <v>24</v>
      </c>
      <c r="W13" s="581"/>
      <c r="X13" s="581"/>
      <c r="Y13" s="147"/>
      <c r="AA13" s="946">
        <f t="shared" si="0"/>
        <v>45679</v>
      </c>
    </row>
    <row r="14" spans="1:30">
      <c r="A14" s="594" t="s">
        <v>827</v>
      </c>
      <c r="B14" s="152">
        <v>23</v>
      </c>
      <c r="C14" s="588"/>
      <c r="D14" s="588"/>
      <c r="E14" s="589"/>
      <c r="F14" s="589"/>
      <c r="G14" s="588"/>
      <c r="H14" s="588"/>
      <c r="I14" s="593"/>
      <c r="J14" s="479">
        <v>5.5</v>
      </c>
      <c r="K14" s="588">
        <v>5.5</v>
      </c>
      <c r="L14" s="588"/>
      <c r="M14" s="588"/>
      <c r="N14" s="588"/>
      <c r="O14" s="479"/>
      <c r="P14" s="479"/>
      <c r="Q14" s="479"/>
      <c r="R14" s="479"/>
      <c r="S14" s="479"/>
      <c r="T14" s="672"/>
      <c r="U14" s="232" t="s">
        <v>827</v>
      </c>
      <c r="V14" s="152">
        <v>25</v>
      </c>
      <c r="W14" s="589"/>
      <c r="X14" s="589"/>
      <c r="Y14" s="147"/>
      <c r="AA14" s="946">
        <f t="shared" si="0"/>
        <v>45680</v>
      </c>
    </row>
    <row r="15" spans="1:30">
      <c r="A15" s="594" t="s">
        <v>821</v>
      </c>
      <c r="B15" s="152">
        <v>24</v>
      </c>
      <c r="C15" s="588"/>
      <c r="D15" s="479"/>
      <c r="E15" s="581"/>
      <c r="F15" s="581"/>
      <c r="G15" s="479"/>
      <c r="H15" s="479"/>
      <c r="I15" s="479"/>
      <c r="J15" s="479"/>
      <c r="K15" s="479">
        <v>7.5</v>
      </c>
      <c r="L15" s="479"/>
      <c r="M15" s="479"/>
      <c r="N15" s="479"/>
      <c r="O15" s="479"/>
      <c r="P15" s="479"/>
      <c r="Q15" s="479"/>
      <c r="R15" s="479"/>
      <c r="S15" s="479"/>
      <c r="T15" s="672"/>
      <c r="U15" s="232" t="s">
        <v>821</v>
      </c>
      <c r="V15" s="152">
        <v>26</v>
      </c>
      <c r="W15" s="581"/>
      <c r="X15" s="581"/>
      <c r="Y15" s="147"/>
      <c r="AA15" s="946">
        <f t="shared" si="0"/>
        <v>45681</v>
      </c>
    </row>
    <row r="16" spans="1:30" ht="15.75" thickBot="1">
      <c r="A16" s="594" t="s">
        <v>822</v>
      </c>
      <c r="B16" s="152">
        <v>25</v>
      </c>
      <c r="C16" s="479"/>
      <c r="D16" s="479"/>
      <c r="E16" s="581"/>
      <c r="F16" s="581"/>
      <c r="G16" s="479"/>
      <c r="H16" s="479"/>
      <c r="I16" s="479"/>
      <c r="J16" s="479"/>
      <c r="K16" s="479">
        <v>5</v>
      </c>
      <c r="L16" s="479"/>
      <c r="M16" s="479"/>
      <c r="N16" s="479"/>
      <c r="O16" s="479"/>
      <c r="P16" s="479"/>
      <c r="Q16" s="479"/>
      <c r="R16" s="479"/>
      <c r="S16" s="479"/>
      <c r="T16" s="672">
        <f>SUM(C10:S16)</f>
        <v>65.5</v>
      </c>
      <c r="U16" s="232" t="s">
        <v>822</v>
      </c>
      <c r="V16" s="152">
        <v>27</v>
      </c>
      <c r="W16" s="581"/>
      <c r="X16" s="581"/>
      <c r="Y16" s="147"/>
      <c r="AA16" s="888">
        <f t="shared" si="0"/>
        <v>45682</v>
      </c>
    </row>
    <row r="17" spans="1:25" ht="16.5" thickBot="1">
      <c r="A17" s="595" t="s">
        <v>791</v>
      </c>
      <c r="B17" s="461">
        <f>SUM(C17:S17)+V17</f>
        <v>0</v>
      </c>
      <c r="C17" s="584"/>
      <c r="D17" s="584"/>
      <c r="E17" s="584"/>
      <c r="F17" s="584"/>
      <c r="G17" s="584"/>
      <c r="H17" s="584"/>
      <c r="I17" s="584"/>
      <c r="J17" s="584"/>
      <c r="K17" s="584"/>
      <c r="L17" s="584"/>
      <c r="M17" s="584"/>
      <c r="N17" s="584"/>
      <c r="O17" s="479"/>
      <c r="P17" s="479"/>
      <c r="Q17" s="479"/>
      <c r="R17" s="479">
        <f t="shared" ref="R17:S17" si="1">SUM(R3:R14)</f>
        <v>0</v>
      </c>
      <c r="S17" s="479">
        <f t="shared" si="1"/>
        <v>0</v>
      </c>
      <c r="T17" s="670"/>
      <c r="U17" s="175" t="s">
        <v>791</v>
      </c>
      <c r="V17" s="176">
        <f>SUM(W17:Y17)</f>
        <v>0</v>
      </c>
      <c r="W17" s="585">
        <f>SUM(W3:W16)</f>
        <v>0</v>
      </c>
      <c r="X17" s="585">
        <f>SUM(X3:X16)</f>
        <v>0</v>
      </c>
      <c r="Y17" s="147">
        <f>SUM(Y3:Y14)</f>
        <v>0</v>
      </c>
    </row>
    <row r="18" spans="1:25" s="599" customFormat="1">
      <c r="A18" s="598"/>
      <c r="C18" s="65">
        <f>SUM(C3:C9)</f>
        <v>0</v>
      </c>
      <c r="D18" s="65">
        <f>SUM(D3:D9)+AB17</f>
        <v>0</v>
      </c>
      <c r="E18" s="65">
        <f>SUM(E3:E9)+W17</f>
        <v>0</v>
      </c>
      <c r="F18" s="65">
        <f>SUM(F3:F9)+X17</f>
        <v>0</v>
      </c>
      <c r="G18" s="65">
        <f>SUM(G3:G9)</f>
        <v>0</v>
      </c>
      <c r="H18" s="65">
        <f>SUM(H3:H9)</f>
        <v>0</v>
      </c>
      <c r="I18" s="65">
        <f>SUM(I3:I10)</f>
        <v>0</v>
      </c>
      <c r="J18" s="65">
        <f>SUM(J3:J9)+Y17</f>
        <v>15.5</v>
      </c>
      <c r="K18" s="65">
        <f>SUM(K3:K9)+Z17</f>
        <v>30.5</v>
      </c>
      <c r="L18" s="65">
        <f>SUM(L3:L9)+AA17</f>
        <v>0</v>
      </c>
      <c r="M18" s="65">
        <f t="shared" ref="M18:N18" si="2">SUM(M3:M9)+AC17</f>
        <v>0</v>
      </c>
      <c r="N18" s="65">
        <f t="shared" si="2"/>
        <v>0</v>
      </c>
      <c r="O18" s="570"/>
      <c r="P18" s="570"/>
      <c r="Q18" s="570"/>
      <c r="R18" s="570"/>
      <c r="S18" s="600"/>
      <c r="T18" s="570"/>
    </row>
    <row r="19" spans="1:25" s="599" customFormat="1" ht="15.75" thickBot="1">
      <c r="A19" s="598"/>
      <c r="C19" s="65">
        <f t="shared" ref="C19:N19" si="3">SUM(C10:C16)</f>
        <v>0</v>
      </c>
      <c r="D19" s="65">
        <f>SUM(D10:D16)</f>
        <v>0</v>
      </c>
      <c r="E19" s="65">
        <f>SUM(E10:E16)</f>
        <v>0</v>
      </c>
      <c r="F19" s="65">
        <f>SUM(F10:F16)</f>
        <v>0</v>
      </c>
      <c r="G19" s="65">
        <f t="shared" si="3"/>
        <v>0</v>
      </c>
      <c r="H19" s="65">
        <f t="shared" si="3"/>
        <v>0</v>
      </c>
      <c r="I19" s="65">
        <f>SUM(I10:I16)</f>
        <v>0</v>
      </c>
      <c r="J19" s="65">
        <f>SUM(J10:J16)</f>
        <v>23.5</v>
      </c>
      <c r="K19" s="65">
        <f>SUM(K10:K16)</f>
        <v>29</v>
      </c>
      <c r="L19" s="65">
        <f>SUM(L10:L16)</f>
        <v>13</v>
      </c>
      <c r="M19" s="65">
        <f t="shared" si="3"/>
        <v>0</v>
      </c>
      <c r="N19" s="65">
        <f t="shared" si="3"/>
        <v>0</v>
      </c>
      <c r="O19" s="570"/>
      <c r="P19" s="570"/>
      <c r="Q19" s="570"/>
      <c r="R19" s="570"/>
      <c r="S19" s="600"/>
      <c r="T19" s="570">
        <f>T9+T16</f>
        <v>111.5</v>
      </c>
    </row>
    <row r="20" spans="1:25" ht="15.75" customHeight="1" thickBot="1">
      <c r="A20" s="1058" t="s">
        <v>1098</v>
      </c>
      <c r="B20" s="1061"/>
      <c r="C20" s="1061"/>
      <c r="D20" s="1061"/>
      <c r="E20" s="1061"/>
      <c r="F20" s="1061"/>
      <c r="G20" s="1061"/>
      <c r="H20" s="1061"/>
      <c r="I20" s="1061"/>
      <c r="J20" s="1059"/>
      <c r="K20" s="1059"/>
      <c r="L20" s="1059"/>
      <c r="M20" s="1059"/>
      <c r="N20" s="1059"/>
      <c r="O20" s="1059"/>
      <c r="P20" s="1059"/>
      <c r="Q20" s="1059"/>
      <c r="R20" s="1059"/>
      <c r="S20" s="1060"/>
      <c r="T20" s="671"/>
      <c r="U20" s="1024" t="s">
        <v>820</v>
      </c>
      <c r="V20" s="1025"/>
      <c r="W20" s="1025"/>
      <c r="X20" s="1025"/>
      <c r="Y20" s="1026"/>
    </row>
    <row r="21" spans="1:25" ht="74.25" customHeight="1">
      <c r="A21" s="586"/>
      <c r="B21" s="247" t="str">
        <f>B2</f>
        <v>Jan</v>
      </c>
      <c r="C21" s="943" t="s">
        <v>1066</v>
      </c>
      <c r="D21" s="943" t="s">
        <v>1068</v>
      </c>
      <c r="E21" s="943" t="s">
        <v>1099</v>
      </c>
      <c r="F21" s="943" t="s">
        <v>1047</v>
      </c>
      <c r="G21" s="964" t="s">
        <v>7141</v>
      </c>
      <c r="H21" s="971" t="s">
        <v>1311</v>
      </c>
      <c r="I21" s="971" t="s">
        <v>7159</v>
      </c>
      <c r="J21" s="971" t="s">
        <v>7160</v>
      </c>
      <c r="K21" s="943" t="s">
        <v>1080</v>
      </c>
      <c r="L21" s="943" t="s">
        <v>1071</v>
      </c>
      <c r="M21" s="943" t="s">
        <v>1082</v>
      </c>
      <c r="N21" s="943" t="s">
        <v>1083</v>
      </c>
      <c r="O21" s="944"/>
      <c r="P21" s="944"/>
      <c r="Q21" s="944"/>
      <c r="R21" s="944"/>
      <c r="S21" s="944"/>
      <c r="T21" s="947"/>
      <c r="U21" s="228"/>
      <c r="V21" s="247"/>
      <c r="W21" s="369"/>
      <c r="X21" s="369"/>
      <c r="Y21" s="369"/>
    </row>
    <row r="22" spans="1:25">
      <c r="A22" s="587" t="s">
        <v>823</v>
      </c>
      <c r="B22" s="247">
        <f t="shared" ref="B22:B35" si="4">B3</f>
        <v>12</v>
      </c>
      <c r="C22" s="479"/>
      <c r="D22" s="584"/>
      <c r="E22" s="584"/>
      <c r="F22" s="591"/>
      <c r="G22" s="590"/>
      <c r="H22" s="591"/>
      <c r="I22" s="479"/>
      <c r="J22" s="479"/>
      <c r="K22" s="479"/>
      <c r="L22" s="479"/>
      <c r="M22" s="479"/>
      <c r="N22" s="479"/>
      <c r="O22" s="479"/>
      <c r="P22" s="479"/>
      <c r="Q22" s="479"/>
      <c r="R22" s="479"/>
      <c r="S22" s="479"/>
      <c r="T22" s="570"/>
      <c r="U22" s="232" t="s">
        <v>823</v>
      </c>
      <c r="V22" s="152"/>
      <c r="W22" s="147"/>
      <c r="X22" s="147"/>
      <c r="Y22" s="147"/>
    </row>
    <row r="23" spans="1:25">
      <c r="A23" s="587" t="s">
        <v>824</v>
      </c>
      <c r="B23" s="247">
        <f t="shared" si="4"/>
        <v>13</v>
      </c>
      <c r="C23" s="479"/>
      <c r="D23" s="479"/>
      <c r="E23" s="479"/>
      <c r="F23" s="581"/>
      <c r="G23" s="592"/>
      <c r="H23" s="581"/>
      <c r="I23" s="479"/>
      <c r="J23" s="479"/>
      <c r="K23" s="479"/>
      <c r="L23" s="479"/>
      <c r="M23" s="479"/>
      <c r="N23" s="479"/>
      <c r="O23" s="479"/>
      <c r="P23" s="479"/>
      <c r="Q23" s="479"/>
      <c r="R23" s="479"/>
      <c r="S23" s="479"/>
      <c r="T23" s="570"/>
      <c r="U23" s="232" t="s">
        <v>824</v>
      </c>
      <c r="V23" s="152"/>
      <c r="W23" s="147"/>
      <c r="X23" s="147"/>
      <c r="Y23" s="147"/>
    </row>
    <row r="24" spans="1:25">
      <c r="A24" s="587" t="s">
        <v>825</v>
      </c>
      <c r="B24" s="247">
        <f t="shared" si="4"/>
        <v>14</v>
      </c>
      <c r="C24" s="479"/>
      <c r="D24" s="479"/>
      <c r="E24" s="479"/>
      <c r="F24" s="581"/>
      <c r="G24" s="592"/>
      <c r="H24" s="581"/>
      <c r="I24" s="479"/>
      <c r="J24" s="479"/>
      <c r="K24" s="479"/>
      <c r="L24" s="479"/>
      <c r="M24" s="479"/>
      <c r="N24" s="479"/>
      <c r="O24" s="479"/>
      <c r="P24" s="479"/>
      <c r="Q24" s="479"/>
      <c r="R24" s="479"/>
      <c r="S24" s="479"/>
      <c r="T24" s="570"/>
      <c r="U24" s="232" t="s">
        <v>825</v>
      </c>
      <c r="V24" s="152"/>
      <c r="W24" s="147"/>
      <c r="X24" s="147"/>
      <c r="Y24" s="147"/>
    </row>
    <row r="25" spans="1:25">
      <c r="A25" s="587" t="s">
        <v>826</v>
      </c>
      <c r="B25" s="247">
        <f t="shared" si="4"/>
        <v>15</v>
      </c>
      <c r="C25" s="479"/>
      <c r="D25" s="479"/>
      <c r="E25" s="479"/>
      <c r="F25" s="581"/>
      <c r="G25" s="592"/>
      <c r="H25" s="581"/>
      <c r="I25" s="479"/>
      <c r="J25" s="479"/>
      <c r="K25" s="479"/>
      <c r="L25" s="479"/>
      <c r="M25" s="479"/>
      <c r="N25" s="479"/>
      <c r="O25" s="479"/>
      <c r="P25" s="479"/>
      <c r="Q25" s="479"/>
      <c r="R25" s="479"/>
      <c r="S25" s="479"/>
      <c r="T25" s="570"/>
      <c r="U25" s="232" t="s">
        <v>826</v>
      </c>
      <c r="V25" s="152"/>
      <c r="W25" s="147"/>
      <c r="X25" s="147"/>
      <c r="Y25" s="147"/>
    </row>
    <row r="26" spans="1:25">
      <c r="A26" s="587" t="s">
        <v>827</v>
      </c>
      <c r="B26" s="247">
        <f t="shared" si="4"/>
        <v>16</v>
      </c>
      <c r="C26" s="479"/>
      <c r="D26" s="479"/>
      <c r="E26" s="479"/>
      <c r="F26" s="479"/>
      <c r="G26" s="592"/>
      <c r="H26" s="581"/>
      <c r="I26" s="479"/>
      <c r="J26" s="479"/>
      <c r="K26" s="479"/>
      <c r="L26" s="479"/>
      <c r="M26" s="479"/>
      <c r="N26" s="479"/>
      <c r="O26" s="479"/>
      <c r="P26" s="479"/>
      <c r="Q26" s="479"/>
      <c r="R26" s="479"/>
      <c r="S26" s="479"/>
      <c r="T26" s="570"/>
      <c r="U26" s="232" t="s">
        <v>827</v>
      </c>
      <c r="V26" s="152"/>
      <c r="W26" s="147"/>
      <c r="X26" s="147"/>
      <c r="Y26" s="147"/>
    </row>
    <row r="27" spans="1:25">
      <c r="A27" s="587" t="s">
        <v>821</v>
      </c>
      <c r="B27" s="247">
        <f t="shared" si="4"/>
        <v>17</v>
      </c>
      <c r="C27" s="479"/>
      <c r="D27" s="479"/>
      <c r="E27" s="479"/>
      <c r="F27" s="581"/>
      <c r="G27" s="592"/>
      <c r="H27" s="581"/>
      <c r="I27" s="479"/>
      <c r="J27" s="479"/>
      <c r="K27" s="479"/>
      <c r="L27" s="479"/>
      <c r="M27" s="479"/>
      <c r="N27" s="479"/>
      <c r="O27" s="479"/>
      <c r="P27" s="479"/>
      <c r="Q27" s="479"/>
      <c r="R27" s="479"/>
      <c r="S27" s="479"/>
      <c r="T27" s="570"/>
      <c r="U27" s="232" t="s">
        <v>821</v>
      </c>
      <c r="V27" s="152"/>
      <c r="W27" s="147"/>
      <c r="X27" s="147"/>
      <c r="Y27" s="147"/>
    </row>
    <row r="28" spans="1:25">
      <c r="A28" s="587" t="s">
        <v>822</v>
      </c>
      <c r="B28" s="247">
        <f t="shared" si="4"/>
        <v>18</v>
      </c>
      <c r="C28" s="479"/>
      <c r="D28" s="479"/>
      <c r="E28" s="479"/>
      <c r="F28" s="581"/>
      <c r="G28" s="592"/>
      <c r="H28" s="479"/>
      <c r="I28" s="479"/>
      <c r="J28" s="479"/>
      <c r="K28" s="479"/>
      <c r="L28" s="479"/>
      <c r="M28" s="479"/>
      <c r="N28" s="479"/>
      <c r="O28" s="479"/>
      <c r="P28" s="479"/>
      <c r="Q28" s="479"/>
      <c r="R28" s="479"/>
      <c r="S28" s="479"/>
      <c r="T28" s="672">
        <f>SUM(C22:S28)</f>
        <v>0</v>
      </c>
      <c r="U28" s="232" t="s">
        <v>822</v>
      </c>
      <c r="V28" s="152"/>
      <c r="W28" s="147"/>
      <c r="X28" s="147"/>
      <c r="Y28" s="147"/>
    </row>
    <row r="29" spans="1:25">
      <c r="A29" s="621" t="s">
        <v>823</v>
      </c>
      <c r="B29" s="247">
        <f t="shared" si="4"/>
        <v>19</v>
      </c>
      <c r="C29" s="615"/>
      <c r="D29" s="615"/>
      <c r="E29" s="615"/>
      <c r="F29" s="616"/>
      <c r="G29" s="622"/>
      <c r="H29" s="616"/>
      <c r="I29" s="615"/>
      <c r="J29" s="615"/>
      <c r="K29" s="615"/>
      <c r="L29" s="615"/>
      <c r="M29" s="615"/>
      <c r="N29" s="615"/>
      <c r="O29" s="615"/>
      <c r="P29" s="615"/>
      <c r="Q29" s="615"/>
      <c r="R29" s="615"/>
      <c r="S29" s="615"/>
      <c r="T29" s="672"/>
      <c r="U29" s="232" t="s">
        <v>823</v>
      </c>
      <c r="V29" s="152"/>
      <c r="W29" s="147"/>
      <c r="X29" s="147"/>
      <c r="Y29" s="147"/>
    </row>
    <row r="30" spans="1:25">
      <c r="A30" s="621" t="s">
        <v>824</v>
      </c>
      <c r="B30" s="247">
        <f t="shared" si="4"/>
        <v>20</v>
      </c>
      <c r="C30" s="615"/>
      <c r="D30" s="615"/>
      <c r="E30" s="615"/>
      <c r="F30" s="616"/>
      <c r="G30" s="622"/>
      <c r="H30" s="616"/>
      <c r="I30" s="615"/>
      <c r="J30" s="615"/>
      <c r="K30" s="615"/>
      <c r="L30" s="615"/>
      <c r="M30" s="615"/>
      <c r="N30" s="615"/>
      <c r="O30" s="615"/>
      <c r="P30" s="615"/>
      <c r="Q30" s="615"/>
      <c r="R30" s="615"/>
      <c r="S30" s="615"/>
      <c r="T30" s="672"/>
      <c r="U30" s="232" t="s">
        <v>824</v>
      </c>
      <c r="V30" s="152"/>
      <c r="W30" s="147"/>
      <c r="X30" s="147"/>
      <c r="Y30" s="147"/>
    </row>
    <row r="31" spans="1:25">
      <c r="A31" s="621" t="s">
        <v>825</v>
      </c>
      <c r="B31" s="247">
        <f t="shared" si="4"/>
        <v>21</v>
      </c>
      <c r="C31" s="623"/>
      <c r="D31" s="623"/>
      <c r="E31" s="623"/>
      <c r="F31" s="625"/>
      <c r="G31" s="624"/>
      <c r="H31" s="625"/>
      <c r="I31" s="623"/>
      <c r="J31" s="623"/>
      <c r="K31" s="623"/>
      <c r="L31" s="623"/>
      <c r="M31" s="615"/>
      <c r="N31" s="615"/>
      <c r="O31" s="615"/>
      <c r="P31" s="615"/>
      <c r="Q31" s="615"/>
      <c r="R31" s="615"/>
      <c r="S31" s="615"/>
      <c r="T31" s="672"/>
      <c r="U31" s="232" t="s">
        <v>825</v>
      </c>
      <c r="V31" s="152"/>
      <c r="W31" s="147"/>
      <c r="X31" s="147"/>
      <c r="Y31" s="147"/>
    </row>
    <row r="32" spans="1:25">
      <c r="A32" s="614" t="s">
        <v>826</v>
      </c>
      <c r="B32" s="247">
        <f t="shared" si="4"/>
        <v>22</v>
      </c>
      <c r="C32" s="615"/>
      <c r="D32" s="615"/>
      <c r="E32" s="615"/>
      <c r="F32" s="616"/>
      <c r="G32" s="615"/>
      <c r="H32" s="616"/>
      <c r="I32" s="615"/>
      <c r="J32" s="615"/>
      <c r="K32" s="615"/>
      <c r="L32" s="615"/>
      <c r="M32" s="615"/>
      <c r="N32" s="615"/>
      <c r="O32" s="615"/>
      <c r="P32" s="615"/>
      <c r="Q32" s="615"/>
      <c r="R32" s="615"/>
      <c r="S32" s="615"/>
      <c r="T32" s="672"/>
      <c r="U32" s="232" t="s">
        <v>826</v>
      </c>
      <c r="V32" s="152"/>
      <c r="W32" s="147"/>
      <c r="X32" s="147"/>
      <c r="Y32" s="147"/>
    </row>
    <row r="33" spans="1:25">
      <c r="A33" s="614" t="s">
        <v>827</v>
      </c>
      <c r="B33" s="247">
        <f t="shared" si="4"/>
        <v>23</v>
      </c>
      <c r="C33" s="623"/>
      <c r="D33" s="615"/>
      <c r="E33" s="615"/>
      <c r="F33" s="616"/>
      <c r="G33" s="615"/>
      <c r="H33" s="616"/>
      <c r="I33" s="615"/>
      <c r="J33" s="615"/>
      <c r="K33" s="615"/>
      <c r="L33" s="615"/>
      <c r="M33" s="615"/>
      <c r="N33" s="615"/>
      <c r="O33" s="615"/>
      <c r="P33" s="615"/>
      <c r="Q33" s="615"/>
      <c r="R33" s="615"/>
      <c r="S33" s="615"/>
      <c r="T33" s="672"/>
      <c r="U33" s="232" t="s">
        <v>827</v>
      </c>
      <c r="V33" s="152"/>
      <c r="W33" s="147"/>
      <c r="X33" s="147"/>
      <c r="Y33" s="147"/>
    </row>
    <row r="34" spans="1:25">
      <c r="A34" s="614" t="s">
        <v>821</v>
      </c>
      <c r="B34" s="247">
        <f t="shared" si="4"/>
        <v>24</v>
      </c>
      <c r="C34" s="615"/>
      <c r="D34" s="615"/>
      <c r="E34" s="615"/>
      <c r="F34" s="616"/>
      <c r="G34" s="615"/>
      <c r="H34" s="623"/>
      <c r="I34" s="623"/>
      <c r="J34" s="615"/>
      <c r="K34" s="615"/>
      <c r="L34" s="615"/>
      <c r="M34" s="615"/>
      <c r="N34" s="615"/>
      <c r="O34" s="615"/>
      <c r="P34" s="615"/>
      <c r="Q34" s="615"/>
      <c r="R34" s="615"/>
      <c r="S34" s="615"/>
      <c r="T34" s="672"/>
      <c r="U34" s="232" t="s">
        <v>821</v>
      </c>
      <c r="V34" s="152"/>
      <c r="W34" s="147"/>
      <c r="X34" s="147"/>
      <c r="Y34" s="147"/>
    </row>
    <row r="35" spans="1:25" ht="15.75" thickBot="1">
      <c r="A35" s="614" t="s">
        <v>822</v>
      </c>
      <c r="B35" s="247">
        <f t="shared" si="4"/>
        <v>25</v>
      </c>
      <c r="C35" s="615"/>
      <c r="D35" s="615"/>
      <c r="E35" s="615"/>
      <c r="F35" s="616"/>
      <c r="G35" s="615"/>
      <c r="H35" s="616"/>
      <c r="I35" s="615"/>
      <c r="J35" s="615"/>
      <c r="K35" s="615"/>
      <c r="L35" s="615"/>
      <c r="M35" s="615"/>
      <c r="N35" s="615"/>
      <c r="O35" s="615"/>
      <c r="P35" s="615"/>
      <c r="Q35" s="615"/>
      <c r="R35" s="615"/>
      <c r="S35" s="615"/>
      <c r="T35" s="672">
        <f>SUM(C29:S35)</f>
        <v>0</v>
      </c>
      <c r="U35" s="232" t="s">
        <v>822</v>
      </c>
      <c r="V35" s="152"/>
      <c r="W35" s="147"/>
      <c r="X35" s="147"/>
      <c r="Y35" s="147"/>
    </row>
    <row r="36" spans="1:25" ht="16.5" thickBot="1">
      <c r="A36" s="582" t="s">
        <v>791</v>
      </c>
      <c r="B36" s="583">
        <f>SUM(C36:S36)+V36</f>
        <v>0</v>
      </c>
      <c r="C36" s="584">
        <f>SUM(C22:C35)</f>
        <v>0</v>
      </c>
      <c r="D36" s="584">
        <f t="shared" ref="D36:S36" si="5">SUM(D22:D35)</f>
        <v>0</v>
      </c>
      <c r="E36" s="584">
        <f t="shared" si="5"/>
        <v>0</v>
      </c>
      <c r="F36" s="584">
        <f t="shared" si="5"/>
        <v>0</v>
      </c>
      <c r="G36" s="584">
        <f t="shared" si="5"/>
        <v>0</v>
      </c>
      <c r="H36" s="584">
        <f t="shared" si="5"/>
        <v>0</v>
      </c>
      <c r="I36" s="584">
        <f t="shared" si="5"/>
        <v>0</v>
      </c>
      <c r="J36" s="584">
        <f t="shared" si="5"/>
        <v>0</v>
      </c>
      <c r="K36" s="584">
        <f t="shared" si="5"/>
        <v>0</v>
      </c>
      <c r="L36" s="584">
        <f t="shared" si="5"/>
        <v>0</v>
      </c>
      <c r="M36" s="584">
        <f t="shared" si="5"/>
        <v>0</v>
      </c>
      <c r="N36" s="584">
        <f t="shared" si="5"/>
        <v>0</v>
      </c>
      <c r="O36" s="584">
        <f t="shared" si="5"/>
        <v>0</v>
      </c>
      <c r="P36" s="584">
        <f t="shared" si="5"/>
        <v>0</v>
      </c>
      <c r="Q36" s="584">
        <f t="shared" si="5"/>
        <v>0</v>
      </c>
      <c r="R36" s="584">
        <f t="shared" si="5"/>
        <v>0</v>
      </c>
      <c r="S36" s="584">
        <f t="shared" si="5"/>
        <v>0</v>
      </c>
      <c r="T36" s="670"/>
      <c r="U36" s="175" t="s">
        <v>791</v>
      </c>
      <c r="V36" s="176">
        <f>SUM(W36:Y36)</f>
        <v>0</v>
      </c>
      <c r="W36" s="147">
        <f>SUM(W22:W33)</f>
        <v>0</v>
      </c>
      <c r="X36" s="147">
        <f>SUM(X22:X33)</f>
        <v>0</v>
      </c>
      <c r="Y36" s="147">
        <f>SUM(Y22:Y33)</f>
        <v>0</v>
      </c>
    </row>
    <row r="37" spans="1:25" ht="16.5" thickBot="1">
      <c r="A37" s="596"/>
      <c r="B37" s="597"/>
      <c r="C37" s="65">
        <f t="shared" ref="C37:J37" si="6">SUM(C22:C28)</f>
        <v>0</v>
      </c>
      <c r="D37" s="65">
        <f t="shared" si="6"/>
        <v>0</v>
      </c>
      <c r="E37" s="65">
        <f t="shared" si="6"/>
        <v>0</v>
      </c>
      <c r="F37" s="65">
        <f>SUM(F22:F28)</f>
        <v>0</v>
      </c>
      <c r="G37" s="65">
        <f t="shared" si="6"/>
        <v>0</v>
      </c>
      <c r="H37" s="65">
        <f t="shared" si="6"/>
        <v>0</v>
      </c>
      <c r="I37" s="65">
        <f t="shared" si="6"/>
        <v>0</v>
      </c>
      <c r="J37" s="65">
        <f t="shared" si="6"/>
        <v>0</v>
      </c>
      <c r="K37" s="65">
        <f>SUM(K22:K28)</f>
        <v>0</v>
      </c>
      <c r="L37" s="65">
        <f>SUM(L22:L28)</f>
        <v>0</v>
      </c>
      <c r="M37" s="65">
        <f>SUM(M22:M28)</f>
        <v>0</v>
      </c>
      <c r="N37" s="65">
        <f>SUM(N22:N28)</f>
        <v>0</v>
      </c>
      <c r="O37" s="570"/>
      <c r="P37" s="570"/>
      <c r="Q37" s="570"/>
      <c r="R37" s="570"/>
      <c r="S37" s="570"/>
      <c r="T37" s="570">
        <f>SUM(A37:M37)</f>
        <v>0</v>
      </c>
      <c r="U37" s="368"/>
      <c r="V37" s="358"/>
      <c r="W37" s="406"/>
      <c r="X37" s="406"/>
      <c r="Y37" s="406"/>
    </row>
    <row r="38" spans="1:25" ht="16.5" thickBot="1">
      <c r="A38" s="596"/>
      <c r="B38" s="597"/>
      <c r="C38" s="65">
        <f t="shared" ref="C38:J38" si="7">SUM(C29:C35)</f>
        <v>0</v>
      </c>
      <c r="D38" s="65">
        <f t="shared" si="7"/>
        <v>0</v>
      </c>
      <c r="E38" s="65">
        <f t="shared" si="7"/>
        <v>0</v>
      </c>
      <c r="F38" s="65">
        <f>SUM(F29:F35)</f>
        <v>0</v>
      </c>
      <c r="G38" s="65">
        <f t="shared" si="7"/>
        <v>0</v>
      </c>
      <c r="H38" s="65">
        <f t="shared" si="7"/>
        <v>0</v>
      </c>
      <c r="I38" s="65">
        <f t="shared" si="7"/>
        <v>0</v>
      </c>
      <c r="J38" s="65">
        <f t="shared" si="7"/>
        <v>0</v>
      </c>
      <c r="K38" s="65">
        <f>SUM(K29:K35)</f>
        <v>0</v>
      </c>
      <c r="L38" s="65">
        <f>SUM(L29:L35)</f>
        <v>0</v>
      </c>
      <c r="M38" s="65">
        <f>SUM(M29:M35)</f>
        <v>0</v>
      </c>
      <c r="N38" s="65">
        <f>SUM(N29:N35)</f>
        <v>0</v>
      </c>
      <c r="O38" s="570"/>
      <c r="P38" s="570"/>
      <c r="Q38" s="570"/>
      <c r="R38" s="570"/>
      <c r="S38" s="570"/>
      <c r="T38" s="570">
        <f>SUM(A38:M38)</f>
        <v>0</v>
      </c>
      <c r="U38" s="368"/>
      <c r="V38" s="358"/>
      <c r="W38" s="406"/>
      <c r="X38" s="406"/>
      <c r="Y38" s="406"/>
    </row>
    <row r="39" spans="1:25" ht="15.75" customHeight="1" thickBot="1">
      <c r="A39" s="1058" t="s">
        <v>1100</v>
      </c>
      <c r="B39" s="1059"/>
      <c r="C39" s="1059"/>
      <c r="D39" s="1059"/>
      <c r="E39" s="1059"/>
      <c r="F39" s="1059"/>
      <c r="G39" s="1059"/>
      <c r="H39" s="1059"/>
      <c r="I39" s="1059"/>
      <c r="J39" s="1059"/>
      <c r="K39" s="1059"/>
      <c r="L39" s="1059"/>
      <c r="M39" s="1059"/>
      <c r="N39" s="1059"/>
      <c r="O39" s="1059"/>
      <c r="P39" s="1059"/>
      <c r="Q39" s="1059"/>
      <c r="R39" s="1059"/>
      <c r="S39" s="1060"/>
      <c r="T39" s="671"/>
      <c r="U39" s="1024" t="s">
        <v>820</v>
      </c>
      <c r="V39" s="1025"/>
      <c r="W39" s="1025"/>
      <c r="X39" s="1025"/>
      <c r="Y39" s="1026"/>
    </row>
    <row r="40" spans="1:25" ht="74.25" customHeight="1">
      <c r="A40" s="579"/>
      <c r="B40" s="247" t="str">
        <f>B21</f>
        <v>Jan</v>
      </c>
      <c r="C40" s="943" t="s">
        <v>1101</v>
      </c>
      <c r="D40" s="943" t="s">
        <v>871</v>
      </c>
      <c r="E40" s="971" t="s">
        <v>7157</v>
      </c>
      <c r="F40" s="971" t="s">
        <v>7158</v>
      </c>
      <c r="G40" s="944" t="s">
        <v>1090</v>
      </c>
      <c r="H40" s="944" t="s">
        <v>1067</v>
      </c>
      <c r="I40" s="943" t="s">
        <v>1071</v>
      </c>
      <c r="J40" s="943" t="s">
        <v>603</v>
      </c>
      <c r="K40" s="943" t="s">
        <v>1085</v>
      </c>
      <c r="L40" s="943" t="s">
        <v>1079</v>
      </c>
      <c r="M40" s="943" t="s">
        <v>1078</v>
      </c>
      <c r="N40" s="943" t="s">
        <v>1086</v>
      </c>
      <c r="O40" s="943" t="s">
        <v>1087</v>
      </c>
      <c r="P40" s="943" t="s">
        <v>1091</v>
      </c>
      <c r="Q40" s="943" t="s">
        <v>1080</v>
      </c>
      <c r="R40" s="944" t="s">
        <v>1047</v>
      </c>
      <c r="S40" s="944"/>
      <c r="T40" s="947"/>
      <c r="U40" s="579"/>
      <c r="V40" s="247"/>
      <c r="W40" s="943"/>
      <c r="X40" s="369"/>
      <c r="Y40" s="369"/>
    </row>
    <row r="41" spans="1:25">
      <c r="A41" s="580" t="s">
        <v>823</v>
      </c>
      <c r="B41" s="247">
        <f t="shared" ref="B41:B54" si="8">B22</f>
        <v>12</v>
      </c>
      <c r="C41" s="479"/>
      <c r="D41" s="479"/>
      <c r="E41" s="479"/>
      <c r="F41" s="479"/>
      <c r="G41" s="479"/>
      <c r="H41" s="479"/>
      <c r="I41" s="479"/>
      <c r="J41" s="479"/>
      <c r="K41" s="581"/>
      <c r="L41" s="581"/>
      <c r="M41" s="479"/>
      <c r="N41" s="479"/>
      <c r="O41" s="479"/>
      <c r="P41" s="479"/>
      <c r="Q41" s="479"/>
      <c r="R41" s="479"/>
      <c r="S41" s="479"/>
      <c r="T41" s="570"/>
      <c r="U41" s="580" t="s">
        <v>823</v>
      </c>
      <c r="V41" s="152"/>
      <c r="W41" s="479"/>
      <c r="X41" s="147"/>
      <c r="Y41" s="147"/>
    </row>
    <row r="42" spans="1:25">
      <c r="A42" s="580" t="s">
        <v>824</v>
      </c>
      <c r="B42" s="247">
        <f t="shared" si="8"/>
        <v>13</v>
      </c>
      <c r="C42" s="479"/>
      <c r="D42" s="479"/>
      <c r="E42" s="479"/>
      <c r="F42" s="479"/>
      <c r="G42" s="479"/>
      <c r="H42" s="479"/>
      <c r="I42" s="479"/>
      <c r="J42" s="479"/>
      <c r="K42" s="581"/>
      <c r="L42" s="581"/>
      <c r="M42" s="479"/>
      <c r="N42" s="479"/>
      <c r="O42" s="479"/>
      <c r="P42" s="479"/>
      <c r="Q42" s="479"/>
      <c r="R42" s="479"/>
      <c r="S42" s="479"/>
      <c r="T42" s="570"/>
      <c r="U42" s="580" t="s">
        <v>824</v>
      </c>
      <c r="V42" s="152"/>
      <c r="W42" s="479"/>
      <c r="X42" s="147"/>
      <c r="Y42" s="147"/>
    </row>
    <row r="43" spans="1:25">
      <c r="A43" s="580" t="s">
        <v>825</v>
      </c>
      <c r="B43" s="247">
        <f t="shared" si="8"/>
        <v>14</v>
      </c>
      <c r="C43" s="479"/>
      <c r="D43" s="479"/>
      <c r="E43" s="479"/>
      <c r="F43" s="479"/>
      <c r="G43" s="479"/>
      <c r="H43" s="479"/>
      <c r="I43" s="479"/>
      <c r="J43" s="479"/>
      <c r="K43" s="581"/>
      <c r="L43" s="581"/>
      <c r="M43" s="479"/>
      <c r="N43" s="479"/>
      <c r="O43" s="479"/>
      <c r="P43" s="479"/>
      <c r="Q43" s="479"/>
      <c r="R43" s="479"/>
      <c r="S43" s="479"/>
      <c r="T43" s="570"/>
      <c r="U43" s="580" t="s">
        <v>825</v>
      </c>
      <c r="V43" s="152"/>
      <c r="W43" s="479"/>
      <c r="X43" s="147"/>
      <c r="Y43" s="147"/>
    </row>
    <row r="44" spans="1:25">
      <c r="A44" s="580" t="s">
        <v>826</v>
      </c>
      <c r="B44" s="247">
        <f t="shared" si="8"/>
        <v>15</v>
      </c>
      <c r="C44" s="479"/>
      <c r="D44" s="479"/>
      <c r="E44" s="479"/>
      <c r="F44" s="479"/>
      <c r="G44" s="479"/>
      <c r="H44" s="479"/>
      <c r="I44" s="479"/>
      <c r="J44" s="479"/>
      <c r="K44" s="581"/>
      <c r="L44" s="581"/>
      <c r="M44" s="479"/>
      <c r="N44" s="479"/>
      <c r="O44" s="479"/>
      <c r="P44" s="479"/>
      <c r="Q44" s="479"/>
      <c r="R44" s="479"/>
      <c r="S44" s="479"/>
      <c r="T44" s="570"/>
      <c r="U44" s="580" t="s">
        <v>826</v>
      </c>
      <c r="V44" s="152"/>
      <c r="W44" s="479"/>
      <c r="X44" s="147"/>
      <c r="Y44" s="147"/>
    </row>
    <row r="45" spans="1:25">
      <c r="A45" s="580" t="s">
        <v>827</v>
      </c>
      <c r="B45" s="247">
        <f t="shared" si="8"/>
        <v>16</v>
      </c>
      <c r="C45" s="479"/>
      <c r="D45" s="479"/>
      <c r="E45" s="479"/>
      <c r="F45" s="479"/>
      <c r="G45" s="479"/>
      <c r="H45" s="479"/>
      <c r="I45" s="479"/>
      <c r="J45" s="479"/>
      <c r="K45" s="581"/>
      <c r="L45" s="581"/>
      <c r="M45" s="479"/>
      <c r="N45" s="479"/>
      <c r="O45" s="479"/>
      <c r="P45" s="479"/>
      <c r="Q45" s="479"/>
      <c r="R45" s="479"/>
      <c r="S45" s="479"/>
      <c r="T45" s="570"/>
      <c r="U45" s="580" t="s">
        <v>827</v>
      </c>
      <c r="V45" s="152"/>
      <c r="W45" s="479"/>
      <c r="X45" s="147"/>
      <c r="Y45" s="147"/>
    </row>
    <row r="46" spans="1:25">
      <c r="A46" s="580" t="s">
        <v>821</v>
      </c>
      <c r="B46" s="247">
        <f t="shared" si="8"/>
        <v>17</v>
      </c>
      <c r="C46" s="479"/>
      <c r="D46" s="479"/>
      <c r="E46" s="479"/>
      <c r="F46" s="479"/>
      <c r="G46" s="479"/>
      <c r="H46" s="479"/>
      <c r="I46" s="479"/>
      <c r="J46" s="479"/>
      <c r="K46" s="581"/>
      <c r="L46" s="581"/>
      <c r="M46" s="479"/>
      <c r="N46" s="479"/>
      <c r="O46" s="479"/>
      <c r="P46" s="479"/>
      <c r="Q46" s="479"/>
      <c r="R46" s="479"/>
      <c r="S46" s="479"/>
      <c r="T46" s="570"/>
      <c r="U46" s="580" t="s">
        <v>821</v>
      </c>
      <c r="V46" s="152"/>
      <c r="W46" s="479"/>
      <c r="X46" s="147"/>
      <c r="Y46" s="147"/>
    </row>
    <row r="47" spans="1:25">
      <c r="A47" s="580" t="s">
        <v>822</v>
      </c>
      <c r="B47" s="247">
        <f t="shared" si="8"/>
        <v>18</v>
      </c>
      <c r="C47" s="479"/>
      <c r="D47" s="479"/>
      <c r="E47" s="479"/>
      <c r="F47" s="479"/>
      <c r="G47" s="479"/>
      <c r="H47" s="479"/>
      <c r="I47" s="479"/>
      <c r="J47" s="479"/>
      <c r="K47" s="581"/>
      <c r="L47" s="581"/>
      <c r="M47" s="479"/>
      <c r="N47" s="479"/>
      <c r="O47" s="479"/>
      <c r="P47" s="479"/>
      <c r="Q47" s="479"/>
      <c r="R47" s="479"/>
      <c r="S47" s="479"/>
      <c r="T47" s="672">
        <f>SUM(C41:S47)</f>
        <v>0</v>
      </c>
      <c r="U47" s="580" t="s">
        <v>822</v>
      </c>
      <c r="V47" s="152"/>
      <c r="W47" s="479"/>
      <c r="X47" s="147"/>
      <c r="Y47" s="147"/>
    </row>
    <row r="48" spans="1:25">
      <c r="A48" s="614" t="s">
        <v>823</v>
      </c>
      <c r="B48" s="247">
        <f t="shared" si="8"/>
        <v>19</v>
      </c>
      <c r="C48" s="615"/>
      <c r="D48" s="615"/>
      <c r="E48" s="615"/>
      <c r="F48" s="615"/>
      <c r="G48" s="615"/>
      <c r="H48" s="615"/>
      <c r="I48" s="615"/>
      <c r="J48" s="615"/>
      <c r="K48" s="616"/>
      <c r="L48" s="616"/>
      <c r="M48" s="615"/>
      <c r="N48" s="615"/>
      <c r="O48" s="615"/>
      <c r="P48" s="615"/>
      <c r="Q48" s="615"/>
      <c r="R48" s="615"/>
      <c r="S48" s="615"/>
      <c r="T48" s="672"/>
      <c r="U48" s="614" t="s">
        <v>823</v>
      </c>
      <c r="V48" s="152"/>
      <c r="W48" s="615"/>
      <c r="X48" s="147"/>
      <c r="Y48" s="147"/>
    </row>
    <row r="49" spans="1:25">
      <c r="A49" s="614" t="s">
        <v>824</v>
      </c>
      <c r="B49" s="247">
        <f t="shared" si="8"/>
        <v>20</v>
      </c>
      <c r="C49" s="615"/>
      <c r="D49" s="615"/>
      <c r="E49" s="615"/>
      <c r="F49" s="615"/>
      <c r="G49" s="615"/>
      <c r="H49" s="615"/>
      <c r="I49" s="615"/>
      <c r="J49" s="615"/>
      <c r="K49" s="616"/>
      <c r="L49" s="616"/>
      <c r="M49" s="615"/>
      <c r="N49" s="615"/>
      <c r="O49" s="615"/>
      <c r="P49" s="615"/>
      <c r="Q49" s="615"/>
      <c r="R49" s="615"/>
      <c r="S49" s="615"/>
      <c r="T49" s="672"/>
      <c r="U49" s="614" t="s">
        <v>824</v>
      </c>
      <c r="V49" s="152"/>
      <c r="W49" s="615"/>
      <c r="X49" s="147"/>
      <c r="Y49" s="147"/>
    </row>
    <row r="50" spans="1:25">
      <c r="A50" s="614" t="s">
        <v>825</v>
      </c>
      <c r="B50" s="247">
        <f t="shared" si="8"/>
        <v>21</v>
      </c>
      <c r="C50" s="623"/>
      <c r="D50" s="615"/>
      <c r="E50" s="615"/>
      <c r="F50" s="623"/>
      <c r="G50" s="615"/>
      <c r="H50" s="615"/>
      <c r="I50" s="615"/>
      <c r="J50" s="615"/>
      <c r="K50" s="616"/>
      <c r="L50" s="616"/>
      <c r="M50" s="615"/>
      <c r="N50" s="615"/>
      <c r="O50" s="615"/>
      <c r="P50" s="615"/>
      <c r="Q50" s="615"/>
      <c r="R50" s="615"/>
      <c r="S50" s="615"/>
      <c r="T50" s="672"/>
      <c r="U50" s="614" t="s">
        <v>825</v>
      </c>
      <c r="V50" s="152"/>
      <c r="W50" s="623"/>
      <c r="X50" s="147"/>
      <c r="Y50" s="147"/>
    </row>
    <row r="51" spans="1:25">
      <c r="A51" s="614" t="s">
        <v>826</v>
      </c>
      <c r="B51" s="247">
        <f t="shared" si="8"/>
        <v>22</v>
      </c>
      <c r="C51" s="615"/>
      <c r="D51" s="615"/>
      <c r="E51" s="615"/>
      <c r="F51" s="615"/>
      <c r="G51" s="615"/>
      <c r="H51" s="615"/>
      <c r="I51" s="615"/>
      <c r="J51" s="615"/>
      <c r="K51" s="616"/>
      <c r="L51" s="616"/>
      <c r="M51" s="615"/>
      <c r="N51" s="615"/>
      <c r="O51" s="615"/>
      <c r="P51" s="615"/>
      <c r="Q51" s="615"/>
      <c r="R51" s="615"/>
      <c r="S51" s="615"/>
      <c r="T51" s="672"/>
      <c r="U51" s="614" t="s">
        <v>826</v>
      </c>
      <c r="V51" s="152"/>
      <c r="W51" s="615"/>
      <c r="X51" s="147"/>
      <c r="Y51" s="147"/>
    </row>
    <row r="52" spans="1:25">
      <c r="A52" s="614" t="s">
        <v>827</v>
      </c>
      <c r="B52" s="247">
        <f t="shared" si="8"/>
        <v>23</v>
      </c>
      <c r="C52" s="623"/>
      <c r="D52" s="615"/>
      <c r="E52" s="615"/>
      <c r="F52" s="615"/>
      <c r="G52" s="615"/>
      <c r="H52" s="615"/>
      <c r="I52" s="615"/>
      <c r="J52" s="615"/>
      <c r="K52" s="616"/>
      <c r="L52" s="616"/>
      <c r="M52" s="615"/>
      <c r="N52" s="615"/>
      <c r="O52" s="615"/>
      <c r="P52" s="615"/>
      <c r="Q52" s="615"/>
      <c r="R52" s="615"/>
      <c r="S52" s="615"/>
      <c r="T52" s="672"/>
      <c r="U52" s="614" t="s">
        <v>827</v>
      </c>
      <c r="V52" s="152"/>
      <c r="W52" s="623"/>
      <c r="X52" s="147"/>
      <c r="Y52" s="147"/>
    </row>
    <row r="53" spans="1:25">
      <c r="A53" s="614" t="s">
        <v>821</v>
      </c>
      <c r="B53" s="247">
        <f t="shared" si="8"/>
        <v>24</v>
      </c>
      <c r="C53" s="615"/>
      <c r="D53" s="615"/>
      <c r="E53" s="615"/>
      <c r="F53" s="615"/>
      <c r="G53" s="615"/>
      <c r="H53" s="615"/>
      <c r="I53" s="615"/>
      <c r="J53" s="615"/>
      <c r="K53" s="616"/>
      <c r="L53" s="616"/>
      <c r="M53" s="615"/>
      <c r="N53" s="615"/>
      <c r="O53" s="615"/>
      <c r="P53" s="615"/>
      <c r="Q53" s="615"/>
      <c r="R53" s="615"/>
      <c r="S53" s="615"/>
      <c r="T53" s="672"/>
      <c r="U53" s="614" t="s">
        <v>821</v>
      </c>
      <c r="V53" s="152"/>
      <c r="W53" s="615"/>
      <c r="X53" s="147"/>
      <c r="Y53" s="147"/>
    </row>
    <row r="54" spans="1:25" ht="15.75" thickBot="1">
      <c r="A54" s="614" t="s">
        <v>822</v>
      </c>
      <c r="B54" s="247">
        <f t="shared" si="8"/>
        <v>25</v>
      </c>
      <c r="C54" s="615"/>
      <c r="D54" s="615"/>
      <c r="E54" s="615"/>
      <c r="F54" s="615"/>
      <c r="G54" s="615"/>
      <c r="H54" s="615"/>
      <c r="I54" s="615"/>
      <c r="J54" s="615"/>
      <c r="K54" s="616"/>
      <c r="L54" s="616"/>
      <c r="M54" s="615"/>
      <c r="N54" s="615"/>
      <c r="O54" s="615"/>
      <c r="P54" s="615"/>
      <c r="Q54" s="615"/>
      <c r="R54" s="615"/>
      <c r="S54" s="615"/>
      <c r="T54" s="672">
        <f>SUM(C48:S54)</f>
        <v>0</v>
      </c>
      <c r="U54" s="614" t="s">
        <v>822</v>
      </c>
      <c r="V54" s="152"/>
      <c r="W54" s="615"/>
      <c r="X54" s="147"/>
      <c r="Y54" s="147"/>
    </row>
    <row r="55" spans="1:25" ht="16.5" thickBot="1">
      <c r="A55" s="618" t="s">
        <v>791</v>
      </c>
      <c r="B55" s="619">
        <f>SUM(C55:S55)+V55</f>
        <v>0</v>
      </c>
      <c r="C55" s="617">
        <f>SUM(C41:C54)</f>
        <v>0</v>
      </c>
      <c r="D55" s="620">
        <f>SUM(D41:D52)</f>
        <v>0</v>
      </c>
      <c r="E55" s="620">
        <f>SUM(E41:E54)</f>
        <v>0</v>
      </c>
      <c r="F55" s="620">
        <f>SUM(F41:F54)</f>
        <v>0</v>
      </c>
      <c r="G55" s="620">
        <f>SUM(G41:G52)</f>
        <v>0</v>
      </c>
      <c r="H55" s="620">
        <f>SUM(H41:H52)</f>
        <v>0</v>
      </c>
      <c r="I55" s="617">
        <f>SUM(I41:I54)</f>
        <v>0</v>
      </c>
      <c r="J55" s="617">
        <f>SUM(J41:J54)</f>
        <v>0</v>
      </c>
      <c r="K55" s="620">
        <f t="shared" ref="K55:S55" si="9">SUM(K41:K52)</f>
        <v>0</v>
      </c>
      <c r="L55" s="620">
        <f t="shared" si="9"/>
        <v>0</v>
      </c>
      <c r="M55" s="620">
        <f t="shared" si="9"/>
        <v>0</v>
      </c>
      <c r="N55" s="620">
        <f>SUM(N41:N54)</f>
        <v>0</v>
      </c>
      <c r="O55" s="620">
        <f>SUM(O41:O54)</f>
        <v>0</v>
      </c>
      <c r="P55" s="615">
        <f t="shared" si="9"/>
        <v>0</v>
      </c>
      <c r="Q55" s="615">
        <f t="shared" ref="Q55" si="10">SUM(Q41:Q52)</f>
        <v>0</v>
      </c>
      <c r="R55" s="615">
        <f t="shared" si="9"/>
        <v>0</v>
      </c>
      <c r="S55" s="615">
        <f t="shared" si="9"/>
        <v>0</v>
      </c>
      <c r="T55" s="673"/>
      <c r="U55" s="618" t="s">
        <v>791</v>
      </c>
      <c r="V55" s="619">
        <f>SUM(W55:AM55)+AP55</f>
        <v>0</v>
      </c>
      <c r="W55" s="617">
        <f>SUM(W41:W54)</f>
        <v>0</v>
      </c>
      <c r="X55" s="147">
        <f>SUM(X41:X52)</f>
        <v>0</v>
      </c>
      <c r="Y55" s="147">
        <f>SUM(Y41:Y52)</f>
        <v>0</v>
      </c>
    </row>
    <row r="56" spans="1:25">
      <c r="A56" s="380"/>
      <c r="C56" s="613">
        <f t="shared" ref="C56:O56" si="11">SUM(C41:C47)</f>
        <v>0</v>
      </c>
      <c r="D56" s="613">
        <f>SUM(D41:D47)</f>
        <v>0</v>
      </c>
      <c r="E56" s="613">
        <f>SUM(E41:E47)</f>
        <v>0</v>
      </c>
      <c r="F56" s="613">
        <f>SUM(F41:F47)</f>
        <v>0</v>
      </c>
      <c r="G56" s="613">
        <f>SUM(G41:G47)</f>
        <v>0</v>
      </c>
      <c r="H56" s="613">
        <f>SUM(H41:H47)</f>
        <v>0</v>
      </c>
      <c r="I56" s="613">
        <f t="shared" si="11"/>
        <v>0</v>
      </c>
      <c r="J56" s="613">
        <f t="shared" si="11"/>
        <v>0</v>
      </c>
      <c r="K56" s="613">
        <f t="shared" si="11"/>
        <v>0</v>
      </c>
      <c r="L56" s="613">
        <f t="shared" si="11"/>
        <v>0</v>
      </c>
      <c r="M56" s="613">
        <f t="shared" si="11"/>
        <v>0</v>
      </c>
      <c r="N56" s="613">
        <f t="shared" si="11"/>
        <v>0</v>
      </c>
      <c r="O56" s="613">
        <f t="shared" si="11"/>
        <v>0</v>
      </c>
      <c r="P56" s="613">
        <f>SUM(P41:P47)</f>
        <v>0</v>
      </c>
      <c r="Q56" s="613">
        <f>SUM(Q41:Q47)</f>
        <v>0</v>
      </c>
      <c r="R56" s="613">
        <f>SUM(R41:R47)</f>
        <v>0</v>
      </c>
      <c r="S56" s="613">
        <f>SUM(S41:S47)</f>
        <v>0</v>
      </c>
      <c r="T56" s="65"/>
    </row>
    <row r="57" spans="1:25" ht="15.75" thickBot="1">
      <c r="C57" s="626">
        <f t="shared" ref="C57:O57" si="12">SUM(C48:C54)</f>
        <v>0</v>
      </c>
      <c r="D57" s="626">
        <f>SUM(D48:D54)</f>
        <v>0</v>
      </c>
      <c r="E57" s="626">
        <f>SUM(E48:E54)</f>
        <v>0</v>
      </c>
      <c r="F57" s="626">
        <f>SUM(F48:F54)</f>
        <v>0</v>
      </c>
      <c r="G57" s="626">
        <f>SUM(G48:G54)</f>
        <v>0</v>
      </c>
      <c r="H57" s="626">
        <f>SUM(H48:H54)</f>
        <v>0</v>
      </c>
      <c r="I57" s="626">
        <f t="shared" si="12"/>
        <v>0</v>
      </c>
      <c r="J57" s="626">
        <f t="shared" si="12"/>
        <v>0</v>
      </c>
      <c r="K57" s="626">
        <f t="shared" si="12"/>
        <v>0</v>
      </c>
      <c r="L57" s="626">
        <f t="shared" si="12"/>
        <v>0</v>
      </c>
      <c r="M57" s="626">
        <f t="shared" si="12"/>
        <v>0</v>
      </c>
      <c r="N57" s="626">
        <f t="shared" si="12"/>
        <v>0</v>
      </c>
      <c r="O57" s="626">
        <f t="shared" si="12"/>
        <v>0</v>
      </c>
      <c r="P57" s="626">
        <f>SUM(P48:P54)</f>
        <v>0</v>
      </c>
      <c r="Q57" s="626">
        <f>SUM(Q48:Q54)</f>
        <v>0</v>
      </c>
      <c r="R57" s="626">
        <f>SUM(R48:R54)</f>
        <v>0</v>
      </c>
      <c r="S57" s="626">
        <f>SUM(S48:S54)</f>
        <v>0</v>
      </c>
    </row>
    <row r="58" spans="1:25" ht="15.75" customHeight="1" thickBot="1">
      <c r="A58" s="1058" t="s">
        <v>1092</v>
      </c>
      <c r="B58" s="1059"/>
      <c r="C58" s="1059"/>
      <c r="D58" s="1059"/>
      <c r="E58" s="1059"/>
      <c r="F58" s="1059"/>
      <c r="G58" s="1059"/>
      <c r="H58" s="1059"/>
      <c r="I58" s="1059"/>
      <c r="J58" s="1059"/>
      <c r="K58" s="1059"/>
      <c r="L58" s="1059"/>
      <c r="M58" s="1059"/>
      <c r="N58" s="1059"/>
      <c r="O58" s="1059"/>
      <c r="P58" s="1059"/>
      <c r="Q58" s="1059"/>
      <c r="R58" s="1059"/>
      <c r="S58" s="1060"/>
      <c r="T58" s="671"/>
      <c r="U58" s="1024" t="s">
        <v>820</v>
      </c>
      <c r="V58" s="1025"/>
      <c r="W58" s="1025"/>
      <c r="X58" s="1025"/>
      <c r="Y58" s="1026"/>
    </row>
    <row r="59" spans="1:25" ht="74.25" customHeight="1">
      <c r="A59" s="579"/>
      <c r="B59" s="247" t="str">
        <f>B40</f>
        <v>Jan</v>
      </c>
      <c r="C59" s="975" t="s">
        <v>7175</v>
      </c>
      <c r="D59" s="943" t="s">
        <v>1093</v>
      </c>
      <c r="E59" s="943" t="s">
        <v>1094</v>
      </c>
      <c r="F59" s="943" t="s">
        <v>1089</v>
      </c>
      <c r="G59" s="943"/>
      <c r="H59" s="943"/>
      <c r="I59" s="943"/>
      <c r="J59" s="943"/>
      <c r="K59" s="943"/>
      <c r="L59" s="943"/>
      <c r="M59" s="943"/>
      <c r="N59" s="944"/>
      <c r="O59" s="944"/>
      <c r="P59" s="944"/>
      <c r="Q59" s="944"/>
      <c r="R59" s="944"/>
      <c r="S59" s="944"/>
      <c r="T59" s="947"/>
      <c r="U59" s="228"/>
      <c r="V59" s="247" t="s">
        <v>896</v>
      </c>
      <c r="W59" s="943"/>
      <c r="X59" s="369"/>
      <c r="Y59" s="369"/>
    </row>
    <row r="60" spans="1:25">
      <c r="A60" s="580" t="s">
        <v>823</v>
      </c>
      <c r="B60" s="247">
        <f t="shared" ref="B60:B73" si="13">B41</f>
        <v>12</v>
      </c>
      <c r="C60" s="479">
        <v>6.5</v>
      </c>
      <c r="D60" s="479"/>
      <c r="E60" s="479"/>
      <c r="F60" s="479"/>
      <c r="G60" s="581"/>
      <c r="H60" s="581"/>
      <c r="I60" s="479"/>
      <c r="J60" s="479"/>
      <c r="K60" s="479"/>
      <c r="L60" s="479"/>
      <c r="M60" s="479"/>
      <c r="N60" s="479"/>
      <c r="O60" s="479"/>
      <c r="P60" s="479"/>
      <c r="Q60" s="479"/>
      <c r="R60" s="479"/>
      <c r="S60" s="479"/>
      <c r="T60" s="570"/>
      <c r="U60" s="232" t="s">
        <v>823</v>
      </c>
      <c r="V60" s="152">
        <v>14</v>
      </c>
      <c r="W60" s="479"/>
      <c r="X60" s="147"/>
      <c r="Y60" s="147"/>
    </row>
    <row r="61" spans="1:25">
      <c r="A61" s="580" t="s">
        <v>824</v>
      </c>
      <c r="B61" s="247">
        <f t="shared" si="13"/>
        <v>13</v>
      </c>
      <c r="C61" s="479">
        <v>6</v>
      </c>
      <c r="D61" s="479"/>
      <c r="E61" s="479"/>
      <c r="F61" s="479"/>
      <c r="G61" s="581"/>
      <c r="H61" s="581"/>
      <c r="I61" s="479"/>
      <c r="J61" s="479"/>
      <c r="K61" s="479"/>
      <c r="L61" s="479"/>
      <c r="M61" s="479"/>
      <c r="N61" s="479"/>
      <c r="O61" s="479"/>
      <c r="P61" s="479"/>
      <c r="Q61" s="479"/>
      <c r="R61" s="479"/>
      <c r="S61" s="479"/>
      <c r="T61" s="570"/>
      <c r="U61" s="232" t="s">
        <v>824</v>
      </c>
      <c r="V61" s="152">
        <v>15</v>
      </c>
      <c r="W61" s="479"/>
      <c r="X61" s="147"/>
      <c r="Y61" s="147"/>
    </row>
    <row r="62" spans="1:25">
      <c r="A62" s="580" t="s">
        <v>825</v>
      </c>
      <c r="B62" s="247">
        <f t="shared" si="13"/>
        <v>14</v>
      </c>
      <c r="C62" s="479"/>
      <c r="D62" s="479"/>
      <c r="E62" s="479"/>
      <c r="F62" s="479"/>
      <c r="G62" s="581"/>
      <c r="H62" s="581"/>
      <c r="I62" s="479"/>
      <c r="J62" s="479"/>
      <c r="K62" s="479"/>
      <c r="L62" s="479"/>
      <c r="M62" s="479"/>
      <c r="N62" s="479"/>
      <c r="O62" s="479"/>
      <c r="P62" s="479"/>
      <c r="Q62" s="479"/>
      <c r="R62" s="479"/>
      <c r="S62" s="479"/>
      <c r="T62" s="570"/>
      <c r="U62" s="232" t="s">
        <v>825</v>
      </c>
      <c r="V62" s="152">
        <v>16</v>
      </c>
      <c r="W62" s="479"/>
      <c r="X62" s="147"/>
      <c r="Y62" s="147"/>
    </row>
    <row r="63" spans="1:25">
      <c r="A63" s="580" t="s">
        <v>826</v>
      </c>
      <c r="B63" s="247">
        <f t="shared" si="13"/>
        <v>15</v>
      </c>
      <c r="C63" s="479">
        <v>9</v>
      </c>
      <c r="D63" s="479"/>
      <c r="E63" s="479"/>
      <c r="F63" s="479"/>
      <c r="G63" s="581"/>
      <c r="H63" s="581"/>
      <c r="I63" s="479"/>
      <c r="J63" s="479"/>
      <c r="K63" s="479"/>
      <c r="L63" s="479"/>
      <c r="M63" s="479"/>
      <c r="N63" s="479"/>
      <c r="O63" s="479"/>
      <c r="P63" s="479"/>
      <c r="Q63" s="479"/>
      <c r="R63" s="479"/>
      <c r="S63" s="479"/>
      <c r="T63" s="570"/>
      <c r="U63" s="232" t="s">
        <v>826</v>
      </c>
      <c r="V63" s="152">
        <v>17</v>
      </c>
      <c r="W63" s="479"/>
      <c r="X63" s="147"/>
      <c r="Y63" s="147"/>
    </row>
    <row r="64" spans="1:25">
      <c r="A64" s="580" t="s">
        <v>827</v>
      </c>
      <c r="B64" s="247">
        <f t="shared" si="13"/>
        <v>16</v>
      </c>
      <c r="C64" s="479"/>
      <c r="D64" s="479"/>
      <c r="E64" s="479"/>
      <c r="F64" s="479"/>
      <c r="G64" s="581"/>
      <c r="H64" s="581"/>
      <c r="I64" s="479"/>
      <c r="J64" s="479"/>
      <c r="K64" s="479"/>
      <c r="L64" s="479"/>
      <c r="M64" s="479"/>
      <c r="N64" s="479"/>
      <c r="O64" s="479"/>
      <c r="P64" s="479"/>
      <c r="Q64" s="479"/>
      <c r="R64" s="479"/>
      <c r="S64" s="479"/>
      <c r="T64" s="570"/>
      <c r="U64" s="232" t="s">
        <v>827</v>
      </c>
      <c r="V64" s="152">
        <v>18</v>
      </c>
      <c r="W64" s="479"/>
      <c r="X64" s="147"/>
      <c r="Y64" s="147"/>
    </row>
    <row r="65" spans="1:25">
      <c r="A65" s="580" t="s">
        <v>821</v>
      </c>
      <c r="B65" s="247">
        <f t="shared" si="13"/>
        <v>17</v>
      </c>
      <c r="C65" s="479"/>
      <c r="D65" s="479"/>
      <c r="E65" s="479"/>
      <c r="F65" s="479"/>
      <c r="G65" s="581"/>
      <c r="H65" s="581"/>
      <c r="I65" s="479"/>
      <c r="J65" s="479"/>
      <c r="K65" s="479"/>
      <c r="L65" s="479"/>
      <c r="M65" s="479"/>
      <c r="N65" s="479"/>
      <c r="O65" s="479"/>
      <c r="P65" s="479"/>
      <c r="Q65" s="479"/>
      <c r="R65" s="479"/>
      <c r="S65" s="479"/>
      <c r="T65" s="570"/>
      <c r="U65" s="232" t="s">
        <v>821</v>
      </c>
      <c r="V65" s="152">
        <v>19</v>
      </c>
      <c r="W65" s="479"/>
      <c r="X65" s="147"/>
      <c r="Y65" s="147"/>
    </row>
    <row r="66" spans="1:25">
      <c r="A66" s="580" t="s">
        <v>822</v>
      </c>
      <c r="B66" s="247">
        <f t="shared" si="13"/>
        <v>18</v>
      </c>
      <c r="C66" s="479"/>
      <c r="D66" s="479"/>
      <c r="E66" s="479"/>
      <c r="F66" s="479"/>
      <c r="G66" s="581"/>
      <c r="H66" s="581"/>
      <c r="I66" s="479"/>
      <c r="J66" s="479"/>
      <c r="K66" s="479"/>
      <c r="L66" s="479"/>
      <c r="M66" s="479"/>
      <c r="N66" s="479"/>
      <c r="O66" s="479"/>
      <c r="P66" s="479"/>
      <c r="Q66" s="479"/>
      <c r="R66" s="479"/>
      <c r="S66" s="479"/>
      <c r="T66" s="672">
        <f>SUM(C60:S66)</f>
        <v>21.5</v>
      </c>
      <c r="U66" s="232" t="s">
        <v>822</v>
      </c>
      <c r="V66" s="152">
        <v>20</v>
      </c>
      <c r="W66" s="479"/>
      <c r="X66" s="147"/>
      <c r="Y66" s="147"/>
    </row>
    <row r="67" spans="1:25">
      <c r="A67" s="614" t="s">
        <v>823</v>
      </c>
      <c r="B67" s="247">
        <f t="shared" si="13"/>
        <v>19</v>
      </c>
      <c r="C67" s="615"/>
      <c r="D67" s="615"/>
      <c r="E67" s="615"/>
      <c r="F67" s="615"/>
      <c r="G67" s="616"/>
      <c r="H67" s="616"/>
      <c r="I67" s="615"/>
      <c r="J67" s="615"/>
      <c r="K67" s="615"/>
      <c r="L67" s="615"/>
      <c r="M67" s="615"/>
      <c r="N67" s="615"/>
      <c r="O67" s="615"/>
      <c r="P67" s="615"/>
      <c r="Q67" s="615"/>
      <c r="R67" s="615"/>
      <c r="S67" s="615"/>
      <c r="T67" s="672"/>
      <c r="U67" s="232" t="s">
        <v>823</v>
      </c>
      <c r="V67" s="152">
        <v>21</v>
      </c>
      <c r="W67" s="615"/>
      <c r="X67" s="147"/>
      <c r="Y67" s="147"/>
    </row>
    <row r="68" spans="1:25">
      <c r="A68" s="614" t="s">
        <v>824</v>
      </c>
      <c r="B68" s="247">
        <f t="shared" si="13"/>
        <v>20</v>
      </c>
      <c r="C68" s="615"/>
      <c r="D68" s="615"/>
      <c r="E68" s="615"/>
      <c r="F68" s="615"/>
      <c r="G68" s="616"/>
      <c r="H68" s="616"/>
      <c r="I68" s="615"/>
      <c r="J68" s="615"/>
      <c r="K68" s="615"/>
      <c r="L68" s="615"/>
      <c r="M68" s="615"/>
      <c r="N68" s="615"/>
      <c r="O68" s="615"/>
      <c r="P68" s="615"/>
      <c r="Q68" s="615"/>
      <c r="R68" s="615"/>
      <c r="S68" s="615"/>
      <c r="T68" s="672"/>
      <c r="U68" s="232" t="s">
        <v>824</v>
      </c>
      <c r="V68" s="152">
        <v>22</v>
      </c>
      <c r="W68" s="615"/>
      <c r="X68" s="147"/>
      <c r="Y68" s="147"/>
    </row>
    <row r="69" spans="1:25">
      <c r="A69" s="614" t="s">
        <v>825</v>
      </c>
      <c r="B69" s="247">
        <f t="shared" si="13"/>
        <v>21</v>
      </c>
      <c r="C69" s="623"/>
      <c r="D69" s="615"/>
      <c r="E69" s="615"/>
      <c r="F69" s="615"/>
      <c r="G69" s="616"/>
      <c r="H69" s="616"/>
      <c r="I69" s="615"/>
      <c r="J69" s="615"/>
      <c r="K69" s="615"/>
      <c r="L69" s="615"/>
      <c r="M69" s="623"/>
      <c r="N69" s="615"/>
      <c r="O69" s="615"/>
      <c r="P69" s="615"/>
      <c r="Q69" s="615"/>
      <c r="R69" s="615"/>
      <c r="S69" s="615"/>
      <c r="T69" s="672"/>
      <c r="U69" s="232" t="s">
        <v>825</v>
      </c>
      <c r="V69" s="152">
        <v>23</v>
      </c>
      <c r="W69" s="615"/>
      <c r="X69" s="147"/>
      <c r="Y69" s="147"/>
    </row>
    <row r="70" spans="1:25">
      <c r="A70" s="614" t="s">
        <v>826</v>
      </c>
      <c r="B70" s="247">
        <f t="shared" si="13"/>
        <v>22</v>
      </c>
      <c r="C70" s="615"/>
      <c r="D70" s="615"/>
      <c r="E70" s="615"/>
      <c r="F70" s="615"/>
      <c r="G70" s="616"/>
      <c r="H70" s="616"/>
      <c r="I70" s="615"/>
      <c r="J70" s="615"/>
      <c r="K70" s="615"/>
      <c r="L70" s="615"/>
      <c r="M70" s="615"/>
      <c r="N70" s="615"/>
      <c r="O70" s="615"/>
      <c r="P70" s="615"/>
      <c r="Q70" s="615"/>
      <c r="R70" s="615"/>
      <c r="S70" s="615"/>
      <c r="T70" s="672"/>
      <c r="U70" s="232" t="s">
        <v>826</v>
      </c>
      <c r="V70" s="152">
        <v>24</v>
      </c>
      <c r="W70" s="615"/>
      <c r="X70" s="147"/>
      <c r="Y70" s="147"/>
    </row>
    <row r="71" spans="1:25">
      <c r="A71" s="614" t="s">
        <v>827</v>
      </c>
      <c r="B71" s="247">
        <f t="shared" si="13"/>
        <v>23</v>
      </c>
      <c r="C71" s="623"/>
      <c r="D71" s="615"/>
      <c r="E71" s="615"/>
      <c r="F71" s="615"/>
      <c r="G71" s="616"/>
      <c r="H71" s="616"/>
      <c r="I71" s="615"/>
      <c r="J71" s="615"/>
      <c r="K71" s="615"/>
      <c r="L71" s="615"/>
      <c r="M71" s="615"/>
      <c r="N71" s="615"/>
      <c r="O71" s="615"/>
      <c r="P71" s="615"/>
      <c r="Q71" s="615"/>
      <c r="R71" s="615"/>
      <c r="S71" s="615"/>
      <c r="T71" s="672"/>
      <c r="U71" s="232" t="s">
        <v>827</v>
      </c>
      <c r="V71" s="152">
        <v>25</v>
      </c>
      <c r="W71" s="615"/>
      <c r="X71" s="147"/>
      <c r="Y71" s="147"/>
    </row>
    <row r="72" spans="1:25">
      <c r="A72" s="614" t="s">
        <v>821</v>
      </c>
      <c r="B72" s="247">
        <f t="shared" si="13"/>
        <v>24</v>
      </c>
      <c r="C72" s="615"/>
      <c r="D72" s="615"/>
      <c r="E72" s="615"/>
      <c r="F72" s="615"/>
      <c r="G72" s="616"/>
      <c r="H72" s="616"/>
      <c r="I72" s="615"/>
      <c r="J72" s="615"/>
      <c r="K72" s="615"/>
      <c r="L72" s="615"/>
      <c r="M72" s="615"/>
      <c r="N72" s="615"/>
      <c r="O72" s="615"/>
      <c r="P72" s="615"/>
      <c r="Q72" s="615"/>
      <c r="R72" s="615"/>
      <c r="S72" s="615"/>
      <c r="T72" s="672"/>
      <c r="U72" s="232" t="s">
        <v>821</v>
      </c>
      <c r="V72" s="152">
        <v>26</v>
      </c>
      <c r="W72" s="615"/>
      <c r="X72" s="147"/>
      <c r="Y72" s="147"/>
    </row>
    <row r="73" spans="1:25" ht="15.75" thickBot="1">
      <c r="A73" s="614" t="s">
        <v>822</v>
      </c>
      <c r="B73" s="247">
        <f t="shared" si="13"/>
        <v>25</v>
      </c>
      <c r="C73" s="615"/>
      <c r="D73" s="615"/>
      <c r="E73" s="615"/>
      <c r="F73" s="615"/>
      <c r="G73" s="616"/>
      <c r="H73" s="616"/>
      <c r="I73" s="615"/>
      <c r="J73" s="615"/>
      <c r="K73" s="615"/>
      <c r="L73" s="615"/>
      <c r="M73" s="615"/>
      <c r="N73" s="615"/>
      <c r="O73" s="615"/>
      <c r="P73" s="615"/>
      <c r="Q73" s="615"/>
      <c r="R73" s="615"/>
      <c r="S73" s="615"/>
      <c r="T73" s="672">
        <f>SUM(C67:S73)</f>
        <v>0</v>
      </c>
      <c r="U73" s="232" t="s">
        <v>822</v>
      </c>
      <c r="V73" s="152">
        <v>27</v>
      </c>
      <c r="W73" s="615"/>
      <c r="X73" s="147"/>
      <c r="Y73" s="147"/>
    </row>
    <row r="74" spans="1:25" ht="16.5" thickBot="1">
      <c r="A74" s="618" t="s">
        <v>791</v>
      </c>
      <c r="B74" s="619">
        <f>SUM(C74:S74)+V74</f>
        <v>21.5</v>
      </c>
      <c r="C74" s="617">
        <f>SUM(C60:C73)</f>
        <v>21.5</v>
      </c>
      <c r="D74" s="617">
        <f>SUM(D60:D73)</f>
        <v>0</v>
      </c>
      <c r="E74" s="617">
        <f>SUM(E60:E73)</f>
        <v>0</v>
      </c>
      <c r="F74" s="620">
        <f>SUM(F60:F71)</f>
        <v>0</v>
      </c>
      <c r="G74" s="620">
        <f>SUM(G60:G71)</f>
        <v>0</v>
      </c>
      <c r="H74" s="620">
        <f>SUM(H60:H71)</f>
        <v>0</v>
      </c>
      <c r="I74" s="620">
        <f>SUM(I60:I71)</f>
        <v>0</v>
      </c>
      <c r="J74" s="620">
        <f>SUM(J60:J73)</f>
        <v>0</v>
      </c>
      <c r="K74" s="620">
        <f>SUM(K60:K73)</f>
        <v>0</v>
      </c>
      <c r="L74" s="620">
        <f>SUM(L60:L73)</f>
        <v>0</v>
      </c>
      <c r="M74" s="620">
        <f>SUM(M60:M73)</f>
        <v>0</v>
      </c>
      <c r="N74" s="620">
        <f t="shared" ref="N74:S74" si="14">SUM(N60:N71)</f>
        <v>0</v>
      </c>
      <c r="O74" s="620">
        <f t="shared" si="14"/>
        <v>0</v>
      </c>
      <c r="P74" s="615">
        <f t="shared" si="14"/>
        <v>0</v>
      </c>
      <c r="Q74" s="615">
        <f t="shared" si="14"/>
        <v>0</v>
      </c>
      <c r="R74" s="615">
        <f t="shared" si="14"/>
        <v>0</v>
      </c>
      <c r="S74" s="615">
        <f t="shared" si="14"/>
        <v>0</v>
      </c>
      <c r="T74" s="673"/>
      <c r="U74" s="175" t="s">
        <v>791</v>
      </c>
      <c r="V74" s="176">
        <f>SUM(W74:Y74)</f>
        <v>0</v>
      </c>
      <c r="W74" s="617">
        <f>SUM(W60:W73)</f>
        <v>0</v>
      </c>
      <c r="X74" s="147">
        <f>SUM(X60:X71)</f>
        <v>0</v>
      </c>
      <c r="Y74" s="147">
        <f>SUM(Y60:Y71)</f>
        <v>0</v>
      </c>
    </row>
    <row r="75" spans="1:25">
      <c r="A75" s="380"/>
      <c r="C75" s="613">
        <f t="shared" ref="C75:K75" si="15">SUM(C60:C66)</f>
        <v>21.5</v>
      </c>
      <c r="D75" s="613">
        <f>SUM(D60:D66)</f>
        <v>0</v>
      </c>
      <c r="E75" s="613">
        <f t="shared" si="15"/>
        <v>0</v>
      </c>
      <c r="F75" s="613">
        <f t="shared" si="15"/>
        <v>0</v>
      </c>
      <c r="G75" s="613">
        <f t="shared" si="15"/>
        <v>0</v>
      </c>
      <c r="H75" s="613">
        <f t="shared" si="15"/>
        <v>0</v>
      </c>
      <c r="I75" s="613">
        <f t="shared" si="15"/>
        <v>0</v>
      </c>
      <c r="J75" s="613">
        <f t="shared" si="15"/>
        <v>0</v>
      </c>
      <c r="K75" s="613">
        <f t="shared" si="15"/>
        <v>0</v>
      </c>
      <c r="L75" s="613">
        <f>SUM(L60:L66)</f>
        <v>0</v>
      </c>
      <c r="M75" s="613">
        <f>SUM(M60:M66)</f>
        <v>0</v>
      </c>
      <c r="N75" s="613">
        <f>SUM(N60:N66)</f>
        <v>0</v>
      </c>
      <c r="O75" s="613">
        <f>SUM(O60:O66)</f>
        <v>0</v>
      </c>
      <c r="P75" s="65"/>
      <c r="Q75" s="65"/>
      <c r="R75" s="65"/>
      <c r="S75" s="381"/>
      <c r="T75" s="65"/>
    </row>
    <row r="76" spans="1:25" ht="15.75" thickBot="1">
      <c r="C76" s="626">
        <f t="shared" ref="C76:K76" si="16">SUM(C67:C73)</f>
        <v>0</v>
      </c>
      <c r="D76" s="626">
        <f t="shared" si="16"/>
        <v>0</v>
      </c>
      <c r="E76" s="626">
        <f t="shared" si="16"/>
        <v>0</v>
      </c>
      <c r="F76" s="626">
        <f t="shared" si="16"/>
        <v>0</v>
      </c>
      <c r="G76" s="626">
        <f t="shared" si="16"/>
        <v>0</v>
      </c>
      <c r="H76" s="626">
        <f t="shared" si="16"/>
        <v>0</v>
      </c>
      <c r="I76" s="626">
        <f t="shared" si="16"/>
        <v>0</v>
      </c>
      <c r="J76" s="626">
        <f t="shared" si="16"/>
        <v>0</v>
      </c>
      <c r="K76" s="626">
        <f t="shared" si="16"/>
        <v>0</v>
      </c>
      <c r="L76" s="626">
        <f>SUM(L67:L73)</f>
        <v>0</v>
      </c>
      <c r="M76" s="626">
        <f>SUM(M67:M73)</f>
        <v>0</v>
      </c>
      <c r="N76" s="626">
        <f>SUM(N67:N73)</f>
        <v>0</v>
      </c>
      <c r="O76" s="626">
        <f>SUM(O67:O73)</f>
        <v>0</v>
      </c>
    </row>
    <row r="77" spans="1:25" ht="15.75" customHeight="1" thickBot="1">
      <c r="A77" s="1058" t="s">
        <v>1095</v>
      </c>
      <c r="B77" s="1059"/>
      <c r="C77" s="1059"/>
      <c r="D77" s="1059"/>
      <c r="E77" s="1059"/>
      <c r="F77" s="1059"/>
      <c r="G77" s="1059"/>
      <c r="H77" s="1059"/>
      <c r="I77" s="1059"/>
      <c r="J77" s="1059"/>
      <c r="K77" s="1059"/>
      <c r="L77" s="1059"/>
      <c r="M77" s="1059"/>
      <c r="N77" s="1059"/>
      <c r="O77" s="1059"/>
      <c r="P77" s="1059"/>
      <c r="Q77" s="1059"/>
      <c r="R77" s="1059"/>
      <c r="S77" s="1060"/>
      <c r="T77" s="671"/>
      <c r="U77" s="1024" t="s">
        <v>820</v>
      </c>
      <c r="V77" s="1025"/>
      <c r="W77" s="1025"/>
      <c r="X77" s="1025"/>
      <c r="Y77" s="1026"/>
    </row>
    <row r="78" spans="1:25" ht="74.25" customHeight="1">
      <c r="A78" s="579"/>
      <c r="B78" s="247" t="str">
        <f>B59</f>
        <v>Jan</v>
      </c>
      <c r="C78" s="943" t="s">
        <v>1096</v>
      </c>
      <c r="D78" s="943"/>
      <c r="E78" s="943"/>
      <c r="F78" s="943"/>
      <c r="G78" s="943"/>
      <c r="H78" s="943"/>
      <c r="I78" s="943"/>
      <c r="J78" s="943"/>
      <c r="K78" s="943"/>
      <c r="L78" s="943"/>
      <c r="M78" s="943"/>
      <c r="N78" s="944"/>
      <c r="O78" s="944"/>
      <c r="P78" s="944"/>
      <c r="Q78" s="944"/>
      <c r="R78" s="944"/>
      <c r="S78" s="944"/>
      <c r="T78" s="947"/>
      <c r="U78" s="228"/>
      <c r="V78" s="247" t="s">
        <v>896</v>
      </c>
      <c r="W78" s="943" t="s">
        <v>1093</v>
      </c>
      <c r="X78" s="369"/>
      <c r="Y78" s="369"/>
    </row>
    <row r="79" spans="1:25">
      <c r="A79" s="580" t="s">
        <v>823</v>
      </c>
      <c r="B79" s="247">
        <f t="shared" ref="B79:B92" si="17">B60</f>
        <v>12</v>
      </c>
      <c r="C79" s="479"/>
      <c r="D79" s="479"/>
      <c r="E79" s="479"/>
      <c r="F79" s="479"/>
      <c r="G79" s="581"/>
      <c r="H79" s="581"/>
      <c r="I79" s="479"/>
      <c r="J79" s="479"/>
      <c r="K79" s="479"/>
      <c r="L79" s="479"/>
      <c r="M79" s="479"/>
      <c r="N79" s="479"/>
      <c r="O79" s="479"/>
      <c r="P79" s="479"/>
      <c r="Q79" s="479"/>
      <c r="R79" s="479"/>
      <c r="S79" s="479"/>
      <c r="T79" s="570"/>
      <c r="U79" s="232" t="s">
        <v>823</v>
      </c>
      <c r="V79" s="152">
        <v>14</v>
      </c>
      <c r="W79" s="479"/>
      <c r="X79" s="147"/>
      <c r="Y79" s="147"/>
    </row>
    <row r="80" spans="1:25">
      <c r="A80" s="580" t="s">
        <v>824</v>
      </c>
      <c r="B80" s="247">
        <f t="shared" si="17"/>
        <v>13</v>
      </c>
      <c r="C80" s="479"/>
      <c r="D80" s="479"/>
      <c r="E80" s="479"/>
      <c r="F80" s="479"/>
      <c r="G80" s="581"/>
      <c r="H80" s="581"/>
      <c r="I80" s="479"/>
      <c r="J80" s="479"/>
      <c r="K80" s="479"/>
      <c r="L80" s="479"/>
      <c r="M80" s="479"/>
      <c r="N80" s="479"/>
      <c r="O80" s="479"/>
      <c r="P80" s="479"/>
      <c r="Q80" s="479"/>
      <c r="R80" s="479"/>
      <c r="S80" s="479"/>
      <c r="T80" s="570"/>
      <c r="U80" s="232" t="s">
        <v>824</v>
      </c>
      <c r="V80" s="152">
        <v>15</v>
      </c>
      <c r="W80" s="479"/>
      <c r="X80" s="147"/>
      <c r="Y80" s="147"/>
    </row>
    <row r="81" spans="1:25">
      <c r="A81" s="580" t="s">
        <v>825</v>
      </c>
      <c r="B81" s="247">
        <f t="shared" si="17"/>
        <v>14</v>
      </c>
      <c r="C81" s="479"/>
      <c r="D81" s="479"/>
      <c r="E81" s="479"/>
      <c r="F81" s="479"/>
      <c r="G81" s="581"/>
      <c r="H81" s="581"/>
      <c r="I81" s="479"/>
      <c r="J81" s="479"/>
      <c r="K81" s="479"/>
      <c r="L81" s="479"/>
      <c r="M81" s="479"/>
      <c r="N81" s="479"/>
      <c r="O81" s="479"/>
      <c r="P81" s="479"/>
      <c r="Q81" s="479"/>
      <c r="R81" s="479"/>
      <c r="S81" s="479"/>
      <c r="T81" s="570"/>
      <c r="U81" s="232" t="s">
        <v>825</v>
      </c>
      <c r="V81" s="152">
        <v>16</v>
      </c>
      <c r="W81" s="479"/>
      <c r="X81" s="147"/>
      <c r="Y81" s="147"/>
    </row>
    <row r="82" spans="1:25">
      <c r="A82" s="580" t="s">
        <v>826</v>
      </c>
      <c r="B82" s="247">
        <f t="shared" si="17"/>
        <v>15</v>
      </c>
      <c r="C82" s="479"/>
      <c r="D82" s="479"/>
      <c r="E82" s="479"/>
      <c r="F82" s="479"/>
      <c r="G82" s="581"/>
      <c r="H82" s="581"/>
      <c r="I82" s="479"/>
      <c r="J82" s="479"/>
      <c r="K82" s="479"/>
      <c r="L82" s="479"/>
      <c r="M82" s="479"/>
      <c r="N82" s="479"/>
      <c r="O82" s="479"/>
      <c r="P82" s="479"/>
      <c r="Q82" s="479"/>
      <c r="R82" s="479"/>
      <c r="S82" s="479"/>
      <c r="T82" s="570"/>
      <c r="U82" s="232" t="s">
        <v>826</v>
      </c>
      <c r="V82" s="152">
        <v>17</v>
      </c>
      <c r="W82" s="479"/>
      <c r="X82" s="147"/>
      <c r="Y82" s="147"/>
    </row>
    <row r="83" spans="1:25">
      <c r="A83" s="580" t="s">
        <v>827</v>
      </c>
      <c r="B83" s="247">
        <f t="shared" si="17"/>
        <v>16</v>
      </c>
      <c r="C83" s="479"/>
      <c r="D83" s="948" t="s">
        <v>1102</v>
      </c>
      <c r="E83" s="479"/>
      <c r="F83" s="479"/>
      <c r="G83" s="581"/>
      <c r="H83" s="581"/>
      <c r="I83" s="479"/>
      <c r="J83" s="479"/>
      <c r="K83" s="479"/>
      <c r="L83" s="479"/>
      <c r="M83" s="479"/>
      <c r="N83" s="479"/>
      <c r="O83" s="479"/>
      <c r="P83" s="479"/>
      <c r="Q83" s="479"/>
      <c r="R83" s="479"/>
      <c r="S83" s="479"/>
      <c r="T83" s="570"/>
      <c r="U83" s="232" t="s">
        <v>827</v>
      </c>
      <c r="V83" s="152">
        <v>18</v>
      </c>
      <c r="W83" s="479"/>
      <c r="X83" s="147"/>
      <c r="Y83" s="147"/>
    </row>
    <row r="84" spans="1:25">
      <c r="A84" s="580" t="s">
        <v>821</v>
      </c>
      <c r="B84" s="247">
        <f t="shared" si="17"/>
        <v>17</v>
      </c>
      <c r="C84" s="479"/>
      <c r="D84" s="479"/>
      <c r="E84" s="479"/>
      <c r="F84" s="479"/>
      <c r="G84" s="581"/>
      <c r="H84" s="581"/>
      <c r="I84" s="479"/>
      <c r="J84" s="479"/>
      <c r="K84" s="479"/>
      <c r="L84" s="479"/>
      <c r="M84" s="479"/>
      <c r="N84" s="479"/>
      <c r="O84" s="479"/>
      <c r="P84" s="479"/>
      <c r="Q84" s="479"/>
      <c r="R84" s="479"/>
      <c r="S84" s="479"/>
      <c r="T84" s="570"/>
      <c r="U84" s="232" t="s">
        <v>821</v>
      </c>
      <c r="V84" s="152">
        <v>19</v>
      </c>
      <c r="W84" s="479"/>
      <c r="X84" s="147"/>
      <c r="Y84" s="147"/>
    </row>
    <row r="85" spans="1:25">
      <c r="A85" s="580" t="s">
        <v>822</v>
      </c>
      <c r="B85" s="247">
        <f t="shared" si="17"/>
        <v>18</v>
      </c>
      <c r="C85" s="479"/>
      <c r="D85" s="479"/>
      <c r="E85" s="479"/>
      <c r="F85" s="479"/>
      <c r="G85" s="581"/>
      <c r="H85" s="581"/>
      <c r="I85" s="479"/>
      <c r="J85" s="479"/>
      <c r="K85" s="479"/>
      <c r="L85" s="479"/>
      <c r="M85" s="479"/>
      <c r="N85" s="479"/>
      <c r="O85" s="479"/>
      <c r="P85" s="479"/>
      <c r="Q85" s="479"/>
      <c r="R85" s="479"/>
      <c r="S85" s="479"/>
      <c r="T85" s="672">
        <f>SUM(C79:S85)</f>
        <v>0</v>
      </c>
      <c r="U85" s="232" t="s">
        <v>822</v>
      </c>
      <c r="V85" s="152">
        <v>20</v>
      </c>
      <c r="W85" s="479"/>
      <c r="X85" s="147"/>
      <c r="Y85" s="147"/>
    </row>
    <row r="86" spans="1:25">
      <c r="A86" s="614" t="s">
        <v>823</v>
      </c>
      <c r="B86" s="247">
        <f t="shared" si="17"/>
        <v>19</v>
      </c>
      <c r="C86" s="615"/>
      <c r="D86" s="615"/>
      <c r="E86" s="615"/>
      <c r="F86" s="615"/>
      <c r="G86" s="616"/>
      <c r="H86" s="616"/>
      <c r="I86" s="615"/>
      <c r="J86" s="615"/>
      <c r="K86" s="615"/>
      <c r="L86" s="615"/>
      <c r="M86" s="615"/>
      <c r="N86" s="615"/>
      <c r="O86" s="615"/>
      <c r="P86" s="615"/>
      <c r="Q86" s="615"/>
      <c r="R86" s="615"/>
      <c r="S86" s="615"/>
      <c r="T86" s="672"/>
      <c r="U86" s="232" t="s">
        <v>823</v>
      </c>
      <c r="V86" s="152">
        <v>21</v>
      </c>
      <c r="W86" s="615"/>
      <c r="X86" s="147"/>
      <c r="Y86" s="147"/>
    </row>
    <row r="87" spans="1:25">
      <c r="A87" s="614" t="s">
        <v>824</v>
      </c>
      <c r="B87" s="247">
        <f t="shared" si="17"/>
        <v>20</v>
      </c>
      <c r="C87" s="615"/>
      <c r="D87" s="615"/>
      <c r="E87" s="615"/>
      <c r="F87" s="615"/>
      <c r="G87" s="616"/>
      <c r="H87" s="616"/>
      <c r="I87" s="615"/>
      <c r="J87" s="615"/>
      <c r="K87" s="615"/>
      <c r="L87" s="615"/>
      <c r="M87" s="615"/>
      <c r="N87" s="615"/>
      <c r="O87" s="615"/>
      <c r="P87" s="615"/>
      <c r="Q87" s="615"/>
      <c r="R87" s="615"/>
      <c r="S87" s="615"/>
      <c r="T87" s="672"/>
      <c r="U87" s="232" t="s">
        <v>824</v>
      </c>
      <c r="V87" s="152">
        <v>22</v>
      </c>
      <c r="W87" s="615"/>
      <c r="X87" s="147"/>
      <c r="Y87" s="147"/>
    </row>
    <row r="88" spans="1:25">
      <c r="A88" s="614" t="s">
        <v>825</v>
      </c>
      <c r="B88" s="247">
        <f t="shared" si="17"/>
        <v>21</v>
      </c>
      <c r="C88" s="623"/>
      <c r="D88" s="615"/>
      <c r="E88" s="615"/>
      <c r="F88" s="615"/>
      <c r="G88" s="616"/>
      <c r="H88" s="616"/>
      <c r="I88" s="615"/>
      <c r="J88" s="615"/>
      <c r="K88" s="615"/>
      <c r="L88" s="615"/>
      <c r="M88" s="623"/>
      <c r="N88" s="615"/>
      <c r="O88" s="615"/>
      <c r="P88" s="615"/>
      <c r="Q88" s="615"/>
      <c r="R88" s="615"/>
      <c r="S88" s="615"/>
      <c r="T88" s="672"/>
      <c r="U88" s="232" t="s">
        <v>825</v>
      </c>
      <c r="V88" s="152">
        <v>23</v>
      </c>
      <c r="W88" s="615"/>
      <c r="X88" s="147"/>
      <c r="Y88" s="147"/>
    </row>
    <row r="89" spans="1:25">
      <c r="A89" s="614" t="s">
        <v>826</v>
      </c>
      <c r="B89" s="247">
        <f t="shared" si="17"/>
        <v>22</v>
      </c>
      <c r="C89" s="615"/>
      <c r="D89" s="615"/>
      <c r="E89" s="615"/>
      <c r="F89" s="615"/>
      <c r="G89" s="616"/>
      <c r="H89" s="616"/>
      <c r="I89" s="615"/>
      <c r="J89" s="615"/>
      <c r="K89" s="615"/>
      <c r="L89" s="615"/>
      <c r="M89" s="615"/>
      <c r="N89" s="615"/>
      <c r="O89" s="615"/>
      <c r="P89" s="615"/>
      <c r="Q89" s="615"/>
      <c r="R89" s="615"/>
      <c r="S89" s="615"/>
      <c r="T89" s="672"/>
      <c r="U89" s="232" t="s">
        <v>826</v>
      </c>
      <c r="V89" s="152">
        <v>24</v>
      </c>
      <c r="W89" s="615"/>
      <c r="X89" s="147"/>
      <c r="Y89" s="147"/>
    </row>
    <row r="90" spans="1:25">
      <c r="A90" s="614" t="s">
        <v>827</v>
      </c>
      <c r="B90" s="247">
        <f t="shared" si="17"/>
        <v>23</v>
      </c>
      <c r="C90" s="623"/>
      <c r="D90" s="615"/>
      <c r="E90" s="615"/>
      <c r="F90" s="615"/>
      <c r="G90" s="616"/>
      <c r="H90" s="616"/>
      <c r="I90" s="615"/>
      <c r="J90" s="615"/>
      <c r="K90" s="615"/>
      <c r="L90" s="615"/>
      <c r="M90" s="615"/>
      <c r="N90" s="615"/>
      <c r="O90" s="615"/>
      <c r="P90" s="615"/>
      <c r="Q90" s="615"/>
      <c r="R90" s="615"/>
      <c r="S90" s="615"/>
      <c r="T90" s="672"/>
      <c r="U90" s="232" t="s">
        <v>827</v>
      </c>
      <c r="V90" s="152">
        <v>25</v>
      </c>
      <c r="W90" s="615"/>
      <c r="X90" s="147"/>
      <c r="Y90" s="147"/>
    </row>
    <row r="91" spans="1:25">
      <c r="A91" s="614" t="s">
        <v>821</v>
      </c>
      <c r="B91" s="247">
        <f t="shared" si="17"/>
        <v>24</v>
      </c>
      <c r="C91" s="615"/>
      <c r="D91" s="615"/>
      <c r="E91" s="615"/>
      <c r="F91" s="615"/>
      <c r="G91" s="616"/>
      <c r="H91" s="616"/>
      <c r="I91" s="615"/>
      <c r="J91" s="615"/>
      <c r="K91" s="615"/>
      <c r="L91" s="615"/>
      <c r="M91" s="615"/>
      <c r="N91" s="615"/>
      <c r="O91" s="615"/>
      <c r="P91" s="615"/>
      <c r="Q91" s="615"/>
      <c r="R91" s="615"/>
      <c r="S91" s="615"/>
      <c r="T91" s="672"/>
      <c r="U91" s="232" t="s">
        <v>821</v>
      </c>
      <c r="V91" s="152">
        <v>26</v>
      </c>
      <c r="W91" s="615"/>
      <c r="X91" s="147"/>
      <c r="Y91" s="147"/>
    </row>
    <row r="92" spans="1:25" ht="15.75" thickBot="1">
      <c r="A92" s="614" t="s">
        <v>822</v>
      </c>
      <c r="B92" s="247">
        <f t="shared" si="17"/>
        <v>25</v>
      </c>
      <c r="C92" s="615"/>
      <c r="D92" s="615"/>
      <c r="E92" s="615"/>
      <c r="F92" s="615"/>
      <c r="G92" s="616"/>
      <c r="H92" s="616"/>
      <c r="I92" s="615"/>
      <c r="J92" s="615"/>
      <c r="K92" s="615"/>
      <c r="L92" s="615"/>
      <c r="M92" s="615"/>
      <c r="N92" s="615"/>
      <c r="O92" s="615"/>
      <c r="P92" s="615"/>
      <c r="Q92" s="615"/>
      <c r="R92" s="615"/>
      <c r="S92" s="615"/>
      <c r="T92" s="672">
        <f>SUM(C86:S92)</f>
        <v>0</v>
      </c>
      <c r="U92" s="232" t="s">
        <v>822</v>
      </c>
      <c r="V92" s="152">
        <v>27</v>
      </c>
      <c r="W92" s="615"/>
      <c r="X92" s="147"/>
      <c r="Y92" s="147"/>
    </row>
    <row r="93" spans="1:25" ht="16.5" thickBot="1">
      <c r="A93" s="618" t="s">
        <v>791</v>
      </c>
      <c r="B93" s="619">
        <f>SUM(C93:S93)+V93</f>
        <v>0</v>
      </c>
      <c r="C93" s="617">
        <f>SUM(C79:C92)</f>
        <v>0</v>
      </c>
      <c r="D93" s="617">
        <f>SUM(D79:D92)</f>
        <v>0</v>
      </c>
      <c r="E93" s="617">
        <f>SUM(E79:E92)</f>
        <v>0</v>
      </c>
      <c r="F93" s="620">
        <f>SUM(F79:F90)</f>
        <v>0</v>
      </c>
      <c r="G93" s="620">
        <f>SUM(G79:G90)</f>
        <v>0</v>
      </c>
      <c r="H93" s="620">
        <f>SUM(H79:H90)</f>
        <v>0</v>
      </c>
      <c r="I93" s="620">
        <f>SUM(I79:I90)</f>
        <v>0</v>
      </c>
      <c r="J93" s="620">
        <f>SUM(J79:J92)</f>
        <v>0</v>
      </c>
      <c r="K93" s="620">
        <f>SUM(K79:K92)</f>
        <v>0</v>
      </c>
      <c r="L93" s="620">
        <f>SUM(L79:L92)</f>
        <v>0</v>
      </c>
      <c r="M93" s="620">
        <f>SUM(M79:M92)</f>
        <v>0</v>
      </c>
      <c r="N93" s="620">
        <f t="shared" ref="N93:S93" si="18">SUM(N79:N90)</f>
        <v>0</v>
      </c>
      <c r="O93" s="620">
        <f t="shared" si="18"/>
        <v>0</v>
      </c>
      <c r="P93" s="615">
        <f t="shared" si="18"/>
        <v>0</v>
      </c>
      <c r="Q93" s="615">
        <f t="shared" si="18"/>
        <v>0</v>
      </c>
      <c r="R93" s="615">
        <f t="shared" si="18"/>
        <v>0</v>
      </c>
      <c r="S93" s="615">
        <f t="shared" si="18"/>
        <v>0</v>
      </c>
      <c r="T93" s="673"/>
      <c r="U93" s="175" t="s">
        <v>791</v>
      </c>
      <c r="V93" s="176">
        <f>SUM(W93:Y93)</f>
        <v>0</v>
      </c>
      <c r="W93" s="617">
        <f>SUM(W79:W92)</f>
        <v>0</v>
      </c>
      <c r="X93" s="147">
        <f>SUM(X79:X90)</f>
        <v>0</v>
      </c>
      <c r="Y93" s="147">
        <f>SUM(Y79:Y90)</f>
        <v>0</v>
      </c>
    </row>
    <row r="94" spans="1:25">
      <c r="A94" s="380"/>
      <c r="C94" s="613">
        <f>SUM(C79:C85)</f>
        <v>0</v>
      </c>
      <c r="D94" s="613">
        <f>SUM(D79:D85)+W93</f>
        <v>0</v>
      </c>
      <c r="E94" s="613">
        <f t="shared" ref="E94:K94" si="19">SUM(E79:E85)</f>
        <v>0</v>
      </c>
      <c r="F94" s="613">
        <f t="shared" si="19"/>
        <v>0</v>
      </c>
      <c r="G94" s="613">
        <f t="shared" si="19"/>
        <v>0</v>
      </c>
      <c r="H94" s="613">
        <f t="shared" si="19"/>
        <v>0</v>
      </c>
      <c r="I94" s="613">
        <f t="shared" si="19"/>
        <v>0</v>
      </c>
      <c r="J94" s="613">
        <f t="shared" si="19"/>
        <v>0</v>
      </c>
      <c r="K94" s="613">
        <f t="shared" si="19"/>
        <v>0</v>
      </c>
      <c r="L94" s="613">
        <f>SUM(L79:L85)</f>
        <v>0</v>
      </c>
      <c r="M94" s="613">
        <f>SUM(M79:M85)</f>
        <v>0</v>
      </c>
      <c r="N94" s="613">
        <f>SUM(N79:N85)</f>
        <v>0</v>
      </c>
      <c r="O94" s="613">
        <f>SUM(O79:O85)</f>
        <v>0</v>
      </c>
      <c r="P94" s="65"/>
      <c r="Q94" s="65"/>
      <c r="R94" s="65"/>
      <c r="S94" s="381"/>
      <c r="T94" s="65"/>
    </row>
    <row r="95" spans="1:25">
      <c r="C95" s="626">
        <f t="shared" ref="C95:K95" si="20">SUM(C86:C92)</f>
        <v>0</v>
      </c>
      <c r="D95" s="626">
        <f t="shared" si="20"/>
        <v>0</v>
      </c>
      <c r="E95" s="626">
        <f t="shared" si="20"/>
        <v>0</v>
      </c>
      <c r="F95" s="626">
        <f t="shared" si="20"/>
        <v>0</v>
      </c>
      <c r="G95" s="626">
        <f t="shared" si="20"/>
        <v>0</v>
      </c>
      <c r="H95" s="626">
        <f t="shared" si="20"/>
        <v>0</v>
      </c>
      <c r="I95" s="626">
        <f t="shared" si="20"/>
        <v>0</v>
      </c>
      <c r="J95" s="626">
        <f t="shared" si="20"/>
        <v>0</v>
      </c>
      <c r="K95" s="626">
        <f t="shared" si="20"/>
        <v>0</v>
      </c>
      <c r="L95" s="626">
        <f>SUM(L86:L92)</f>
        <v>0</v>
      </c>
      <c r="M95" s="626">
        <f>SUM(M86:M92)</f>
        <v>0</v>
      </c>
      <c r="N95" s="626">
        <f>SUM(N86:N92)</f>
        <v>0</v>
      </c>
      <c r="O95" s="626">
        <f>SUM(O86:O92)</f>
        <v>0</v>
      </c>
    </row>
    <row r="96" spans="1:25" ht="15.75" customHeight="1"/>
    <row r="112" spans="1:87" s="42" customFormat="1" ht="88.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row>
    <row r="130" ht="72" customHeight="1"/>
    <row r="148" ht="52.5" customHeight="1"/>
    <row r="184" spans="1:87" ht="65.25" customHeight="1"/>
    <row r="187" spans="1:87" s="216" customForma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row>
    <row r="202" ht="59.25" customHeight="1"/>
    <row r="220" ht="33.75" customHeight="1"/>
    <row r="238" ht="68.25" customHeight="1"/>
    <row r="256" ht="60.75" customHeight="1"/>
    <row r="274" ht="59.25" customHeight="1"/>
    <row r="292" ht="55.5" customHeight="1"/>
  </sheetData>
  <mergeCells count="10">
    <mergeCell ref="A77:S77"/>
    <mergeCell ref="U77:Y77"/>
    <mergeCell ref="A58:S58"/>
    <mergeCell ref="U58:Y58"/>
    <mergeCell ref="A1:S1"/>
    <mergeCell ref="U1:Y1"/>
    <mergeCell ref="A20:S20"/>
    <mergeCell ref="U20:Y20"/>
    <mergeCell ref="A39:S39"/>
    <mergeCell ref="U39:Y39"/>
  </mergeCells>
  <phoneticPr fontId="67" type="noConversion"/>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1:AG64"/>
  <sheetViews>
    <sheetView topLeftCell="A25" zoomScale="85" zoomScaleNormal="85" workbookViewId="0">
      <selection activeCell="AC60" sqref="AC60"/>
    </sheetView>
  </sheetViews>
  <sheetFormatPr defaultColWidth="9.140625" defaultRowHeight="15"/>
  <cols>
    <col min="1" max="1" width="4" style="42" customWidth="1"/>
    <col min="2" max="2" width="2.85546875" style="42" hidden="1" customWidth="1"/>
    <col min="3" max="3" width="9.140625" style="42" hidden="1" customWidth="1"/>
    <col min="4" max="4" width="11.140625" style="42" hidden="1" customWidth="1"/>
    <col min="5" max="9" width="9.140625" style="42" hidden="1" customWidth="1"/>
    <col min="10" max="10" width="2.85546875" style="42" hidden="1" customWidth="1"/>
    <col min="11" max="11" width="9.140625" style="42" hidden="1" customWidth="1"/>
    <col min="12" max="12" width="10.28515625" style="42" hidden="1" customWidth="1"/>
    <col min="13" max="17" width="9.140625" style="42" hidden="1" customWidth="1"/>
    <col min="18" max="18" width="9" style="42" hidden="1" customWidth="1"/>
    <col min="19" max="16384" width="9.140625" style="42"/>
  </cols>
  <sheetData>
    <row r="1" spans="2:27" ht="15.75" thickBot="1"/>
    <row r="2" spans="2:27">
      <c r="B2" s="38"/>
      <c r="C2" s="1064" t="s">
        <v>1103</v>
      </c>
      <c r="D2" s="1065"/>
      <c r="E2" s="1065"/>
      <c r="F2" s="1065"/>
      <c r="G2" s="1065"/>
      <c r="H2" s="1065"/>
      <c r="I2" s="1066"/>
      <c r="K2" s="1064" t="s">
        <v>1104</v>
      </c>
      <c r="L2" s="1065"/>
      <c r="M2" s="1065"/>
      <c r="N2" s="1065"/>
      <c r="O2" s="1065"/>
      <c r="P2" s="1065"/>
      <c r="Q2" s="1066"/>
      <c r="T2" s="1064" t="s">
        <v>1105</v>
      </c>
      <c r="U2" s="1065"/>
      <c r="V2" s="1065"/>
      <c r="W2" s="1065"/>
      <c r="X2" s="1065"/>
      <c r="Y2" s="1065"/>
      <c r="Z2" s="1066"/>
    </row>
    <row r="3" spans="2:27" ht="15.75" thickBot="1">
      <c r="C3" s="121"/>
      <c r="D3" s="4"/>
      <c r="E3" s="4"/>
      <c r="F3" s="4"/>
      <c r="G3" s="4"/>
      <c r="H3" s="4"/>
      <c r="I3" s="119"/>
      <c r="K3" s="121"/>
      <c r="L3" s="4"/>
      <c r="M3" s="4"/>
      <c r="N3" s="4"/>
      <c r="O3" s="4"/>
      <c r="P3" s="4"/>
      <c r="Q3" s="119"/>
      <c r="T3" s="121"/>
      <c r="U3" s="4"/>
      <c r="V3" s="4"/>
      <c r="W3" s="4"/>
      <c r="X3" s="4"/>
      <c r="Y3" s="4"/>
      <c r="Z3" s="119"/>
    </row>
    <row r="4" spans="2:27" ht="15.75" thickBot="1">
      <c r="B4" s="4"/>
      <c r="C4" s="1070"/>
      <c r="D4" s="1068"/>
      <c r="E4" s="1068"/>
      <c r="F4" s="1068"/>
      <c r="G4" s="1068"/>
      <c r="H4" s="1068"/>
      <c r="I4" s="1069"/>
      <c r="K4" s="1070"/>
      <c r="L4" s="1068"/>
      <c r="M4" s="1068"/>
      <c r="N4" s="1068"/>
      <c r="O4" s="1068"/>
      <c r="P4" s="1068"/>
      <c r="Q4" s="1069"/>
      <c r="T4" s="1067"/>
      <c r="U4" s="1068"/>
      <c r="V4" s="1068"/>
      <c r="W4" s="1068"/>
      <c r="X4" s="1068"/>
      <c r="Y4" s="1068"/>
      <c r="Z4" s="1069"/>
    </row>
    <row r="5" spans="2:27">
      <c r="B5" s="4"/>
      <c r="C5" s="113"/>
      <c r="D5" s="116" t="s">
        <v>1106</v>
      </c>
      <c r="E5" s="114" t="s">
        <v>1107</v>
      </c>
      <c r="F5" s="114" t="s">
        <v>1108</v>
      </c>
      <c r="G5" s="114" t="s">
        <v>1109</v>
      </c>
      <c r="H5" s="114" t="s">
        <v>12</v>
      </c>
      <c r="I5" s="115" t="s">
        <v>1110</v>
      </c>
      <c r="K5" s="113"/>
      <c r="L5" s="116" t="s">
        <v>1106</v>
      </c>
      <c r="M5" s="114" t="s">
        <v>1107</v>
      </c>
      <c r="N5" s="114" t="s">
        <v>1108</v>
      </c>
      <c r="O5" s="114" t="s">
        <v>1109</v>
      </c>
      <c r="P5" s="114" t="s">
        <v>12</v>
      </c>
      <c r="Q5" s="115" t="s">
        <v>1110</v>
      </c>
      <c r="T5" s="113"/>
      <c r="U5" s="949" t="s">
        <v>1111</v>
      </c>
      <c r="V5" s="114" t="s">
        <v>1107</v>
      </c>
      <c r="W5" s="114" t="s">
        <v>1108</v>
      </c>
      <c r="X5" s="114" t="s">
        <v>1109</v>
      </c>
      <c r="Y5" s="114" t="s">
        <v>12</v>
      </c>
      <c r="Z5" s="115" t="s">
        <v>1112</v>
      </c>
    </row>
    <row r="6" spans="2:27">
      <c r="B6" s="4"/>
      <c r="C6" s="117" t="s">
        <v>821</v>
      </c>
      <c r="D6" s="4">
        <v>3</v>
      </c>
      <c r="E6" s="118"/>
      <c r="F6" s="118"/>
      <c r="G6" s="4" t="str">
        <f>TEXT(F6-E6,"h,m")</f>
        <v>0,0</v>
      </c>
      <c r="H6" s="4"/>
      <c r="I6" s="903"/>
      <c r="K6" s="117" t="s">
        <v>821</v>
      </c>
      <c r="L6" s="4">
        <v>3</v>
      </c>
      <c r="M6" s="118"/>
      <c r="N6" s="118"/>
      <c r="O6" s="4" t="str">
        <f>TEXT(N6-M6,"h,m")</f>
        <v>0,0</v>
      </c>
      <c r="P6" s="4"/>
      <c r="Q6" s="903"/>
      <c r="T6" s="117" t="s">
        <v>821</v>
      </c>
      <c r="U6" s="4">
        <v>19</v>
      </c>
      <c r="V6" s="118">
        <v>0.39583333333333331</v>
      </c>
      <c r="W6" s="118">
        <v>0.64583333333333337</v>
      </c>
      <c r="X6" s="148">
        <f>(W6-V6)*24</f>
        <v>6.0000000000000018</v>
      </c>
      <c r="Y6" s="703">
        <f>X6-0.5</f>
        <v>5.5000000000000018</v>
      </c>
      <c r="Z6" s="1063"/>
      <c r="AA6" s="42">
        <v>5.5</v>
      </c>
    </row>
    <row r="7" spans="2:27">
      <c r="C7" s="117" t="s">
        <v>822</v>
      </c>
      <c r="D7" s="4">
        <v>4</v>
      </c>
      <c r="E7" s="118"/>
      <c r="F7" s="118"/>
      <c r="G7" s="4" t="str">
        <f>TEXT(F7-E7,"h,m")</f>
        <v>0,0</v>
      </c>
      <c r="H7" s="4"/>
      <c r="I7" s="119"/>
      <c r="K7" s="117" t="s">
        <v>822</v>
      </c>
      <c r="L7" s="4">
        <v>4</v>
      </c>
      <c r="M7" s="118"/>
      <c r="N7" s="118"/>
      <c r="O7" s="4" t="str">
        <f>TEXT(N7-M7,"h,m")</f>
        <v>0,0</v>
      </c>
      <c r="P7" s="4"/>
      <c r="Q7" s="119"/>
      <c r="T7" s="117" t="s">
        <v>822</v>
      </c>
      <c r="U7" s="4">
        <v>20</v>
      </c>
      <c r="V7" s="118">
        <v>0.3263888888888889</v>
      </c>
      <c r="W7" s="118">
        <v>0.6875</v>
      </c>
      <c r="X7" s="148">
        <f t="shared" ref="X7:X19" si="0">(W7-V7)*24</f>
        <v>8.6666666666666661</v>
      </c>
      <c r="Y7" s="703">
        <f>X7-0.5</f>
        <v>8.1666666666666661</v>
      </c>
      <c r="Z7" s="1063"/>
      <c r="AA7" s="42">
        <v>5.25</v>
      </c>
    </row>
    <row r="8" spans="2:27">
      <c r="B8" s="4"/>
      <c r="C8" s="117" t="s">
        <v>823</v>
      </c>
      <c r="D8" s="4">
        <v>5</v>
      </c>
      <c r="E8" s="118"/>
      <c r="F8" s="118"/>
      <c r="G8" s="4" t="str">
        <f>TEXT(F8-E8,"h,m")</f>
        <v>0,0</v>
      </c>
      <c r="H8" s="4"/>
      <c r="I8" s="903"/>
      <c r="K8" s="117" t="s">
        <v>823</v>
      </c>
      <c r="L8" s="4">
        <v>5</v>
      </c>
      <c r="M8" s="118"/>
      <c r="N8" s="118"/>
      <c r="O8" s="4" t="str">
        <f>TEXT(N8-M8,"h,m")</f>
        <v>0,0</v>
      </c>
      <c r="P8" s="4"/>
      <c r="Q8" s="903"/>
      <c r="T8" s="117" t="s">
        <v>823</v>
      </c>
      <c r="U8" s="4">
        <v>21</v>
      </c>
      <c r="V8" s="118">
        <v>0.3298611111111111</v>
      </c>
      <c r="W8" s="118">
        <v>0.66666666666666663</v>
      </c>
      <c r="X8" s="148">
        <f t="shared" si="0"/>
        <v>8.0833333333333321</v>
      </c>
      <c r="Y8" s="703">
        <f>X8-0.5</f>
        <v>7.5833333333333321</v>
      </c>
      <c r="Z8" s="903"/>
      <c r="AA8" s="42">
        <v>7.5</v>
      </c>
    </row>
    <row r="9" spans="2:27">
      <c r="B9" s="4"/>
      <c r="C9" s="117" t="s">
        <v>824</v>
      </c>
      <c r="D9" s="4">
        <v>6</v>
      </c>
      <c r="E9" s="118"/>
      <c r="F9" s="118"/>
      <c r="G9" s="4" t="str">
        <f t="shared" ref="G9:G19" si="1">TEXT(F9-E9,"h,m")</f>
        <v>0,0</v>
      </c>
      <c r="H9" s="4"/>
      <c r="I9" s="903"/>
      <c r="K9" s="117" t="s">
        <v>824</v>
      </c>
      <c r="L9" s="4">
        <v>6</v>
      </c>
      <c r="M9" s="118"/>
      <c r="N9" s="118"/>
      <c r="O9" s="4" t="str">
        <f t="shared" ref="O9:O19" si="2">TEXT(N9-M9,"h,m")</f>
        <v>0,0</v>
      </c>
      <c r="P9" s="4"/>
      <c r="Q9" s="903"/>
      <c r="T9" s="117" t="s">
        <v>824</v>
      </c>
      <c r="U9" s="4">
        <v>22</v>
      </c>
      <c r="V9" s="118"/>
      <c r="W9" s="118"/>
      <c r="X9" s="148">
        <f t="shared" si="0"/>
        <v>0</v>
      </c>
      <c r="Y9" s="663"/>
      <c r="Z9" s="903"/>
    </row>
    <row r="10" spans="2:27">
      <c r="B10" s="4"/>
      <c r="C10" s="117" t="s">
        <v>825</v>
      </c>
      <c r="D10" s="4">
        <v>7</v>
      </c>
      <c r="E10" s="118"/>
      <c r="F10" s="118"/>
      <c r="G10" s="4" t="str">
        <f t="shared" si="1"/>
        <v>0,0</v>
      </c>
      <c r="H10" s="4"/>
      <c r="I10" s="903"/>
      <c r="K10" s="117" t="s">
        <v>825</v>
      </c>
      <c r="L10" s="4">
        <v>7</v>
      </c>
      <c r="M10" s="118"/>
      <c r="N10" s="118"/>
      <c r="O10" s="4" t="str">
        <f t="shared" si="2"/>
        <v>0,0</v>
      </c>
      <c r="P10" s="4"/>
      <c r="Q10" s="903"/>
      <c r="T10" s="117" t="s">
        <v>825</v>
      </c>
      <c r="U10" s="4">
        <v>23</v>
      </c>
      <c r="V10" s="118"/>
      <c r="W10" s="118"/>
      <c r="X10" s="148">
        <f t="shared" si="0"/>
        <v>0</v>
      </c>
      <c r="Y10" s="663"/>
      <c r="Z10" s="903"/>
    </row>
    <row r="11" spans="2:27">
      <c r="B11" s="4"/>
      <c r="C11" s="117" t="s">
        <v>826</v>
      </c>
      <c r="D11" s="4">
        <v>8</v>
      </c>
      <c r="E11" s="118"/>
      <c r="F11" s="118"/>
      <c r="G11" s="4" t="str">
        <f t="shared" si="1"/>
        <v>0,0</v>
      </c>
      <c r="H11" s="4"/>
      <c r="I11" s="903"/>
      <c r="K11" s="117" t="s">
        <v>826</v>
      </c>
      <c r="L11" s="4">
        <v>8</v>
      </c>
      <c r="M11" s="118"/>
      <c r="N11" s="118"/>
      <c r="O11" s="4" t="str">
        <f t="shared" si="2"/>
        <v>0,0</v>
      </c>
      <c r="P11" s="4"/>
      <c r="Q11" s="903"/>
      <c r="T11" s="117" t="s">
        <v>826</v>
      </c>
      <c r="U11" s="4">
        <v>24</v>
      </c>
      <c r="V11" s="118"/>
      <c r="W11" s="118"/>
      <c r="X11" s="148">
        <f t="shared" si="0"/>
        <v>0</v>
      </c>
      <c r="Y11" s="663"/>
      <c r="Z11" s="903"/>
    </row>
    <row r="12" spans="2:27">
      <c r="B12" s="4"/>
      <c r="C12" s="117" t="s">
        <v>827</v>
      </c>
      <c r="D12" s="4">
        <v>9</v>
      </c>
      <c r="E12" s="118"/>
      <c r="F12" s="118"/>
      <c r="G12" s="4" t="str">
        <f t="shared" si="1"/>
        <v>0,0</v>
      </c>
      <c r="H12" s="4"/>
      <c r="I12" s="903"/>
      <c r="K12" s="117" t="s">
        <v>827</v>
      </c>
      <c r="L12" s="4">
        <v>9</v>
      </c>
      <c r="M12" s="118"/>
      <c r="N12" s="118"/>
      <c r="O12" s="4" t="str">
        <f t="shared" si="2"/>
        <v>0,0</v>
      </c>
      <c r="P12" s="4"/>
      <c r="Q12" s="903"/>
      <c r="T12" s="117" t="s">
        <v>827</v>
      </c>
      <c r="U12" s="4">
        <v>25</v>
      </c>
      <c r="V12" s="118"/>
      <c r="W12" s="118"/>
      <c r="X12" s="148">
        <f t="shared" si="0"/>
        <v>0</v>
      </c>
      <c r="Y12" s="663"/>
      <c r="Z12" s="120"/>
    </row>
    <row r="13" spans="2:27">
      <c r="B13" s="4"/>
      <c r="C13" s="117" t="s">
        <v>821</v>
      </c>
      <c r="D13" s="4">
        <v>10</v>
      </c>
      <c r="E13" s="118"/>
      <c r="F13" s="118"/>
      <c r="G13" s="4" t="str">
        <f t="shared" si="1"/>
        <v>0,0</v>
      </c>
      <c r="H13" s="4"/>
      <c r="I13" s="903"/>
      <c r="K13" s="117" t="s">
        <v>821</v>
      </c>
      <c r="L13" s="4">
        <v>10</v>
      </c>
      <c r="M13" s="118"/>
      <c r="N13" s="118"/>
      <c r="O13" s="4" t="str">
        <f t="shared" si="2"/>
        <v>0,0</v>
      </c>
      <c r="P13" s="4"/>
      <c r="Q13" s="903"/>
      <c r="T13" s="117" t="s">
        <v>821</v>
      </c>
      <c r="U13" s="4">
        <v>26</v>
      </c>
      <c r="V13" s="118"/>
      <c r="W13" s="118"/>
      <c r="X13" s="148">
        <f t="shared" si="0"/>
        <v>0</v>
      </c>
      <c r="Y13" s="663"/>
      <c r="Z13" s="903"/>
    </row>
    <row r="14" spans="2:27">
      <c r="C14" s="117" t="s">
        <v>822</v>
      </c>
      <c r="D14" s="4">
        <v>11</v>
      </c>
      <c r="E14" s="118"/>
      <c r="F14" s="118"/>
      <c r="G14" s="4" t="str">
        <f t="shared" si="1"/>
        <v>0,0</v>
      </c>
      <c r="H14" s="4"/>
      <c r="I14" s="119"/>
      <c r="K14" s="117" t="s">
        <v>822</v>
      </c>
      <c r="L14" s="4">
        <v>11</v>
      </c>
      <c r="M14" s="118"/>
      <c r="N14" s="118"/>
      <c r="O14" s="4" t="str">
        <f t="shared" si="2"/>
        <v>0,0</v>
      </c>
      <c r="P14" s="4"/>
      <c r="Q14" s="119"/>
      <c r="T14" s="117" t="s">
        <v>822</v>
      </c>
      <c r="U14" s="4">
        <v>27</v>
      </c>
      <c r="V14" s="118"/>
      <c r="W14" s="118"/>
      <c r="X14" s="148">
        <f t="shared" si="0"/>
        <v>0</v>
      </c>
      <c r="Y14" s="663"/>
      <c r="Z14" s="903"/>
    </row>
    <row r="15" spans="2:27">
      <c r="B15" s="4"/>
      <c r="C15" s="117" t="s">
        <v>823</v>
      </c>
      <c r="D15" s="4">
        <v>12</v>
      </c>
      <c r="E15" s="118"/>
      <c r="F15" s="118"/>
      <c r="G15" s="4" t="str">
        <f t="shared" si="1"/>
        <v>0,0</v>
      </c>
      <c r="H15" s="4"/>
      <c r="I15" s="903"/>
      <c r="K15" s="117" t="s">
        <v>823</v>
      </c>
      <c r="L15" s="4">
        <v>12</v>
      </c>
      <c r="M15" s="118"/>
      <c r="N15" s="118"/>
      <c r="O15" s="4" t="str">
        <f t="shared" si="2"/>
        <v>0,0</v>
      </c>
      <c r="P15" s="4"/>
      <c r="Q15" s="903"/>
      <c r="T15" s="117" t="s">
        <v>823</v>
      </c>
      <c r="U15" s="4">
        <v>28</v>
      </c>
      <c r="V15" s="118"/>
      <c r="W15" s="118"/>
      <c r="X15" s="148">
        <f t="shared" si="0"/>
        <v>0</v>
      </c>
      <c r="Y15" s="663"/>
      <c r="Z15" s="903"/>
    </row>
    <row r="16" spans="2:27">
      <c r="B16" s="4"/>
      <c r="C16" s="117" t="s">
        <v>824</v>
      </c>
      <c r="D16" s="4">
        <v>13</v>
      </c>
      <c r="E16" s="118"/>
      <c r="F16" s="118"/>
      <c r="G16" s="4" t="str">
        <f t="shared" si="1"/>
        <v>0,0</v>
      </c>
      <c r="H16" s="4"/>
      <c r="I16" s="903"/>
      <c r="K16" s="117" t="s">
        <v>824</v>
      </c>
      <c r="L16" s="4">
        <v>13</v>
      </c>
      <c r="M16" s="118"/>
      <c r="N16" s="118"/>
      <c r="O16" s="4" t="str">
        <f t="shared" si="2"/>
        <v>0,0</v>
      </c>
      <c r="P16" s="4"/>
      <c r="Q16" s="903"/>
      <c r="T16" s="117" t="s">
        <v>824</v>
      </c>
      <c r="U16" s="4">
        <v>29</v>
      </c>
      <c r="V16" s="118"/>
      <c r="W16" s="118"/>
      <c r="X16" s="148">
        <f t="shared" si="0"/>
        <v>0</v>
      </c>
      <c r="Y16" s="4"/>
      <c r="Z16" s="903"/>
    </row>
    <row r="17" spans="2:27">
      <c r="B17" s="4"/>
      <c r="C17" s="117" t="s">
        <v>825</v>
      </c>
      <c r="D17" s="4">
        <v>14</v>
      </c>
      <c r="E17" s="118"/>
      <c r="F17" s="118"/>
      <c r="G17" s="4" t="str">
        <f t="shared" si="1"/>
        <v>0,0</v>
      </c>
      <c r="H17" s="4"/>
      <c r="I17" s="903"/>
      <c r="K17" s="117" t="s">
        <v>825</v>
      </c>
      <c r="L17" s="4">
        <v>14</v>
      </c>
      <c r="M17" s="118"/>
      <c r="N17" s="118"/>
      <c r="O17" s="4" t="str">
        <f t="shared" si="2"/>
        <v>0,0</v>
      </c>
      <c r="P17" s="4"/>
      <c r="Q17" s="903"/>
      <c r="T17" s="117" t="s">
        <v>825</v>
      </c>
      <c r="U17" s="4">
        <v>30</v>
      </c>
      <c r="V17" s="118"/>
      <c r="W17" s="118"/>
      <c r="X17" s="148">
        <f t="shared" si="0"/>
        <v>0</v>
      </c>
      <c r="Y17" s="4"/>
      <c r="Z17" s="903"/>
    </row>
    <row r="18" spans="2:27">
      <c r="B18" s="4"/>
      <c r="C18" s="117" t="s">
        <v>826</v>
      </c>
      <c r="D18" s="4">
        <v>15</v>
      </c>
      <c r="E18" s="118"/>
      <c r="F18" s="118"/>
      <c r="G18" s="4" t="str">
        <f t="shared" si="1"/>
        <v>0,0</v>
      </c>
      <c r="H18" s="4"/>
      <c r="I18" s="903"/>
      <c r="K18" s="117" t="s">
        <v>826</v>
      </c>
      <c r="L18" s="4">
        <v>15</v>
      </c>
      <c r="M18" s="118"/>
      <c r="N18" s="118"/>
      <c r="O18" s="4" t="str">
        <f t="shared" si="2"/>
        <v>0,0</v>
      </c>
      <c r="P18" s="4"/>
      <c r="Q18" s="903"/>
      <c r="T18" s="117" t="s">
        <v>826</v>
      </c>
      <c r="U18" s="4">
        <v>31</v>
      </c>
      <c r="V18" s="118"/>
      <c r="W18" s="118"/>
      <c r="X18" s="148">
        <f t="shared" si="0"/>
        <v>0</v>
      </c>
      <c r="Y18" s="4"/>
      <c r="Z18" s="903"/>
    </row>
    <row r="19" spans="2:27">
      <c r="B19" s="4"/>
      <c r="C19" s="117" t="s">
        <v>827</v>
      </c>
      <c r="D19" s="4">
        <v>16</v>
      </c>
      <c r="E19" s="118"/>
      <c r="F19" s="118"/>
      <c r="G19" s="4" t="str">
        <f t="shared" si="1"/>
        <v>0,0</v>
      </c>
      <c r="H19" s="4"/>
      <c r="I19" s="903"/>
      <c r="K19" s="117" t="s">
        <v>827</v>
      </c>
      <c r="L19" s="4">
        <v>16</v>
      </c>
      <c r="M19" s="118"/>
      <c r="N19" s="118"/>
      <c r="O19" s="4" t="str">
        <f t="shared" si="2"/>
        <v>0,0</v>
      </c>
      <c r="P19" s="4"/>
      <c r="Q19" s="903"/>
      <c r="T19" s="117" t="s">
        <v>827</v>
      </c>
      <c r="U19" s="4">
        <v>1</v>
      </c>
      <c r="V19" s="118"/>
      <c r="W19" s="118"/>
      <c r="X19" s="148">
        <f t="shared" si="0"/>
        <v>0</v>
      </c>
      <c r="Y19" s="148"/>
      <c r="Z19" s="903"/>
    </row>
    <row r="20" spans="2:27">
      <c r="B20" s="4"/>
      <c r="C20" s="121"/>
      <c r="D20" s="4"/>
      <c r="E20" s="4"/>
      <c r="F20" s="4"/>
      <c r="G20" s="4"/>
      <c r="H20" s="4">
        <f>SUM(H6:H19)</f>
        <v>0</v>
      </c>
      <c r="I20" s="903">
        <f>SUM(I6:I19)</f>
        <v>0</v>
      </c>
      <c r="K20" s="121"/>
      <c r="L20" s="4"/>
      <c r="M20" s="4"/>
      <c r="N20" s="4"/>
      <c r="O20" s="4"/>
      <c r="P20" s="4">
        <f>SUM(P6:P19)</f>
        <v>0</v>
      </c>
      <c r="Q20" s="903">
        <f>SUM(Q6:Q19)</f>
        <v>0</v>
      </c>
      <c r="T20" s="121"/>
      <c r="U20" s="4"/>
      <c r="V20" s="4"/>
      <c r="W20" s="4"/>
      <c r="X20" s="4"/>
      <c r="Y20" s="4"/>
      <c r="Z20" s="119"/>
    </row>
    <row r="21" spans="2:27" ht="15.75" thickBot="1">
      <c r="C21" s="122"/>
      <c r="D21" s="123"/>
      <c r="E21" s="123"/>
      <c r="F21" s="123"/>
      <c r="G21" s="123"/>
      <c r="H21" s="123"/>
      <c r="I21" s="125">
        <f>H20-I20</f>
        <v>0</v>
      </c>
      <c r="K21" s="122"/>
      <c r="L21" s="123"/>
      <c r="M21" s="123"/>
      <c r="N21" s="123"/>
      <c r="O21" s="123"/>
      <c r="P21" s="123"/>
      <c r="Q21" s="124">
        <f>P20-Q20</f>
        <v>0</v>
      </c>
      <c r="T21" s="122"/>
      <c r="U21" s="123"/>
      <c r="V21" s="123"/>
      <c r="W21" s="123"/>
      <c r="X21" s="123"/>
      <c r="Y21" s="123"/>
      <c r="Z21" s="149"/>
    </row>
    <row r="23" spans="2:27" ht="15.75" thickBot="1"/>
    <row r="24" spans="2:27">
      <c r="T24" s="1064" t="s">
        <v>1105</v>
      </c>
      <c r="U24" s="1065"/>
      <c r="V24" s="1065"/>
      <c r="W24" s="1065"/>
      <c r="X24" s="1065"/>
      <c r="Y24" s="1065"/>
      <c r="Z24" s="1066"/>
    </row>
    <row r="25" spans="2:27" ht="15.75" thickBot="1">
      <c r="T25" s="121"/>
      <c r="U25" s="4"/>
      <c r="V25" s="4"/>
      <c r="W25" s="4"/>
      <c r="X25" s="4"/>
      <c r="Y25" s="4"/>
      <c r="Z25" s="119"/>
    </row>
    <row r="26" spans="2:27" ht="15.75" thickBot="1">
      <c r="T26" s="1067" t="s">
        <v>1113</v>
      </c>
      <c r="U26" s="1068"/>
      <c r="V26" s="1068"/>
      <c r="W26" s="1068"/>
      <c r="X26" s="1068"/>
      <c r="Y26" s="1068"/>
      <c r="Z26" s="1069"/>
    </row>
    <row r="27" spans="2:27">
      <c r="T27" s="113"/>
      <c r="U27" s="949" t="s">
        <v>1111</v>
      </c>
      <c r="V27" s="114" t="s">
        <v>1107</v>
      </c>
      <c r="W27" s="114" t="s">
        <v>1108</v>
      </c>
      <c r="X27" s="114" t="s">
        <v>1109</v>
      </c>
      <c r="Y27" s="950" t="s">
        <v>1110</v>
      </c>
      <c r="Z27" s="115" t="s">
        <v>1112</v>
      </c>
    </row>
    <row r="28" spans="2:27">
      <c r="T28" s="117" t="s">
        <v>821</v>
      </c>
      <c r="U28" s="4">
        <v>19</v>
      </c>
      <c r="V28" s="118">
        <v>0.3888888888888889</v>
      </c>
      <c r="W28" s="118">
        <v>0.64583333333333337</v>
      </c>
      <c r="X28" s="148">
        <f>(W28-V28)*24</f>
        <v>6.1666666666666679</v>
      </c>
      <c r="Y28" s="703"/>
      <c r="Z28" s="902">
        <f>X28-Y28</f>
        <v>6.1666666666666679</v>
      </c>
      <c r="AA28" s="1062">
        <f>Z28+Z29</f>
        <v>11.916666666666668</v>
      </c>
    </row>
    <row r="29" spans="2:27">
      <c r="T29" s="117" t="s">
        <v>822</v>
      </c>
      <c r="U29" s="4">
        <v>20</v>
      </c>
      <c r="V29" s="118">
        <v>0.15625</v>
      </c>
      <c r="W29" s="118">
        <v>0.41666666666666669</v>
      </c>
      <c r="X29" s="148">
        <f>(W29-V29)*24</f>
        <v>6.25</v>
      </c>
      <c r="Y29" s="703">
        <v>0.5</v>
      </c>
      <c r="Z29" s="902">
        <f t="shared" ref="Z29:Z37" si="3">X29-Y29</f>
        <v>5.75</v>
      </c>
      <c r="AA29" s="1063"/>
    </row>
    <row r="30" spans="2:27">
      <c r="T30" s="117" t="s">
        <v>823</v>
      </c>
      <c r="U30" s="4">
        <v>21</v>
      </c>
      <c r="V30" s="118">
        <v>0.2361111111111111</v>
      </c>
      <c r="W30" s="118">
        <v>0.44791666666666669</v>
      </c>
      <c r="X30" s="148">
        <f t="shared" ref="X30:X37" si="4">(W30-V30)*24</f>
        <v>5.0833333333333339</v>
      </c>
      <c r="Y30" s="703">
        <v>0.5</v>
      </c>
      <c r="Z30" s="902">
        <f t="shared" si="3"/>
        <v>4.5833333333333339</v>
      </c>
      <c r="AA30" s="1062">
        <f>Z30+Z31</f>
        <v>10.5</v>
      </c>
    </row>
    <row r="31" spans="2:27">
      <c r="T31" s="117" t="s">
        <v>824</v>
      </c>
      <c r="U31" s="4">
        <v>22</v>
      </c>
      <c r="V31" s="118">
        <v>0.15625</v>
      </c>
      <c r="W31" s="118">
        <v>0.4236111111111111</v>
      </c>
      <c r="X31" s="148">
        <f t="shared" si="4"/>
        <v>6.4166666666666661</v>
      </c>
      <c r="Y31" s="703">
        <v>0.5</v>
      </c>
      <c r="Z31" s="902">
        <f t="shared" si="3"/>
        <v>5.9166666666666661</v>
      </c>
      <c r="AA31" s="1063"/>
    </row>
    <row r="32" spans="2:27">
      <c r="T32" s="117" t="s">
        <v>825</v>
      </c>
      <c r="U32" s="4">
        <v>23</v>
      </c>
      <c r="V32" s="118">
        <v>0.2361111111111111</v>
      </c>
      <c r="W32" s="118">
        <v>0.45833333333333331</v>
      </c>
      <c r="X32" s="148">
        <f t="shared" si="4"/>
        <v>5.333333333333333</v>
      </c>
      <c r="Y32" s="703">
        <v>0.5</v>
      </c>
      <c r="Z32" s="902">
        <f t="shared" si="3"/>
        <v>4.833333333333333</v>
      </c>
      <c r="AA32" s="1062">
        <f>Z32+Z33</f>
        <v>12</v>
      </c>
    </row>
    <row r="33" spans="20:29">
      <c r="T33" s="117" t="s">
        <v>826</v>
      </c>
      <c r="U33" s="4">
        <v>24</v>
      </c>
      <c r="V33" s="118">
        <v>0.1076388888888889</v>
      </c>
      <c r="W33" s="118">
        <v>0.42708333333333331</v>
      </c>
      <c r="X33" s="148">
        <f t="shared" si="4"/>
        <v>7.6666666666666661</v>
      </c>
      <c r="Y33" s="703">
        <v>0.5</v>
      </c>
      <c r="Z33" s="902">
        <f t="shared" si="3"/>
        <v>7.1666666666666661</v>
      </c>
      <c r="AA33" s="1063"/>
    </row>
    <row r="34" spans="20:29">
      <c r="T34" s="117" t="s">
        <v>827</v>
      </c>
      <c r="U34" s="4">
        <v>25</v>
      </c>
      <c r="V34" s="118">
        <v>0.2361111111111111</v>
      </c>
      <c r="W34" s="118">
        <v>0.46527777777777779</v>
      </c>
      <c r="X34" s="148">
        <f t="shared" si="4"/>
        <v>5.5</v>
      </c>
      <c r="Y34" s="703">
        <v>0.5</v>
      </c>
      <c r="Z34" s="902">
        <f t="shared" si="3"/>
        <v>5</v>
      </c>
      <c r="AA34" s="1062">
        <f>Z34+Z35</f>
        <v>13</v>
      </c>
    </row>
    <row r="35" spans="20:29">
      <c r="T35" s="117" t="s">
        <v>821</v>
      </c>
      <c r="U35" s="4">
        <v>26</v>
      </c>
      <c r="V35" s="118">
        <v>0.11458333333333333</v>
      </c>
      <c r="W35" s="118">
        <v>0.46875</v>
      </c>
      <c r="X35" s="148">
        <f t="shared" si="4"/>
        <v>8.5</v>
      </c>
      <c r="Y35" s="703">
        <v>0.5</v>
      </c>
      <c r="Z35" s="902">
        <f t="shared" si="3"/>
        <v>8</v>
      </c>
      <c r="AA35" s="1063"/>
    </row>
    <row r="36" spans="20:29">
      <c r="T36" s="117" t="s">
        <v>822</v>
      </c>
      <c r="U36" s="4">
        <v>27</v>
      </c>
      <c r="V36" s="118">
        <v>0.11458333333333333</v>
      </c>
      <c r="W36" s="118">
        <v>0.4826388888888889</v>
      </c>
      <c r="X36" s="148">
        <f t="shared" si="4"/>
        <v>8.8333333333333339</v>
      </c>
      <c r="Y36" s="703">
        <v>0.5</v>
      </c>
      <c r="Z36" s="902">
        <f t="shared" si="3"/>
        <v>8.3333333333333339</v>
      </c>
      <c r="AA36" s="1062"/>
    </row>
    <row r="37" spans="20:29">
      <c r="T37" s="117" t="s">
        <v>823</v>
      </c>
      <c r="U37" s="4">
        <v>28</v>
      </c>
      <c r="V37" s="118">
        <v>0.2361111111111111</v>
      </c>
      <c r="W37" s="118">
        <v>0.47222222222222221</v>
      </c>
      <c r="X37" s="148">
        <f t="shared" si="4"/>
        <v>5.6666666666666661</v>
      </c>
      <c r="Y37" s="703">
        <v>0.5</v>
      </c>
      <c r="Z37" s="902">
        <f t="shared" si="3"/>
        <v>5.1666666666666661</v>
      </c>
      <c r="AA37" s="1063"/>
    </row>
    <row r="38" spans="20:29">
      <c r="T38" s="117" t="s">
        <v>824</v>
      </c>
      <c r="U38" s="4">
        <v>29</v>
      </c>
      <c r="V38" s="118"/>
      <c r="W38" s="118"/>
      <c r="X38" s="4" t="str">
        <f>TEXT(W38-V38,"h,m")</f>
        <v>0,0</v>
      </c>
      <c r="Y38" s="4"/>
      <c r="Z38" s="903"/>
    </row>
    <row r="39" spans="20:29">
      <c r="T39" s="117" t="s">
        <v>825</v>
      </c>
      <c r="U39" s="4">
        <v>30</v>
      </c>
      <c r="V39" s="118"/>
      <c r="W39" s="118"/>
      <c r="X39" s="4" t="str">
        <f>TEXT(W39-V39,"h,m")</f>
        <v>0,0</v>
      </c>
      <c r="Y39" s="4"/>
      <c r="Z39" s="903"/>
    </row>
    <row r="40" spans="20:29">
      <c r="T40" s="117" t="s">
        <v>826</v>
      </c>
      <c r="U40" s="4">
        <v>31</v>
      </c>
      <c r="V40" s="118"/>
      <c r="W40" s="118"/>
      <c r="X40" s="4" t="str">
        <f>TEXT(W40-V40,"h,m")</f>
        <v>0,0</v>
      </c>
      <c r="Y40" s="4"/>
      <c r="Z40" s="903"/>
    </row>
    <row r="41" spans="20:29">
      <c r="T41" s="117" t="s">
        <v>827</v>
      </c>
      <c r="U41" s="4">
        <v>1</v>
      </c>
      <c r="V41" s="118"/>
      <c r="W41" s="118"/>
      <c r="X41" s="4" t="str">
        <f>TEXT(W41-V41,"h,m")</f>
        <v>0,0</v>
      </c>
      <c r="Y41" s="148"/>
      <c r="Z41" s="903"/>
    </row>
    <row r="42" spans="20:29">
      <c r="T42" s="121"/>
      <c r="U42" s="4"/>
      <c r="V42" s="4"/>
      <c r="W42" s="4"/>
      <c r="X42" s="4"/>
      <c r="Y42" s="4"/>
      <c r="Z42" s="119"/>
    </row>
    <row r="43" spans="20:29" ht="15.75" thickBot="1">
      <c r="T43" s="122"/>
      <c r="U43" s="123"/>
      <c r="V43" s="123"/>
      <c r="W43" s="123"/>
      <c r="X43" s="123"/>
      <c r="Y43" s="123"/>
      <c r="Z43" s="149"/>
    </row>
    <row r="44" spans="20:29" ht="15.75" thickBot="1"/>
    <row r="45" spans="20:29">
      <c r="T45" s="1064" t="s">
        <v>1105</v>
      </c>
      <c r="U45" s="1065"/>
      <c r="V45" s="1065"/>
      <c r="W45" s="1065"/>
      <c r="X45" s="1065"/>
      <c r="Y45" s="1065"/>
      <c r="Z45" s="1066"/>
    </row>
    <row r="46" spans="20:29" ht="15.75" thickBot="1">
      <c r="T46" s="121"/>
      <c r="U46" s="4"/>
      <c r="V46" s="4"/>
      <c r="W46" s="4"/>
      <c r="X46" s="4"/>
      <c r="Y46" s="4"/>
      <c r="Z46" s="119"/>
    </row>
    <row r="47" spans="20:29" ht="15.75" thickBot="1">
      <c r="T47" s="1067" t="s">
        <v>1113</v>
      </c>
      <c r="U47" s="1068"/>
      <c r="V47" s="1068"/>
      <c r="W47" s="1068"/>
      <c r="X47" s="1068"/>
      <c r="Y47" s="1068"/>
      <c r="Z47" s="1069"/>
    </row>
    <row r="48" spans="20:29">
      <c r="T48" s="113"/>
      <c r="U48" s="949" t="s">
        <v>1114</v>
      </c>
      <c r="V48" s="114" t="s">
        <v>1107</v>
      </c>
      <c r="W48" s="114" t="s">
        <v>1108</v>
      </c>
      <c r="X48" s="114" t="s">
        <v>1109</v>
      </c>
      <c r="Y48" s="950" t="s">
        <v>1110</v>
      </c>
      <c r="Z48" s="114" t="s">
        <v>1112</v>
      </c>
      <c r="AA48" s="908" t="s">
        <v>901</v>
      </c>
      <c r="AB48" s="908" t="s">
        <v>1115</v>
      </c>
      <c r="AC48" s="908" t="s">
        <v>791</v>
      </c>
    </row>
    <row r="49" spans="20:33">
      <c r="T49" s="117"/>
      <c r="U49" s="4">
        <v>8</v>
      </c>
      <c r="V49" s="118">
        <v>0.22916666666666666</v>
      </c>
      <c r="W49" s="118">
        <v>0.45833333333333331</v>
      </c>
      <c r="X49" s="148">
        <f>(W49-V49)*24</f>
        <v>5.5</v>
      </c>
      <c r="Y49" s="703"/>
      <c r="Z49" s="902">
        <f>X49-Y49</f>
        <v>5.5</v>
      </c>
      <c r="AA49" s="749">
        <v>5.5</v>
      </c>
      <c r="AB49" s="750"/>
      <c r="AC49" s="750"/>
    </row>
    <row r="50" spans="20:33">
      <c r="T50" s="117"/>
      <c r="U50" s="4">
        <v>9</v>
      </c>
      <c r="V50" s="118">
        <v>0.22916666666666666</v>
      </c>
      <c r="W50" s="118">
        <v>0.47916666666666669</v>
      </c>
      <c r="X50" s="148">
        <f>(W50-V50)*24</f>
        <v>6</v>
      </c>
      <c r="Y50" s="703"/>
      <c r="Z50" s="902">
        <f t="shared" ref="Z50:Z57" si="5">X50-Y50</f>
        <v>6</v>
      </c>
      <c r="AA50" s="749">
        <v>6</v>
      </c>
      <c r="AB50" s="750"/>
      <c r="AC50" s="750"/>
      <c r="AG50" s="42">
        <v>6.5</v>
      </c>
    </row>
    <row r="51" spans="20:33">
      <c r="T51" s="117"/>
      <c r="U51" s="4">
        <v>10</v>
      </c>
      <c r="V51" s="118">
        <v>0.2326388888888889</v>
      </c>
      <c r="W51" s="118">
        <v>0.4861111111111111</v>
      </c>
      <c r="X51" s="148">
        <f t="shared" ref="X51:X62" si="6">(W51-V51)*24</f>
        <v>6.083333333333333</v>
      </c>
      <c r="Y51" s="703"/>
      <c r="Z51" s="902">
        <f t="shared" si="5"/>
        <v>6.083333333333333</v>
      </c>
      <c r="AA51" s="749">
        <v>6</v>
      </c>
      <c r="AB51" s="750"/>
      <c r="AC51" s="750"/>
      <c r="AG51" s="42">
        <v>9.5</v>
      </c>
    </row>
    <row r="52" spans="20:33">
      <c r="T52" s="117"/>
      <c r="U52" s="4">
        <v>11</v>
      </c>
      <c r="V52" s="118">
        <v>0.2326388888888889</v>
      </c>
      <c r="W52" s="118">
        <v>0.46180555555555558</v>
      </c>
      <c r="X52" s="148">
        <f t="shared" si="6"/>
        <v>5.5</v>
      </c>
      <c r="Y52" s="703"/>
      <c r="Z52" s="902">
        <f t="shared" si="5"/>
        <v>5.5</v>
      </c>
      <c r="AA52" s="1073">
        <v>8.75</v>
      </c>
      <c r="AB52" s="1071"/>
      <c r="AC52" s="1071"/>
      <c r="AG52" s="42">
        <v>8.25</v>
      </c>
    </row>
    <row r="53" spans="20:33">
      <c r="T53" s="117"/>
      <c r="U53" s="4">
        <v>11</v>
      </c>
      <c r="V53" s="118">
        <v>0.2013888888888889</v>
      </c>
      <c r="W53" s="118">
        <v>0.30208333333333331</v>
      </c>
      <c r="X53" s="148">
        <f t="shared" si="6"/>
        <v>2.4166666666666661</v>
      </c>
      <c r="Y53" s="703"/>
      <c r="Z53" s="902">
        <f t="shared" si="5"/>
        <v>2.4166666666666661</v>
      </c>
      <c r="AA53" s="1074"/>
      <c r="AB53" s="1072"/>
      <c r="AC53" s="1072"/>
      <c r="AG53" s="42">
        <v>10.5</v>
      </c>
    </row>
    <row r="54" spans="20:33">
      <c r="T54" s="117"/>
      <c r="U54" s="4">
        <v>12</v>
      </c>
      <c r="V54" s="118">
        <v>0.22916666666666666</v>
      </c>
      <c r="W54" s="118">
        <v>0.44791666666666669</v>
      </c>
      <c r="X54" s="148">
        <f t="shared" si="6"/>
        <v>5.2500000000000009</v>
      </c>
      <c r="Y54" s="703"/>
      <c r="Z54" s="902">
        <f t="shared" si="5"/>
        <v>5.2500000000000009</v>
      </c>
      <c r="AA54" s="1073">
        <v>10</v>
      </c>
      <c r="AB54" s="1071"/>
      <c r="AC54" s="1071"/>
      <c r="AG54" s="42">
        <v>11</v>
      </c>
    </row>
    <row r="55" spans="20:33">
      <c r="T55" s="117"/>
      <c r="U55" s="4">
        <v>12</v>
      </c>
      <c r="V55" s="118">
        <v>0.19444444444444445</v>
      </c>
      <c r="W55" s="118">
        <v>0.375</v>
      </c>
      <c r="X55" s="148">
        <f t="shared" si="6"/>
        <v>4.333333333333333</v>
      </c>
      <c r="Y55" s="703"/>
      <c r="Z55" s="902">
        <f t="shared" si="5"/>
        <v>4.333333333333333</v>
      </c>
      <c r="AA55" s="1074"/>
      <c r="AB55" s="1072"/>
      <c r="AC55" s="1072"/>
    </row>
    <row r="56" spans="20:33">
      <c r="T56" s="117"/>
      <c r="U56" s="4">
        <v>13</v>
      </c>
      <c r="V56" s="118">
        <v>0.2013888888888889</v>
      </c>
      <c r="W56" s="118">
        <v>0.4236111111111111</v>
      </c>
      <c r="X56" s="148">
        <f t="shared" si="6"/>
        <v>5.333333333333333</v>
      </c>
      <c r="Y56" s="703"/>
      <c r="Z56" s="902">
        <f t="shared" si="5"/>
        <v>5.333333333333333</v>
      </c>
      <c r="AA56" s="749">
        <v>5.25</v>
      </c>
      <c r="AB56" s="750"/>
      <c r="AC56" s="750"/>
    </row>
    <row r="57" spans="20:33">
      <c r="T57" s="117"/>
      <c r="U57" s="4">
        <v>14</v>
      </c>
      <c r="V57" s="118">
        <v>0.2326388888888889</v>
      </c>
      <c r="W57" s="118">
        <v>0.47916666666666669</v>
      </c>
      <c r="X57" s="148">
        <f t="shared" si="6"/>
        <v>5.916666666666667</v>
      </c>
      <c r="Y57" s="703"/>
      <c r="Z57" s="902">
        <f t="shared" si="5"/>
        <v>5.916666666666667</v>
      </c>
      <c r="AA57" s="749">
        <v>5.75</v>
      </c>
      <c r="AB57" s="750"/>
      <c r="AC57" s="750"/>
    </row>
    <row r="58" spans="20:33">
      <c r="T58" s="117"/>
      <c r="U58" s="4"/>
      <c r="V58" s="118"/>
      <c r="W58" s="118"/>
      <c r="X58" s="148"/>
      <c r="Y58" s="703"/>
      <c r="Z58" s="902"/>
      <c r="AA58" s="750"/>
      <c r="AB58" s="750"/>
      <c r="AC58" s="750"/>
    </row>
    <row r="59" spans="20:33">
      <c r="T59" s="117"/>
      <c r="U59" s="4"/>
      <c r="V59" s="118"/>
      <c r="W59" s="118"/>
      <c r="X59" s="148"/>
      <c r="Y59" s="4"/>
      <c r="Z59" s="902"/>
      <c r="AA59" s="750"/>
      <c r="AB59" s="749"/>
      <c r="AC59" s="749"/>
    </row>
    <row r="60" spans="20:33">
      <c r="T60" s="117"/>
      <c r="U60" s="4"/>
      <c r="V60" s="118"/>
      <c r="W60" s="118"/>
      <c r="X60" s="148">
        <f t="shared" si="6"/>
        <v>0</v>
      </c>
      <c r="Y60" s="4"/>
      <c r="Z60" s="903"/>
    </row>
    <row r="61" spans="20:33">
      <c r="T61" s="117"/>
      <c r="U61" s="4"/>
      <c r="V61" s="118"/>
      <c r="W61" s="118"/>
      <c r="X61" s="148">
        <f t="shared" si="6"/>
        <v>0</v>
      </c>
      <c r="Y61" s="4"/>
      <c r="Z61" s="903"/>
    </row>
    <row r="62" spans="20:33">
      <c r="T62" s="117"/>
      <c r="U62" s="4"/>
      <c r="V62" s="118"/>
      <c r="W62" s="118"/>
      <c r="X62" s="148">
        <f t="shared" si="6"/>
        <v>0</v>
      </c>
      <c r="Y62" s="148"/>
      <c r="Z62" s="903"/>
    </row>
    <row r="63" spans="20:33">
      <c r="T63" s="121"/>
      <c r="U63" s="4"/>
      <c r="V63" s="4"/>
      <c r="W63" s="4"/>
      <c r="X63" s="4"/>
      <c r="Y63" s="4"/>
      <c r="Z63" s="119"/>
    </row>
    <row r="64" spans="20:33" ht="15.75" thickBot="1">
      <c r="T64" s="122"/>
      <c r="U64" s="123"/>
      <c r="V64" s="123"/>
      <c r="W64" s="123"/>
      <c r="X64" s="123"/>
      <c r="Y64" s="123"/>
      <c r="Z64" s="149"/>
    </row>
  </sheetData>
  <mergeCells count="22">
    <mergeCell ref="AC52:AC53"/>
    <mergeCell ref="AB54:AB55"/>
    <mergeCell ref="AC54:AC55"/>
    <mergeCell ref="T45:Z45"/>
    <mergeCell ref="T47:Z47"/>
    <mergeCell ref="AA52:AA53"/>
    <mergeCell ref="AA54:AA55"/>
    <mergeCell ref="AB52:AB53"/>
    <mergeCell ref="K2:Q2"/>
    <mergeCell ref="K4:Q4"/>
    <mergeCell ref="C2:I2"/>
    <mergeCell ref="C4:I4"/>
    <mergeCell ref="T2:Z2"/>
    <mergeCell ref="T4:Z4"/>
    <mergeCell ref="AA30:AA31"/>
    <mergeCell ref="AA32:AA33"/>
    <mergeCell ref="AA34:AA35"/>
    <mergeCell ref="AA36:AA37"/>
    <mergeCell ref="Z6:Z7"/>
    <mergeCell ref="T24:Z24"/>
    <mergeCell ref="T26:Z26"/>
    <mergeCell ref="AA28:AA29"/>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C2D0C-88D6-4654-AEC5-F671CA61DE49}">
  <sheetPr codeName="Sheet19">
    <outlinePr summaryBelow="0" summaryRight="0"/>
  </sheetPr>
  <dimension ref="A1:Z294"/>
  <sheetViews>
    <sheetView topLeftCell="A70" workbookViewId="0">
      <selection activeCell="A77" sqref="A77"/>
    </sheetView>
  </sheetViews>
  <sheetFormatPr defaultColWidth="12.5703125" defaultRowHeight="15.75" customHeight="1"/>
  <cols>
    <col min="1" max="1" width="77.140625" style="497" customWidth="1"/>
    <col min="2" max="2" width="103.7109375" style="497" bestFit="1" customWidth="1"/>
    <col min="3" max="16384" width="12.5703125" style="497"/>
  </cols>
  <sheetData>
    <row r="1" spans="1:26" ht="18" thickTop="1" thickBot="1">
      <c r="A1" s="495" t="s">
        <v>781</v>
      </c>
      <c r="B1" s="496" t="s">
        <v>794</v>
      </c>
    </row>
    <row r="2" spans="1:26" ht="37.5" customHeight="1" thickTop="1">
      <c r="A2" s="498" t="s">
        <v>1116</v>
      </c>
      <c r="B2" s="499" t="s">
        <v>1117</v>
      </c>
      <c r="C2" s="500"/>
      <c r="D2" s="500"/>
      <c r="E2" s="500"/>
      <c r="F2" s="500"/>
      <c r="G2" s="500"/>
      <c r="H2" s="500"/>
      <c r="I2" s="500"/>
      <c r="J2" s="500"/>
      <c r="K2" s="500"/>
      <c r="L2" s="500"/>
      <c r="M2" s="500"/>
      <c r="N2" s="500"/>
      <c r="O2" s="500"/>
      <c r="P2" s="500"/>
      <c r="Q2" s="500"/>
      <c r="R2" s="500"/>
      <c r="S2" s="500"/>
      <c r="T2" s="500"/>
      <c r="U2" s="500"/>
      <c r="V2" s="500"/>
      <c r="W2" s="500"/>
      <c r="X2" s="500"/>
      <c r="Y2" s="500"/>
      <c r="Z2" s="500"/>
    </row>
    <row r="3" spans="1:26" ht="37.5" customHeight="1">
      <c r="A3" s="498" t="s">
        <v>357</v>
      </c>
      <c r="B3" s="499" t="s">
        <v>1118</v>
      </c>
      <c r="C3" s="500"/>
      <c r="D3" s="500"/>
      <c r="E3" s="500"/>
      <c r="F3" s="500"/>
      <c r="G3" s="500"/>
      <c r="H3" s="500"/>
      <c r="I3" s="500"/>
      <c r="J3" s="500"/>
      <c r="K3" s="500"/>
      <c r="L3" s="500"/>
      <c r="M3" s="500"/>
      <c r="N3" s="500"/>
      <c r="O3" s="500"/>
      <c r="P3" s="500"/>
      <c r="Q3" s="500"/>
      <c r="R3" s="500"/>
      <c r="S3" s="500"/>
      <c r="T3" s="500"/>
      <c r="U3" s="500"/>
      <c r="V3" s="500"/>
      <c r="W3" s="500"/>
      <c r="X3" s="500"/>
      <c r="Y3" s="500"/>
      <c r="Z3" s="500"/>
    </row>
    <row r="4" spans="1:26" ht="37.5" customHeight="1">
      <c r="A4" s="498" t="s">
        <v>324</v>
      </c>
      <c r="B4" s="499" t="s">
        <v>1119</v>
      </c>
      <c r="C4" s="500"/>
      <c r="D4" s="500"/>
      <c r="E4" s="500"/>
      <c r="F4" s="500"/>
      <c r="G4" s="500"/>
      <c r="H4" s="500"/>
      <c r="I4" s="500"/>
      <c r="J4" s="500"/>
      <c r="K4" s="500"/>
      <c r="L4" s="500"/>
      <c r="M4" s="500"/>
      <c r="N4" s="500"/>
      <c r="O4" s="500"/>
      <c r="P4" s="500"/>
      <c r="Q4" s="500"/>
      <c r="R4" s="500"/>
      <c r="S4" s="500"/>
      <c r="T4" s="500"/>
      <c r="U4" s="500"/>
      <c r="V4" s="500"/>
      <c r="W4" s="500"/>
      <c r="X4" s="500"/>
      <c r="Y4" s="500"/>
      <c r="Z4" s="500"/>
    </row>
    <row r="5" spans="1:26" ht="37.5" customHeight="1">
      <c r="A5" s="498" t="s">
        <v>484</v>
      </c>
      <c r="B5" s="499" t="s">
        <v>1120</v>
      </c>
      <c r="C5" s="500"/>
      <c r="D5" s="500"/>
      <c r="E5" s="500"/>
      <c r="F5" s="500"/>
      <c r="G5" s="500"/>
      <c r="H5" s="500"/>
      <c r="I5" s="500"/>
      <c r="J5" s="500"/>
      <c r="K5" s="500"/>
      <c r="L5" s="500"/>
      <c r="M5" s="500"/>
      <c r="N5" s="500"/>
      <c r="O5" s="500"/>
      <c r="P5" s="500"/>
      <c r="Q5" s="500"/>
      <c r="R5" s="500"/>
      <c r="S5" s="500"/>
      <c r="T5" s="500"/>
      <c r="U5" s="500"/>
      <c r="V5" s="500"/>
      <c r="W5" s="500"/>
      <c r="X5" s="500"/>
      <c r="Y5" s="500"/>
      <c r="Z5" s="500"/>
    </row>
    <row r="6" spans="1:26" ht="37.5" customHeight="1">
      <c r="A6" s="498" t="s">
        <v>347</v>
      </c>
      <c r="B6" s="499" t="s">
        <v>1120</v>
      </c>
      <c r="C6" s="500"/>
      <c r="D6" s="500"/>
      <c r="E6" s="500"/>
      <c r="F6" s="500"/>
      <c r="G6" s="500"/>
      <c r="H6" s="500"/>
      <c r="I6" s="500"/>
      <c r="J6" s="500"/>
      <c r="K6" s="500"/>
      <c r="L6" s="500"/>
      <c r="M6" s="500"/>
      <c r="N6" s="500"/>
      <c r="O6" s="500"/>
      <c r="P6" s="500"/>
      <c r="Q6" s="500"/>
      <c r="R6" s="500"/>
      <c r="S6" s="500"/>
      <c r="T6" s="500"/>
      <c r="U6" s="500"/>
      <c r="V6" s="500"/>
      <c r="W6" s="500"/>
      <c r="X6" s="500"/>
      <c r="Y6" s="500"/>
      <c r="Z6" s="500"/>
    </row>
    <row r="7" spans="1:26" ht="37.5" customHeight="1">
      <c r="A7" s="498" t="s">
        <v>207</v>
      </c>
      <c r="B7" s="499" t="s">
        <v>1121</v>
      </c>
      <c r="C7" s="500"/>
      <c r="D7" s="500"/>
      <c r="E7" s="500"/>
      <c r="F7" s="500"/>
      <c r="G7" s="500"/>
      <c r="H7" s="500"/>
      <c r="I7" s="500"/>
      <c r="J7" s="500"/>
      <c r="K7" s="500"/>
      <c r="L7" s="500"/>
      <c r="M7" s="500"/>
      <c r="N7" s="500"/>
      <c r="O7" s="500"/>
      <c r="P7" s="500"/>
      <c r="Q7" s="500"/>
      <c r="R7" s="500"/>
      <c r="S7" s="500"/>
      <c r="T7" s="500"/>
      <c r="U7" s="500"/>
      <c r="V7" s="500"/>
      <c r="W7" s="500"/>
      <c r="X7" s="500"/>
      <c r="Y7" s="500"/>
      <c r="Z7" s="500"/>
    </row>
    <row r="8" spans="1:26" ht="37.5" customHeight="1">
      <c r="A8" s="498" t="s">
        <v>325</v>
      </c>
      <c r="B8" s="499" t="s">
        <v>1122</v>
      </c>
      <c r="C8" s="500"/>
      <c r="D8" s="500"/>
      <c r="E8" s="500"/>
      <c r="F8" s="500"/>
      <c r="G8" s="500"/>
      <c r="H8" s="500"/>
      <c r="I8" s="500"/>
      <c r="J8" s="500"/>
      <c r="K8" s="500"/>
      <c r="L8" s="500"/>
      <c r="M8" s="500"/>
      <c r="N8" s="500"/>
      <c r="O8" s="500"/>
      <c r="P8" s="500"/>
      <c r="Q8" s="500"/>
      <c r="R8" s="500"/>
      <c r="S8" s="500"/>
      <c r="T8" s="500"/>
      <c r="U8" s="500"/>
      <c r="V8" s="500"/>
      <c r="W8" s="500"/>
      <c r="X8" s="500"/>
      <c r="Y8" s="500"/>
      <c r="Z8" s="500"/>
    </row>
    <row r="9" spans="1:26" ht="37.5" customHeight="1">
      <c r="A9" s="498" t="s">
        <v>1123</v>
      </c>
      <c r="B9" s="499" t="s">
        <v>1124</v>
      </c>
      <c r="C9" s="500"/>
      <c r="D9" s="500"/>
      <c r="E9" s="500"/>
      <c r="F9" s="500"/>
      <c r="G9" s="500"/>
      <c r="H9" s="500"/>
      <c r="I9" s="500"/>
      <c r="J9" s="500"/>
      <c r="K9" s="500"/>
      <c r="L9" s="500"/>
      <c r="M9" s="500"/>
      <c r="N9" s="500"/>
      <c r="O9" s="500"/>
      <c r="P9" s="500"/>
      <c r="Q9" s="500"/>
      <c r="R9" s="500"/>
      <c r="S9" s="500"/>
      <c r="T9" s="500"/>
      <c r="U9" s="500"/>
      <c r="V9" s="500"/>
      <c r="W9" s="500"/>
      <c r="X9" s="500"/>
      <c r="Y9" s="500"/>
      <c r="Z9" s="500"/>
    </row>
    <row r="10" spans="1:26" ht="37.5" customHeight="1">
      <c r="A10" s="498" t="s">
        <v>441</v>
      </c>
      <c r="B10" s="499" t="s">
        <v>1125</v>
      </c>
      <c r="C10" s="500"/>
      <c r="D10" s="500"/>
      <c r="E10" s="500"/>
      <c r="F10" s="500"/>
      <c r="G10" s="500"/>
      <c r="H10" s="500"/>
      <c r="I10" s="500"/>
      <c r="J10" s="500"/>
      <c r="K10" s="500"/>
      <c r="L10" s="500"/>
      <c r="M10" s="500"/>
      <c r="N10" s="500"/>
      <c r="O10" s="500"/>
      <c r="P10" s="500"/>
      <c r="Q10" s="500"/>
      <c r="R10" s="500"/>
      <c r="S10" s="500"/>
      <c r="T10" s="500"/>
      <c r="U10" s="500"/>
      <c r="V10" s="500"/>
      <c r="W10" s="500"/>
      <c r="X10" s="500"/>
      <c r="Y10" s="500"/>
      <c r="Z10" s="500"/>
    </row>
    <row r="11" spans="1:26" ht="37.5" customHeight="1">
      <c r="A11" s="498" t="s">
        <v>905</v>
      </c>
      <c r="B11" s="499" t="s">
        <v>1126</v>
      </c>
      <c r="C11" s="500"/>
      <c r="D11" s="500"/>
      <c r="E11" s="500"/>
      <c r="F11" s="500"/>
      <c r="G11" s="500"/>
      <c r="H11" s="500"/>
      <c r="I11" s="500"/>
      <c r="J11" s="500"/>
      <c r="K11" s="500"/>
      <c r="L11" s="500"/>
      <c r="M11" s="500"/>
      <c r="N11" s="500"/>
      <c r="O11" s="500"/>
      <c r="P11" s="500"/>
      <c r="Q11" s="500"/>
      <c r="R11" s="500"/>
      <c r="S11" s="500"/>
      <c r="T11" s="500"/>
      <c r="U11" s="500"/>
      <c r="V11" s="500"/>
      <c r="W11" s="500"/>
      <c r="X11" s="500"/>
      <c r="Y11" s="500"/>
      <c r="Z11" s="500"/>
    </row>
    <row r="12" spans="1:26" ht="37.5" customHeight="1">
      <c r="A12" s="498" t="s">
        <v>379</v>
      </c>
      <c r="B12" s="499" t="s">
        <v>1127</v>
      </c>
      <c r="C12" s="500"/>
      <c r="D12" s="500"/>
      <c r="E12" s="500"/>
      <c r="F12" s="500"/>
      <c r="G12" s="500"/>
      <c r="H12" s="500"/>
      <c r="I12" s="500"/>
      <c r="J12" s="500"/>
      <c r="K12" s="500"/>
      <c r="L12" s="500"/>
      <c r="M12" s="500"/>
      <c r="N12" s="500"/>
      <c r="O12" s="500"/>
      <c r="P12" s="500"/>
      <c r="Q12" s="500"/>
      <c r="R12" s="500"/>
      <c r="S12" s="500"/>
      <c r="T12" s="500"/>
      <c r="U12" s="500"/>
      <c r="V12" s="500"/>
      <c r="W12" s="500"/>
      <c r="X12" s="500"/>
      <c r="Y12" s="500"/>
      <c r="Z12" s="500"/>
    </row>
    <row r="13" spans="1:26" ht="37.5" customHeight="1">
      <c r="A13" s="498" t="s">
        <v>261</v>
      </c>
      <c r="B13" s="499" t="s">
        <v>1128</v>
      </c>
      <c r="C13" s="500"/>
      <c r="D13" s="500"/>
      <c r="E13" s="500"/>
      <c r="F13" s="500"/>
      <c r="G13" s="500"/>
      <c r="H13" s="500"/>
      <c r="I13" s="500"/>
      <c r="J13" s="500"/>
      <c r="K13" s="500"/>
      <c r="L13" s="500"/>
      <c r="M13" s="500"/>
      <c r="N13" s="500"/>
      <c r="O13" s="500"/>
      <c r="P13" s="500"/>
      <c r="Q13" s="500"/>
      <c r="R13" s="500"/>
      <c r="S13" s="500"/>
      <c r="T13" s="500"/>
      <c r="U13" s="500"/>
      <c r="V13" s="500"/>
      <c r="W13" s="500"/>
      <c r="X13" s="500"/>
      <c r="Y13" s="500"/>
      <c r="Z13" s="500"/>
    </row>
    <row r="14" spans="1:26" ht="37.5" customHeight="1">
      <c r="A14" s="501" t="s">
        <v>906</v>
      </c>
      <c r="B14" s="499" t="s">
        <v>1129</v>
      </c>
      <c r="C14" s="500"/>
      <c r="D14" s="500"/>
      <c r="E14" s="500"/>
      <c r="F14" s="500"/>
      <c r="G14" s="500"/>
      <c r="H14" s="500"/>
      <c r="I14" s="500"/>
      <c r="J14" s="500"/>
      <c r="K14" s="500"/>
      <c r="L14" s="500"/>
      <c r="M14" s="500"/>
      <c r="N14" s="500"/>
      <c r="O14" s="500"/>
      <c r="P14" s="500"/>
      <c r="Q14" s="500"/>
      <c r="R14" s="500"/>
      <c r="S14" s="500"/>
      <c r="T14" s="500"/>
      <c r="U14" s="500"/>
      <c r="V14" s="500"/>
      <c r="W14" s="500"/>
      <c r="X14" s="500"/>
      <c r="Y14" s="500"/>
      <c r="Z14" s="500"/>
    </row>
    <row r="15" spans="1:26" ht="37.5" customHeight="1">
      <c r="A15" s="498" t="s">
        <v>407</v>
      </c>
      <c r="B15" s="499" t="s">
        <v>1130</v>
      </c>
      <c r="C15" s="500"/>
      <c r="D15" s="500"/>
      <c r="E15" s="500"/>
      <c r="F15" s="500"/>
      <c r="G15" s="500"/>
      <c r="H15" s="500"/>
      <c r="I15" s="500"/>
      <c r="J15" s="500"/>
      <c r="K15" s="500"/>
      <c r="L15" s="500"/>
      <c r="M15" s="500"/>
      <c r="N15" s="500"/>
      <c r="O15" s="500"/>
      <c r="P15" s="500"/>
      <c r="Q15" s="500"/>
      <c r="R15" s="500"/>
      <c r="S15" s="500"/>
      <c r="T15" s="500"/>
      <c r="U15" s="500"/>
      <c r="V15" s="500"/>
      <c r="W15" s="500"/>
      <c r="X15" s="500"/>
      <c r="Y15" s="500"/>
      <c r="Z15" s="500"/>
    </row>
    <row r="16" spans="1:26" ht="37.5" customHeight="1">
      <c r="A16" s="498" t="s">
        <v>210</v>
      </c>
      <c r="B16" s="502" t="s">
        <v>1131</v>
      </c>
      <c r="C16" s="500"/>
      <c r="D16" s="500"/>
      <c r="E16" s="500"/>
      <c r="F16" s="500"/>
      <c r="G16" s="500"/>
      <c r="H16" s="500"/>
      <c r="I16" s="500"/>
      <c r="J16" s="500"/>
      <c r="K16" s="500"/>
      <c r="L16" s="500"/>
      <c r="M16" s="500"/>
      <c r="N16" s="500"/>
      <c r="O16" s="500"/>
      <c r="P16" s="500"/>
      <c r="Q16" s="500"/>
      <c r="R16" s="500"/>
      <c r="S16" s="500"/>
      <c r="T16" s="500"/>
      <c r="U16" s="500"/>
      <c r="V16" s="500"/>
      <c r="W16" s="500"/>
      <c r="X16" s="500"/>
      <c r="Y16" s="500"/>
      <c r="Z16" s="500"/>
    </row>
    <row r="17" spans="1:26" ht="37.5" customHeight="1">
      <c r="A17" s="498" t="s">
        <v>18</v>
      </c>
      <c r="B17" s="499" t="s">
        <v>1132</v>
      </c>
      <c r="C17" s="500"/>
      <c r="D17" s="500"/>
      <c r="E17" s="500"/>
      <c r="F17" s="500"/>
      <c r="G17" s="500"/>
      <c r="H17" s="500"/>
      <c r="I17" s="500"/>
      <c r="J17" s="500"/>
      <c r="K17" s="500"/>
      <c r="L17" s="500"/>
      <c r="M17" s="500"/>
      <c r="N17" s="500"/>
      <c r="O17" s="500"/>
      <c r="P17" s="500"/>
      <c r="Q17" s="500"/>
      <c r="R17" s="500"/>
      <c r="S17" s="500"/>
      <c r="T17" s="500"/>
      <c r="U17" s="500"/>
      <c r="V17" s="500"/>
      <c r="W17" s="500"/>
      <c r="X17" s="500"/>
      <c r="Y17" s="500"/>
      <c r="Z17" s="500"/>
    </row>
    <row r="18" spans="1:26" ht="37.5" customHeight="1">
      <c r="A18" s="501" t="s">
        <v>408</v>
      </c>
      <c r="B18" s="499" t="s">
        <v>1133</v>
      </c>
      <c r="C18" s="500"/>
      <c r="D18" s="500"/>
      <c r="E18" s="500"/>
      <c r="F18" s="500"/>
      <c r="G18" s="500"/>
      <c r="H18" s="500"/>
      <c r="I18" s="500"/>
      <c r="J18" s="500"/>
      <c r="K18" s="500"/>
      <c r="L18" s="500"/>
      <c r="M18" s="500"/>
      <c r="N18" s="500"/>
      <c r="O18" s="500"/>
      <c r="P18" s="500"/>
      <c r="Q18" s="500"/>
      <c r="R18" s="500"/>
      <c r="S18" s="500"/>
      <c r="T18" s="500"/>
      <c r="U18" s="500"/>
      <c r="V18" s="500"/>
      <c r="W18" s="500"/>
      <c r="X18" s="500"/>
      <c r="Y18" s="500"/>
      <c r="Z18" s="500"/>
    </row>
    <row r="19" spans="1:26" ht="37.5" customHeight="1">
      <c r="A19" s="503" t="s">
        <v>138</v>
      </c>
      <c r="B19" s="499" t="s">
        <v>1134</v>
      </c>
      <c r="C19" s="500"/>
      <c r="D19" s="500"/>
      <c r="E19" s="500"/>
      <c r="F19" s="500"/>
      <c r="G19" s="500"/>
      <c r="H19" s="500"/>
      <c r="I19" s="500"/>
      <c r="J19" s="500"/>
      <c r="K19" s="500"/>
      <c r="L19" s="500"/>
      <c r="M19" s="500"/>
      <c r="N19" s="500"/>
      <c r="O19" s="500"/>
      <c r="P19" s="500"/>
      <c r="Q19" s="500"/>
      <c r="R19" s="500"/>
      <c r="S19" s="500"/>
      <c r="T19" s="500"/>
      <c r="U19" s="500"/>
      <c r="V19" s="500"/>
      <c r="W19" s="500"/>
      <c r="X19" s="500"/>
      <c r="Y19" s="500"/>
      <c r="Z19" s="500"/>
    </row>
    <row r="20" spans="1:26" ht="37.5" customHeight="1">
      <c r="A20" s="498" t="s">
        <v>140</v>
      </c>
      <c r="B20" s="499" t="s">
        <v>1135</v>
      </c>
      <c r="C20" s="500"/>
      <c r="D20" s="500"/>
      <c r="E20" s="500"/>
      <c r="F20" s="500"/>
      <c r="G20" s="500"/>
      <c r="H20" s="500"/>
      <c r="I20" s="500"/>
      <c r="J20" s="500"/>
      <c r="K20" s="500"/>
      <c r="L20" s="500"/>
      <c r="M20" s="500"/>
      <c r="N20" s="500"/>
      <c r="O20" s="500"/>
      <c r="P20" s="500"/>
      <c r="Q20" s="500"/>
      <c r="R20" s="500"/>
      <c r="S20" s="500"/>
      <c r="T20" s="500"/>
      <c r="U20" s="500"/>
      <c r="V20" s="500"/>
      <c r="W20" s="500"/>
      <c r="X20" s="500"/>
      <c r="Y20" s="500"/>
      <c r="Z20" s="500"/>
    </row>
    <row r="21" spans="1:26" ht="37.5" customHeight="1">
      <c r="A21" s="498" t="s">
        <v>1136</v>
      </c>
      <c r="B21" s="499" t="s">
        <v>1137</v>
      </c>
      <c r="C21" s="500"/>
      <c r="D21" s="500"/>
      <c r="E21" s="500"/>
      <c r="F21" s="500"/>
      <c r="G21" s="500"/>
      <c r="H21" s="500"/>
      <c r="I21" s="500"/>
      <c r="J21" s="500"/>
      <c r="K21" s="500"/>
      <c r="L21" s="500"/>
      <c r="M21" s="500"/>
      <c r="N21" s="500"/>
      <c r="O21" s="500"/>
      <c r="P21" s="500"/>
      <c r="Q21" s="500"/>
      <c r="R21" s="500"/>
      <c r="S21" s="500"/>
      <c r="T21" s="500"/>
      <c r="U21" s="500"/>
      <c r="V21" s="500"/>
      <c r="W21" s="500"/>
      <c r="X21" s="500"/>
      <c r="Y21" s="500"/>
      <c r="Z21" s="500"/>
    </row>
    <row r="22" spans="1:26" ht="37.5" customHeight="1">
      <c r="A22" s="498" t="s">
        <v>1138</v>
      </c>
      <c r="B22" s="499" t="s">
        <v>1122</v>
      </c>
      <c r="C22" s="500"/>
      <c r="D22" s="500"/>
      <c r="E22" s="500"/>
      <c r="F22" s="500"/>
      <c r="G22" s="500"/>
      <c r="H22" s="500"/>
      <c r="I22" s="500"/>
      <c r="J22" s="500"/>
      <c r="K22" s="500"/>
      <c r="L22" s="500"/>
      <c r="M22" s="500"/>
      <c r="N22" s="500"/>
      <c r="O22" s="500"/>
      <c r="P22" s="500"/>
      <c r="Q22" s="500"/>
      <c r="R22" s="500"/>
      <c r="S22" s="500"/>
      <c r="T22" s="500"/>
      <c r="U22" s="500"/>
      <c r="V22" s="500"/>
      <c r="W22" s="500"/>
      <c r="X22" s="500"/>
      <c r="Y22" s="500"/>
      <c r="Z22" s="500"/>
    </row>
    <row r="23" spans="1:26" ht="37.5" customHeight="1">
      <c r="A23" s="501" t="s">
        <v>339</v>
      </c>
      <c r="B23" s="499" t="s">
        <v>1139</v>
      </c>
      <c r="C23" s="500"/>
      <c r="D23" s="500"/>
      <c r="E23" s="500"/>
      <c r="F23" s="500"/>
      <c r="G23" s="500"/>
      <c r="H23" s="500"/>
      <c r="I23" s="500"/>
      <c r="J23" s="500"/>
      <c r="K23" s="500"/>
      <c r="L23" s="500"/>
      <c r="M23" s="500"/>
      <c r="N23" s="500"/>
      <c r="O23" s="500"/>
      <c r="P23" s="500"/>
      <c r="Q23" s="500"/>
      <c r="R23" s="500"/>
      <c r="S23" s="500"/>
      <c r="T23" s="500"/>
      <c r="U23" s="500"/>
      <c r="V23" s="500"/>
      <c r="W23" s="500"/>
      <c r="X23" s="500"/>
      <c r="Y23" s="500"/>
      <c r="Z23" s="500"/>
    </row>
    <row r="24" spans="1:26" ht="37.5" customHeight="1">
      <c r="A24" s="501" t="s">
        <v>581</v>
      </c>
      <c r="B24" s="499" t="s">
        <v>1140</v>
      </c>
      <c r="C24" s="500"/>
      <c r="D24" s="500"/>
      <c r="E24" s="500"/>
      <c r="F24" s="500"/>
      <c r="G24" s="500"/>
      <c r="H24" s="500"/>
      <c r="I24" s="500"/>
      <c r="J24" s="500"/>
      <c r="K24" s="500"/>
      <c r="L24" s="500"/>
      <c r="M24" s="500"/>
      <c r="N24" s="500"/>
      <c r="O24" s="500"/>
      <c r="P24" s="500"/>
      <c r="Q24" s="500"/>
      <c r="R24" s="500"/>
      <c r="S24" s="500"/>
      <c r="T24" s="500"/>
      <c r="U24" s="500"/>
      <c r="V24" s="500"/>
      <c r="W24" s="500"/>
      <c r="X24" s="500"/>
      <c r="Y24" s="500"/>
      <c r="Z24" s="500"/>
    </row>
    <row r="25" spans="1:26" ht="37.5" customHeight="1">
      <c r="A25" s="498" t="s">
        <v>266</v>
      </c>
      <c r="B25" s="499" t="s">
        <v>1141</v>
      </c>
      <c r="C25" s="500"/>
      <c r="D25" s="500"/>
      <c r="E25" s="500"/>
      <c r="F25" s="500"/>
      <c r="G25" s="500"/>
      <c r="H25" s="500"/>
      <c r="I25" s="500"/>
      <c r="J25" s="500"/>
      <c r="K25" s="500"/>
      <c r="L25" s="500"/>
      <c r="M25" s="500"/>
      <c r="N25" s="500"/>
      <c r="O25" s="500"/>
      <c r="P25" s="500"/>
      <c r="Q25" s="500"/>
      <c r="R25" s="500"/>
      <c r="S25" s="500"/>
      <c r="T25" s="500"/>
      <c r="U25" s="500"/>
      <c r="V25" s="500"/>
      <c r="W25" s="500"/>
      <c r="X25" s="500"/>
      <c r="Y25" s="500"/>
      <c r="Z25" s="500"/>
    </row>
    <row r="26" spans="1:26" ht="37.5" customHeight="1">
      <c r="A26" s="501" t="s">
        <v>1142</v>
      </c>
      <c r="B26" s="499" t="s">
        <v>1143</v>
      </c>
      <c r="C26" s="500"/>
      <c r="D26" s="500"/>
      <c r="E26" s="500"/>
      <c r="F26" s="500"/>
      <c r="G26" s="500"/>
      <c r="H26" s="500"/>
      <c r="I26" s="500"/>
      <c r="J26" s="500"/>
      <c r="K26" s="500"/>
      <c r="L26" s="500"/>
      <c r="M26" s="500"/>
      <c r="N26" s="500"/>
      <c r="O26" s="500"/>
      <c r="P26" s="500"/>
      <c r="Q26" s="500"/>
      <c r="R26" s="500"/>
      <c r="S26" s="500"/>
      <c r="T26" s="500"/>
      <c r="U26" s="500"/>
      <c r="V26" s="500"/>
      <c r="W26" s="500"/>
      <c r="X26" s="500"/>
      <c r="Y26" s="500"/>
      <c r="Z26" s="500"/>
    </row>
    <row r="27" spans="1:26" ht="37.5" customHeight="1">
      <c r="A27" s="501" t="s">
        <v>1144</v>
      </c>
      <c r="B27" s="499"/>
      <c r="C27" s="500"/>
      <c r="D27" s="500"/>
      <c r="E27" s="500"/>
      <c r="F27" s="500"/>
      <c r="G27" s="500"/>
      <c r="H27" s="500"/>
      <c r="I27" s="500"/>
      <c r="J27" s="500"/>
      <c r="K27" s="500"/>
      <c r="L27" s="500"/>
      <c r="M27" s="500"/>
      <c r="N27" s="500"/>
      <c r="O27" s="500"/>
      <c r="P27" s="500"/>
      <c r="Q27" s="500"/>
      <c r="R27" s="500"/>
      <c r="S27" s="500"/>
      <c r="T27" s="500"/>
      <c r="U27" s="500"/>
      <c r="V27" s="500"/>
      <c r="W27" s="500"/>
      <c r="X27" s="500"/>
      <c r="Y27" s="500"/>
      <c r="Z27" s="500"/>
    </row>
    <row r="28" spans="1:26" ht="37.5" customHeight="1">
      <c r="A28" s="498" t="s">
        <v>360</v>
      </c>
      <c r="B28" s="499" t="s">
        <v>1145</v>
      </c>
      <c r="C28" s="500"/>
      <c r="D28" s="500"/>
      <c r="E28" s="500"/>
      <c r="F28" s="500"/>
      <c r="G28" s="500"/>
      <c r="H28" s="500"/>
      <c r="I28" s="500"/>
      <c r="J28" s="500"/>
      <c r="K28" s="500"/>
      <c r="L28" s="500"/>
      <c r="M28" s="500"/>
      <c r="N28" s="500"/>
      <c r="O28" s="500"/>
      <c r="P28" s="500"/>
      <c r="Q28" s="500"/>
      <c r="R28" s="500"/>
      <c r="S28" s="500"/>
      <c r="T28" s="500"/>
      <c r="U28" s="500"/>
      <c r="V28" s="500"/>
      <c r="W28" s="500"/>
      <c r="X28" s="500"/>
      <c r="Y28" s="500"/>
      <c r="Z28" s="500"/>
    </row>
    <row r="29" spans="1:26" ht="37.5" customHeight="1">
      <c r="A29" s="501" t="s">
        <v>143</v>
      </c>
      <c r="B29" s="499" t="s">
        <v>1146</v>
      </c>
      <c r="C29" s="500"/>
      <c r="D29" s="500"/>
      <c r="E29" s="500"/>
      <c r="F29" s="500"/>
      <c r="G29" s="500"/>
      <c r="H29" s="500"/>
      <c r="I29" s="500"/>
      <c r="J29" s="500"/>
      <c r="K29" s="500"/>
      <c r="L29" s="500"/>
      <c r="M29" s="500"/>
      <c r="N29" s="500"/>
      <c r="O29" s="500"/>
      <c r="P29" s="500"/>
      <c r="Q29" s="500"/>
      <c r="R29" s="500"/>
      <c r="S29" s="500"/>
      <c r="T29" s="500"/>
      <c r="U29" s="500"/>
      <c r="V29" s="500"/>
      <c r="W29" s="500"/>
      <c r="X29" s="500"/>
      <c r="Y29" s="500"/>
      <c r="Z29" s="500"/>
    </row>
    <row r="30" spans="1:26" ht="37.5" customHeight="1">
      <c r="A30" s="498" t="s">
        <v>1147</v>
      </c>
      <c r="B30" s="504" t="s">
        <v>1148</v>
      </c>
      <c r="C30" s="500"/>
      <c r="D30" s="500"/>
      <c r="E30" s="500"/>
      <c r="F30" s="500"/>
      <c r="G30" s="500"/>
      <c r="H30" s="500"/>
      <c r="I30" s="500"/>
      <c r="J30" s="500"/>
      <c r="K30" s="500"/>
      <c r="L30" s="500"/>
      <c r="M30" s="500"/>
      <c r="N30" s="500"/>
      <c r="O30" s="500"/>
      <c r="P30" s="500"/>
      <c r="Q30" s="500"/>
      <c r="R30" s="500"/>
      <c r="S30" s="500"/>
      <c r="T30" s="500"/>
      <c r="U30" s="500"/>
      <c r="V30" s="500"/>
      <c r="W30" s="500"/>
      <c r="X30" s="500"/>
      <c r="Y30" s="500"/>
      <c r="Z30" s="500"/>
    </row>
    <row r="31" spans="1:26" ht="37.5" customHeight="1">
      <c r="A31" s="505" t="s">
        <v>1047</v>
      </c>
      <c r="B31" s="506" t="s">
        <v>1149</v>
      </c>
      <c r="C31" s="500"/>
      <c r="D31" s="500"/>
      <c r="E31" s="500"/>
      <c r="F31" s="500"/>
      <c r="G31" s="500"/>
      <c r="H31" s="500"/>
      <c r="I31" s="500"/>
      <c r="J31" s="500"/>
      <c r="K31" s="500"/>
      <c r="L31" s="500"/>
      <c r="M31" s="500"/>
      <c r="N31" s="500"/>
      <c r="O31" s="500"/>
      <c r="P31" s="500"/>
      <c r="Q31" s="500"/>
      <c r="R31" s="500"/>
      <c r="S31" s="500"/>
      <c r="T31" s="500"/>
      <c r="U31" s="500"/>
      <c r="V31" s="500"/>
      <c r="W31" s="500"/>
      <c r="X31" s="500"/>
      <c r="Y31" s="500"/>
      <c r="Z31" s="500"/>
    </row>
    <row r="32" spans="1:26" ht="37.5" customHeight="1">
      <c r="A32" s="505" t="s">
        <v>245</v>
      </c>
      <c r="B32" s="499" t="s">
        <v>1150</v>
      </c>
      <c r="C32" s="500"/>
      <c r="D32" s="500"/>
      <c r="E32" s="500"/>
      <c r="F32" s="500"/>
      <c r="G32" s="500"/>
      <c r="H32" s="500"/>
      <c r="I32" s="500"/>
      <c r="J32" s="500"/>
      <c r="K32" s="500"/>
      <c r="L32" s="500"/>
      <c r="M32" s="500"/>
      <c r="N32" s="500"/>
      <c r="O32" s="500"/>
      <c r="P32" s="500"/>
      <c r="Q32" s="500"/>
      <c r="R32" s="500"/>
      <c r="S32" s="500"/>
      <c r="T32" s="500"/>
      <c r="U32" s="500"/>
      <c r="V32" s="500"/>
      <c r="W32" s="500"/>
      <c r="X32" s="500"/>
      <c r="Y32" s="500"/>
      <c r="Z32" s="500"/>
    </row>
    <row r="33" spans="1:26" ht="37.5" customHeight="1">
      <c r="A33" s="501" t="s">
        <v>588</v>
      </c>
      <c r="B33" s="499" t="s">
        <v>1151</v>
      </c>
      <c r="C33" s="500"/>
      <c r="D33" s="500"/>
      <c r="E33" s="500"/>
      <c r="F33" s="500"/>
      <c r="G33" s="500"/>
      <c r="H33" s="500"/>
      <c r="I33" s="500"/>
      <c r="J33" s="500"/>
      <c r="K33" s="500"/>
      <c r="L33" s="500"/>
      <c r="M33" s="500"/>
      <c r="N33" s="500"/>
      <c r="O33" s="500"/>
      <c r="P33" s="500"/>
      <c r="Q33" s="500"/>
      <c r="R33" s="500"/>
      <c r="S33" s="500"/>
      <c r="T33" s="500"/>
      <c r="U33" s="500"/>
      <c r="V33" s="500"/>
      <c r="W33" s="500"/>
      <c r="X33" s="500"/>
      <c r="Y33" s="500"/>
      <c r="Z33" s="500"/>
    </row>
    <row r="34" spans="1:26" ht="37.5" customHeight="1">
      <c r="A34" s="503" t="s">
        <v>272</v>
      </c>
      <c r="B34" s="499" t="s">
        <v>1152</v>
      </c>
      <c r="C34" s="500"/>
      <c r="D34" s="500"/>
      <c r="E34" s="500"/>
      <c r="F34" s="500"/>
      <c r="G34" s="500"/>
      <c r="H34" s="500"/>
      <c r="I34" s="500"/>
      <c r="J34" s="500"/>
      <c r="K34" s="500"/>
      <c r="L34" s="500"/>
      <c r="M34" s="500"/>
      <c r="N34" s="500"/>
      <c r="O34" s="500"/>
      <c r="P34" s="500"/>
      <c r="Q34" s="500"/>
      <c r="R34" s="500"/>
      <c r="S34" s="500"/>
      <c r="T34" s="500"/>
      <c r="U34" s="500"/>
      <c r="V34" s="500"/>
      <c r="W34" s="500"/>
      <c r="X34" s="500"/>
      <c r="Y34" s="500"/>
      <c r="Z34" s="500"/>
    </row>
    <row r="35" spans="1:26" ht="37.5" customHeight="1">
      <c r="A35" s="501" t="s">
        <v>1153</v>
      </c>
      <c r="B35" s="499" t="s">
        <v>1154</v>
      </c>
      <c r="C35" s="500"/>
      <c r="D35" s="500"/>
      <c r="E35" s="500"/>
      <c r="F35" s="500"/>
      <c r="G35" s="500"/>
      <c r="H35" s="500"/>
      <c r="I35" s="500"/>
      <c r="J35" s="500"/>
      <c r="K35" s="500"/>
      <c r="L35" s="500"/>
      <c r="M35" s="500"/>
      <c r="N35" s="500"/>
      <c r="O35" s="500"/>
      <c r="P35" s="500"/>
      <c r="Q35" s="500"/>
      <c r="R35" s="500"/>
      <c r="S35" s="500"/>
      <c r="T35" s="500"/>
      <c r="U35" s="500"/>
      <c r="V35" s="500"/>
      <c r="W35" s="500"/>
      <c r="X35" s="500"/>
      <c r="Y35" s="500"/>
      <c r="Z35" s="500"/>
    </row>
    <row r="36" spans="1:26" ht="37.5" customHeight="1">
      <c r="A36" s="507" t="s">
        <v>1155</v>
      </c>
      <c r="B36" s="499" t="s">
        <v>1156</v>
      </c>
      <c r="C36" s="500"/>
      <c r="D36" s="500"/>
      <c r="E36" s="500"/>
      <c r="F36" s="500"/>
      <c r="G36" s="500"/>
      <c r="H36" s="500"/>
      <c r="I36" s="500"/>
      <c r="J36" s="500"/>
      <c r="K36" s="500"/>
      <c r="L36" s="500"/>
      <c r="M36" s="500"/>
      <c r="N36" s="500"/>
      <c r="O36" s="500"/>
      <c r="P36" s="500"/>
      <c r="Q36" s="500"/>
      <c r="R36" s="500"/>
      <c r="S36" s="500"/>
      <c r="T36" s="500"/>
      <c r="U36" s="500"/>
      <c r="V36" s="500"/>
      <c r="W36" s="500"/>
      <c r="X36" s="500"/>
      <c r="Y36" s="500"/>
      <c r="Z36" s="500"/>
    </row>
    <row r="37" spans="1:26" ht="37.5" customHeight="1">
      <c r="A37" s="507" t="s">
        <v>219</v>
      </c>
      <c r="B37" s="499" t="s">
        <v>1156</v>
      </c>
      <c r="C37" s="500"/>
      <c r="D37" s="500"/>
      <c r="E37" s="500"/>
      <c r="F37" s="500"/>
      <c r="G37" s="500"/>
      <c r="H37" s="500"/>
      <c r="I37" s="500"/>
      <c r="J37" s="500"/>
      <c r="K37" s="500"/>
      <c r="L37" s="500"/>
      <c r="M37" s="500"/>
      <c r="N37" s="500"/>
      <c r="O37" s="500"/>
      <c r="P37" s="500"/>
      <c r="Q37" s="500"/>
      <c r="R37" s="500"/>
      <c r="S37" s="500"/>
      <c r="T37" s="500"/>
      <c r="U37" s="500"/>
      <c r="V37" s="500"/>
      <c r="W37" s="500"/>
      <c r="X37" s="500"/>
      <c r="Y37" s="500"/>
      <c r="Z37" s="500"/>
    </row>
    <row r="38" spans="1:26" ht="37.5" customHeight="1">
      <c r="A38" s="507" t="s">
        <v>218</v>
      </c>
      <c r="B38" s="499" t="s">
        <v>1156</v>
      </c>
      <c r="C38" s="500"/>
      <c r="D38" s="500"/>
      <c r="E38" s="500"/>
      <c r="F38" s="500"/>
      <c r="G38" s="500"/>
      <c r="H38" s="500"/>
      <c r="I38" s="500"/>
      <c r="J38" s="500"/>
      <c r="K38" s="500"/>
      <c r="L38" s="500"/>
      <c r="M38" s="500"/>
      <c r="N38" s="500"/>
      <c r="O38" s="500"/>
      <c r="P38" s="500"/>
      <c r="Q38" s="500"/>
      <c r="R38" s="500"/>
      <c r="S38" s="500"/>
      <c r="T38" s="500"/>
      <c r="U38" s="500"/>
      <c r="V38" s="500"/>
      <c r="W38" s="500"/>
      <c r="X38" s="500"/>
      <c r="Y38" s="500"/>
      <c r="Z38" s="500"/>
    </row>
    <row r="39" spans="1:26" ht="37.5" customHeight="1">
      <c r="A39" s="505" t="s">
        <v>153</v>
      </c>
      <c r="B39" s="499" t="s">
        <v>1157</v>
      </c>
      <c r="C39" s="500"/>
      <c r="D39" s="500"/>
      <c r="E39" s="500"/>
      <c r="F39" s="500"/>
      <c r="G39" s="500"/>
      <c r="H39" s="500"/>
      <c r="I39" s="500"/>
      <c r="J39" s="500"/>
      <c r="K39" s="500"/>
      <c r="L39" s="500"/>
      <c r="M39" s="500"/>
      <c r="N39" s="500"/>
      <c r="O39" s="500"/>
      <c r="P39" s="500"/>
      <c r="Q39" s="500"/>
      <c r="R39" s="500"/>
      <c r="S39" s="500"/>
      <c r="T39" s="500"/>
      <c r="U39" s="500"/>
      <c r="V39" s="500"/>
      <c r="W39" s="500"/>
      <c r="X39" s="500"/>
      <c r="Y39" s="500"/>
      <c r="Z39" s="500"/>
    </row>
    <row r="40" spans="1:26" ht="37.5" customHeight="1">
      <c r="A40" s="508" t="s">
        <v>61</v>
      </c>
      <c r="B40" s="499" t="s">
        <v>1158</v>
      </c>
      <c r="C40" s="500"/>
      <c r="D40" s="500"/>
      <c r="E40" s="500"/>
      <c r="F40" s="500"/>
      <c r="G40" s="500"/>
      <c r="H40" s="500"/>
      <c r="I40" s="500"/>
      <c r="J40" s="500"/>
      <c r="K40" s="500"/>
      <c r="L40" s="500"/>
      <c r="M40" s="500"/>
      <c r="N40" s="500"/>
      <c r="O40" s="500"/>
      <c r="P40" s="500"/>
      <c r="Q40" s="500"/>
      <c r="R40" s="500"/>
      <c r="S40" s="500"/>
      <c r="T40" s="500"/>
      <c r="U40" s="500"/>
      <c r="V40" s="500"/>
      <c r="W40" s="500"/>
      <c r="X40" s="500"/>
      <c r="Y40" s="500"/>
      <c r="Z40" s="500"/>
    </row>
    <row r="41" spans="1:26" ht="37.5" customHeight="1">
      <c r="A41" s="507" t="s">
        <v>221</v>
      </c>
      <c r="B41" s="499" t="s">
        <v>1159</v>
      </c>
      <c r="C41" s="500"/>
      <c r="D41" s="500"/>
      <c r="E41" s="500"/>
      <c r="F41" s="500"/>
      <c r="G41" s="500"/>
      <c r="H41" s="500"/>
      <c r="I41" s="500"/>
      <c r="J41" s="500"/>
      <c r="K41" s="500"/>
      <c r="L41" s="500"/>
      <c r="M41" s="500"/>
      <c r="N41" s="500"/>
      <c r="O41" s="500"/>
      <c r="P41" s="500"/>
      <c r="Q41" s="500"/>
      <c r="R41" s="500"/>
      <c r="S41" s="500"/>
      <c r="T41" s="500"/>
      <c r="U41" s="500"/>
      <c r="V41" s="500"/>
      <c r="W41" s="500"/>
      <c r="X41" s="500"/>
      <c r="Y41" s="500"/>
      <c r="Z41" s="500"/>
    </row>
    <row r="42" spans="1:26" ht="37.5" customHeight="1">
      <c r="A42" s="498" t="s">
        <v>1160</v>
      </c>
      <c r="B42" s="499" t="s">
        <v>1161</v>
      </c>
      <c r="C42" s="500"/>
      <c r="D42" s="500"/>
      <c r="E42" s="500"/>
      <c r="F42" s="500"/>
      <c r="G42" s="500"/>
      <c r="H42" s="500"/>
      <c r="I42" s="500"/>
      <c r="J42" s="500"/>
      <c r="K42" s="500"/>
      <c r="L42" s="500"/>
      <c r="M42" s="500"/>
      <c r="N42" s="500"/>
      <c r="O42" s="500"/>
      <c r="P42" s="500"/>
      <c r="Q42" s="500"/>
      <c r="R42" s="500"/>
      <c r="S42" s="500"/>
      <c r="T42" s="500"/>
      <c r="U42" s="500"/>
      <c r="V42" s="500"/>
      <c r="W42" s="500"/>
      <c r="X42" s="500"/>
      <c r="Y42" s="500"/>
      <c r="Z42" s="500"/>
    </row>
    <row r="43" spans="1:26" ht="37.5" customHeight="1">
      <c r="A43" s="498" t="s">
        <v>156</v>
      </c>
      <c r="B43" s="499" t="s">
        <v>1162</v>
      </c>
      <c r="C43" s="500"/>
      <c r="D43" s="500"/>
      <c r="E43" s="500"/>
      <c r="F43" s="500"/>
      <c r="G43" s="500"/>
      <c r="H43" s="500"/>
      <c r="I43" s="500"/>
      <c r="J43" s="500"/>
      <c r="K43" s="500"/>
      <c r="L43" s="500"/>
      <c r="M43" s="500"/>
      <c r="N43" s="500"/>
      <c r="O43" s="500"/>
      <c r="P43" s="500"/>
      <c r="Q43" s="500"/>
      <c r="R43" s="500"/>
      <c r="S43" s="500"/>
      <c r="T43" s="500"/>
      <c r="U43" s="500"/>
      <c r="V43" s="500"/>
      <c r="W43" s="500"/>
      <c r="X43" s="500"/>
      <c r="Y43" s="500"/>
      <c r="Z43" s="500"/>
    </row>
    <row r="44" spans="1:26" ht="37.5" customHeight="1">
      <c r="A44" s="509" t="s">
        <v>222</v>
      </c>
      <c r="B44" s="499" t="s">
        <v>1163</v>
      </c>
      <c r="C44" s="500"/>
      <c r="D44" s="500"/>
      <c r="E44" s="500"/>
      <c r="F44" s="500"/>
      <c r="G44" s="500"/>
      <c r="H44" s="500"/>
      <c r="I44" s="500"/>
      <c r="J44" s="500"/>
      <c r="K44" s="500"/>
      <c r="L44" s="500"/>
      <c r="M44" s="500"/>
      <c r="N44" s="500"/>
      <c r="O44" s="500"/>
      <c r="P44" s="500"/>
      <c r="Q44" s="500"/>
      <c r="R44" s="500"/>
      <c r="S44" s="500"/>
      <c r="T44" s="500"/>
      <c r="U44" s="500"/>
      <c r="V44" s="500"/>
      <c r="W44" s="500"/>
      <c r="X44" s="500"/>
      <c r="Y44" s="500"/>
      <c r="Z44" s="500"/>
    </row>
    <row r="45" spans="1:26" ht="37.5" customHeight="1">
      <c r="A45" s="509" t="s">
        <v>1164</v>
      </c>
      <c r="B45" s="499" t="e">
        <v>#N/A</v>
      </c>
      <c r="C45" s="500"/>
      <c r="D45" s="500"/>
      <c r="E45" s="500"/>
      <c r="F45" s="500"/>
      <c r="G45" s="500"/>
      <c r="H45" s="500"/>
      <c r="I45" s="500"/>
      <c r="J45" s="500"/>
      <c r="K45" s="500"/>
      <c r="L45" s="500"/>
      <c r="M45" s="500"/>
      <c r="N45" s="500"/>
      <c r="O45" s="500"/>
      <c r="P45" s="500"/>
      <c r="Q45" s="500"/>
      <c r="R45" s="500"/>
      <c r="S45" s="500"/>
      <c r="T45" s="500"/>
      <c r="U45" s="500"/>
      <c r="V45" s="500"/>
      <c r="W45" s="500"/>
      <c r="X45" s="500"/>
      <c r="Y45" s="500"/>
      <c r="Z45" s="500"/>
    </row>
    <row r="46" spans="1:26" ht="37.5" customHeight="1">
      <c r="A46" s="498" t="s">
        <v>158</v>
      </c>
      <c r="B46" s="499" t="s">
        <v>1165</v>
      </c>
      <c r="C46" s="500"/>
      <c r="D46" s="500"/>
      <c r="E46" s="500"/>
      <c r="F46" s="500"/>
      <c r="G46" s="500"/>
      <c r="H46" s="500"/>
      <c r="I46" s="500"/>
      <c r="J46" s="500"/>
      <c r="K46" s="500"/>
      <c r="L46" s="500"/>
      <c r="M46" s="500"/>
      <c r="N46" s="500"/>
      <c r="O46" s="500"/>
      <c r="P46" s="500"/>
      <c r="Q46" s="500"/>
      <c r="R46" s="500"/>
      <c r="S46" s="500"/>
      <c r="T46" s="500"/>
      <c r="U46" s="500"/>
      <c r="V46" s="500"/>
      <c r="W46" s="500"/>
      <c r="X46" s="500"/>
      <c r="Y46" s="500"/>
      <c r="Z46" s="500"/>
    </row>
    <row r="47" spans="1:26" ht="37.5" customHeight="1">
      <c r="A47" s="498" t="s">
        <v>160</v>
      </c>
      <c r="B47" s="502" t="s">
        <v>1166</v>
      </c>
      <c r="C47" s="500"/>
      <c r="D47" s="500"/>
      <c r="E47" s="500"/>
      <c r="F47" s="500"/>
      <c r="G47" s="500"/>
      <c r="H47" s="500"/>
      <c r="I47" s="500"/>
      <c r="J47" s="500"/>
      <c r="K47" s="500"/>
      <c r="L47" s="500"/>
      <c r="M47" s="500"/>
      <c r="N47" s="500"/>
      <c r="O47" s="500"/>
      <c r="P47" s="500"/>
      <c r="Q47" s="500"/>
      <c r="R47" s="500"/>
      <c r="S47" s="500"/>
      <c r="T47" s="500"/>
      <c r="U47" s="500"/>
      <c r="V47" s="500"/>
      <c r="W47" s="500"/>
      <c r="X47" s="500"/>
      <c r="Y47" s="500"/>
      <c r="Z47" s="500"/>
    </row>
    <row r="48" spans="1:26" ht="37.5" customHeight="1">
      <c r="A48" s="498" t="s">
        <v>276</v>
      </c>
      <c r="B48" s="499" t="s">
        <v>1167</v>
      </c>
      <c r="C48" s="500"/>
      <c r="D48" s="500"/>
      <c r="E48" s="500"/>
      <c r="F48" s="500"/>
      <c r="G48" s="500"/>
      <c r="H48" s="500"/>
      <c r="I48" s="500"/>
      <c r="J48" s="500"/>
      <c r="K48" s="500"/>
      <c r="L48" s="500"/>
      <c r="M48" s="500"/>
      <c r="N48" s="500"/>
      <c r="O48" s="500"/>
      <c r="P48" s="500"/>
      <c r="Q48" s="500"/>
      <c r="R48" s="500"/>
      <c r="S48" s="500"/>
      <c r="T48" s="500"/>
      <c r="U48" s="500"/>
      <c r="V48" s="500"/>
      <c r="W48" s="500"/>
      <c r="X48" s="500"/>
      <c r="Y48" s="500"/>
      <c r="Z48" s="500"/>
    </row>
    <row r="49" spans="1:26" ht="37.5" customHeight="1">
      <c r="A49" s="501" t="s">
        <v>1168</v>
      </c>
      <c r="B49" s="499" t="s">
        <v>1169</v>
      </c>
      <c r="C49" s="500"/>
      <c r="D49" s="500"/>
      <c r="E49" s="500"/>
      <c r="F49" s="500"/>
      <c r="G49" s="500"/>
      <c r="H49" s="500"/>
      <c r="I49" s="500"/>
      <c r="J49" s="500"/>
      <c r="K49" s="500"/>
      <c r="L49" s="500"/>
      <c r="M49" s="500"/>
      <c r="N49" s="500"/>
      <c r="O49" s="500"/>
      <c r="P49" s="500"/>
      <c r="Q49" s="500"/>
      <c r="R49" s="500"/>
      <c r="S49" s="500"/>
      <c r="T49" s="500"/>
      <c r="U49" s="500"/>
      <c r="V49" s="500"/>
      <c r="W49" s="500"/>
      <c r="X49" s="500"/>
      <c r="Y49" s="500"/>
      <c r="Z49" s="500"/>
    </row>
    <row r="50" spans="1:26" ht="37.5" customHeight="1">
      <c r="A50" s="498" t="s">
        <v>1170</v>
      </c>
      <c r="B50" s="499" t="s">
        <v>1171</v>
      </c>
      <c r="C50" s="500"/>
      <c r="D50" s="500"/>
      <c r="E50" s="500"/>
      <c r="F50" s="500"/>
      <c r="G50" s="500"/>
      <c r="H50" s="500"/>
      <c r="I50" s="500"/>
      <c r="J50" s="500"/>
      <c r="K50" s="500"/>
      <c r="L50" s="500"/>
      <c r="M50" s="500"/>
      <c r="N50" s="500"/>
      <c r="O50" s="500"/>
      <c r="P50" s="500"/>
      <c r="Q50" s="500"/>
      <c r="R50" s="500"/>
      <c r="S50" s="500"/>
      <c r="T50" s="500"/>
      <c r="U50" s="500"/>
      <c r="V50" s="500"/>
      <c r="W50" s="500"/>
      <c r="X50" s="500"/>
      <c r="Y50" s="500"/>
      <c r="Z50" s="500"/>
    </row>
    <row r="51" spans="1:26" ht="37.5" customHeight="1">
      <c r="A51" s="498" t="s">
        <v>829</v>
      </c>
      <c r="B51" s="499" t="s">
        <v>1171</v>
      </c>
      <c r="C51" s="500"/>
      <c r="D51" s="500"/>
      <c r="E51" s="500"/>
      <c r="F51" s="500"/>
      <c r="G51" s="500"/>
      <c r="H51" s="500"/>
      <c r="I51" s="500"/>
      <c r="J51" s="500"/>
      <c r="K51" s="500"/>
      <c r="L51" s="500"/>
      <c r="M51" s="500"/>
      <c r="N51" s="500"/>
      <c r="O51" s="500"/>
      <c r="P51" s="500"/>
      <c r="Q51" s="500"/>
      <c r="R51" s="500"/>
      <c r="S51" s="500"/>
      <c r="T51" s="500"/>
      <c r="U51" s="500"/>
      <c r="V51" s="500"/>
      <c r="W51" s="500"/>
      <c r="X51" s="500"/>
      <c r="Y51" s="500"/>
      <c r="Z51" s="500"/>
    </row>
    <row r="52" spans="1:26" ht="37.5" customHeight="1">
      <c r="A52" s="498" t="s">
        <v>326</v>
      </c>
      <c r="B52" s="499" t="s">
        <v>1172</v>
      </c>
      <c r="C52" s="500"/>
      <c r="D52" s="500"/>
      <c r="E52" s="500"/>
      <c r="F52" s="500"/>
      <c r="G52" s="500"/>
      <c r="H52" s="500"/>
      <c r="I52" s="500"/>
      <c r="J52" s="500"/>
      <c r="K52" s="500"/>
      <c r="L52" s="500"/>
      <c r="M52" s="500"/>
      <c r="N52" s="500"/>
      <c r="O52" s="500"/>
      <c r="P52" s="500"/>
      <c r="Q52" s="500"/>
      <c r="R52" s="500"/>
      <c r="S52" s="500"/>
      <c r="T52" s="500"/>
      <c r="U52" s="500"/>
      <c r="V52" s="500"/>
      <c r="W52" s="500"/>
      <c r="X52" s="500"/>
      <c r="Y52" s="500"/>
      <c r="Z52" s="500"/>
    </row>
    <row r="53" spans="1:26" ht="37.5" customHeight="1">
      <c r="A53" s="507" t="s">
        <v>511</v>
      </c>
      <c r="B53" s="502" t="s">
        <v>1173</v>
      </c>
      <c r="C53" s="500"/>
      <c r="D53" s="500"/>
      <c r="E53" s="500"/>
      <c r="F53" s="500"/>
      <c r="G53" s="500"/>
      <c r="H53" s="500"/>
      <c r="I53" s="500"/>
      <c r="J53" s="500"/>
      <c r="K53" s="500"/>
      <c r="L53" s="500"/>
      <c r="M53" s="500"/>
      <c r="N53" s="500"/>
      <c r="O53" s="500"/>
      <c r="P53" s="500"/>
      <c r="Q53" s="500"/>
      <c r="R53" s="500"/>
      <c r="S53" s="500"/>
      <c r="T53" s="500"/>
      <c r="U53" s="500"/>
      <c r="V53" s="500"/>
      <c r="W53" s="500"/>
      <c r="X53" s="500"/>
      <c r="Y53" s="500"/>
      <c r="Z53" s="500"/>
    </row>
    <row r="54" spans="1:26" ht="37.5" customHeight="1">
      <c r="A54" s="501" t="s">
        <v>327</v>
      </c>
      <c r="B54" s="499" t="s">
        <v>1174</v>
      </c>
      <c r="C54" s="500"/>
      <c r="D54" s="500"/>
      <c r="E54" s="500"/>
      <c r="F54" s="500"/>
      <c r="G54" s="500"/>
      <c r="H54" s="500"/>
      <c r="I54" s="500"/>
      <c r="J54" s="500"/>
      <c r="K54" s="500"/>
      <c r="L54" s="500"/>
      <c r="M54" s="500"/>
      <c r="N54" s="500"/>
      <c r="O54" s="500"/>
      <c r="P54" s="500"/>
      <c r="Q54" s="500"/>
      <c r="R54" s="500"/>
      <c r="S54" s="500"/>
      <c r="T54" s="500"/>
      <c r="U54" s="500"/>
      <c r="V54" s="500"/>
      <c r="W54" s="500"/>
      <c r="X54" s="500"/>
      <c r="Y54" s="500"/>
      <c r="Z54" s="500"/>
    </row>
    <row r="55" spans="1:26" ht="37.5" customHeight="1">
      <c r="A55" s="501" t="s">
        <v>279</v>
      </c>
      <c r="B55" s="499" t="s">
        <v>1175</v>
      </c>
      <c r="C55" s="500"/>
      <c r="D55" s="500"/>
      <c r="E55" s="500"/>
      <c r="F55" s="500"/>
      <c r="G55" s="500"/>
      <c r="H55" s="500"/>
      <c r="I55" s="500"/>
      <c r="J55" s="500"/>
      <c r="K55" s="500"/>
      <c r="L55" s="500"/>
      <c r="M55" s="500"/>
      <c r="N55" s="500"/>
      <c r="O55" s="500"/>
      <c r="P55" s="500"/>
      <c r="Q55" s="500"/>
      <c r="R55" s="500"/>
      <c r="S55" s="500"/>
      <c r="T55" s="500"/>
      <c r="U55" s="500"/>
      <c r="V55" s="500"/>
      <c r="W55" s="500"/>
      <c r="X55" s="500"/>
      <c r="Y55" s="500"/>
      <c r="Z55" s="500"/>
    </row>
    <row r="56" spans="1:26" ht="37.5" customHeight="1">
      <c r="A56" s="498" t="s">
        <v>224</v>
      </c>
      <c r="B56" s="504" t="s">
        <v>1176</v>
      </c>
      <c r="C56" s="500"/>
      <c r="D56" s="500"/>
      <c r="E56" s="500"/>
      <c r="F56" s="500"/>
      <c r="G56" s="500"/>
      <c r="H56" s="500"/>
      <c r="I56" s="500"/>
      <c r="J56" s="500"/>
      <c r="K56" s="500"/>
      <c r="L56" s="500"/>
      <c r="M56" s="500"/>
      <c r="N56" s="500"/>
      <c r="O56" s="500"/>
      <c r="P56" s="500"/>
      <c r="Q56" s="500"/>
      <c r="R56" s="500"/>
      <c r="S56" s="500"/>
      <c r="T56" s="500"/>
      <c r="U56" s="500"/>
      <c r="V56" s="500"/>
      <c r="W56" s="500"/>
      <c r="X56" s="500"/>
      <c r="Y56" s="500"/>
      <c r="Z56" s="500"/>
    </row>
    <row r="57" spans="1:26" ht="37.5" customHeight="1">
      <c r="A57" s="509" t="s">
        <v>1177</v>
      </c>
      <c r="B57" s="499" t="s">
        <v>1178</v>
      </c>
      <c r="C57" s="500"/>
      <c r="D57" s="500"/>
      <c r="E57" s="500"/>
      <c r="F57" s="500"/>
      <c r="G57" s="500"/>
      <c r="H57" s="500"/>
      <c r="I57" s="500"/>
      <c r="J57" s="500"/>
      <c r="K57" s="500"/>
      <c r="L57" s="500"/>
      <c r="M57" s="500"/>
      <c r="N57" s="500"/>
      <c r="O57" s="500"/>
      <c r="P57" s="500"/>
      <c r="Q57" s="500"/>
      <c r="R57" s="500"/>
      <c r="S57" s="500"/>
      <c r="T57" s="500"/>
      <c r="U57" s="500"/>
      <c r="V57" s="500"/>
      <c r="W57" s="500"/>
      <c r="X57" s="500"/>
      <c r="Y57" s="500"/>
      <c r="Z57" s="500"/>
    </row>
    <row r="58" spans="1:26" ht="37.5" customHeight="1">
      <c r="A58" s="498" t="s">
        <v>634</v>
      </c>
      <c r="B58" s="499" t="s">
        <v>1179</v>
      </c>
      <c r="C58" s="500"/>
      <c r="D58" s="500"/>
      <c r="E58" s="500"/>
      <c r="F58" s="500"/>
      <c r="G58" s="500"/>
      <c r="H58" s="500"/>
      <c r="I58" s="500"/>
      <c r="J58" s="500"/>
      <c r="K58" s="500"/>
      <c r="L58" s="500"/>
      <c r="M58" s="500"/>
      <c r="N58" s="500"/>
      <c r="O58" s="500"/>
      <c r="P58" s="500"/>
      <c r="Q58" s="500"/>
      <c r="R58" s="500"/>
      <c r="S58" s="500"/>
      <c r="T58" s="500"/>
      <c r="U58" s="500"/>
      <c r="V58" s="500"/>
      <c r="W58" s="500"/>
      <c r="X58" s="500"/>
      <c r="Y58" s="500"/>
      <c r="Z58" s="500"/>
    </row>
    <row r="59" spans="1:26" ht="37.5" customHeight="1">
      <c r="A59" s="498" t="s">
        <v>364</v>
      </c>
      <c r="B59" s="504"/>
      <c r="C59" s="500"/>
      <c r="D59" s="500"/>
      <c r="E59" s="500"/>
      <c r="F59" s="500"/>
      <c r="G59" s="500"/>
      <c r="H59" s="500"/>
      <c r="I59" s="500"/>
      <c r="J59" s="500"/>
      <c r="K59" s="500"/>
      <c r="L59" s="500"/>
      <c r="M59" s="500"/>
      <c r="N59" s="500"/>
      <c r="O59" s="500"/>
      <c r="P59" s="500"/>
      <c r="Q59" s="500"/>
      <c r="R59" s="500"/>
      <c r="S59" s="500"/>
      <c r="T59" s="500"/>
      <c r="U59" s="500"/>
      <c r="V59" s="500"/>
      <c r="W59" s="500"/>
      <c r="X59" s="500"/>
      <c r="Y59" s="500"/>
      <c r="Z59" s="500"/>
    </row>
    <row r="60" spans="1:26" ht="37.5" customHeight="1">
      <c r="A60" s="507" t="s">
        <v>583</v>
      </c>
      <c r="B60" s="499" t="s">
        <v>1180</v>
      </c>
      <c r="C60" s="500"/>
      <c r="D60" s="500"/>
      <c r="E60" s="500"/>
      <c r="F60" s="500"/>
      <c r="G60" s="500"/>
      <c r="H60" s="500"/>
      <c r="I60" s="500"/>
      <c r="J60" s="500"/>
      <c r="K60" s="500"/>
      <c r="L60" s="500"/>
      <c r="M60" s="500"/>
      <c r="N60" s="500"/>
      <c r="O60" s="500"/>
      <c r="P60" s="500"/>
      <c r="Q60" s="500"/>
      <c r="R60" s="500"/>
      <c r="S60" s="500"/>
      <c r="T60" s="500"/>
      <c r="U60" s="500"/>
      <c r="V60" s="500"/>
      <c r="W60" s="500"/>
      <c r="X60" s="500"/>
      <c r="Y60" s="500"/>
      <c r="Z60" s="500"/>
    </row>
    <row r="61" spans="1:26" ht="37.5" customHeight="1">
      <c r="A61" s="510" t="s">
        <v>584</v>
      </c>
      <c r="B61" s="499" t="s">
        <v>1181</v>
      </c>
      <c r="C61" s="500"/>
      <c r="D61" s="500"/>
      <c r="E61" s="500"/>
      <c r="F61" s="500"/>
      <c r="G61" s="500"/>
      <c r="H61" s="500"/>
      <c r="I61" s="500"/>
      <c r="J61" s="500"/>
      <c r="K61" s="500"/>
      <c r="L61" s="500"/>
      <c r="M61" s="500"/>
      <c r="N61" s="500"/>
      <c r="O61" s="500"/>
      <c r="P61" s="500"/>
      <c r="Q61" s="500"/>
      <c r="R61" s="500"/>
      <c r="S61" s="500"/>
      <c r="T61" s="500"/>
      <c r="U61" s="500"/>
      <c r="V61" s="500"/>
      <c r="W61" s="500"/>
      <c r="X61" s="500"/>
      <c r="Y61" s="500"/>
      <c r="Z61" s="500"/>
    </row>
    <row r="62" spans="1:26" ht="37.5" customHeight="1">
      <c r="A62" s="498" t="s">
        <v>384</v>
      </c>
      <c r="B62" s="499" t="s">
        <v>1182</v>
      </c>
      <c r="C62" s="500"/>
      <c r="D62" s="500"/>
      <c r="E62" s="500"/>
      <c r="F62" s="500"/>
      <c r="G62" s="500"/>
      <c r="H62" s="500"/>
      <c r="I62" s="500"/>
      <c r="J62" s="500"/>
      <c r="K62" s="500"/>
      <c r="L62" s="500"/>
      <c r="M62" s="500"/>
      <c r="N62" s="500"/>
      <c r="O62" s="500"/>
      <c r="P62" s="500"/>
      <c r="Q62" s="500"/>
      <c r="R62" s="500"/>
      <c r="S62" s="500"/>
      <c r="T62" s="500"/>
      <c r="U62" s="500"/>
      <c r="V62" s="500"/>
      <c r="W62" s="500"/>
      <c r="X62" s="500"/>
      <c r="Y62" s="500"/>
      <c r="Z62" s="500"/>
    </row>
    <row r="63" spans="1:26" ht="37.5" customHeight="1">
      <c r="A63" s="498" t="s">
        <v>385</v>
      </c>
      <c r="B63" s="499" t="s">
        <v>1182</v>
      </c>
      <c r="C63" s="500"/>
      <c r="D63" s="500"/>
      <c r="E63" s="500"/>
      <c r="F63" s="500"/>
      <c r="G63" s="500"/>
      <c r="H63" s="500"/>
      <c r="I63" s="500"/>
      <c r="J63" s="500"/>
      <c r="K63" s="500"/>
      <c r="L63" s="500"/>
      <c r="M63" s="500"/>
      <c r="N63" s="500"/>
      <c r="O63" s="500"/>
      <c r="P63" s="500"/>
      <c r="Q63" s="500"/>
      <c r="R63" s="500"/>
      <c r="S63" s="500"/>
      <c r="T63" s="500"/>
      <c r="U63" s="500"/>
      <c r="V63" s="500"/>
      <c r="W63" s="500"/>
      <c r="X63" s="500"/>
      <c r="Y63" s="500"/>
      <c r="Z63" s="500"/>
    </row>
    <row r="64" spans="1:26" ht="37.5" customHeight="1">
      <c r="A64" s="498" t="s">
        <v>744</v>
      </c>
      <c r="B64" s="504" t="s">
        <v>1183</v>
      </c>
      <c r="C64" s="500"/>
      <c r="D64" s="500"/>
      <c r="E64" s="500"/>
      <c r="F64" s="500"/>
      <c r="G64" s="500"/>
      <c r="H64" s="500"/>
      <c r="I64" s="500"/>
      <c r="J64" s="500"/>
      <c r="K64" s="500"/>
      <c r="L64" s="500"/>
      <c r="M64" s="500"/>
      <c r="N64" s="500"/>
      <c r="O64" s="500"/>
      <c r="P64" s="500"/>
      <c r="Q64" s="500"/>
      <c r="R64" s="500"/>
      <c r="S64" s="500"/>
      <c r="T64" s="500"/>
      <c r="U64" s="500"/>
      <c r="V64" s="500"/>
      <c r="W64" s="500"/>
      <c r="X64" s="500"/>
      <c r="Y64" s="500"/>
      <c r="Z64" s="500"/>
    </row>
    <row r="65" spans="1:26" ht="37.5" customHeight="1">
      <c r="A65" s="498" t="s">
        <v>759</v>
      </c>
      <c r="B65" s="504" t="s">
        <v>1184</v>
      </c>
      <c r="C65" s="500"/>
      <c r="D65" s="500"/>
      <c r="E65" s="500"/>
      <c r="F65" s="500"/>
      <c r="G65" s="500"/>
      <c r="H65" s="500"/>
      <c r="I65" s="500"/>
      <c r="J65" s="500"/>
      <c r="K65" s="500"/>
      <c r="L65" s="500"/>
      <c r="M65" s="500"/>
      <c r="N65" s="500"/>
      <c r="O65" s="500"/>
      <c r="P65" s="500"/>
      <c r="Q65" s="500"/>
      <c r="R65" s="500"/>
      <c r="S65" s="500"/>
      <c r="T65" s="500"/>
      <c r="U65" s="500"/>
      <c r="V65" s="500"/>
      <c r="W65" s="500"/>
      <c r="X65" s="500"/>
      <c r="Y65" s="500"/>
      <c r="Z65" s="500"/>
    </row>
    <row r="66" spans="1:26" ht="37.5" customHeight="1">
      <c r="A66" s="498" t="s">
        <v>1185</v>
      </c>
      <c r="B66" s="504" t="s">
        <v>1184</v>
      </c>
      <c r="C66" s="500"/>
      <c r="D66" s="500"/>
      <c r="E66" s="500"/>
      <c r="F66" s="500"/>
      <c r="G66" s="500"/>
      <c r="H66" s="500"/>
      <c r="I66" s="500"/>
      <c r="J66" s="500"/>
      <c r="K66" s="500"/>
      <c r="L66" s="500"/>
      <c r="M66" s="500"/>
      <c r="N66" s="500"/>
      <c r="O66" s="500"/>
      <c r="P66" s="500"/>
      <c r="Q66" s="500"/>
      <c r="R66" s="500"/>
      <c r="S66" s="500"/>
      <c r="T66" s="500"/>
      <c r="U66" s="500"/>
      <c r="V66" s="500"/>
      <c r="W66" s="500"/>
      <c r="X66" s="500"/>
      <c r="Y66" s="500"/>
      <c r="Z66" s="500"/>
    </row>
    <row r="67" spans="1:26" ht="37.5" customHeight="1">
      <c r="A67" s="509" t="s">
        <v>229</v>
      </c>
      <c r="B67" s="499" t="s">
        <v>1186</v>
      </c>
      <c r="C67" s="500"/>
      <c r="D67" s="500"/>
      <c r="E67" s="500"/>
      <c r="F67" s="500"/>
      <c r="G67" s="500"/>
      <c r="H67" s="500"/>
      <c r="I67" s="500"/>
      <c r="J67" s="500"/>
      <c r="K67" s="500"/>
      <c r="L67" s="500"/>
      <c r="M67" s="500"/>
      <c r="N67" s="500"/>
      <c r="O67" s="500"/>
      <c r="P67" s="500"/>
      <c r="Q67" s="500"/>
      <c r="R67" s="500"/>
      <c r="S67" s="500"/>
      <c r="T67" s="500"/>
      <c r="U67" s="500"/>
      <c r="V67" s="500"/>
      <c r="W67" s="500"/>
      <c r="X67" s="500"/>
      <c r="Y67" s="500"/>
      <c r="Z67" s="500"/>
    </row>
    <row r="68" spans="1:26" ht="37.5" customHeight="1">
      <c r="A68" s="510" t="s">
        <v>446</v>
      </c>
      <c r="B68" s="499" t="s">
        <v>1187</v>
      </c>
      <c r="C68" s="500"/>
      <c r="D68" s="500"/>
      <c r="E68" s="500"/>
      <c r="F68" s="500"/>
      <c r="G68" s="500"/>
      <c r="H68" s="500"/>
      <c r="I68" s="500"/>
      <c r="J68" s="500"/>
      <c r="K68" s="500"/>
      <c r="L68" s="500"/>
      <c r="M68" s="500"/>
      <c r="N68" s="500"/>
      <c r="O68" s="500"/>
      <c r="P68" s="500"/>
      <c r="Q68" s="500"/>
      <c r="R68" s="500"/>
      <c r="S68" s="500"/>
      <c r="T68" s="500"/>
      <c r="U68" s="500"/>
      <c r="V68" s="500"/>
      <c r="W68" s="500"/>
      <c r="X68" s="500"/>
      <c r="Y68" s="500"/>
      <c r="Z68" s="500"/>
    </row>
    <row r="69" spans="1:26" ht="37.5" customHeight="1">
      <c r="A69" s="507" t="s">
        <v>284</v>
      </c>
      <c r="B69" s="499" t="s">
        <v>1188</v>
      </c>
      <c r="C69" s="500"/>
      <c r="D69" s="500"/>
      <c r="E69" s="500"/>
      <c r="F69" s="500"/>
      <c r="G69" s="500"/>
      <c r="H69" s="500"/>
      <c r="I69" s="500"/>
      <c r="J69" s="500"/>
      <c r="K69" s="500"/>
      <c r="L69" s="500"/>
      <c r="M69" s="500"/>
      <c r="N69" s="500"/>
      <c r="O69" s="500"/>
      <c r="P69" s="500"/>
      <c r="Q69" s="500"/>
      <c r="R69" s="500"/>
      <c r="S69" s="500"/>
      <c r="T69" s="500"/>
      <c r="U69" s="500"/>
      <c r="V69" s="500"/>
      <c r="W69" s="500"/>
      <c r="X69" s="500"/>
      <c r="Y69" s="500"/>
      <c r="Z69" s="500"/>
    </row>
    <row r="70" spans="1:26" ht="37.5" customHeight="1">
      <c r="A70" s="507" t="s">
        <v>231</v>
      </c>
      <c r="B70" s="499"/>
      <c r="C70" s="500"/>
      <c r="D70" s="500"/>
      <c r="E70" s="500"/>
      <c r="F70" s="500"/>
      <c r="G70" s="500"/>
      <c r="H70" s="500"/>
      <c r="I70" s="500"/>
      <c r="J70" s="500"/>
      <c r="K70" s="500"/>
      <c r="L70" s="500"/>
      <c r="M70" s="500"/>
      <c r="N70" s="500"/>
      <c r="O70" s="500"/>
      <c r="P70" s="500"/>
      <c r="Q70" s="500"/>
      <c r="R70" s="500"/>
      <c r="S70" s="500"/>
      <c r="T70" s="500"/>
      <c r="U70" s="500"/>
      <c r="V70" s="500"/>
      <c r="W70" s="500"/>
      <c r="X70" s="500"/>
      <c r="Y70" s="500"/>
      <c r="Z70" s="500"/>
    </row>
    <row r="71" spans="1:26" ht="37.5" customHeight="1">
      <c r="A71" s="507" t="s">
        <v>635</v>
      </c>
      <c r="B71" s="499" t="s">
        <v>1189</v>
      </c>
      <c r="C71" s="500"/>
      <c r="D71" s="500"/>
      <c r="E71" s="500"/>
      <c r="F71" s="500"/>
      <c r="G71" s="500"/>
      <c r="H71" s="500"/>
      <c r="I71" s="500"/>
      <c r="J71" s="500"/>
      <c r="K71" s="500"/>
      <c r="L71" s="500"/>
      <c r="M71" s="500"/>
      <c r="N71" s="500"/>
      <c r="O71" s="500"/>
      <c r="P71" s="500"/>
      <c r="Q71" s="500"/>
      <c r="R71" s="500"/>
      <c r="S71" s="500"/>
      <c r="T71" s="500"/>
      <c r="U71" s="500"/>
      <c r="V71" s="500"/>
      <c r="W71" s="500"/>
      <c r="X71" s="500"/>
      <c r="Y71" s="500"/>
      <c r="Z71" s="500"/>
    </row>
    <row r="72" spans="1:26" ht="37.5" customHeight="1">
      <c r="A72" s="507" t="s">
        <v>1190</v>
      </c>
      <c r="B72" s="499" t="s">
        <v>1191</v>
      </c>
      <c r="C72" s="500"/>
      <c r="D72" s="500"/>
      <c r="E72" s="500"/>
      <c r="F72" s="500"/>
      <c r="G72" s="500"/>
      <c r="H72" s="500"/>
      <c r="I72" s="500"/>
      <c r="J72" s="500"/>
      <c r="K72" s="500"/>
      <c r="L72" s="500"/>
      <c r="M72" s="500"/>
      <c r="N72" s="500"/>
      <c r="O72" s="500"/>
      <c r="P72" s="500"/>
      <c r="Q72" s="500"/>
      <c r="R72" s="500"/>
      <c r="S72" s="500"/>
      <c r="T72" s="500"/>
      <c r="U72" s="500"/>
      <c r="V72" s="500"/>
      <c r="W72" s="500"/>
      <c r="X72" s="500"/>
      <c r="Y72" s="500"/>
      <c r="Z72" s="500"/>
    </row>
    <row r="73" spans="1:26" ht="37.5" customHeight="1">
      <c r="A73" s="507" t="s">
        <v>346</v>
      </c>
      <c r="B73" s="499" t="s">
        <v>1191</v>
      </c>
      <c r="C73" s="500"/>
      <c r="D73" s="500"/>
      <c r="E73" s="500"/>
      <c r="F73" s="500"/>
      <c r="G73" s="500"/>
      <c r="H73" s="500"/>
      <c r="I73" s="500"/>
      <c r="J73" s="500"/>
      <c r="K73" s="500"/>
      <c r="L73" s="500"/>
      <c r="M73" s="500"/>
      <c r="N73" s="500"/>
      <c r="O73" s="500"/>
      <c r="P73" s="500"/>
      <c r="Q73" s="500"/>
      <c r="R73" s="500"/>
      <c r="S73" s="500"/>
      <c r="T73" s="500"/>
      <c r="U73" s="500"/>
      <c r="V73" s="500"/>
      <c r="W73" s="500"/>
      <c r="X73" s="500"/>
      <c r="Y73" s="500"/>
      <c r="Z73" s="500"/>
    </row>
    <row r="74" spans="1:26" ht="37.5" customHeight="1">
      <c r="A74" s="507" t="s">
        <v>1192</v>
      </c>
      <c r="B74" s="499" t="s">
        <v>1193</v>
      </c>
      <c r="C74" s="500"/>
      <c r="D74" s="500"/>
      <c r="E74" s="500"/>
      <c r="F74" s="500"/>
      <c r="G74" s="500"/>
      <c r="H74" s="500"/>
      <c r="I74" s="500"/>
      <c r="J74" s="500"/>
      <c r="K74" s="500"/>
      <c r="L74" s="500"/>
      <c r="M74" s="500"/>
      <c r="N74" s="500"/>
      <c r="O74" s="500"/>
      <c r="P74" s="500"/>
      <c r="Q74" s="500"/>
      <c r="R74" s="500"/>
      <c r="S74" s="500"/>
      <c r="T74" s="500"/>
      <c r="U74" s="500"/>
      <c r="V74" s="500"/>
      <c r="W74" s="500"/>
      <c r="X74" s="500"/>
      <c r="Y74" s="500"/>
      <c r="Z74" s="500"/>
    </row>
    <row r="75" spans="1:26" ht="37.5" customHeight="1">
      <c r="A75" s="507" t="s">
        <v>329</v>
      </c>
      <c r="B75" s="499" t="s">
        <v>1194</v>
      </c>
      <c r="C75" s="500"/>
      <c r="D75" s="500"/>
      <c r="E75" s="500"/>
      <c r="F75" s="500"/>
      <c r="G75" s="500"/>
      <c r="H75" s="500"/>
      <c r="I75" s="500"/>
      <c r="J75" s="500"/>
      <c r="K75" s="500"/>
      <c r="L75" s="500"/>
      <c r="M75" s="500"/>
      <c r="N75" s="500"/>
      <c r="O75" s="500"/>
      <c r="P75" s="500"/>
      <c r="Q75" s="500"/>
      <c r="R75" s="500"/>
      <c r="S75" s="500"/>
      <c r="T75" s="500"/>
      <c r="U75" s="500"/>
      <c r="V75" s="500"/>
      <c r="W75" s="500"/>
      <c r="X75" s="500"/>
      <c r="Y75" s="500"/>
      <c r="Z75" s="500"/>
    </row>
    <row r="76" spans="1:26" ht="37.5" customHeight="1">
      <c r="A76" s="507" t="s">
        <v>246</v>
      </c>
      <c r="B76" s="499" t="s">
        <v>1195</v>
      </c>
      <c r="C76" s="500"/>
      <c r="D76" s="500"/>
      <c r="E76" s="500"/>
      <c r="F76" s="500"/>
      <c r="G76" s="500"/>
      <c r="H76" s="500"/>
      <c r="I76" s="500"/>
      <c r="J76" s="500"/>
      <c r="K76" s="500"/>
      <c r="L76" s="500"/>
      <c r="M76" s="500"/>
      <c r="N76" s="500"/>
      <c r="O76" s="500"/>
      <c r="P76" s="500"/>
      <c r="Q76" s="500"/>
      <c r="R76" s="500"/>
      <c r="S76" s="500"/>
      <c r="T76" s="500"/>
      <c r="U76" s="500"/>
      <c r="V76" s="500"/>
      <c r="W76" s="500"/>
      <c r="X76" s="500"/>
      <c r="Y76" s="500"/>
      <c r="Z76" s="500"/>
    </row>
    <row r="77" spans="1:26" ht="37.5" customHeight="1">
      <c r="A77" s="507" t="s">
        <v>233</v>
      </c>
      <c r="B77" s="502" t="s">
        <v>1196</v>
      </c>
      <c r="C77" s="500"/>
      <c r="D77" s="500"/>
      <c r="E77" s="500"/>
      <c r="F77" s="500"/>
      <c r="G77" s="500"/>
      <c r="H77" s="500"/>
      <c r="I77" s="500"/>
      <c r="J77" s="500"/>
      <c r="K77" s="500"/>
      <c r="L77" s="500"/>
      <c r="M77" s="500"/>
      <c r="N77" s="500"/>
      <c r="O77" s="500"/>
      <c r="P77" s="500"/>
      <c r="Q77" s="500"/>
      <c r="R77" s="500"/>
      <c r="S77" s="500"/>
      <c r="T77" s="500"/>
      <c r="U77" s="500"/>
      <c r="V77" s="500"/>
      <c r="W77" s="500"/>
      <c r="X77" s="500"/>
      <c r="Y77" s="500"/>
      <c r="Z77" s="500"/>
    </row>
    <row r="78" spans="1:26" ht="37.5" customHeight="1">
      <c r="A78" s="507" t="s">
        <v>585</v>
      </c>
      <c r="B78" s="499" t="s">
        <v>1197</v>
      </c>
      <c r="C78" s="500"/>
      <c r="D78" s="500"/>
      <c r="E78" s="500"/>
      <c r="F78" s="500"/>
      <c r="G78" s="500"/>
      <c r="H78" s="500"/>
      <c r="I78" s="500"/>
      <c r="J78" s="500"/>
      <c r="K78" s="500"/>
      <c r="L78" s="500"/>
      <c r="M78" s="500"/>
      <c r="N78" s="500"/>
      <c r="O78" s="500"/>
      <c r="P78" s="500"/>
      <c r="Q78" s="500"/>
      <c r="R78" s="500"/>
      <c r="S78" s="500"/>
      <c r="T78" s="500"/>
      <c r="U78" s="500"/>
      <c r="V78" s="500"/>
      <c r="W78" s="500"/>
      <c r="X78" s="500"/>
      <c r="Y78" s="500"/>
      <c r="Z78" s="500"/>
    </row>
    <row r="79" spans="1:26" ht="37.5" customHeight="1">
      <c r="A79" s="507" t="s">
        <v>171</v>
      </c>
      <c r="B79" s="499" t="s">
        <v>1198</v>
      </c>
      <c r="C79" s="500"/>
      <c r="D79" s="500"/>
      <c r="E79" s="500"/>
      <c r="F79" s="500"/>
      <c r="G79" s="500"/>
      <c r="H79" s="500"/>
      <c r="I79" s="500"/>
      <c r="J79" s="500"/>
      <c r="K79" s="500"/>
      <c r="L79" s="500"/>
      <c r="M79" s="500"/>
      <c r="N79" s="500"/>
      <c r="O79" s="500"/>
      <c r="P79" s="500"/>
      <c r="Q79" s="500"/>
      <c r="R79" s="500"/>
      <c r="S79" s="500"/>
      <c r="T79" s="500"/>
      <c r="U79" s="500"/>
      <c r="V79" s="500"/>
      <c r="W79" s="500"/>
      <c r="X79" s="500"/>
      <c r="Y79" s="500"/>
      <c r="Z79" s="500"/>
    </row>
    <row r="80" spans="1:26" ht="37.5" customHeight="1">
      <c r="A80" s="507" t="s">
        <v>389</v>
      </c>
      <c r="B80" s="499" t="s">
        <v>1199</v>
      </c>
      <c r="C80" s="500"/>
      <c r="D80" s="500"/>
      <c r="E80" s="500"/>
      <c r="F80" s="500"/>
      <c r="G80" s="500"/>
      <c r="H80" s="500"/>
      <c r="I80" s="500"/>
      <c r="J80" s="500"/>
      <c r="K80" s="500"/>
      <c r="L80" s="500"/>
      <c r="M80" s="500"/>
      <c r="N80" s="500"/>
      <c r="O80" s="500"/>
      <c r="P80" s="500"/>
      <c r="Q80" s="500"/>
      <c r="R80" s="500"/>
      <c r="S80" s="500"/>
      <c r="T80" s="500"/>
      <c r="U80" s="500"/>
      <c r="V80" s="500"/>
      <c r="W80" s="500"/>
      <c r="X80" s="500"/>
      <c r="Y80" s="500"/>
      <c r="Z80" s="500"/>
    </row>
    <row r="81" spans="1:26" ht="37.5" customHeight="1">
      <c r="A81" s="507" t="s">
        <v>897</v>
      </c>
      <c r="B81" s="499" t="s">
        <v>1199</v>
      </c>
      <c r="C81" s="500"/>
      <c r="D81" s="500"/>
      <c r="E81" s="500"/>
      <c r="F81" s="500"/>
      <c r="G81" s="500"/>
      <c r="H81" s="500"/>
      <c r="I81" s="500"/>
      <c r="J81" s="500"/>
      <c r="K81" s="500"/>
      <c r="L81" s="500"/>
      <c r="M81" s="500"/>
      <c r="N81" s="500"/>
      <c r="O81" s="500"/>
      <c r="P81" s="500"/>
      <c r="Q81" s="500"/>
      <c r="R81" s="500"/>
      <c r="S81" s="500"/>
      <c r="T81" s="500"/>
      <c r="U81" s="500"/>
      <c r="V81" s="500"/>
      <c r="W81" s="500"/>
      <c r="X81" s="500"/>
      <c r="Y81" s="500"/>
      <c r="Z81" s="500"/>
    </row>
    <row r="82" spans="1:26" ht="37.5" customHeight="1">
      <c r="A82" s="507" t="s">
        <v>1200</v>
      </c>
      <c r="B82" s="499" t="s">
        <v>1201</v>
      </c>
      <c r="C82" s="500"/>
      <c r="D82" s="500"/>
      <c r="E82" s="500"/>
      <c r="F82" s="500"/>
      <c r="G82" s="500"/>
      <c r="H82" s="500"/>
      <c r="I82" s="500"/>
      <c r="J82" s="500"/>
      <c r="K82" s="500"/>
      <c r="L82" s="500"/>
      <c r="M82" s="500"/>
      <c r="N82" s="500"/>
      <c r="O82" s="500"/>
      <c r="P82" s="500"/>
      <c r="Q82" s="500"/>
      <c r="R82" s="500"/>
      <c r="S82" s="500"/>
      <c r="T82" s="500"/>
      <c r="U82" s="500"/>
      <c r="V82" s="500"/>
      <c r="W82" s="500"/>
      <c r="X82" s="500"/>
      <c r="Y82" s="500"/>
      <c r="Z82" s="500"/>
    </row>
    <row r="83" spans="1:26" ht="37.5" customHeight="1">
      <c r="A83" s="507" t="s">
        <v>479</v>
      </c>
      <c r="B83" s="499" t="s">
        <v>1202</v>
      </c>
      <c r="C83" s="500"/>
      <c r="D83" s="500"/>
      <c r="E83" s="500"/>
      <c r="F83" s="500"/>
      <c r="G83" s="500"/>
      <c r="H83" s="500"/>
      <c r="I83" s="500"/>
      <c r="J83" s="500"/>
      <c r="K83" s="500"/>
      <c r="L83" s="500"/>
      <c r="M83" s="500"/>
      <c r="N83" s="500"/>
      <c r="O83" s="500"/>
      <c r="P83" s="500"/>
      <c r="Q83" s="500"/>
      <c r="R83" s="500"/>
      <c r="S83" s="500"/>
      <c r="T83" s="500"/>
      <c r="U83" s="500"/>
      <c r="V83" s="500"/>
      <c r="W83" s="500"/>
      <c r="X83" s="500"/>
      <c r="Y83" s="500"/>
      <c r="Z83" s="500"/>
    </row>
    <row r="84" spans="1:26" ht="37.5" customHeight="1">
      <c r="A84" s="507" t="s">
        <v>348</v>
      </c>
      <c r="B84" s="499" t="s">
        <v>1201</v>
      </c>
      <c r="C84" s="500"/>
      <c r="D84" s="500"/>
      <c r="E84" s="500"/>
      <c r="F84" s="500"/>
      <c r="G84" s="500"/>
      <c r="H84" s="500"/>
      <c r="I84" s="500"/>
      <c r="J84" s="500"/>
      <c r="K84" s="500"/>
      <c r="L84" s="500"/>
      <c r="M84" s="500"/>
      <c r="N84" s="500"/>
      <c r="O84" s="500"/>
      <c r="P84" s="500"/>
      <c r="Q84" s="500"/>
      <c r="R84" s="500"/>
      <c r="S84" s="500"/>
      <c r="T84" s="500"/>
      <c r="U84" s="500"/>
      <c r="V84" s="500"/>
      <c r="W84" s="500"/>
      <c r="X84" s="500"/>
      <c r="Y84" s="500"/>
      <c r="Z84" s="500"/>
    </row>
    <row r="85" spans="1:26" ht="37.5" customHeight="1">
      <c r="A85" s="507" t="s">
        <v>288</v>
      </c>
      <c r="B85" s="499" t="s">
        <v>1203</v>
      </c>
      <c r="C85" s="500"/>
      <c r="D85" s="500"/>
      <c r="E85" s="500"/>
      <c r="F85" s="500"/>
      <c r="G85" s="500"/>
      <c r="H85" s="500"/>
      <c r="I85" s="500"/>
      <c r="J85" s="500"/>
      <c r="K85" s="500"/>
      <c r="L85" s="500"/>
      <c r="M85" s="500"/>
      <c r="N85" s="500"/>
      <c r="O85" s="500"/>
      <c r="P85" s="500"/>
      <c r="Q85" s="500"/>
      <c r="R85" s="500"/>
      <c r="S85" s="500"/>
      <c r="T85" s="500"/>
      <c r="U85" s="500"/>
      <c r="V85" s="500"/>
      <c r="W85" s="500"/>
      <c r="X85" s="500"/>
      <c r="Y85" s="500"/>
      <c r="Z85" s="500"/>
    </row>
    <row r="86" spans="1:26" ht="37.5" customHeight="1">
      <c r="A86" s="507" t="s">
        <v>445</v>
      </c>
      <c r="B86" s="499" t="s">
        <v>1204</v>
      </c>
      <c r="C86" s="500"/>
      <c r="D86" s="500"/>
      <c r="E86" s="500"/>
      <c r="F86" s="500"/>
      <c r="G86" s="500"/>
      <c r="H86" s="500"/>
      <c r="I86" s="500"/>
      <c r="J86" s="500"/>
      <c r="K86" s="500"/>
      <c r="L86" s="500"/>
      <c r="M86" s="500"/>
      <c r="N86" s="500"/>
      <c r="O86" s="500"/>
      <c r="P86" s="500"/>
      <c r="Q86" s="500"/>
      <c r="R86" s="500"/>
      <c r="S86" s="500"/>
      <c r="T86" s="500"/>
      <c r="U86" s="500"/>
      <c r="V86" s="500"/>
      <c r="W86" s="500"/>
      <c r="X86" s="500"/>
      <c r="Y86" s="500"/>
      <c r="Z86" s="500"/>
    </row>
    <row r="87" spans="1:26" ht="37.5" customHeight="1">
      <c r="A87" s="507" t="s">
        <v>830</v>
      </c>
      <c r="B87" s="499" t="s">
        <v>1204</v>
      </c>
      <c r="C87" s="500"/>
      <c r="D87" s="500"/>
      <c r="E87" s="500"/>
      <c r="F87" s="500"/>
      <c r="G87" s="500"/>
      <c r="H87" s="500"/>
      <c r="I87" s="500"/>
      <c r="J87" s="500"/>
      <c r="K87" s="500"/>
      <c r="L87" s="500"/>
      <c r="M87" s="500"/>
      <c r="N87" s="500"/>
      <c r="O87" s="500"/>
      <c r="P87" s="500"/>
      <c r="Q87" s="500"/>
      <c r="R87" s="500"/>
      <c r="S87" s="500"/>
      <c r="T87" s="500"/>
      <c r="U87" s="500"/>
      <c r="V87" s="500"/>
      <c r="W87" s="500"/>
      <c r="X87" s="500"/>
      <c r="Y87" s="500"/>
      <c r="Z87" s="500"/>
    </row>
    <row r="88" spans="1:26" ht="37.5" customHeight="1">
      <c r="A88" s="507" t="s">
        <v>538</v>
      </c>
      <c r="B88" s="499" t="s">
        <v>1205</v>
      </c>
      <c r="C88" s="500"/>
      <c r="D88" s="500"/>
      <c r="E88" s="500"/>
      <c r="F88" s="500"/>
      <c r="G88" s="500"/>
      <c r="H88" s="500"/>
      <c r="I88" s="500"/>
      <c r="J88" s="500"/>
      <c r="K88" s="500"/>
      <c r="L88" s="500"/>
      <c r="M88" s="500"/>
      <c r="N88" s="500"/>
      <c r="O88" s="500"/>
      <c r="P88" s="500"/>
      <c r="Q88" s="500"/>
      <c r="R88" s="500"/>
      <c r="S88" s="500"/>
      <c r="T88" s="500"/>
      <c r="U88" s="500"/>
      <c r="V88" s="500"/>
      <c r="W88" s="500"/>
      <c r="X88" s="500"/>
      <c r="Y88" s="500"/>
      <c r="Z88" s="500"/>
    </row>
    <row r="89" spans="1:26" ht="37.5" customHeight="1">
      <c r="A89" s="507" t="s">
        <v>367</v>
      </c>
      <c r="B89" s="499" t="s">
        <v>1206</v>
      </c>
      <c r="C89" s="500"/>
      <c r="D89" s="500"/>
      <c r="E89" s="500"/>
      <c r="F89" s="500"/>
      <c r="G89" s="500"/>
      <c r="H89" s="500"/>
      <c r="I89" s="500"/>
      <c r="J89" s="500"/>
      <c r="K89" s="500"/>
      <c r="L89" s="500"/>
      <c r="M89" s="500"/>
      <c r="N89" s="500"/>
      <c r="O89" s="500"/>
      <c r="P89" s="500"/>
      <c r="Q89" s="500"/>
      <c r="R89" s="500"/>
      <c r="S89" s="500"/>
      <c r="T89" s="500"/>
      <c r="U89" s="500"/>
      <c r="V89" s="500"/>
      <c r="W89" s="500"/>
      <c r="X89" s="500"/>
      <c r="Y89" s="500"/>
      <c r="Z89" s="500"/>
    </row>
    <row r="90" spans="1:26" ht="37.5" customHeight="1">
      <c r="A90" s="498" t="s">
        <v>447</v>
      </c>
      <c r="B90" s="504" t="s">
        <v>1207</v>
      </c>
      <c r="C90" s="500"/>
      <c r="D90" s="500"/>
      <c r="E90" s="500"/>
      <c r="F90" s="500"/>
      <c r="G90" s="500"/>
      <c r="H90" s="500"/>
      <c r="I90" s="500"/>
      <c r="J90" s="500"/>
      <c r="K90" s="500"/>
      <c r="L90" s="500"/>
      <c r="M90" s="500"/>
      <c r="N90" s="500"/>
      <c r="O90" s="500"/>
      <c r="P90" s="500"/>
      <c r="Q90" s="500"/>
      <c r="R90" s="500"/>
      <c r="S90" s="500"/>
      <c r="T90" s="500"/>
      <c r="U90" s="500"/>
      <c r="V90" s="500"/>
      <c r="W90" s="500"/>
      <c r="X90" s="500"/>
      <c r="Y90" s="500"/>
      <c r="Z90" s="500"/>
    </row>
    <row r="91" spans="1:26" ht="37.5" customHeight="1">
      <c r="A91" s="507" t="s">
        <v>1208</v>
      </c>
      <c r="B91" s="499" t="s">
        <v>1209</v>
      </c>
      <c r="C91" s="500"/>
      <c r="D91" s="500"/>
      <c r="E91" s="500"/>
      <c r="F91" s="500"/>
      <c r="G91" s="500"/>
      <c r="H91" s="500"/>
      <c r="I91" s="500"/>
      <c r="J91" s="500"/>
      <c r="K91" s="500"/>
      <c r="L91" s="500"/>
      <c r="M91" s="500"/>
      <c r="N91" s="500"/>
      <c r="O91" s="500"/>
      <c r="P91" s="500"/>
      <c r="Q91" s="500"/>
      <c r="R91" s="500"/>
      <c r="S91" s="500"/>
      <c r="T91" s="500"/>
      <c r="U91" s="500"/>
      <c r="V91" s="500"/>
      <c r="W91" s="500"/>
      <c r="X91" s="500"/>
      <c r="Y91" s="500"/>
      <c r="Z91" s="500"/>
    </row>
    <row r="92" spans="1:26" ht="37.5" customHeight="1">
      <c r="A92" s="507" t="s">
        <v>542</v>
      </c>
      <c r="B92" s="499"/>
      <c r="C92" s="500"/>
      <c r="D92" s="500"/>
      <c r="E92" s="500"/>
      <c r="F92" s="500"/>
      <c r="G92" s="500"/>
      <c r="H92" s="500"/>
      <c r="I92" s="500"/>
      <c r="J92" s="500"/>
      <c r="K92" s="500"/>
      <c r="L92" s="500"/>
      <c r="M92" s="500"/>
      <c r="N92" s="500"/>
      <c r="O92" s="500"/>
      <c r="P92" s="500"/>
      <c r="Q92" s="500"/>
      <c r="R92" s="500"/>
      <c r="S92" s="500"/>
      <c r="T92" s="500"/>
      <c r="U92" s="500"/>
      <c r="V92" s="500"/>
      <c r="W92" s="500"/>
      <c r="X92" s="500"/>
      <c r="Y92" s="500"/>
      <c r="Z92" s="500"/>
    </row>
    <row r="93" spans="1:26" ht="37.5" customHeight="1">
      <c r="A93" s="507" t="s">
        <v>289</v>
      </c>
      <c r="B93" s="499" t="s">
        <v>1210</v>
      </c>
      <c r="C93" s="500"/>
      <c r="D93" s="500"/>
      <c r="E93" s="500"/>
      <c r="F93" s="500"/>
      <c r="G93" s="500"/>
      <c r="H93" s="500"/>
      <c r="I93" s="500"/>
      <c r="J93" s="500"/>
      <c r="K93" s="500"/>
      <c r="L93" s="500"/>
      <c r="M93" s="500"/>
      <c r="N93" s="500"/>
      <c r="O93" s="500"/>
      <c r="P93" s="500"/>
      <c r="Q93" s="500"/>
      <c r="R93" s="500"/>
      <c r="S93" s="500"/>
      <c r="T93" s="500"/>
      <c r="U93" s="500"/>
      <c r="V93" s="500"/>
      <c r="W93" s="500"/>
      <c r="X93" s="500"/>
      <c r="Y93" s="500"/>
      <c r="Z93" s="500"/>
    </row>
    <row r="94" spans="1:26" ht="37.5" customHeight="1">
      <c r="A94" s="507" t="s">
        <v>394</v>
      </c>
      <c r="B94" s="499" t="s">
        <v>1211</v>
      </c>
      <c r="C94" s="500"/>
      <c r="D94" s="500"/>
      <c r="E94" s="500"/>
      <c r="F94" s="500"/>
      <c r="G94" s="500"/>
      <c r="H94" s="500"/>
      <c r="I94" s="500"/>
      <c r="J94" s="500"/>
      <c r="K94" s="500"/>
      <c r="L94" s="500"/>
      <c r="M94" s="500"/>
      <c r="N94" s="500"/>
      <c r="O94" s="500"/>
      <c r="P94" s="500"/>
      <c r="Q94" s="500"/>
      <c r="R94" s="500"/>
      <c r="S94" s="500"/>
      <c r="T94" s="500"/>
      <c r="U94" s="500"/>
      <c r="V94" s="500"/>
      <c r="W94" s="500"/>
      <c r="X94" s="500"/>
      <c r="Y94" s="500"/>
      <c r="Z94" s="500"/>
    </row>
    <row r="95" spans="1:26" ht="37.5" customHeight="1">
      <c r="A95" s="507" t="s">
        <v>235</v>
      </c>
      <c r="B95" s="502" t="s">
        <v>1131</v>
      </c>
      <c r="C95" s="500"/>
      <c r="D95" s="500"/>
      <c r="E95" s="500"/>
      <c r="F95" s="500"/>
      <c r="G95" s="500"/>
      <c r="H95" s="500"/>
      <c r="I95" s="500"/>
      <c r="J95" s="500"/>
      <c r="K95" s="500"/>
      <c r="L95" s="500"/>
      <c r="M95" s="500"/>
      <c r="N95" s="500"/>
      <c r="O95" s="500"/>
      <c r="P95" s="500"/>
      <c r="Q95" s="500"/>
      <c r="R95" s="500"/>
      <c r="S95" s="500"/>
      <c r="T95" s="500"/>
      <c r="U95" s="500"/>
      <c r="V95" s="500"/>
      <c r="W95" s="500"/>
      <c r="X95" s="500"/>
      <c r="Y95" s="500"/>
      <c r="Z95" s="500"/>
    </row>
    <row r="96" spans="1:26" ht="37.5" customHeight="1">
      <c r="A96" s="507" t="s">
        <v>249</v>
      </c>
      <c r="B96" s="499" t="s">
        <v>1195</v>
      </c>
      <c r="C96" s="500"/>
      <c r="D96" s="500"/>
      <c r="E96" s="500"/>
      <c r="F96" s="500"/>
      <c r="G96" s="500"/>
      <c r="H96" s="500"/>
      <c r="I96" s="500"/>
      <c r="J96" s="500"/>
      <c r="K96" s="500"/>
      <c r="L96" s="500"/>
      <c r="M96" s="500"/>
      <c r="N96" s="500"/>
      <c r="O96" s="500"/>
      <c r="P96" s="500"/>
      <c r="Q96" s="500"/>
      <c r="R96" s="500"/>
      <c r="S96" s="500"/>
      <c r="T96" s="500"/>
      <c r="U96" s="500"/>
      <c r="V96" s="500"/>
      <c r="W96" s="500"/>
      <c r="X96" s="500"/>
      <c r="Y96" s="500"/>
      <c r="Z96" s="500"/>
    </row>
    <row r="97" spans="1:26" ht="37.5" customHeight="1">
      <c r="A97" s="507" t="s">
        <v>368</v>
      </c>
      <c r="B97" s="499" t="s">
        <v>1212</v>
      </c>
      <c r="C97" s="500"/>
      <c r="D97" s="500"/>
      <c r="E97" s="500"/>
      <c r="F97" s="500"/>
      <c r="G97" s="500"/>
      <c r="H97" s="500"/>
      <c r="I97" s="500"/>
      <c r="J97" s="500"/>
      <c r="K97" s="500"/>
      <c r="L97" s="500"/>
      <c r="M97" s="500"/>
      <c r="N97" s="500"/>
      <c r="O97" s="500"/>
      <c r="P97" s="500"/>
      <c r="Q97" s="500"/>
      <c r="R97" s="500"/>
      <c r="S97" s="500"/>
      <c r="T97" s="500"/>
      <c r="U97" s="500"/>
      <c r="V97" s="500"/>
      <c r="W97" s="500"/>
      <c r="X97" s="500"/>
      <c r="Y97" s="500"/>
      <c r="Z97" s="500"/>
    </row>
    <row r="98" spans="1:26" ht="37.5" customHeight="1">
      <c r="A98" s="507" t="s">
        <v>292</v>
      </c>
      <c r="B98" s="499" t="s">
        <v>1213</v>
      </c>
      <c r="C98" s="500"/>
      <c r="D98" s="500"/>
      <c r="E98" s="500"/>
      <c r="F98" s="500"/>
      <c r="G98" s="500"/>
      <c r="H98" s="500"/>
      <c r="I98" s="500"/>
      <c r="J98" s="500"/>
      <c r="K98" s="500"/>
      <c r="L98" s="500"/>
      <c r="M98" s="500"/>
      <c r="N98" s="500"/>
      <c r="O98" s="500"/>
      <c r="P98" s="500"/>
      <c r="Q98" s="500"/>
      <c r="R98" s="500"/>
      <c r="S98" s="500"/>
      <c r="T98" s="500"/>
      <c r="U98" s="500"/>
      <c r="V98" s="500"/>
      <c r="W98" s="500"/>
      <c r="X98" s="500"/>
      <c r="Y98" s="500"/>
      <c r="Z98" s="500"/>
    </row>
    <row r="99" spans="1:26" ht="37.5" customHeight="1">
      <c r="A99" s="507" t="s">
        <v>175</v>
      </c>
      <c r="B99" s="499" t="s">
        <v>1214</v>
      </c>
      <c r="C99" s="500"/>
      <c r="D99" s="500"/>
      <c r="E99" s="500"/>
      <c r="F99" s="500"/>
      <c r="G99" s="500"/>
      <c r="H99" s="500"/>
      <c r="I99" s="500"/>
      <c r="J99" s="500"/>
      <c r="K99" s="500"/>
      <c r="L99" s="500"/>
      <c r="M99" s="500"/>
      <c r="N99" s="500"/>
      <c r="O99" s="500"/>
      <c r="P99" s="500"/>
      <c r="Q99" s="500"/>
      <c r="R99" s="500"/>
      <c r="S99" s="500"/>
      <c r="T99" s="500"/>
      <c r="U99" s="500"/>
      <c r="V99" s="500"/>
      <c r="W99" s="500"/>
      <c r="X99" s="500"/>
      <c r="Y99" s="500"/>
      <c r="Z99" s="500"/>
    </row>
    <row r="100" spans="1:26" ht="37.5" customHeight="1">
      <c r="A100" s="507" t="s">
        <v>177</v>
      </c>
      <c r="B100" s="499" t="s">
        <v>1215</v>
      </c>
      <c r="C100" s="500"/>
      <c r="D100" s="500"/>
      <c r="E100" s="500"/>
      <c r="F100" s="500"/>
      <c r="G100" s="500"/>
      <c r="H100" s="500"/>
      <c r="I100" s="500"/>
      <c r="J100" s="500"/>
      <c r="K100" s="500"/>
      <c r="L100" s="500"/>
      <c r="M100" s="500"/>
      <c r="N100" s="500"/>
      <c r="O100" s="500"/>
      <c r="P100" s="500"/>
      <c r="Q100" s="500"/>
      <c r="R100" s="500"/>
      <c r="S100" s="500"/>
      <c r="T100" s="500"/>
      <c r="U100" s="500"/>
      <c r="V100" s="500"/>
      <c r="W100" s="500"/>
      <c r="X100" s="500"/>
      <c r="Y100" s="500"/>
      <c r="Z100" s="500"/>
    </row>
    <row r="101" spans="1:26" ht="37.5" customHeight="1">
      <c r="A101" s="507" t="s">
        <v>1216</v>
      </c>
      <c r="B101" s="499" t="s">
        <v>1217</v>
      </c>
      <c r="C101" s="500"/>
      <c r="D101" s="500"/>
      <c r="E101" s="500"/>
      <c r="F101" s="500"/>
      <c r="G101" s="500"/>
      <c r="H101" s="500"/>
      <c r="I101" s="500"/>
      <c r="J101" s="500"/>
      <c r="K101" s="500"/>
      <c r="L101" s="500"/>
      <c r="M101" s="500"/>
      <c r="N101" s="500"/>
      <c r="O101" s="500"/>
      <c r="P101" s="500"/>
      <c r="Q101" s="500"/>
      <c r="R101" s="500"/>
      <c r="S101" s="500"/>
      <c r="T101" s="500"/>
      <c r="U101" s="500"/>
      <c r="V101" s="500"/>
      <c r="W101" s="500"/>
      <c r="X101" s="500"/>
      <c r="Y101" s="500"/>
      <c r="Z101" s="500"/>
    </row>
    <row r="102" spans="1:26" ht="37.5" customHeight="1">
      <c r="A102" s="507" t="s">
        <v>296</v>
      </c>
      <c r="B102" s="499" t="s">
        <v>1218</v>
      </c>
      <c r="C102" s="500"/>
      <c r="D102" s="500"/>
      <c r="E102" s="500"/>
      <c r="F102" s="500"/>
      <c r="G102" s="500"/>
      <c r="H102" s="500"/>
      <c r="I102" s="500"/>
      <c r="J102" s="500"/>
      <c r="K102" s="500"/>
      <c r="L102" s="500"/>
      <c r="M102" s="500"/>
      <c r="N102" s="500"/>
      <c r="O102" s="500"/>
      <c r="P102" s="500"/>
      <c r="Q102" s="500"/>
      <c r="R102" s="500"/>
      <c r="S102" s="500"/>
      <c r="T102" s="500"/>
      <c r="U102" s="500"/>
      <c r="V102" s="500"/>
      <c r="W102" s="500"/>
      <c r="X102" s="500"/>
      <c r="Y102" s="500"/>
      <c r="Z102" s="500"/>
    </row>
    <row r="103" spans="1:26" ht="37.5" customHeight="1">
      <c r="A103" s="507" t="s">
        <v>250</v>
      </c>
      <c r="B103" s="499" t="s">
        <v>1219</v>
      </c>
      <c r="C103" s="500"/>
      <c r="D103" s="500"/>
      <c r="E103" s="500"/>
      <c r="F103" s="500"/>
      <c r="G103" s="500"/>
      <c r="H103" s="500"/>
      <c r="I103" s="500"/>
      <c r="J103" s="500"/>
      <c r="K103" s="500"/>
      <c r="L103" s="500"/>
      <c r="M103" s="500"/>
      <c r="N103" s="500"/>
      <c r="O103" s="500"/>
      <c r="P103" s="500"/>
      <c r="Q103" s="500"/>
      <c r="R103" s="500"/>
      <c r="S103" s="500"/>
      <c r="T103" s="500"/>
      <c r="U103" s="500"/>
      <c r="V103" s="500"/>
      <c r="W103" s="500"/>
      <c r="X103" s="500"/>
      <c r="Y103" s="500"/>
      <c r="Z103" s="500"/>
    </row>
    <row r="104" spans="1:26" ht="37.5" customHeight="1">
      <c r="A104" s="507" t="s">
        <v>330</v>
      </c>
      <c r="B104" s="499" t="s">
        <v>1220</v>
      </c>
      <c r="C104" s="500"/>
      <c r="D104" s="500"/>
      <c r="E104" s="500"/>
      <c r="F104" s="500"/>
      <c r="G104" s="500"/>
      <c r="H104" s="500"/>
      <c r="I104" s="500"/>
      <c r="J104" s="500"/>
      <c r="K104" s="500"/>
      <c r="L104" s="500"/>
      <c r="M104" s="500"/>
      <c r="N104" s="500"/>
      <c r="O104" s="500"/>
      <c r="P104" s="500"/>
      <c r="Q104" s="500"/>
      <c r="R104" s="500"/>
      <c r="S104" s="500"/>
      <c r="T104" s="500"/>
      <c r="U104" s="500"/>
      <c r="V104" s="500"/>
      <c r="W104" s="500"/>
      <c r="X104" s="500"/>
      <c r="Y104" s="500"/>
      <c r="Z104" s="500"/>
    </row>
    <row r="105" spans="1:26" ht="37.5" customHeight="1">
      <c r="A105" s="507" t="s">
        <v>1221</v>
      </c>
      <c r="B105" s="499" t="s">
        <v>1222</v>
      </c>
      <c r="C105" s="500"/>
      <c r="D105" s="500"/>
      <c r="E105" s="500"/>
      <c r="F105" s="500"/>
      <c r="G105" s="500"/>
      <c r="H105" s="500"/>
      <c r="I105" s="500"/>
      <c r="J105" s="500"/>
      <c r="K105" s="500"/>
      <c r="L105" s="500"/>
      <c r="M105" s="500"/>
      <c r="N105" s="500"/>
      <c r="O105" s="500"/>
      <c r="P105" s="500"/>
      <c r="Q105" s="500"/>
      <c r="R105" s="500"/>
      <c r="S105" s="500"/>
      <c r="T105" s="500"/>
      <c r="U105" s="500"/>
      <c r="V105" s="500"/>
      <c r="W105" s="500"/>
      <c r="X105" s="500"/>
      <c r="Y105" s="500"/>
      <c r="Z105" s="500"/>
    </row>
    <row r="106" spans="1:26" ht="37.5" customHeight="1">
      <c r="A106" s="507" t="s">
        <v>16</v>
      </c>
      <c r="B106" s="499" t="s">
        <v>1223</v>
      </c>
      <c r="C106" s="500"/>
      <c r="D106" s="500"/>
      <c r="E106" s="500"/>
      <c r="F106" s="500"/>
      <c r="G106" s="500"/>
      <c r="H106" s="500"/>
      <c r="I106" s="500"/>
      <c r="J106" s="500"/>
      <c r="K106" s="500"/>
      <c r="L106" s="500"/>
      <c r="M106" s="500"/>
      <c r="N106" s="500"/>
      <c r="O106" s="500"/>
      <c r="P106" s="500"/>
      <c r="Q106" s="500"/>
      <c r="R106" s="500"/>
      <c r="S106" s="500"/>
      <c r="T106" s="500"/>
      <c r="U106" s="500"/>
      <c r="V106" s="500"/>
      <c r="W106" s="500"/>
      <c r="X106" s="500"/>
      <c r="Y106" s="500"/>
      <c r="Z106" s="500"/>
    </row>
    <row r="107" spans="1:26" ht="37.5" customHeight="1">
      <c r="A107" s="507" t="s">
        <v>544</v>
      </c>
      <c r="B107" s="499" t="s">
        <v>1224</v>
      </c>
      <c r="C107" s="500"/>
      <c r="D107" s="500"/>
      <c r="E107" s="500"/>
      <c r="F107" s="500"/>
      <c r="G107" s="500"/>
      <c r="H107" s="500"/>
      <c r="I107" s="500"/>
      <c r="J107" s="500"/>
      <c r="K107" s="500"/>
      <c r="L107" s="500"/>
      <c r="M107" s="500"/>
      <c r="N107" s="500"/>
      <c r="O107" s="500"/>
      <c r="P107" s="500"/>
      <c r="Q107" s="500"/>
      <c r="R107" s="500"/>
      <c r="S107" s="500"/>
      <c r="T107" s="500"/>
      <c r="U107" s="500"/>
      <c r="V107" s="500"/>
      <c r="W107" s="500"/>
      <c r="X107" s="500"/>
      <c r="Y107" s="500"/>
      <c r="Z107" s="500"/>
    </row>
    <row r="108" spans="1:26" ht="37.5" customHeight="1">
      <c r="A108" s="507" t="s">
        <v>183</v>
      </c>
      <c r="B108" s="499" t="s">
        <v>1225</v>
      </c>
      <c r="C108" s="500"/>
      <c r="D108" s="500"/>
      <c r="E108" s="500"/>
      <c r="F108" s="500"/>
      <c r="G108" s="500"/>
      <c r="H108" s="500"/>
      <c r="I108" s="500"/>
      <c r="J108" s="500"/>
      <c r="K108" s="500"/>
      <c r="L108" s="500"/>
      <c r="M108" s="500"/>
      <c r="N108" s="500"/>
      <c r="O108" s="500"/>
      <c r="P108" s="500"/>
      <c r="Q108" s="500"/>
      <c r="R108" s="500"/>
      <c r="S108" s="500"/>
      <c r="T108" s="500"/>
      <c r="U108" s="500"/>
      <c r="V108" s="500"/>
      <c r="W108" s="500"/>
      <c r="X108" s="500"/>
      <c r="Y108" s="500"/>
      <c r="Z108" s="500"/>
    </row>
    <row r="109" spans="1:26" ht="37.5" customHeight="1">
      <c r="A109" s="507" t="s">
        <v>338</v>
      </c>
      <c r="B109" s="499" t="s">
        <v>1226</v>
      </c>
      <c r="C109" s="500"/>
      <c r="D109" s="500"/>
      <c r="E109" s="500"/>
      <c r="F109" s="500"/>
      <c r="G109" s="500"/>
      <c r="H109" s="500"/>
      <c r="I109" s="500"/>
      <c r="J109" s="500"/>
      <c r="K109" s="500"/>
      <c r="L109" s="500"/>
      <c r="M109" s="500"/>
      <c r="N109" s="500"/>
      <c r="O109" s="500"/>
      <c r="P109" s="500"/>
      <c r="Q109" s="500"/>
      <c r="R109" s="500"/>
      <c r="S109" s="500"/>
      <c r="T109" s="500"/>
      <c r="U109" s="500"/>
      <c r="V109" s="500"/>
      <c r="W109" s="500"/>
      <c r="X109" s="500"/>
      <c r="Y109" s="500"/>
      <c r="Z109" s="500"/>
    </row>
    <row r="110" spans="1:26" ht="37.5" customHeight="1">
      <c r="A110" s="507" t="s">
        <v>21</v>
      </c>
      <c r="B110" s="499" t="s">
        <v>1227</v>
      </c>
      <c r="C110" s="500"/>
      <c r="D110" s="500"/>
      <c r="E110" s="500"/>
      <c r="F110" s="500"/>
      <c r="G110" s="500"/>
      <c r="H110" s="500"/>
      <c r="I110" s="500"/>
      <c r="J110" s="500"/>
      <c r="K110" s="500"/>
      <c r="L110" s="500"/>
      <c r="M110" s="500"/>
      <c r="N110" s="500"/>
      <c r="O110" s="500"/>
      <c r="P110" s="500"/>
      <c r="Q110" s="500"/>
      <c r="R110" s="500"/>
      <c r="S110" s="500"/>
      <c r="T110" s="500"/>
      <c r="U110" s="500"/>
      <c r="V110" s="500"/>
      <c r="W110" s="500"/>
      <c r="X110" s="500"/>
      <c r="Y110" s="500"/>
      <c r="Z110" s="500"/>
    </row>
    <row r="111" spans="1:26" ht="37.5" customHeight="1">
      <c r="A111" s="501" t="s">
        <v>1228</v>
      </c>
      <c r="B111" s="499" t="s">
        <v>1229</v>
      </c>
      <c r="C111" s="500"/>
      <c r="D111" s="500"/>
      <c r="E111" s="500"/>
      <c r="F111" s="500"/>
      <c r="G111" s="500"/>
      <c r="H111" s="500"/>
      <c r="I111" s="500"/>
      <c r="J111" s="500"/>
      <c r="K111" s="500"/>
      <c r="L111" s="500"/>
      <c r="M111" s="500"/>
      <c r="N111" s="500"/>
      <c r="O111" s="500"/>
      <c r="P111" s="500"/>
      <c r="Q111" s="500"/>
      <c r="R111" s="500"/>
      <c r="S111" s="500"/>
      <c r="T111" s="500"/>
      <c r="U111" s="500"/>
      <c r="V111" s="500"/>
      <c r="W111" s="500"/>
      <c r="X111" s="500"/>
      <c r="Y111" s="500"/>
      <c r="Z111" s="500"/>
    </row>
    <row r="112" spans="1:26" ht="37.5" customHeight="1">
      <c r="A112" s="507" t="s">
        <v>423</v>
      </c>
      <c r="B112" s="499" t="s">
        <v>1230</v>
      </c>
      <c r="C112" s="500"/>
      <c r="D112" s="500"/>
      <c r="E112" s="500"/>
      <c r="F112" s="500"/>
      <c r="G112" s="500"/>
      <c r="H112" s="500"/>
      <c r="I112" s="500"/>
      <c r="J112" s="500"/>
      <c r="K112" s="500"/>
      <c r="L112" s="500"/>
      <c r="M112" s="500"/>
      <c r="N112" s="500"/>
      <c r="O112" s="500"/>
      <c r="P112" s="500"/>
      <c r="Q112" s="500"/>
      <c r="R112" s="500"/>
      <c r="S112" s="500"/>
      <c r="T112" s="500"/>
      <c r="U112" s="500"/>
      <c r="V112" s="500"/>
      <c r="W112" s="500"/>
      <c r="X112" s="500"/>
      <c r="Y112" s="500"/>
      <c r="Z112" s="500"/>
    </row>
    <row r="113" spans="1:26" ht="37.5" customHeight="1">
      <c r="A113" s="507" t="s">
        <v>424</v>
      </c>
      <c r="B113" s="499" t="s">
        <v>1231</v>
      </c>
      <c r="C113" s="500"/>
      <c r="D113" s="500"/>
      <c r="E113" s="500"/>
      <c r="F113" s="500"/>
      <c r="G113" s="500"/>
      <c r="H113" s="500"/>
      <c r="I113" s="500"/>
      <c r="J113" s="500"/>
      <c r="K113" s="500"/>
      <c r="L113" s="500"/>
      <c r="M113" s="500"/>
      <c r="N113" s="500"/>
      <c r="O113" s="500"/>
      <c r="P113" s="500"/>
      <c r="Q113" s="500"/>
      <c r="R113" s="500"/>
      <c r="S113" s="500"/>
      <c r="T113" s="500"/>
      <c r="U113" s="500"/>
      <c r="V113" s="500"/>
      <c r="W113" s="500"/>
      <c r="X113" s="500"/>
      <c r="Y113" s="500"/>
      <c r="Z113" s="500"/>
    </row>
    <row r="114" spans="1:26" ht="37.5" customHeight="1">
      <c r="A114" s="501" t="s">
        <v>1232</v>
      </c>
      <c r="B114" s="499" t="s">
        <v>1233</v>
      </c>
      <c r="C114" s="500"/>
      <c r="D114" s="500"/>
      <c r="E114" s="500"/>
      <c r="F114" s="500"/>
      <c r="G114" s="500"/>
      <c r="H114" s="500"/>
      <c r="I114" s="500"/>
      <c r="J114" s="500"/>
      <c r="K114" s="500"/>
      <c r="L114" s="500"/>
      <c r="M114" s="500"/>
      <c r="N114" s="500"/>
      <c r="O114" s="500"/>
      <c r="P114" s="500"/>
      <c r="Q114" s="500"/>
      <c r="R114" s="500"/>
      <c r="S114" s="500"/>
      <c r="T114" s="500"/>
      <c r="U114" s="500"/>
      <c r="V114" s="500"/>
      <c r="W114" s="500"/>
      <c r="X114" s="500"/>
      <c r="Y114" s="500"/>
      <c r="Z114" s="500"/>
    </row>
    <row r="115" spans="1:26" ht="37.5" customHeight="1">
      <c r="A115" s="507" t="s">
        <v>236</v>
      </c>
      <c r="B115" s="499" t="s">
        <v>1234</v>
      </c>
      <c r="C115" s="500"/>
      <c r="D115" s="500"/>
      <c r="E115" s="500"/>
      <c r="F115" s="500"/>
      <c r="G115" s="500"/>
      <c r="H115" s="500"/>
      <c r="I115" s="500"/>
      <c r="J115" s="500"/>
      <c r="K115" s="500"/>
      <c r="L115" s="500"/>
      <c r="M115" s="500"/>
      <c r="N115" s="500"/>
      <c r="O115" s="500"/>
      <c r="P115" s="500"/>
      <c r="Q115" s="500"/>
      <c r="R115" s="500"/>
      <c r="S115" s="500"/>
      <c r="T115" s="500"/>
      <c r="U115" s="500"/>
      <c r="V115" s="500"/>
      <c r="W115" s="500"/>
      <c r="X115" s="500"/>
      <c r="Y115" s="500"/>
      <c r="Z115" s="500"/>
    </row>
    <row r="116" spans="1:26" ht="37.5" customHeight="1">
      <c r="A116" s="507" t="s">
        <v>237</v>
      </c>
      <c r="B116" s="499" t="s">
        <v>1235</v>
      </c>
      <c r="C116" s="500"/>
      <c r="D116" s="500"/>
      <c r="E116" s="500"/>
      <c r="F116" s="500"/>
      <c r="G116" s="500"/>
      <c r="H116" s="500"/>
      <c r="I116" s="500"/>
      <c r="J116" s="500"/>
      <c r="K116" s="500"/>
      <c r="L116" s="500"/>
      <c r="M116" s="500"/>
      <c r="N116" s="500"/>
      <c r="O116" s="500"/>
      <c r="P116" s="500"/>
      <c r="Q116" s="500"/>
      <c r="R116" s="500"/>
      <c r="S116" s="500"/>
      <c r="T116" s="500"/>
      <c r="U116" s="500"/>
      <c r="V116" s="500"/>
      <c r="W116" s="500"/>
      <c r="X116" s="500"/>
      <c r="Y116" s="500"/>
      <c r="Z116" s="500"/>
    </row>
    <row r="117" spans="1:26" ht="37.5" customHeight="1">
      <c r="A117" s="507" t="s">
        <v>188</v>
      </c>
      <c r="B117" s="499" t="s">
        <v>1236</v>
      </c>
      <c r="C117" s="500"/>
      <c r="D117" s="500"/>
      <c r="E117" s="500"/>
      <c r="F117" s="500"/>
      <c r="G117" s="500"/>
      <c r="H117" s="500"/>
      <c r="I117" s="500"/>
      <c r="J117" s="500"/>
      <c r="K117" s="500"/>
      <c r="L117" s="500"/>
      <c r="M117" s="500"/>
      <c r="N117" s="500"/>
      <c r="O117" s="500"/>
      <c r="P117" s="500"/>
      <c r="Q117" s="500"/>
      <c r="R117" s="500"/>
      <c r="S117" s="500"/>
      <c r="T117" s="500"/>
      <c r="U117" s="500"/>
      <c r="V117" s="500"/>
      <c r="W117" s="500"/>
      <c r="X117" s="500"/>
      <c r="Y117" s="500"/>
      <c r="Z117" s="500"/>
    </row>
    <row r="118" spans="1:26" ht="37.5" customHeight="1">
      <c r="A118" s="498" t="s">
        <v>354</v>
      </c>
      <c r="B118" s="499" t="s">
        <v>1237</v>
      </c>
      <c r="C118" s="500"/>
      <c r="D118" s="500"/>
      <c r="E118" s="500"/>
      <c r="F118" s="500"/>
      <c r="G118" s="500"/>
      <c r="H118" s="500"/>
      <c r="I118" s="500"/>
      <c r="J118" s="500"/>
      <c r="K118" s="500"/>
      <c r="L118" s="500"/>
      <c r="M118" s="500"/>
      <c r="N118" s="500"/>
      <c r="O118" s="500"/>
      <c r="P118" s="500"/>
      <c r="Q118" s="500"/>
      <c r="R118" s="500"/>
      <c r="S118" s="500"/>
      <c r="T118" s="500"/>
      <c r="U118" s="500"/>
      <c r="V118" s="500"/>
      <c r="W118" s="500"/>
      <c r="X118" s="500"/>
      <c r="Y118" s="500"/>
      <c r="Z118" s="500"/>
    </row>
    <row r="119" spans="1:26" ht="37.5" customHeight="1">
      <c r="A119" s="498" t="s">
        <v>1238</v>
      </c>
      <c r="B119" s="499"/>
      <c r="C119" s="500"/>
      <c r="D119" s="500"/>
      <c r="E119" s="500"/>
      <c r="F119" s="500"/>
      <c r="G119" s="500"/>
      <c r="H119" s="500"/>
      <c r="I119" s="500"/>
      <c r="J119" s="500"/>
      <c r="K119" s="500"/>
      <c r="L119" s="500"/>
      <c r="M119" s="500"/>
      <c r="N119" s="500"/>
      <c r="O119" s="500"/>
      <c r="P119" s="500"/>
      <c r="Q119" s="500"/>
      <c r="R119" s="500"/>
      <c r="S119" s="500"/>
      <c r="T119" s="500"/>
      <c r="U119" s="500"/>
      <c r="V119" s="500"/>
      <c r="W119" s="500"/>
      <c r="X119" s="500"/>
      <c r="Y119" s="500"/>
      <c r="Z119" s="500"/>
    </row>
    <row r="120" spans="1:26" ht="37.5" customHeight="1">
      <c r="A120" s="501" t="s">
        <v>1239</v>
      </c>
      <c r="B120" s="499" t="s">
        <v>1240</v>
      </c>
      <c r="C120" s="500"/>
      <c r="D120" s="500"/>
      <c r="E120" s="500"/>
      <c r="F120" s="500"/>
      <c r="G120" s="500"/>
      <c r="H120" s="500"/>
      <c r="I120" s="500"/>
      <c r="J120" s="500"/>
      <c r="K120" s="500"/>
      <c r="L120" s="500"/>
      <c r="M120" s="500"/>
      <c r="N120" s="500"/>
      <c r="O120" s="500"/>
      <c r="P120" s="500"/>
      <c r="Q120" s="500"/>
      <c r="R120" s="500"/>
      <c r="S120" s="500"/>
      <c r="T120" s="500"/>
      <c r="U120" s="500"/>
      <c r="V120" s="500"/>
      <c r="W120" s="500"/>
      <c r="X120" s="500"/>
      <c r="Y120" s="500"/>
      <c r="Z120" s="500"/>
    </row>
    <row r="121" spans="1:26" ht="37.5" customHeight="1">
      <c r="A121" s="505" t="s">
        <v>1241</v>
      </c>
      <c r="B121" s="499"/>
      <c r="C121" s="500"/>
      <c r="D121" s="500"/>
      <c r="E121" s="500"/>
      <c r="F121" s="500"/>
      <c r="G121" s="500"/>
      <c r="H121" s="500"/>
      <c r="I121" s="500"/>
      <c r="J121" s="500"/>
      <c r="K121" s="500"/>
      <c r="L121" s="500"/>
      <c r="M121" s="500"/>
      <c r="N121" s="500"/>
      <c r="O121" s="500"/>
      <c r="P121" s="500"/>
      <c r="Q121" s="500"/>
      <c r="R121" s="500"/>
      <c r="S121" s="500"/>
      <c r="T121" s="500"/>
      <c r="U121" s="500"/>
      <c r="V121" s="500"/>
      <c r="W121" s="500"/>
      <c r="X121" s="500"/>
      <c r="Y121" s="500"/>
      <c r="Z121" s="500"/>
    </row>
    <row r="122" spans="1:26" ht="37.5" customHeight="1">
      <c r="A122" s="510" t="s">
        <v>1242</v>
      </c>
      <c r="B122" s="499" t="s">
        <v>1243</v>
      </c>
      <c r="C122" s="500"/>
      <c r="D122" s="500"/>
      <c r="E122" s="500"/>
      <c r="F122" s="500"/>
      <c r="G122" s="500"/>
      <c r="H122" s="500"/>
      <c r="I122" s="500"/>
      <c r="J122" s="500"/>
      <c r="K122" s="500"/>
      <c r="L122" s="500"/>
      <c r="M122" s="500"/>
      <c r="N122" s="500"/>
      <c r="O122" s="500"/>
      <c r="P122" s="500"/>
      <c r="Q122" s="500"/>
      <c r="R122" s="500"/>
      <c r="S122" s="500"/>
      <c r="T122" s="500"/>
      <c r="U122" s="500"/>
      <c r="V122" s="500"/>
      <c r="W122" s="500"/>
      <c r="X122" s="500"/>
      <c r="Y122" s="500"/>
      <c r="Z122" s="500"/>
    </row>
    <row r="123" spans="1:26" ht="37.5" customHeight="1">
      <c r="A123" s="510" t="s">
        <v>1244</v>
      </c>
      <c r="B123" s="499" t="s">
        <v>1243</v>
      </c>
      <c r="C123" s="500"/>
      <c r="D123" s="500"/>
      <c r="E123" s="500"/>
      <c r="F123" s="500"/>
      <c r="G123" s="500"/>
      <c r="H123" s="500"/>
      <c r="I123" s="500"/>
      <c r="J123" s="500"/>
      <c r="K123" s="500"/>
      <c r="L123" s="500"/>
      <c r="M123" s="500"/>
      <c r="N123" s="500"/>
      <c r="O123" s="500"/>
      <c r="P123" s="500"/>
      <c r="Q123" s="500"/>
      <c r="R123" s="500"/>
      <c r="S123" s="500"/>
      <c r="T123" s="500"/>
      <c r="U123" s="500"/>
      <c r="V123" s="500"/>
      <c r="W123" s="500"/>
      <c r="X123" s="500"/>
      <c r="Y123" s="500"/>
      <c r="Z123" s="500"/>
    </row>
    <row r="124" spans="1:26" ht="37.5" customHeight="1">
      <c r="A124" s="498" t="s">
        <v>910</v>
      </c>
      <c r="B124" s="499" t="s">
        <v>1245</v>
      </c>
      <c r="C124" s="500"/>
      <c r="D124" s="500"/>
      <c r="E124" s="500"/>
      <c r="F124" s="500"/>
      <c r="G124" s="500"/>
      <c r="H124" s="500"/>
      <c r="I124" s="500"/>
      <c r="J124" s="500"/>
      <c r="K124" s="500"/>
      <c r="L124" s="500"/>
      <c r="M124" s="500"/>
      <c r="N124" s="500"/>
      <c r="O124" s="500"/>
      <c r="P124" s="500"/>
      <c r="Q124" s="500"/>
      <c r="R124" s="500"/>
      <c r="S124" s="500"/>
      <c r="T124" s="500"/>
      <c r="U124" s="500"/>
      <c r="V124" s="500"/>
      <c r="W124" s="500"/>
      <c r="X124" s="500"/>
      <c r="Y124" s="500"/>
      <c r="Z124" s="500"/>
    </row>
    <row r="125" spans="1:26" ht="37.5" customHeight="1">
      <c r="A125" s="498" t="s">
        <v>915</v>
      </c>
      <c r="B125" s="499" t="s">
        <v>1246</v>
      </c>
      <c r="C125" s="500"/>
      <c r="D125" s="500"/>
      <c r="E125" s="500"/>
      <c r="F125" s="500"/>
      <c r="G125" s="500"/>
      <c r="H125" s="500"/>
      <c r="I125" s="500"/>
      <c r="J125" s="500"/>
      <c r="K125" s="500"/>
      <c r="L125" s="500"/>
      <c r="M125" s="500"/>
      <c r="N125" s="500"/>
      <c r="O125" s="500"/>
      <c r="P125" s="500"/>
      <c r="Q125" s="500"/>
      <c r="R125" s="500"/>
      <c r="S125" s="500"/>
      <c r="T125" s="500"/>
      <c r="U125" s="500"/>
      <c r="V125" s="500"/>
      <c r="W125" s="500"/>
      <c r="X125" s="500"/>
      <c r="Y125" s="500"/>
      <c r="Z125" s="500"/>
    </row>
    <row r="126" spans="1:26" ht="37.5" customHeight="1">
      <c r="A126" s="498" t="s">
        <v>254</v>
      </c>
      <c r="B126" s="499" t="s">
        <v>1247</v>
      </c>
      <c r="C126" s="500"/>
      <c r="D126" s="500"/>
      <c r="E126" s="500"/>
      <c r="F126" s="500"/>
      <c r="G126" s="500"/>
      <c r="H126" s="500"/>
      <c r="I126" s="500"/>
      <c r="J126" s="500"/>
      <c r="K126" s="500"/>
      <c r="L126" s="500"/>
      <c r="M126" s="500"/>
      <c r="N126" s="500"/>
      <c r="O126" s="500"/>
      <c r="P126" s="500"/>
      <c r="Q126" s="500"/>
      <c r="R126" s="500"/>
      <c r="S126" s="500"/>
      <c r="T126" s="500"/>
      <c r="U126" s="500"/>
      <c r="V126" s="500"/>
      <c r="W126" s="500"/>
      <c r="X126" s="500"/>
      <c r="Y126" s="500"/>
      <c r="Z126" s="500"/>
    </row>
    <row r="127" spans="1:26" ht="37.5" customHeight="1">
      <c r="A127" s="507" t="s">
        <v>1248</v>
      </c>
      <c r="B127" s="499" t="s">
        <v>1249</v>
      </c>
      <c r="C127" s="500"/>
      <c r="D127" s="500"/>
      <c r="E127" s="500"/>
      <c r="F127" s="500"/>
      <c r="G127" s="500"/>
      <c r="H127" s="500"/>
      <c r="I127" s="500"/>
      <c r="J127" s="500"/>
      <c r="K127" s="500"/>
      <c r="L127" s="500"/>
      <c r="M127" s="500"/>
      <c r="N127" s="500"/>
      <c r="O127" s="500"/>
      <c r="P127" s="500"/>
      <c r="Q127" s="500"/>
      <c r="R127" s="500"/>
      <c r="S127" s="500"/>
      <c r="T127" s="500"/>
      <c r="U127" s="500"/>
      <c r="V127" s="500"/>
      <c r="W127" s="500"/>
      <c r="X127" s="500"/>
      <c r="Y127" s="500"/>
      <c r="Z127" s="500"/>
    </row>
    <row r="128" spans="1:26" ht="37.5" customHeight="1">
      <c r="A128" s="501" t="s">
        <v>1250</v>
      </c>
      <c r="B128" s="499" t="s">
        <v>1251</v>
      </c>
      <c r="C128" s="500"/>
      <c r="D128" s="500"/>
      <c r="E128" s="500"/>
      <c r="F128" s="500"/>
      <c r="G128" s="500"/>
      <c r="H128" s="500"/>
      <c r="I128" s="500"/>
      <c r="J128" s="500"/>
      <c r="K128" s="500"/>
      <c r="L128" s="500"/>
      <c r="M128" s="500"/>
      <c r="N128" s="500"/>
      <c r="O128" s="500"/>
      <c r="P128" s="500"/>
      <c r="Q128" s="500"/>
      <c r="R128" s="500"/>
      <c r="S128" s="500"/>
      <c r="T128" s="500"/>
      <c r="U128" s="500"/>
      <c r="V128" s="500"/>
      <c r="W128" s="500"/>
      <c r="X128" s="500"/>
      <c r="Y128" s="500"/>
      <c r="Z128" s="500"/>
    </row>
    <row r="129" spans="1:26" ht="37.5" customHeight="1">
      <c r="A129" s="498" t="s">
        <v>197</v>
      </c>
      <c r="B129" s="499" t="s">
        <v>1252</v>
      </c>
      <c r="C129" s="500"/>
      <c r="D129" s="500"/>
      <c r="E129" s="500"/>
      <c r="F129" s="500"/>
      <c r="G129" s="500"/>
      <c r="H129" s="500"/>
      <c r="I129" s="500"/>
      <c r="J129" s="500"/>
      <c r="K129" s="500"/>
      <c r="L129" s="500"/>
      <c r="M129" s="500"/>
      <c r="N129" s="500"/>
      <c r="O129" s="500"/>
      <c r="P129" s="500"/>
      <c r="Q129" s="500"/>
      <c r="R129" s="500"/>
      <c r="S129" s="500"/>
      <c r="T129" s="500"/>
      <c r="U129" s="500"/>
      <c r="V129" s="500"/>
      <c r="W129" s="500"/>
      <c r="X129" s="500"/>
      <c r="Y129" s="500"/>
      <c r="Z129" s="500"/>
    </row>
    <row r="130" spans="1:26" ht="37.5" customHeight="1">
      <c r="A130" s="507" t="s">
        <v>239</v>
      </c>
      <c r="B130" s="499" t="s">
        <v>1253</v>
      </c>
      <c r="C130" s="500"/>
      <c r="D130" s="500"/>
      <c r="E130" s="500"/>
      <c r="F130" s="500"/>
      <c r="G130" s="500"/>
      <c r="H130" s="500"/>
      <c r="I130" s="500"/>
      <c r="J130" s="500"/>
      <c r="K130" s="500"/>
      <c r="L130" s="500"/>
      <c r="M130" s="500"/>
      <c r="N130" s="500"/>
      <c r="O130" s="500"/>
      <c r="P130" s="500"/>
      <c r="Q130" s="500"/>
      <c r="R130" s="500"/>
      <c r="S130" s="500"/>
      <c r="T130" s="500"/>
      <c r="U130" s="500"/>
      <c r="V130" s="500"/>
      <c r="W130" s="500"/>
      <c r="X130" s="500"/>
      <c r="Y130" s="500"/>
      <c r="Z130" s="500"/>
    </row>
    <row r="131" spans="1:26" ht="37.5" customHeight="1">
      <c r="A131" s="501" t="s">
        <v>240</v>
      </c>
      <c r="B131" s="499" t="s">
        <v>1254</v>
      </c>
      <c r="C131" s="500"/>
      <c r="D131" s="500"/>
      <c r="E131" s="500"/>
      <c r="F131" s="500"/>
      <c r="G131" s="500"/>
      <c r="H131" s="500"/>
      <c r="I131" s="500"/>
      <c r="J131" s="500"/>
      <c r="K131" s="500"/>
      <c r="L131" s="500"/>
      <c r="M131" s="500"/>
      <c r="N131" s="500"/>
      <c r="O131" s="500"/>
      <c r="P131" s="500"/>
      <c r="Q131" s="500"/>
      <c r="R131" s="500"/>
      <c r="S131" s="500"/>
      <c r="T131" s="500"/>
      <c r="U131" s="500"/>
      <c r="V131" s="500"/>
      <c r="W131" s="500"/>
      <c r="X131" s="500"/>
      <c r="Y131" s="500"/>
      <c r="Z131" s="500"/>
    </row>
    <row r="132" spans="1:26" ht="37.5" customHeight="1">
      <c r="A132" s="507" t="s">
        <v>374</v>
      </c>
      <c r="B132" s="499" t="s">
        <v>1255</v>
      </c>
      <c r="C132" s="500"/>
      <c r="D132" s="500"/>
      <c r="E132" s="500"/>
      <c r="F132" s="500"/>
      <c r="G132" s="500"/>
      <c r="H132" s="500"/>
      <c r="I132" s="500"/>
      <c r="J132" s="500"/>
      <c r="K132" s="500"/>
      <c r="L132" s="500"/>
      <c r="M132" s="500"/>
      <c r="N132" s="500"/>
      <c r="O132" s="500"/>
      <c r="P132" s="500"/>
      <c r="Q132" s="500"/>
      <c r="R132" s="500"/>
      <c r="S132" s="500"/>
      <c r="T132" s="500"/>
      <c r="U132" s="500"/>
      <c r="V132" s="500"/>
      <c r="W132" s="500"/>
      <c r="X132" s="500"/>
      <c r="Y132" s="500"/>
      <c r="Z132" s="500"/>
    </row>
    <row r="133" spans="1:26" ht="37.5" customHeight="1">
      <c r="A133" s="510" t="s">
        <v>1256</v>
      </c>
      <c r="B133" s="499" t="s">
        <v>1257</v>
      </c>
      <c r="C133" s="500"/>
      <c r="D133" s="500"/>
      <c r="E133" s="500"/>
      <c r="F133" s="500"/>
      <c r="G133" s="500"/>
      <c r="H133" s="500"/>
      <c r="I133" s="500"/>
      <c r="J133" s="500"/>
      <c r="K133" s="500"/>
      <c r="L133" s="500"/>
      <c r="M133" s="500"/>
      <c r="N133" s="500"/>
      <c r="O133" s="500"/>
      <c r="P133" s="500"/>
      <c r="Q133" s="500"/>
      <c r="R133" s="500"/>
      <c r="S133" s="500"/>
      <c r="T133" s="500"/>
      <c r="U133" s="500"/>
      <c r="V133" s="500"/>
      <c r="W133" s="500"/>
      <c r="X133" s="500"/>
      <c r="Y133" s="500"/>
      <c r="Z133" s="500"/>
    </row>
    <row r="134" spans="1:26" ht="37.5" customHeight="1">
      <c r="A134" s="503" t="s">
        <v>400</v>
      </c>
      <c r="B134" s="499" t="s">
        <v>1258</v>
      </c>
      <c r="C134" s="500"/>
      <c r="D134" s="500"/>
      <c r="E134" s="500"/>
      <c r="F134" s="500"/>
      <c r="G134" s="500"/>
      <c r="H134" s="500"/>
      <c r="I134" s="500"/>
      <c r="J134" s="500"/>
      <c r="K134" s="500"/>
      <c r="L134" s="500"/>
      <c r="M134" s="500"/>
      <c r="N134" s="500"/>
      <c r="O134" s="500"/>
      <c r="P134" s="500"/>
      <c r="Q134" s="500"/>
      <c r="R134" s="500"/>
      <c r="S134" s="500"/>
      <c r="T134" s="500"/>
      <c r="U134" s="500"/>
      <c r="V134" s="500"/>
      <c r="W134" s="500"/>
      <c r="X134" s="500"/>
      <c r="Y134" s="500"/>
      <c r="Z134" s="500"/>
    </row>
    <row r="135" spans="1:26" ht="37.5" customHeight="1">
      <c r="A135" s="498" t="s">
        <v>241</v>
      </c>
      <c r="B135" s="499" t="s">
        <v>1259</v>
      </c>
      <c r="C135" s="500"/>
      <c r="D135" s="500"/>
      <c r="E135" s="500"/>
      <c r="F135" s="500"/>
      <c r="G135" s="500"/>
      <c r="H135" s="500"/>
      <c r="I135" s="500"/>
      <c r="J135" s="500"/>
      <c r="K135" s="500"/>
      <c r="L135" s="500"/>
      <c r="M135" s="500"/>
      <c r="N135" s="500"/>
      <c r="O135" s="500"/>
      <c r="P135" s="500"/>
      <c r="Q135" s="500"/>
      <c r="R135" s="500"/>
      <c r="S135" s="500"/>
      <c r="T135" s="500"/>
      <c r="U135" s="500"/>
      <c r="V135" s="500"/>
      <c r="W135" s="500"/>
      <c r="X135" s="500"/>
      <c r="Y135" s="500"/>
      <c r="Z135" s="500"/>
    </row>
    <row r="136" spans="1:26" ht="37.5" customHeight="1">
      <c r="A136" s="510" t="s">
        <v>308</v>
      </c>
      <c r="B136" s="499" t="s">
        <v>1260</v>
      </c>
      <c r="C136" s="500"/>
      <c r="D136" s="500"/>
      <c r="E136" s="500"/>
      <c r="F136" s="500"/>
      <c r="G136" s="500"/>
      <c r="H136" s="500"/>
      <c r="I136" s="500"/>
      <c r="J136" s="500"/>
      <c r="K136" s="500"/>
      <c r="L136" s="500"/>
      <c r="M136" s="500"/>
      <c r="N136" s="500"/>
      <c r="O136" s="500"/>
      <c r="P136" s="500"/>
      <c r="Q136" s="500"/>
      <c r="R136" s="500"/>
      <c r="S136" s="500"/>
      <c r="T136" s="500"/>
      <c r="U136" s="500"/>
      <c r="V136" s="500"/>
      <c r="W136" s="500"/>
      <c r="X136" s="500"/>
      <c r="Y136" s="500"/>
      <c r="Z136" s="500"/>
    </row>
    <row r="137" spans="1:26" ht="37.5" customHeight="1">
      <c r="A137" s="498" t="s">
        <v>911</v>
      </c>
      <c r="B137" s="499" t="s">
        <v>1261</v>
      </c>
      <c r="C137" s="500"/>
      <c r="D137" s="500"/>
      <c r="E137" s="500"/>
      <c r="F137" s="500"/>
      <c r="G137" s="500"/>
      <c r="H137" s="500"/>
      <c r="I137" s="500"/>
      <c r="J137" s="500"/>
      <c r="K137" s="500"/>
      <c r="L137" s="500"/>
      <c r="M137" s="500"/>
      <c r="N137" s="500"/>
      <c r="O137" s="500"/>
      <c r="P137" s="500"/>
      <c r="Q137" s="500"/>
      <c r="R137" s="500"/>
      <c r="S137" s="500"/>
      <c r="T137" s="500"/>
      <c r="U137" s="500"/>
      <c r="V137" s="500"/>
      <c r="W137" s="500"/>
      <c r="X137" s="500"/>
      <c r="Y137" s="500"/>
      <c r="Z137" s="500"/>
    </row>
    <row r="138" spans="1:26" ht="37.5" customHeight="1">
      <c r="A138" s="498" t="s">
        <v>242</v>
      </c>
      <c r="B138" s="499"/>
      <c r="C138" s="500"/>
      <c r="D138" s="500"/>
      <c r="E138" s="500"/>
      <c r="F138" s="500"/>
      <c r="G138" s="500"/>
      <c r="H138" s="500"/>
      <c r="I138" s="500"/>
      <c r="J138" s="500"/>
      <c r="K138" s="500"/>
      <c r="L138" s="500"/>
      <c r="M138" s="500"/>
      <c r="N138" s="500"/>
      <c r="O138" s="500"/>
      <c r="P138" s="500"/>
      <c r="Q138" s="500"/>
      <c r="R138" s="500"/>
      <c r="S138" s="500"/>
      <c r="T138" s="500"/>
      <c r="U138" s="500"/>
      <c r="V138" s="500"/>
      <c r="W138" s="500"/>
      <c r="X138" s="500"/>
      <c r="Y138" s="500"/>
      <c r="Z138" s="500"/>
    </row>
    <row r="139" spans="1:26" ht="37.5" customHeight="1">
      <c r="A139" s="510" t="s">
        <v>198</v>
      </c>
      <c r="B139" s="499" t="s">
        <v>1262</v>
      </c>
      <c r="C139" s="500"/>
      <c r="D139" s="500"/>
      <c r="E139" s="500"/>
      <c r="F139" s="500"/>
      <c r="G139" s="500"/>
      <c r="H139" s="500"/>
      <c r="I139" s="500"/>
      <c r="J139" s="500"/>
      <c r="K139" s="500"/>
      <c r="L139" s="500"/>
      <c r="M139" s="500"/>
      <c r="N139" s="500"/>
      <c r="O139" s="500"/>
      <c r="P139" s="500"/>
      <c r="Q139" s="500"/>
      <c r="R139" s="500"/>
      <c r="S139" s="500"/>
      <c r="T139" s="500"/>
      <c r="U139" s="500"/>
      <c r="V139" s="500"/>
      <c r="W139" s="500"/>
      <c r="X139" s="500"/>
      <c r="Y139" s="500"/>
      <c r="Z139" s="500"/>
    </row>
    <row r="140" spans="1:26" ht="37.5" customHeight="1">
      <c r="A140" s="498" t="s">
        <v>312</v>
      </c>
      <c r="B140" s="499" t="s">
        <v>1263</v>
      </c>
      <c r="C140" s="500"/>
      <c r="D140" s="500"/>
      <c r="E140" s="500"/>
      <c r="F140" s="500"/>
      <c r="G140" s="500"/>
      <c r="H140" s="500"/>
      <c r="I140" s="500"/>
      <c r="J140" s="500"/>
      <c r="K140" s="500"/>
      <c r="L140" s="500"/>
      <c r="M140" s="500"/>
      <c r="N140" s="500"/>
      <c r="O140" s="500"/>
      <c r="P140" s="500"/>
      <c r="Q140" s="500"/>
      <c r="R140" s="500"/>
      <c r="S140" s="500"/>
      <c r="T140" s="500"/>
      <c r="U140" s="500"/>
      <c r="V140" s="500"/>
      <c r="W140" s="500"/>
      <c r="X140" s="500"/>
      <c r="Y140" s="500"/>
      <c r="Z140" s="500"/>
    </row>
    <row r="141" spans="1:26" ht="37.5" customHeight="1">
      <c r="A141" s="498" t="s">
        <v>313</v>
      </c>
      <c r="B141" s="499" t="s">
        <v>1263</v>
      </c>
      <c r="C141" s="500"/>
      <c r="D141" s="500"/>
      <c r="E141" s="500"/>
      <c r="F141" s="500"/>
      <c r="G141" s="500"/>
      <c r="H141" s="500"/>
      <c r="I141" s="500"/>
      <c r="J141" s="500"/>
      <c r="K141" s="500"/>
      <c r="L141" s="500"/>
      <c r="M141" s="500"/>
      <c r="N141" s="500"/>
      <c r="O141" s="500"/>
      <c r="P141" s="500"/>
      <c r="Q141" s="500"/>
      <c r="R141" s="500"/>
      <c r="S141" s="500"/>
      <c r="T141" s="500"/>
      <c r="U141" s="500"/>
      <c r="V141" s="500"/>
      <c r="W141" s="500"/>
      <c r="X141" s="500"/>
      <c r="Y141" s="500"/>
      <c r="Z141" s="500"/>
    </row>
    <row r="142" spans="1:26" ht="37.5" customHeight="1">
      <c r="A142" s="501" t="s">
        <v>557</v>
      </c>
      <c r="B142" s="499" t="s">
        <v>1264</v>
      </c>
      <c r="C142" s="500"/>
      <c r="D142" s="500"/>
      <c r="E142" s="500"/>
      <c r="F142" s="500"/>
      <c r="G142" s="500"/>
      <c r="H142" s="500"/>
      <c r="I142" s="500"/>
      <c r="J142" s="500"/>
      <c r="K142" s="500"/>
      <c r="L142" s="500"/>
      <c r="M142" s="500"/>
      <c r="N142" s="500"/>
      <c r="O142" s="500"/>
      <c r="P142" s="500"/>
      <c r="Q142" s="500"/>
      <c r="R142" s="500"/>
      <c r="S142" s="500"/>
      <c r="T142" s="500"/>
      <c r="U142" s="500"/>
      <c r="V142" s="500"/>
      <c r="W142" s="500"/>
      <c r="X142" s="500"/>
      <c r="Y142" s="500"/>
      <c r="Z142" s="500"/>
    </row>
    <row r="143" spans="1:26" ht="36.75">
      <c r="A143" s="501" t="s">
        <v>747</v>
      </c>
      <c r="B143" s="499" t="s">
        <v>1265</v>
      </c>
    </row>
    <row r="144" spans="1:26" ht="36.75">
      <c r="A144" s="501" t="s">
        <v>752</v>
      </c>
      <c r="B144" s="499" t="s">
        <v>1233</v>
      </c>
    </row>
    <row r="145" spans="1:2" ht="36.75">
      <c r="A145" s="501" t="s">
        <v>359</v>
      </c>
      <c r="B145" s="499" t="s">
        <v>1266</v>
      </c>
    </row>
    <row r="146" spans="1:2" ht="36.75">
      <c r="A146" s="501" t="s">
        <v>255</v>
      </c>
      <c r="B146" s="499" t="s">
        <v>1267</v>
      </c>
    </row>
    <row r="147" spans="1:2" ht="36.75">
      <c r="A147" s="501" t="s">
        <v>501</v>
      </c>
      <c r="B147" s="499" t="s">
        <v>1267</v>
      </c>
    </row>
    <row r="148" spans="1:2" ht="36.75">
      <c r="A148" s="501" t="s">
        <v>723</v>
      </c>
      <c r="B148" s="499" t="s">
        <v>1267</v>
      </c>
    </row>
    <row r="149" spans="1:2" ht="36.75">
      <c r="A149" s="501" t="s">
        <v>1268</v>
      </c>
      <c r="B149" s="499" t="s">
        <v>1269</v>
      </c>
    </row>
    <row r="150" spans="1:2" ht="36.75">
      <c r="A150" s="501" t="s">
        <v>1270</v>
      </c>
      <c r="B150" s="499" t="s">
        <v>1271</v>
      </c>
    </row>
    <row r="151" spans="1:2" ht="36.75">
      <c r="A151" s="501" t="s">
        <v>559</v>
      </c>
      <c r="B151" s="499"/>
    </row>
    <row r="152" spans="1:2" ht="36.75">
      <c r="A152" s="501" t="s">
        <v>546</v>
      </c>
      <c r="B152" s="499"/>
    </row>
    <row r="153" spans="1:2" ht="36.75">
      <c r="A153" s="501" t="s">
        <v>373</v>
      </c>
      <c r="B153" s="499" t="s">
        <v>1272</v>
      </c>
    </row>
    <row r="154" spans="1:2" ht="36.75">
      <c r="A154" s="501" t="s">
        <v>728</v>
      </c>
      <c r="B154" s="499" t="s">
        <v>1273</v>
      </c>
    </row>
    <row r="155" spans="1:2" ht="37.5" customHeight="1">
      <c r="A155" s="501" t="s">
        <v>542</v>
      </c>
      <c r="B155" s="499" t="s">
        <v>1274</v>
      </c>
    </row>
    <row r="156" spans="1:2" ht="37.5" customHeight="1">
      <c r="A156" s="501" t="s">
        <v>559</v>
      </c>
      <c r="B156" s="499"/>
    </row>
    <row r="157" spans="1:2" ht="37.5" customHeight="1">
      <c r="A157" s="501" t="s">
        <v>546</v>
      </c>
      <c r="B157" s="499"/>
    </row>
    <row r="158" spans="1:2" ht="37.5" customHeight="1">
      <c r="A158" s="501" t="s">
        <v>364</v>
      </c>
      <c r="B158" s="499"/>
    </row>
    <row r="159" spans="1:2" ht="37.5" customHeight="1">
      <c r="A159" s="501" t="s">
        <v>363</v>
      </c>
      <c r="B159" s="499"/>
    </row>
    <row r="160" spans="1:2" ht="37.5" customHeight="1">
      <c r="A160" s="501" t="s">
        <v>371</v>
      </c>
      <c r="B160" s="499"/>
    </row>
    <row r="161" spans="1:2" ht="37.5" customHeight="1">
      <c r="A161" s="501" t="s">
        <v>362</v>
      </c>
      <c r="B161" s="499" t="s">
        <v>1275</v>
      </c>
    </row>
    <row r="162" spans="1:2" ht="37.5" customHeight="1">
      <c r="A162" s="501" t="s">
        <v>524</v>
      </c>
      <c r="B162" s="499" t="s">
        <v>1276</v>
      </c>
    </row>
    <row r="163" spans="1:2" ht="37.5" customHeight="1">
      <c r="A163" s="501" t="s">
        <v>180</v>
      </c>
      <c r="B163" s="499" t="s">
        <v>1277</v>
      </c>
    </row>
    <row r="164" spans="1:2" ht="37.5" customHeight="1">
      <c r="A164" s="501" t="s">
        <v>135</v>
      </c>
      <c r="B164" s="499" t="s">
        <v>1278</v>
      </c>
    </row>
    <row r="165" spans="1:2" ht="37.5" customHeight="1">
      <c r="A165" s="501" t="s">
        <v>275</v>
      </c>
      <c r="B165" s="499" t="s">
        <v>1279</v>
      </c>
    </row>
    <row r="166" spans="1:2" ht="37.5" customHeight="1">
      <c r="A166" s="501" t="s">
        <v>147</v>
      </c>
      <c r="B166" s="499" t="s">
        <v>1280</v>
      </c>
    </row>
    <row r="167" spans="1:2" ht="37.5" customHeight="1">
      <c r="A167" s="501" t="s">
        <v>293</v>
      </c>
      <c r="B167" s="499" t="s">
        <v>1281</v>
      </c>
    </row>
    <row r="168" spans="1:2" ht="37.5" customHeight="1">
      <c r="A168" s="501" t="s">
        <v>294</v>
      </c>
      <c r="B168" s="499" t="s">
        <v>1217</v>
      </c>
    </row>
    <row r="169" spans="1:2" ht="37.5" customHeight="1">
      <c r="A169" s="501" t="s">
        <v>297</v>
      </c>
      <c r="B169" s="499" t="s">
        <v>1282</v>
      </c>
    </row>
    <row r="170" spans="1:2" ht="37.5" customHeight="1">
      <c r="A170" s="501" t="s">
        <v>346</v>
      </c>
      <c r="B170" s="499"/>
    </row>
    <row r="171" spans="1:2" ht="37.5" customHeight="1">
      <c r="A171" s="501" t="s">
        <v>347</v>
      </c>
      <c r="B171" s="499"/>
    </row>
    <row r="172" spans="1:2" ht="37.5" customHeight="1">
      <c r="A172" s="501" t="s">
        <v>348</v>
      </c>
      <c r="B172" s="499"/>
    </row>
    <row r="173" spans="1:2" ht="37.5" customHeight="1">
      <c r="A173" s="501" t="s">
        <v>349</v>
      </c>
      <c r="B173" s="499" t="s">
        <v>1137</v>
      </c>
    </row>
    <row r="174" spans="1:2" ht="37.5" customHeight="1">
      <c r="A174" s="501" t="s">
        <v>912</v>
      </c>
      <c r="B174" s="499" t="s">
        <v>1283</v>
      </c>
    </row>
    <row r="175" spans="1:2" ht="37.5" customHeight="1">
      <c r="A175" s="501" t="s">
        <v>916</v>
      </c>
      <c r="B175" s="499" t="s">
        <v>1246</v>
      </c>
    </row>
    <row r="176" spans="1:2" ht="37.5" customHeight="1">
      <c r="A176" s="501" t="s">
        <v>370</v>
      </c>
      <c r="B176" s="499" t="s">
        <v>1284</v>
      </c>
    </row>
    <row r="177" spans="1:2" ht="37.5" customHeight="1">
      <c r="A177" s="501" t="s">
        <v>644</v>
      </c>
      <c r="B177" s="499" t="s">
        <v>1285</v>
      </c>
    </row>
    <row r="178" spans="1:2" ht="37.5" customHeight="1">
      <c r="A178" s="501" t="s">
        <v>421</v>
      </c>
      <c r="B178" s="511" t="s">
        <v>1286</v>
      </c>
    </row>
    <row r="179" spans="1:2" ht="37.5" customHeight="1">
      <c r="A179" s="501" t="s">
        <v>418</v>
      </c>
      <c r="B179" s="499" t="s">
        <v>1287</v>
      </c>
    </row>
    <row r="180" spans="1:2" ht="37.5" customHeight="1">
      <c r="A180" s="501" t="str">
        <f>[1]Receiving1!A478</f>
        <v xml:space="preserve"> **</v>
      </c>
      <c r="B180" s="499" t="s">
        <v>1288</v>
      </c>
    </row>
    <row r="181" spans="1:2" ht="37.5" customHeight="1">
      <c r="A181" s="501" t="s">
        <v>1289</v>
      </c>
      <c r="B181" s="499" t="s">
        <v>1290</v>
      </c>
    </row>
    <row r="182" spans="1:2" ht="37.5" customHeight="1">
      <c r="A182" s="501" t="str">
        <f>[1]Subcontractors!E1293</f>
        <v>Smile Sahotra</v>
      </c>
      <c r="B182" s="499" t="s">
        <v>1291</v>
      </c>
    </row>
    <row r="183" spans="1:2" ht="37.5" customHeight="1">
      <c r="A183" s="501" t="s">
        <v>904</v>
      </c>
      <c r="B183" s="499" t="s">
        <v>1292</v>
      </c>
    </row>
    <row r="184" spans="1:2" ht="37.5" customHeight="1">
      <c r="A184" s="501" t="str">
        <f>[1]Subcontractors!E1295</f>
        <v>Karan Khatri</v>
      </c>
      <c r="B184" s="499"/>
    </row>
    <row r="185" spans="1:2" ht="37.5" customHeight="1">
      <c r="A185" s="501" t="s">
        <v>743</v>
      </c>
      <c r="B185" s="499" t="s">
        <v>1182</v>
      </c>
    </row>
    <row r="186" spans="1:2" ht="37.5" customHeight="1">
      <c r="A186" s="501" t="s">
        <v>742</v>
      </c>
      <c r="B186" s="499" t="s">
        <v>1182</v>
      </c>
    </row>
    <row r="187" spans="1:2" ht="37.5" customHeight="1">
      <c r="A187" s="501" t="s">
        <v>256</v>
      </c>
      <c r="B187" s="499"/>
    </row>
    <row r="188" spans="1:2" ht="37.5" customHeight="1">
      <c r="A188" s="501" t="s">
        <v>745</v>
      </c>
      <c r="B188" s="499"/>
    </row>
    <row r="189" spans="1:2" ht="37.5" customHeight="1">
      <c r="A189" s="501" t="s">
        <v>470</v>
      </c>
      <c r="B189" s="499"/>
    </row>
    <row r="190" spans="1:2" ht="37.5" customHeight="1">
      <c r="A190" s="501" t="s">
        <v>1293</v>
      </c>
      <c r="B190" s="499"/>
    </row>
    <row r="191" spans="1:2" ht="37.5" customHeight="1">
      <c r="A191" s="501" t="s">
        <v>469</v>
      </c>
      <c r="B191" s="499" t="s">
        <v>1182</v>
      </c>
    </row>
    <row r="192" spans="1:2" ht="37.5" customHeight="1">
      <c r="A192" s="501" t="s">
        <v>461</v>
      </c>
      <c r="B192" s="499" t="s">
        <v>1294</v>
      </c>
    </row>
    <row r="193" spans="1:2" ht="37.5" customHeight="1">
      <c r="A193" s="501" t="str">
        <f>[1]Subcontractors!E1296</f>
        <v>Kenneth Baruelo</v>
      </c>
      <c r="B193" s="499"/>
    </row>
    <row r="194" spans="1:2" ht="37.5" customHeight="1">
      <c r="A194" s="501" t="str">
        <f>[1]Subcontractors!E1297</f>
        <v>Farel Manirakiza</v>
      </c>
      <c r="B194" s="499"/>
    </row>
    <row r="195" spans="1:2" ht="37.5" customHeight="1">
      <c r="A195" s="501" t="str">
        <f>[1]Subcontractors!E1298</f>
        <v>Izunna David Ajaere</v>
      </c>
      <c r="B195" s="499" t="e">
        <f>'[1]Interac Details'!#REF!</f>
        <v>#REF!</v>
      </c>
    </row>
    <row r="196" spans="1:2" ht="37.5" customHeight="1">
      <c r="A196" s="501" t="str">
        <f>[1]Subcontractors!E1299</f>
        <v>Mary Jane Calunsag</v>
      </c>
      <c r="B196" s="499" t="s">
        <v>1295</v>
      </c>
    </row>
    <row r="197" spans="1:2" ht="37.5" customHeight="1">
      <c r="A197" s="501" t="str">
        <f>[1]Subcontractors!E1300</f>
        <v>Elham Yimam Mohammed</v>
      </c>
      <c r="B197" s="499"/>
    </row>
    <row r="198" spans="1:2" ht="37.5" customHeight="1">
      <c r="A198" s="501" t="str">
        <f>[1]Subcontractors!E1301</f>
        <v>Arney Pagalilauan M</v>
      </c>
      <c r="B198" s="499" t="s">
        <v>1296</v>
      </c>
    </row>
    <row r="199" spans="1:2" ht="37.5" customHeight="1">
      <c r="A199" s="501">
        <f>[1]Subcontractors!E1302</f>
        <v>0</v>
      </c>
      <c r="B199" s="499">
        <f>'[1]Interac Details'!$B$177</f>
        <v>0</v>
      </c>
    </row>
    <row r="200" spans="1:2" ht="37.5" customHeight="1">
      <c r="A200" s="501" t="str">
        <f>[1]Subcontractors!E1303</f>
        <v>Sunshine Padilla Rebadulla</v>
      </c>
      <c r="B200" s="499" t="str">
        <f>'[1]Interac Details'!$B$178</f>
        <v>omololasodimu13@gmail.com</v>
      </c>
    </row>
    <row r="201" spans="1:2" ht="37.5" customHeight="1">
      <c r="A201" s="501" t="str">
        <f>[1]Subcontractors!E1304</f>
        <v>Shedrack David Ifeanyi</v>
      </c>
      <c r="B201" s="499" t="s">
        <v>1297</v>
      </c>
    </row>
    <row r="202" spans="1:2" ht="37.5" customHeight="1">
      <c r="A202" s="501" t="s">
        <v>213</v>
      </c>
      <c r="B202" s="499" t="s">
        <v>1298</v>
      </c>
    </row>
    <row r="203" spans="1:2" ht="37.5" customHeight="1">
      <c r="A203" s="501" t="str">
        <f>[1]Subcontractors!E1305</f>
        <v>Jashandeep Kaur</v>
      </c>
      <c r="B203" s="499" t="s">
        <v>1299</v>
      </c>
    </row>
    <row r="204" spans="1:2" ht="37.5" customHeight="1">
      <c r="A204" s="501" t="str">
        <f>[1]Subcontractors!E1306</f>
        <v>Jamuna Gainju</v>
      </c>
      <c r="B204" s="499" t="s">
        <v>1300</v>
      </c>
    </row>
    <row r="205" spans="1:2" ht="37.5" customHeight="1">
      <c r="A205" s="501" t="str">
        <f>[1]Subcontractors!E1307</f>
        <v>Kathryn Santos</v>
      </c>
      <c r="B205" s="499" t="s">
        <v>1301</v>
      </c>
    </row>
    <row r="206" spans="1:2" ht="37.5" customHeight="1">
      <c r="A206" s="501" t="str">
        <f>[1]Subcontractors!E1308</f>
        <v>Kristine Anne M. De Guzman</v>
      </c>
      <c r="B206" s="499" t="s">
        <v>1302</v>
      </c>
    </row>
    <row r="207" spans="1:2" ht="37.5" customHeight="1">
      <c r="A207" s="522" t="s">
        <v>290</v>
      </c>
      <c r="B207" s="523" t="s">
        <v>1303</v>
      </c>
    </row>
    <row r="208" spans="1:2" ht="37.5" customHeight="1">
      <c r="A208" s="501" t="str">
        <f>[1]Subcontractors!E1309</f>
        <v>Sandip Oli</v>
      </c>
      <c r="B208" s="499" t="s">
        <v>1304</v>
      </c>
    </row>
    <row r="209" spans="1:2" ht="37.5" customHeight="1">
      <c r="A209" s="501" t="str">
        <f>[1]Subcontractors!E1310</f>
        <v>Leyah Ramos</v>
      </c>
      <c r="B209" s="499" t="s">
        <v>1305</v>
      </c>
    </row>
    <row r="210" spans="1:2" ht="37.5" customHeight="1">
      <c r="A210" s="501" t="str">
        <f>[1]Subcontractors!E1311</f>
        <v>Otse Wilson Joseph</v>
      </c>
      <c r="B210" s="499" t="s">
        <v>1306</v>
      </c>
    </row>
    <row r="211" spans="1:2" ht="37.5" customHeight="1">
      <c r="A211" s="501" t="str">
        <f>[1]Subcontractors!E1312</f>
        <v>Olayiwola Emmanuel Olatide</v>
      </c>
      <c r="B211" s="499" t="s">
        <v>1307</v>
      </c>
    </row>
    <row r="212" spans="1:2" ht="37.5" customHeight="1">
      <c r="A212" s="501" t="str">
        <f>[1]Subcontractors!E1313</f>
        <v>Fola Aibinuola</v>
      </c>
      <c r="B212" s="499" t="s">
        <v>1308</v>
      </c>
    </row>
    <row r="213" spans="1:2" ht="37.5" customHeight="1">
      <c r="A213" s="501">
        <f>[1]Subcontractors!E1314</f>
        <v>0</v>
      </c>
      <c r="B213" s="499" t="s">
        <v>1309</v>
      </c>
    </row>
    <row r="214" spans="1:2" ht="37.5" customHeight="1">
      <c r="A214" s="501" t="str">
        <f>[1]Subcontractors!E1315</f>
        <v>Justine De Guzman</v>
      </c>
      <c r="B214" s="499" t="s">
        <v>1310</v>
      </c>
    </row>
    <row r="215" spans="1:2" ht="37.5" customHeight="1">
      <c r="A215" s="501" t="str">
        <f>[1]Subcontractors!E1316</f>
        <v>Zita Charone Igihozo</v>
      </c>
      <c r="B215" s="499"/>
    </row>
    <row r="216" spans="1:2" ht="37.5" customHeight="1">
      <c r="A216" s="501" t="str">
        <f>[1]Subcontractors!E1317</f>
        <v>Ralph Batuamba-Ntumba</v>
      </c>
      <c r="B216" s="499"/>
    </row>
    <row r="217" spans="1:2" ht="37.5" customHeight="1">
      <c r="A217" s="501" t="str">
        <f>[1]Subcontractors!E1318</f>
        <v>Jaswinder Kaur</v>
      </c>
      <c r="B217" s="499"/>
    </row>
    <row r="218" spans="1:2" ht="37.5" customHeight="1">
      <c r="A218" s="501" t="str">
        <f>[1]Subcontractors!E1319</f>
        <v>Flor De Liz Leung</v>
      </c>
      <c r="B218" s="499"/>
    </row>
    <row r="219" spans="1:2" ht="37.5" customHeight="1">
      <c r="A219" s="501" t="str">
        <f>[1]Subcontractors!E1320</f>
        <v>Lalit Khanal</v>
      </c>
      <c r="B219" s="499"/>
    </row>
    <row r="220" spans="1:2" ht="37.5" customHeight="1">
      <c r="A220" s="501" t="str">
        <f>[1]Subcontractors!E1321</f>
        <v>Senen Capinpin</v>
      </c>
      <c r="B220" s="499"/>
    </row>
    <row r="221" spans="1:2" ht="37.5" customHeight="1">
      <c r="A221" s="501" t="str">
        <f>[1]Subcontractors!E1322</f>
        <v>Roel Mercado</v>
      </c>
      <c r="B221" s="499"/>
    </row>
    <row r="222" spans="1:2" ht="37.5" customHeight="1">
      <c r="A222" s="501" t="str">
        <f>[1]Subcontractors!E1323</f>
        <v>James Mugume Rwerinyange</v>
      </c>
      <c r="B222" s="499"/>
    </row>
    <row r="223" spans="1:2" ht="37.5" customHeight="1">
      <c r="A223" s="501" t="str">
        <f>[1]Subcontractors!E1324</f>
        <v>Joshua Ikeji</v>
      </c>
      <c r="B223" s="499"/>
    </row>
    <row r="224" spans="1:2" ht="37.5" customHeight="1">
      <c r="A224" s="501" t="str">
        <f>[1]Subcontractors!E1325</f>
        <v>Andong Nancy Tefeh</v>
      </c>
      <c r="B224" s="499"/>
    </row>
    <row r="225" spans="1:2" ht="37.5" customHeight="1">
      <c r="A225" s="501" t="str">
        <f>[1]Subcontractors!E1326</f>
        <v>Melissa P. Agbanlog</v>
      </c>
      <c r="B225" s="499"/>
    </row>
    <row r="226" spans="1:2" ht="37.5" customHeight="1">
      <c r="A226" s="501" t="str">
        <f>[1]Subcontractors!E1327</f>
        <v>Emilia Sarmiento Cariaga</v>
      </c>
      <c r="B226" s="499"/>
    </row>
    <row r="227" spans="1:2" ht="37.5" customHeight="1">
      <c r="A227" s="501" t="str">
        <f>[1]Subcontractors!E1328</f>
        <v>Fatouma Traore</v>
      </c>
      <c r="B227" s="499"/>
    </row>
    <row r="228" spans="1:2" ht="37.5" customHeight="1">
      <c r="A228" s="501" t="str">
        <f>[1]Subcontractors!E1329</f>
        <v>Ishimwe Cleopatre Umuhire</v>
      </c>
      <c r="B228" s="499"/>
    </row>
    <row r="229" spans="1:2" ht="37.5" customHeight="1">
      <c r="A229" s="501" t="str">
        <f>[1]Subcontractors!E1330</f>
        <v>Stella Asong Nchonganyi</v>
      </c>
      <c r="B229" s="499"/>
    </row>
    <row r="230" spans="1:2" ht="37.5" customHeight="1">
      <c r="A230" s="501" t="str">
        <f>[1]Subcontractors!E1331</f>
        <v>Deborah Akinola</v>
      </c>
      <c r="B230" s="499"/>
    </row>
    <row r="231" spans="1:2" ht="37.5" customHeight="1">
      <c r="A231" s="501" t="str">
        <f>[1]Subcontractors!E1332</f>
        <v>Claudine Uwituze</v>
      </c>
      <c r="B231" s="499"/>
    </row>
    <row r="232" spans="1:2" ht="37.5" customHeight="1">
      <c r="A232" s="501" t="str">
        <f>[1]Subcontractors!E1333</f>
        <v>Marie Charles</v>
      </c>
      <c r="B232" s="499"/>
    </row>
    <row r="233" spans="1:2" ht="37.5" customHeight="1">
      <c r="A233" s="501" t="str">
        <f>[1]Subcontractors!E1334</f>
        <v>Samrat Kathayat</v>
      </c>
      <c r="B233" s="499"/>
    </row>
    <row r="234" spans="1:2" ht="37.5" customHeight="1">
      <c r="A234" s="501" t="str">
        <f>[1]Subcontractors!E1335</f>
        <v>Varkha Varkha</v>
      </c>
      <c r="B234" s="499"/>
    </row>
    <row r="235" spans="1:2" ht="37.5" customHeight="1">
      <c r="A235" s="501" t="str">
        <f>[1]Subcontractors!E1336</f>
        <v>Delphine Akimanishaka</v>
      </c>
      <c r="B235" s="499"/>
    </row>
    <row r="236" spans="1:2" ht="37.5" customHeight="1">
      <c r="A236" s="501" t="str">
        <f>[1]Subcontractors!E1337</f>
        <v>Chander</v>
      </c>
      <c r="B236" s="499"/>
    </row>
    <row r="237" spans="1:2" ht="37.5" customHeight="1">
      <c r="A237" s="501" t="str">
        <f>[1]Subcontractors!E1338</f>
        <v>Ochiagha Sylvester Emenike</v>
      </c>
      <c r="B237" s="499"/>
    </row>
    <row r="238" spans="1:2" ht="37.5" customHeight="1">
      <c r="A238" s="501" t="str">
        <f>[1]Subcontractors!E1339</f>
        <v>Olga Uwikunze</v>
      </c>
      <c r="B238" s="499"/>
    </row>
    <row r="239" spans="1:2" ht="37.5" customHeight="1">
      <c r="A239" s="501" t="str">
        <f>[1]Subcontractors!E1340</f>
        <v>Ibrahim Kamara</v>
      </c>
      <c r="B239" s="499"/>
    </row>
    <row r="240" spans="1:2" ht="37.5" customHeight="1">
      <c r="A240" s="501" t="str">
        <f>[1]Subcontractors!E1341</f>
        <v>Paulo Popoola</v>
      </c>
      <c r="B240" s="499"/>
    </row>
    <row r="241" spans="1:2" ht="37.5" customHeight="1">
      <c r="A241" s="501" t="str">
        <f>[1]Subcontractors!E1342</f>
        <v>Gary Sales</v>
      </c>
      <c r="B241" s="499"/>
    </row>
    <row r="242" spans="1:2" ht="37.5" customHeight="1">
      <c r="A242" s="501" t="str">
        <f>[1]Subcontractors!E1343</f>
        <v>Irakoze Audreille</v>
      </c>
      <c r="B242" s="499"/>
    </row>
    <row r="243" spans="1:2" ht="37.5" customHeight="1">
      <c r="A243" s="501" t="str">
        <f>[1]Subcontractors!E1344</f>
        <v>Regine Akayezu</v>
      </c>
      <c r="B243" s="499"/>
    </row>
    <row r="244" spans="1:2" ht="37.5" customHeight="1">
      <c r="A244" s="501" t="str">
        <f>[1]Subcontractors!E1345</f>
        <v>Ishimwe Sarah</v>
      </c>
      <c r="B244" s="499"/>
    </row>
    <row r="245" spans="1:2" ht="37.5" customHeight="1">
      <c r="A245" s="501" t="str">
        <f>[1]Subcontractors!E1346</f>
        <v>Daniella Umutoni</v>
      </c>
      <c r="B245" s="499"/>
    </row>
    <row r="246" spans="1:2" ht="37.5" customHeight="1">
      <c r="A246" s="501" t="str">
        <f>[1]Subcontractors!E1347</f>
        <v>Jualyn Barbarona</v>
      </c>
      <c r="B246" s="499"/>
    </row>
    <row r="247" spans="1:2" ht="37.5" customHeight="1">
      <c r="A247" s="501">
        <f>[1]Subcontractors!E1348</f>
        <v>0</v>
      </c>
      <c r="B247" s="499"/>
    </row>
    <row r="248" spans="1:2" ht="37.5" customHeight="1">
      <c r="A248" s="501" t="str">
        <f>[1]Subcontractors!E1349</f>
        <v>Princess Mae Domingo</v>
      </c>
      <c r="B248" s="499"/>
    </row>
    <row r="249" spans="1:2" ht="37.5" customHeight="1">
      <c r="A249" s="501" t="str">
        <f>[1]Subcontractors!E1350</f>
        <v>Ugochukwu Ogbuaku</v>
      </c>
      <c r="B249" s="499"/>
    </row>
    <row r="250" spans="1:2" ht="37.5" customHeight="1">
      <c r="A250" s="501">
        <f>[1]Subcontractors!E1351</f>
        <v>0</v>
      </c>
      <c r="B250" s="499"/>
    </row>
    <row r="251" spans="1:2" ht="37.5" customHeight="1">
      <c r="A251" s="501">
        <f>[1]Subcontractors!E1352</f>
        <v>0</v>
      </c>
      <c r="B251" s="499"/>
    </row>
    <row r="252" spans="1:2" ht="37.5" customHeight="1">
      <c r="A252" s="501">
        <f>[1]Subcontractors!E1353</f>
        <v>0</v>
      </c>
      <c r="B252" s="499"/>
    </row>
    <row r="253" spans="1:2" ht="37.5" customHeight="1">
      <c r="A253" s="501" t="str">
        <f>[1]Subcontractors!E1354</f>
        <v>Franklyn Chukwunonye</v>
      </c>
      <c r="B253" s="499"/>
    </row>
    <row r="254" spans="1:2" ht="37.5" customHeight="1">
      <c r="A254" s="501" t="str">
        <f>[1]Subcontractors!E1355</f>
        <v>Mahiben Vasantkumar Prajapati</v>
      </c>
      <c r="B254" s="499"/>
    </row>
    <row r="255" spans="1:2" ht="37.5" customHeight="1">
      <c r="A255" s="501" t="str">
        <f>[1]Subcontractors!E1356</f>
        <v>Omowunmi Samuel</v>
      </c>
      <c r="B255" s="499"/>
    </row>
    <row r="256" spans="1:2" ht="37.5" customHeight="1">
      <c r="A256" s="501" t="str">
        <f>[1]Subcontractors!E1357</f>
        <v>Sahi Salia</v>
      </c>
      <c r="B256" s="499"/>
    </row>
    <row r="257" spans="1:2" ht="37.5" customHeight="1">
      <c r="A257" s="501" t="str">
        <f>[1]Subcontractors!E1358</f>
        <v>Shivam Sood</v>
      </c>
      <c r="B257" s="499"/>
    </row>
    <row r="258" spans="1:2" ht="37.5" customHeight="1">
      <c r="A258" s="501" t="str">
        <f>[1]Subcontractors!E1359</f>
        <v>Jenita Gill</v>
      </c>
      <c r="B258" s="499"/>
    </row>
    <row r="259" spans="1:2" ht="37.5" customHeight="1">
      <c r="A259" s="501" t="str">
        <f>[1]Subcontractors!E1360</f>
        <v>Satnam Singh</v>
      </c>
      <c r="B259" s="499"/>
    </row>
    <row r="260" spans="1:2" ht="37.5" customHeight="1">
      <c r="A260" s="501" t="str">
        <f>[1]Subcontractors!E1361</f>
        <v>Sukhjot Singh</v>
      </c>
      <c r="B260" s="499"/>
    </row>
    <row r="261" spans="1:2" ht="37.5" customHeight="1">
      <c r="A261" s="501" t="str">
        <f>[1]Subcontractors!E1362</f>
        <v>Joshua Agorilla</v>
      </c>
      <c r="B261" s="499"/>
    </row>
    <row r="262" spans="1:2" ht="37.5" customHeight="1">
      <c r="A262" s="501" t="str">
        <f>[1]Subcontractors!E1363</f>
        <v>Safia Benafsha</v>
      </c>
      <c r="B262" s="499"/>
    </row>
    <row r="263" spans="1:2" ht="37.5" customHeight="1">
      <c r="A263" s="501" t="str">
        <f>[1]Subcontractors!E1364</f>
        <v>Abdullahi Abdi Hirsi</v>
      </c>
      <c r="B263" s="499"/>
    </row>
    <row r="264" spans="1:2" ht="37.5" customHeight="1">
      <c r="A264" s="501" t="str">
        <f>[1]Subcontractors!E1365</f>
        <v>Jordan Tsakou Kenne</v>
      </c>
      <c r="B264" s="499"/>
    </row>
    <row r="265" spans="1:2" ht="37.5" customHeight="1">
      <c r="A265" s="501" t="str">
        <f>[1]Subcontractors!E1366</f>
        <v>Isha Touray</v>
      </c>
      <c r="B265" s="499"/>
    </row>
    <row r="266" spans="1:2" ht="37.5" customHeight="1">
      <c r="A266" s="501" t="str">
        <f>[1]Subcontractors!E1367</f>
        <v>Yasin Touray</v>
      </c>
      <c r="B266" s="499"/>
    </row>
    <row r="267" spans="1:2" ht="37.5" customHeight="1">
      <c r="A267" s="501" t="str">
        <f>[1]Subcontractors!E1368</f>
        <v>Ishwori Humagain</v>
      </c>
      <c r="B267" s="499"/>
    </row>
    <row r="268" spans="1:2" ht="37.5" customHeight="1">
      <c r="A268" s="501" t="e">
        <f>[1]Subcontractors!#REF!</f>
        <v>#REF!</v>
      </c>
      <c r="B268" s="499"/>
    </row>
    <row r="269" spans="1:2" ht="37.5" customHeight="1">
      <c r="A269" s="501" t="str">
        <f>[1]Subcontractors!E1369</f>
        <v>Carive Dialakana Bahenga</v>
      </c>
      <c r="B269" s="499"/>
    </row>
    <row r="270" spans="1:2" ht="37.5" customHeight="1">
      <c r="A270" s="501" t="str">
        <f>[1]Subcontractors!E1370</f>
        <v>Uwayemen Aziegbe</v>
      </c>
      <c r="B270" s="499"/>
    </row>
    <row r="271" spans="1:2" ht="37.5" customHeight="1">
      <c r="A271" s="501" t="str">
        <f>[1]Subcontractors!E1371</f>
        <v>Vivek Vivek</v>
      </c>
      <c r="B271" s="499"/>
    </row>
    <row r="272" spans="1:2" ht="37.5" customHeight="1">
      <c r="A272" s="501" t="str">
        <f>[1]Subcontractors!E1372</f>
        <v>Madiha John</v>
      </c>
      <c r="B272" s="499"/>
    </row>
    <row r="273" spans="1:2" ht="37.5" customHeight="1">
      <c r="A273" s="501" t="str">
        <f>[1]Subcontractors!E1373</f>
        <v>Esther Pacheco</v>
      </c>
      <c r="B273" s="499"/>
    </row>
    <row r="274" spans="1:2" ht="37.5" customHeight="1">
      <c r="A274" s="501" t="str">
        <f>[1]Subcontractors!E1374</f>
        <v>Jashanpreet Kaur Sarwara</v>
      </c>
      <c r="B274" s="499"/>
    </row>
    <row r="275" spans="1:2" ht="37.5" customHeight="1">
      <c r="A275" s="501" t="str">
        <f>[1]Subcontractors!E1375</f>
        <v>Anastasiia Rostovtseva</v>
      </c>
      <c r="B275" s="499"/>
    </row>
    <row r="276" spans="1:2" ht="37.5" customHeight="1">
      <c r="A276" s="501" t="str">
        <f>[1]Subcontractors!E1376</f>
        <v>Egbule Fannie Chinyere</v>
      </c>
      <c r="B276" s="499"/>
    </row>
    <row r="277" spans="1:2" ht="37.5" customHeight="1">
      <c r="A277" s="501" t="str">
        <f>[1]Subcontractors!E1377</f>
        <v>Christian Izuchukwu Osoagba</v>
      </c>
      <c r="B277" s="499"/>
    </row>
    <row r="278" spans="1:2" ht="37.5" customHeight="1">
      <c r="A278" s="501" t="str">
        <f>[1]Subcontractors!E1378</f>
        <v>Jan Choy Tee</v>
      </c>
      <c r="B278" s="499"/>
    </row>
    <row r="279" spans="1:2" ht="37.5" customHeight="1">
      <c r="A279" s="501" t="str">
        <f>[1]Subcontractors!E1379</f>
        <v>Harsh Vyas</v>
      </c>
      <c r="B279" s="499"/>
    </row>
    <row r="280" spans="1:2" ht="37.5" customHeight="1">
      <c r="A280" s="501" t="str">
        <f>[1]Subcontractors!E1380</f>
        <v>Mannat Badhan</v>
      </c>
      <c r="B280" s="499"/>
    </row>
    <row r="281" spans="1:2" ht="37.5" customHeight="1">
      <c r="A281" s="501" t="str">
        <f>[1]Subcontractors!E1381</f>
        <v>Teguetsop Doungue Elvéra Vivianie</v>
      </c>
      <c r="B281" s="499"/>
    </row>
    <row r="282" spans="1:2" ht="37.5" customHeight="1">
      <c r="A282" s="501" t="str">
        <f>[1]Subcontractors!E1382</f>
        <v>Egdule Fannie Chinyere</v>
      </c>
      <c r="B282" s="499"/>
    </row>
    <row r="283" spans="1:2" ht="37.5" customHeight="1">
      <c r="A283" s="501" t="str">
        <f>[1]Subcontractors!E1383</f>
        <v>Safia Benafsha</v>
      </c>
      <c r="B283" s="499"/>
    </row>
    <row r="284" spans="1:2" ht="37.5" customHeight="1">
      <c r="A284" s="501" t="str">
        <f>[1]Subcontractors!E1384</f>
        <v>Aljon Galgo</v>
      </c>
      <c r="B284" s="499"/>
    </row>
    <row r="285" spans="1:2" ht="37.5" customHeight="1">
      <c r="A285" s="501" t="str">
        <f>[1]Subcontractors!E1385</f>
        <v>Myriam Laus</v>
      </c>
      <c r="B285" s="499"/>
    </row>
    <row r="286" spans="1:2" ht="37.5" customHeight="1">
      <c r="A286" s="501" t="str">
        <f>[1]Subcontractors!E1386</f>
        <v>Simranjot Kaur</v>
      </c>
      <c r="B286" s="499"/>
    </row>
    <row r="287" spans="1:2" ht="37.5" customHeight="1">
      <c r="A287" s="501" t="str">
        <f>[1]Subcontractors!E1387</f>
        <v>Meet Vanraj Mahida</v>
      </c>
      <c r="B287" s="499"/>
    </row>
    <row r="288" spans="1:2" ht="37.5" customHeight="1">
      <c r="A288" s="501" t="str">
        <f>[1]Subcontractors!E1388</f>
        <v>Titilope Esther Adekile</v>
      </c>
      <c r="B288" s="499"/>
    </row>
    <row r="289" spans="1:2" ht="37.5" customHeight="1">
      <c r="A289" s="501" t="str">
        <f>[1]Subcontractors!E1389</f>
        <v>Joy Unekhoria</v>
      </c>
      <c r="B289" s="499"/>
    </row>
    <row r="290" spans="1:2" ht="37.5" customHeight="1">
      <c r="A290" s="501" t="str">
        <f>[1]Subcontractors!E1390</f>
        <v>Latifah Damilola Usman</v>
      </c>
      <c r="B290" s="499"/>
    </row>
    <row r="291" spans="1:2" ht="37.5" customHeight="1">
      <c r="A291" s="501" t="str">
        <f>[1]Subcontractors!E1391</f>
        <v>Pranjal Shah</v>
      </c>
      <c r="B291" s="499"/>
    </row>
    <row r="292" spans="1:2" ht="37.5" customHeight="1">
      <c r="A292" s="501" t="str">
        <f>[1]Subcontractors!E1392</f>
        <v>Rita Aladi</v>
      </c>
      <c r="B292" s="499"/>
    </row>
    <row r="293" spans="1:2" ht="37.5" customHeight="1">
      <c r="A293" s="501" t="str">
        <f>[1]Subcontractors!E1393</f>
        <v>James John Iñido</v>
      </c>
      <c r="B293" s="499"/>
    </row>
    <row r="294" spans="1:2" ht="37.5" customHeight="1">
      <c r="A294" s="501" t="str">
        <f>[1]Subcontractors!E1394</f>
        <v>Isiah Kent Arcay</v>
      </c>
      <c r="B294" s="499"/>
    </row>
  </sheetData>
  <autoFilter ref="A1:B142" xr:uid="{00000000-0009-0000-0000-000000000000}">
    <sortState xmlns:xlrd2="http://schemas.microsoft.com/office/spreadsheetml/2017/richdata2" ref="A2:B142">
      <sortCondition ref="A1:A142"/>
      <sortCondition ref="B1:B142"/>
    </sortState>
  </autoFilter>
  <hyperlinks>
    <hyperlink ref="B31" r:id="rId1" xr:uid="{D66A143F-6A68-4621-A0ED-A2631840860F}"/>
    <hyperlink ref="B178" r:id="rId2" xr:uid="{135EFE81-258A-4291-ABA0-B454B3E81A74}"/>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FB8181"/>
    <pageSetUpPr fitToPage="1"/>
  </sheetPr>
  <dimension ref="A1:K20"/>
  <sheetViews>
    <sheetView view="pageBreakPreview" zoomScale="115" zoomScaleNormal="100" zoomScalePageLayoutView="90" workbookViewId="0">
      <selection activeCell="B14" sqref="B14"/>
    </sheetView>
  </sheetViews>
  <sheetFormatPr defaultColWidth="9" defaultRowHeight="17.25"/>
  <cols>
    <col min="1" max="1" width="3.42578125" style="4" customWidth="1"/>
    <col min="2" max="2" width="40.85546875" style="85" customWidth="1"/>
    <col min="3" max="3" width="17.7109375" style="86" customWidth="1"/>
    <col min="4" max="4" width="9.85546875" style="86" customWidth="1"/>
    <col min="5" max="5" width="10.140625" style="86" customWidth="1"/>
    <col min="6" max="6" width="13.140625" style="87" customWidth="1"/>
    <col min="7" max="7" width="48.7109375" style="88" customWidth="1"/>
    <col min="8" max="8" width="9.28515625" customWidth="1"/>
    <col min="10" max="10" width="10.85546875" customWidth="1"/>
    <col min="11" max="11" width="43.140625" customWidth="1"/>
  </cols>
  <sheetData>
    <row r="1" spans="1:11" ht="45.75" customHeight="1">
      <c r="A1" s="17"/>
      <c r="B1" s="89" t="s">
        <v>1319</v>
      </c>
      <c r="C1" s="90" t="s">
        <v>0</v>
      </c>
      <c r="D1" s="90" t="s">
        <v>1</v>
      </c>
      <c r="E1" s="90" t="s">
        <v>2</v>
      </c>
      <c r="F1" s="91" t="s">
        <v>19</v>
      </c>
      <c r="G1" s="92" t="s">
        <v>1320</v>
      </c>
      <c r="H1" s="65"/>
      <c r="I1" s="65"/>
      <c r="J1" s="66"/>
      <c r="K1" s="67"/>
    </row>
    <row r="2" spans="1:11" ht="31.5" customHeight="1">
      <c r="A2" s="17">
        <v>1</v>
      </c>
      <c r="B2" s="93" t="s">
        <v>1321</v>
      </c>
      <c r="C2" s="11" t="e">
        <f>GTA!#REF!</f>
        <v>#REF!</v>
      </c>
      <c r="D2" s="94" t="s">
        <v>22</v>
      </c>
      <c r="E2" s="11">
        <v>16</v>
      </c>
      <c r="F2" s="95" t="e">
        <f>C2*E2</f>
        <v>#REF!</v>
      </c>
      <c r="G2" s="96" t="s">
        <v>1322</v>
      </c>
      <c r="K2" s="67"/>
    </row>
    <row r="3" spans="1:11" ht="31.5" customHeight="1">
      <c r="A3" s="17">
        <f t="shared" ref="A3:A18" si="0">A2+1</f>
        <v>2</v>
      </c>
      <c r="B3" s="93" t="s">
        <v>1086</v>
      </c>
      <c r="C3" s="11" t="e">
        <f>GTA!#REF!</f>
        <v>#REF!</v>
      </c>
      <c r="D3" s="94" t="s">
        <v>22</v>
      </c>
      <c r="E3" s="11">
        <v>16</v>
      </c>
      <c r="F3" s="95" t="e">
        <f>C3*E3</f>
        <v>#REF!</v>
      </c>
      <c r="G3" s="96" t="s">
        <v>1322</v>
      </c>
      <c r="K3" s="67"/>
    </row>
    <row r="4" spans="1:11" ht="31.5" customHeight="1">
      <c r="A4" s="17">
        <f t="shared" si="0"/>
        <v>3</v>
      </c>
      <c r="B4" s="97" t="s">
        <v>1323</v>
      </c>
      <c r="C4" s="11" t="s">
        <v>1324</v>
      </c>
      <c r="D4" s="11" t="s">
        <v>1325</v>
      </c>
      <c r="E4" s="11"/>
      <c r="F4" s="95"/>
      <c r="G4" s="96" t="s">
        <v>1326</v>
      </c>
      <c r="H4" s="98"/>
      <c r="I4" s="65"/>
      <c r="J4" s="66"/>
      <c r="K4" s="67"/>
    </row>
    <row r="5" spans="1:11" ht="31.5" customHeight="1">
      <c r="A5" s="17">
        <f t="shared" si="0"/>
        <v>4</v>
      </c>
      <c r="B5" s="97" t="s">
        <v>1327</v>
      </c>
      <c r="C5" s="11" t="s">
        <v>1324</v>
      </c>
      <c r="D5" s="11" t="s">
        <v>1325</v>
      </c>
      <c r="E5" s="11"/>
      <c r="F5" s="95"/>
      <c r="G5" s="96" t="s">
        <v>1326</v>
      </c>
      <c r="H5" s="98"/>
      <c r="I5" s="65"/>
      <c r="J5" s="66"/>
      <c r="K5" s="67"/>
    </row>
    <row r="6" spans="1:11" ht="31.5" customHeight="1">
      <c r="A6" s="17">
        <f t="shared" si="0"/>
        <v>5</v>
      </c>
      <c r="B6" s="99" t="s">
        <v>1328</v>
      </c>
      <c r="C6" s="11">
        <f>'OUTSIDE GTA'!K233</f>
        <v>0</v>
      </c>
      <c r="D6" s="94" t="s">
        <v>22</v>
      </c>
      <c r="E6" s="11">
        <v>16</v>
      </c>
      <c r="F6" s="95">
        <f>C6*E6</f>
        <v>0</v>
      </c>
      <c r="G6" s="100" t="s">
        <v>1329</v>
      </c>
      <c r="K6" s="67"/>
    </row>
    <row r="7" spans="1:11" ht="31.5" customHeight="1">
      <c r="A7" s="17">
        <f t="shared" si="0"/>
        <v>6</v>
      </c>
      <c r="B7" s="97" t="s">
        <v>1330</v>
      </c>
      <c r="C7" s="11" t="s">
        <v>1324</v>
      </c>
      <c r="D7" s="11" t="s">
        <v>1325</v>
      </c>
      <c r="E7" s="11"/>
      <c r="F7" s="95"/>
      <c r="G7" s="96" t="s">
        <v>1326</v>
      </c>
    </row>
    <row r="8" spans="1:11" ht="31.5" customHeight="1">
      <c r="A8" s="17">
        <f t="shared" si="0"/>
        <v>7</v>
      </c>
      <c r="B8" s="93" t="s">
        <v>1331</v>
      </c>
      <c r="C8" s="11" t="e">
        <f>GTA!#REF!</f>
        <v>#REF!</v>
      </c>
      <c r="D8" s="94" t="s">
        <v>22</v>
      </c>
      <c r="E8" s="11">
        <v>16</v>
      </c>
      <c r="F8" s="95" t="e">
        <f>C8*E8</f>
        <v>#REF!</v>
      </c>
      <c r="G8" s="96" t="s">
        <v>1322</v>
      </c>
    </row>
    <row r="9" spans="1:11" ht="31.5" customHeight="1">
      <c r="A9" s="17">
        <f t="shared" si="0"/>
        <v>8</v>
      </c>
      <c r="B9" s="93" t="s">
        <v>1332</v>
      </c>
      <c r="C9" s="11" t="e">
        <f>GTA!#REF!</f>
        <v>#REF!</v>
      </c>
      <c r="D9" s="94" t="s">
        <v>22</v>
      </c>
      <c r="E9" s="11">
        <v>16</v>
      </c>
      <c r="F9" s="95" t="e">
        <f>C9*E9</f>
        <v>#REF!</v>
      </c>
      <c r="G9" s="96" t="s">
        <v>1322</v>
      </c>
    </row>
    <row r="10" spans="1:11" ht="31.5" customHeight="1">
      <c r="A10" s="17">
        <f t="shared" si="0"/>
        <v>9</v>
      </c>
      <c r="B10" s="101" t="s">
        <v>1333</v>
      </c>
      <c r="C10" s="11" t="e">
        <f>GTA!#REF!</f>
        <v>#REF!</v>
      </c>
      <c r="D10" s="11" t="s">
        <v>22</v>
      </c>
      <c r="E10" s="11">
        <v>17</v>
      </c>
      <c r="F10" s="95" t="e">
        <f>C10*E10</f>
        <v>#REF!</v>
      </c>
      <c r="G10" s="96" t="s">
        <v>17</v>
      </c>
    </row>
    <row r="11" spans="1:11" ht="31.5" customHeight="1">
      <c r="A11" s="17">
        <f t="shared" si="0"/>
        <v>10</v>
      </c>
      <c r="B11" s="97" t="s">
        <v>1334</v>
      </c>
      <c r="C11" s="11" t="s">
        <v>1324</v>
      </c>
      <c r="D11" s="11" t="s">
        <v>1325</v>
      </c>
      <c r="E11" s="11"/>
      <c r="F11" s="95"/>
      <c r="G11" s="96" t="s">
        <v>1326</v>
      </c>
    </row>
    <row r="12" spans="1:11" ht="31.5" customHeight="1">
      <c r="A12" s="17">
        <f t="shared" si="0"/>
        <v>11</v>
      </c>
      <c r="B12" s="97" t="s">
        <v>1335</v>
      </c>
      <c r="C12" s="11" t="s">
        <v>1324</v>
      </c>
      <c r="D12" s="11" t="s">
        <v>1325</v>
      </c>
      <c r="E12" s="11"/>
      <c r="F12" s="95"/>
      <c r="G12" s="96" t="s">
        <v>1326</v>
      </c>
    </row>
    <row r="13" spans="1:11" s="2" customFormat="1" ht="31.5" customHeight="1">
      <c r="A13" s="17">
        <f t="shared" si="0"/>
        <v>12</v>
      </c>
      <c r="B13" s="93" t="s">
        <v>1336</v>
      </c>
      <c r="C13" s="11" t="e">
        <f>GTA!#REF!</f>
        <v>#REF!</v>
      </c>
      <c r="D13" s="94" t="s">
        <v>22</v>
      </c>
      <c r="E13" s="11">
        <v>16</v>
      </c>
      <c r="F13" s="95" t="e">
        <f t="shared" ref="F13:F18" si="1">C13*E13</f>
        <v>#REF!</v>
      </c>
      <c r="G13" s="96" t="s">
        <v>1322</v>
      </c>
    </row>
    <row r="14" spans="1:11" ht="31.5" customHeight="1">
      <c r="A14" s="17">
        <f t="shared" si="0"/>
        <v>13</v>
      </c>
      <c r="B14" s="102" t="s">
        <v>1337</v>
      </c>
      <c r="C14" s="11" t="e">
        <f>GTA!#REF!</f>
        <v>#REF!</v>
      </c>
      <c r="D14" s="94" t="s">
        <v>22</v>
      </c>
      <c r="E14" s="11">
        <v>16</v>
      </c>
      <c r="F14" s="95" t="e">
        <f t="shared" si="1"/>
        <v>#REF!</v>
      </c>
      <c r="G14" s="96" t="s">
        <v>1338</v>
      </c>
    </row>
    <row r="15" spans="1:11" ht="31.5" customHeight="1">
      <c r="A15" s="17">
        <f t="shared" si="0"/>
        <v>14</v>
      </c>
      <c r="B15" s="103" t="s">
        <v>1337</v>
      </c>
      <c r="C15" s="11" t="e">
        <f>GTA!#REF!</f>
        <v>#REF!</v>
      </c>
      <c r="D15" s="11" t="s">
        <v>22</v>
      </c>
      <c r="E15" s="11">
        <v>16</v>
      </c>
      <c r="F15" s="95" t="e">
        <f t="shared" si="1"/>
        <v>#REF!</v>
      </c>
      <c r="G15" s="96" t="s">
        <v>696</v>
      </c>
    </row>
    <row r="16" spans="1:11" ht="31.5" customHeight="1">
      <c r="A16" s="17">
        <f t="shared" si="0"/>
        <v>15</v>
      </c>
      <c r="B16" s="104" t="s">
        <v>1339</v>
      </c>
      <c r="C16" s="94" t="e">
        <f>OTTAWA!#REF!+OTTAWA!#REF!+OTTAWA!#REF!</f>
        <v>#REF!</v>
      </c>
      <c r="D16" s="94" t="s">
        <v>22</v>
      </c>
      <c r="E16" s="11">
        <v>16</v>
      </c>
      <c r="F16" s="95" t="e">
        <f t="shared" si="1"/>
        <v>#REF!</v>
      </c>
      <c r="G16" s="100" t="s">
        <v>1340</v>
      </c>
    </row>
    <row r="17" spans="1:7" ht="31.5" customHeight="1">
      <c r="A17" s="17">
        <f t="shared" si="0"/>
        <v>16</v>
      </c>
      <c r="B17" s="105" t="s">
        <v>1341</v>
      </c>
      <c r="C17" s="94" t="e">
        <f>OTTAWA!#REF!</f>
        <v>#REF!</v>
      </c>
      <c r="D17" s="94" t="s">
        <v>22</v>
      </c>
      <c r="E17" s="11">
        <v>16</v>
      </c>
      <c r="F17" s="95" t="e">
        <f t="shared" si="1"/>
        <v>#REF!</v>
      </c>
      <c r="G17" s="100" t="s">
        <v>1340</v>
      </c>
    </row>
    <row r="18" spans="1:7" ht="31.5" customHeight="1">
      <c r="A18" s="17">
        <f t="shared" si="0"/>
        <v>17</v>
      </c>
      <c r="B18" s="106" t="s">
        <v>1342</v>
      </c>
      <c r="C18" s="107">
        <f>'OUTSIDE GTA'!F544</f>
        <v>0</v>
      </c>
      <c r="D18" s="94" t="s">
        <v>22</v>
      </c>
      <c r="E18" s="11">
        <v>16.5</v>
      </c>
      <c r="F18" s="95">
        <f t="shared" si="1"/>
        <v>0</v>
      </c>
      <c r="G18" s="96" t="s">
        <v>653</v>
      </c>
    </row>
    <row r="19" spans="1:7">
      <c r="B19" s="108"/>
      <c r="C19" s="109"/>
      <c r="D19" s="109"/>
      <c r="E19" s="110" t="s">
        <v>701</v>
      </c>
      <c r="F19" s="111" t="e">
        <f>SUM(F2:F18)</f>
        <v>#REF!</v>
      </c>
    </row>
    <row r="20" spans="1:7">
      <c r="F20" s="87" t="e">
        <f>ROUND(#REF!-#REF!-'PRINT (2)'!F19,5)</f>
        <v>#REF!</v>
      </c>
    </row>
  </sheetData>
  <autoFilter ref="B1:G20" xr:uid="{00000000-0009-0000-0000-000008000000}"/>
  <pageMargins left="0.25" right="0.25" top="0.75" bottom="0.75" header="0.3" footer="0.3"/>
  <pageSetup scale="70" fitToHeight="0" orientation="portrait" r:id="rId1"/>
  <headerFooter>
    <oddHeader>&amp;C&amp;"-,Bold"&amp;15ALLIANCE RESOURCE MGT DEC 03 - 16</oddHead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rgb="FF92D050"/>
    <pageSetUpPr fitToPage="1"/>
  </sheetPr>
  <dimension ref="A1:H117"/>
  <sheetViews>
    <sheetView view="pageLayout" topLeftCell="A106" zoomScale="90" zoomScaleNormal="100" zoomScaleSheetLayoutView="85" zoomScalePageLayoutView="90" workbookViewId="0">
      <selection activeCell="E115" sqref="E115"/>
    </sheetView>
  </sheetViews>
  <sheetFormatPr defaultColWidth="9" defaultRowHeight="28.5"/>
  <cols>
    <col min="1" max="1" width="63.7109375" style="58" customWidth="1"/>
    <col min="2" max="2" width="30.5703125" style="59" customWidth="1"/>
    <col min="3" max="3" width="26.140625" style="60" customWidth="1"/>
    <col min="4" max="4" width="22.28515625" style="61" customWidth="1"/>
    <col min="5" max="5" width="62.5703125" customWidth="1"/>
    <col min="7" max="7" width="10.85546875" customWidth="1"/>
    <col min="8" max="8" width="43.140625" customWidth="1"/>
  </cols>
  <sheetData>
    <row r="1" spans="1:8" ht="81" customHeight="1">
      <c r="A1" s="62" t="s">
        <v>1343</v>
      </c>
      <c r="B1" s="904">
        <v>25.5</v>
      </c>
      <c r="C1" s="63">
        <v>16</v>
      </c>
      <c r="D1" s="63">
        <v>408</v>
      </c>
      <c r="E1" s="64" t="s">
        <v>1344</v>
      </c>
      <c r="F1" s="65"/>
      <c r="G1" s="66"/>
      <c r="H1" s="67"/>
    </row>
    <row r="2" spans="1:8" ht="81" customHeight="1">
      <c r="A2" s="62" t="s">
        <v>1345</v>
      </c>
      <c r="B2" s="904">
        <v>8</v>
      </c>
      <c r="C2" s="63">
        <v>16</v>
      </c>
      <c r="D2" s="63">
        <v>128</v>
      </c>
      <c r="E2" s="64" t="s">
        <v>696</v>
      </c>
      <c r="F2" s="65"/>
      <c r="G2" s="66"/>
      <c r="H2" s="67"/>
    </row>
    <row r="3" spans="1:8" ht="81" customHeight="1">
      <c r="A3" s="68" t="s">
        <v>1346</v>
      </c>
      <c r="B3" s="904">
        <v>60</v>
      </c>
      <c r="C3" s="63">
        <v>19</v>
      </c>
      <c r="D3" s="63">
        <v>1140</v>
      </c>
      <c r="E3" s="64" t="s">
        <v>686</v>
      </c>
      <c r="G3" s="66"/>
      <c r="H3" s="67"/>
    </row>
    <row r="4" spans="1:8" ht="81" customHeight="1">
      <c r="A4" s="62" t="s">
        <v>324</v>
      </c>
      <c r="B4" s="69">
        <v>44.5</v>
      </c>
      <c r="C4" s="63">
        <v>16</v>
      </c>
      <c r="D4" s="63">
        <v>712</v>
      </c>
      <c r="E4" s="64" t="s">
        <v>1347</v>
      </c>
      <c r="F4" s="65"/>
      <c r="G4" s="66"/>
      <c r="H4" s="67"/>
    </row>
    <row r="5" spans="1:8" ht="81" customHeight="1">
      <c r="A5" s="70" t="s">
        <v>441</v>
      </c>
      <c r="B5" s="904">
        <v>8</v>
      </c>
      <c r="C5" s="63">
        <v>16</v>
      </c>
      <c r="D5" s="63">
        <v>128</v>
      </c>
      <c r="E5" s="64" t="s">
        <v>172</v>
      </c>
      <c r="F5" s="65"/>
      <c r="G5" s="66"/>
      <c r="H5" s="67"/>
    </row>
    <row r="6" spans="1:8" ht="81" customHeight="1">
      <c r="A6" s="68" t="s">
        <v>1348</v>
      </c>
      <c r="B6" s="904">
        <v>15</v>
      </c>
      <c r="C6" s="63">
        <v>15.5</v>
      </c>
      <c r="D6" s="63">
        <v>232.5</v>
      </c>
      <c r="E6" s="64" t="s">
        <v>1347</v>
      </c>
      <c r="H6" s="67"/>
    </row>
    <row r="7" spans="1:8" ht="81" customHeight="1">
      <c r="A7" s="68" t="s">
        <v>1348</v>
      </c>
      <c r="B7" s="904">
        <v>38.5</v>
      </c>
      <c r="C7" s="63">
        <v>15.5</v>
      </c>
      <c r="D7" s="63">
        <v>596.75</v>
      </c>
      <c r="E7" s="64" t="s">
        <v>1340</v>
      </c>
      <c r="H7" s="67"/>
    </row>
    <row r="8" spans="1:8" ht="81" customHeight="1">
      <c r="A8" s="62" t="s">
        <v>1349</v>
      </c>
      <c r="B8" s="904">
        <v>24</v>
      </c>
      <c r="C8" s="63">
        <v>16</v>
      </c>
      <c r="D8" s="63">
        <v>384</v>
      </c>
      <c r="E8" s="64" t="s">
        <v>1344</v>
      </c>
      <c r="H8" s="67"/>
    </row>
    <row r="9" spans="1:8" ht="81" customHeight="1">
      <c r="A9" s="62" t="s">
        <v>1350</v>
      </c>
      <c r="B9" s="904">
        <v>60</v>
      </c>
      <c r="C9" s="63">
        <v>18</v>
      </c>
      <c r="D9" s="63">
        <v>1080</v>
      </c>
      <c r="E9" s="64" t="s">
        <v>202</v>
      </c>
      <c r="H9" s="67"/>
    </row>
    <row r="10" spans="1:8" ht="81" customHeight="1">
      <c r="A10" s="71" t="s">
        <v>1351</v>
      </c>
      <c r="B10" s="904">
        <v>72</v>
      </c>
      <c r="C10" s="72">
        <v>16</v>
      </c>
      <c r="D10" s="63">
        <v>1152</v>
      </c>
      <c r="E10" s="64" t="s">
        <v>1352</v>
      </c>
      <c r="H10" s="67"/>
    </row>
    <row r="11" spans="1:8" ht="81" customHeight="1">
      <c r="A11" s="73" t="s">
        <v>1353</v>
      </c>
      <c r="B11" s="904">
        <v>41</v>
      </c>
      <c r="C11" s="63">
        <v>16</v>
      </c>
      <c r="D11" s="63">
        <v>701.54</v>
      </c>
      <c r="E11" s="74" t="s">
        <v>853</v>
      </c>
      <c r="H11" s="67"/>
    </row>
    <row r="12" spans="1:8" ht="81" customHeight="1">
      <c r="A12" s="70" t="s">
        <v>1354</v>
      </c>
      <c r="B12" s="904">
        <v>8</v>
      </c>
      <c r="C12" s="63">
        <v>16</v>
      </c>
      <c r="D12" s="63">
        <v>128</v>
      </c>
      <c r="E12" s="64" t="s">
        <v>1355</v>
      </c>
      <c r="H12" s="67"/>
    </row>
    <row r="13" spans="1:8" ht="81" customHeight="1">
      <c r="A13" s="68" t="s">
        <v>1356</v>
      </c>
      <c r="B13" s="904">
        <v>41.25</v>
      </c>
      <c r="C13" s="63">
        <v>15.5</v>
      </c>
      <c r="D13" s="63">
        <v>639.375</v>
      </c>
      <c r="E13" s="64" t="s">
        <v>1347</v>
      </c>
      <c r="H13" s="67"/>
    </row>
    <row r="14" spans="1:8" ht="81" customHeight="1">
      <c r="A14" s="68" t="s">
        <v>1357</v>
      </c>
      <c r="B14" s="904">
        <v>84.75</v>
      </c>
      <c r="C14" s="63">
        <v>15.5</v>
      </c>
      <c r="D14" s="63">
        <v>1313.625</v>
      </c>
      <c r="E14" s="64" t="s">
        <v>1347</v>
      </c>
      <c r="H14" s="67"/>
    </row>
    <row r="15" spans="1:8" ht="81" customHeight="1">
      <c r="A15" s="62" t="s">
        <v>1358</v>
      </c>
      <c r="B15" s="904">
        <v>9</v>
      </c>
      <c r="C15" s="63">
        <v>16</v>
      </c>
      <c r="D15" s="63">
        <v>144</v>
      </c>
      <c r="E15" s="64" t="s">
        <v>1344</v>
      </c>
      <c r="H15" s="67"/>
    </row>
    <row r="16" spans="1:8" ht="81" customHeight="1">
      <c r="A16" s="62" t="s">
        <v>18</v>
      </c>
      <c r="B16" s="904">
        <v>79</v>
      </c>
      <c r="C16" s="63">
        <v>20</v>
      </c>
      <c r="D16" s="63">
        <v>1580</v>
      </c>
      <c r="E16" s="64" t="s">
        <v>686</v>
      </c>
      <c r="H16" s="67"/>
    </row>
    <row r="17" spans="1:8" ht="81" customHeight="1">
      <c r="A17" s="70" t="s">
        <v>1359</v>
      </c>
      <c r="B17" s="904">
        <v>53.25</v>
      </c>
      <c r="C17" s="63">
        <v>16</v>
      </c>
      <c r="D17" s="63">
        <v>852</v>
      </c>
      <c r="E17" s="64" t="s">
        <v>663</v>
      </c>
      <c r="H17" s="67"/>
    </row>
    <row r="18" spans="1:8" ht="81" customHeight="1">
      <c r="A18" s="62" t="s">
        <v>1360</v>
      </c>
      <c r="B18" s="904">
        <v>27.25</v>
      </c>
      <c r="C18" s="63">
        <v>16</v>
      </c>
      <c r="D18" s="63">
        <v>436</v>
      </c>
      <c r="E18" s="64" t="s">
        <v>1347</v>
      </c>
      <c r="H18" s="67"/>
    </row>
    <row r="19" spans="1:8" ht="81" customHeight="1">
      <c r="A19" s="62" t="s">
        <v>1361</v>
      </c>
      <c r="B19" s="904">
        <v>44.75</v>
      </c>
      <c r="C19" s="63">
        <v>16</v>
      </c>
      <c r="D19" s="63">
        <v>716</v>
      </c>
      <c r="E19" s="64" t="s">
        <v>1344</v>
      </c>
      <c r="H19" s="67"/>
    </row>
    <row r="20" spans="1:8" ht="81" customHeight="1">
      <c r="A20" s="62" t="s">
        <v>1362</v>
      </c>
      <c r="B20" s="904">
        <v>56</v>
      </c>
      <c r="C20" s="75">
        <v>16</v>
      </c>
      <c r="D20" s="63">
        <v>950.32</v>
      </c>
      <c r="E20" s="64" t="s">
        <v>659</v>
      </c>
      <c r="H20" s="67"/>
    </row>
    <row r="21" spans="1:8" ht="81" customHeight="1">
      <c r="A21" s="62" t="s">
        <v>1363</v>
      </c>
      <c r="B21" s="904">
        <v>16</v>
      </c>
      <c r="C21" s="63">
        <v>16</v>
      </c>
      <c r="D21" s="63">
        <v>271.52</v>
      </c>
      <c r="E21" s="64" t="s">
        <v>1364</v>
      </c>
      <c r="H21" s="67"/>
    </row>
    <row r="22" spans="1:8" ht="81" customHeight="1">
      <c r="A22" s="68" t="s">
        <v>1365</v>
      </c>
      <c r="B22" s="904">
        <v>8</v>
      </c>
      <c r="C22" s="63">
        <v>16</v>
      </c>
      <c r="D22" s="63">
        <v>171.8</v>
      </c>
      <c r="E22" s="64" t="s">
        <v>172</v>
      </c>
      <c r="H22" s="67"/>
    </row>
    <row r="23" spans="1:8" ht="81" customHeight="1">
      <c r="A23" s="62" t="s">
        <v>1366</v>
      </c>
      <c r="B23" s="904">
        <v>45</v>
      </c>
      <c r="C23" s="63">
        <v>15.5</v>
      </c>
      <c r="D23" s="63">
        <v>697.5</v>
      </c>
      <c r="E23" s="64" t="s">
        <v>1347</v>
      </c>
      <c r="H23" s="67"/>
    </row>
    <row r="24" spans="1:8" ht="81" customHeight="1">
      <c r="A24" s="71" t="s">
        <v>1367</v>
      </c>
      <c r="B24" s="1075" t="s">
        <v>1368</v>
      </c>
      <c r="C24" s="1075"/>
      <c r="D24" s="63">
        <v>2250</v>
      </c>
      <c r="E24" s="64" t="s">
        <v>1369</v>
      </c>
      <c r="H24" s="67"/>
    </row>
    <row r="25" spans="1:8" ht="81" customHeight="1">
      <c r="A25" s="71" t="s">
        <v>1367</v>
      </c>
      <c r="B25" s="1075" t="s">
        <v>1370</v>
      </c>
      <c r="C25" s="1075"/>
      <c r="D25" s="63">
        <v>1100</v>
      </c>
      <c r="E25" s="64" t="s">
        <v>1371</v>
      </c>
      <c r="H25" s="67"/>
    </row>
    <row r="26" spans="1:8" ht="81" customHeight="1">
      <c r="A26" s="62" t="s">
        <v>1372</v>
      </c>
      <c r="B26" s="904">
        <v>8</v>
      </c>
      <c r="C26" s="63">
        <v>16</v>
      </c>
      <c r="D26" s="63">
        <v>128</v>
      </c>
      <c r="E26" s="64" t="s">
        <v>172</v>
      </c>
      <c r="H26" s="67"/>
    </row>
    <row r="27" spans="1:8" ht="81" customHeight="1">
      <c r="A27" s="71" t="s">
        <v>1373</v>
      </c>
      <c r="B27" s="1075" t="s">
        <v>1374</v>
      </c>
      <c r="C27" s="1075"/>
      <c r="D27" s="63">
        <v>200</v>
      </c>
      <c r="E27" s="64" t="s">
        <v>144</v>
      </c>
      <c r="H27" s="67"/>
    </row>
    <row r="28" spans="1:8" ht="81" customHeight="1">
      <c r="A28" s="62" t="s">
        <v>1375</v>
      </c>
      <c r="B28" s="904">
        <v>8</v>
      </c>
      <c r="C28" s="63">
        <v>16</v>
      </c>
      <c r="D28" s="63">
        <v>128</v>
      </c>
      <c r="E28" s="64" t="s">
        <v>1376</v>
      </c>
      <c r="H28" s="67"/>
    </row>
    <row r="29" spans="1:8" ht="81" customHeight="1">
      <c r="A29" s="62" t="s">
        <v>1377</v>
      </c>
      <c r="B29" s="904">
        <v>8</v>
      </c>
      <c r="C29" s="63">
        <v>16</v>
      </c>
      <c r="D29" s="63">
        <v>128</v>
      </c>
      <c r="E29" s="64" t="s">
        <v>1376</v>
      </c>
      <c r="H29" s="67"/>
    </row>
    <row r="30" spans="1:8" ht="81" customHeight="1">
      <c r="A30" s="62" t="s">
        <v>1378</v>
      </c>
      <c r="B30" s="904">
        <v>72.75</v>
      </c>
      <c r="C30" s="63">
        <v>16</v>
      </c>
      <c r="D30" s="63">
        <v>1233.8399999999999</v>
      </c>
      <c r="E30" s="64" t="s">
        <v>1364</v>
      </c>
      <c r="H30" s="67"/>
    </row>
    <row r="31" spans="1:8" ht="81" customHeight="1">
      <c r="A31" s="62" t="s">
        <v>1379</v>
      </c>
      <c r="B31" s="904">
        <v>48</v>
      </c>
      <c r="C31" s="63">
        <v>16</v>
      </c>
      <c r="D31" s="63">
        <v>768</v>
      </c>
      <c r="E31" s="64" t="s">
        <v>1380</v>
      </c>
    </row>
    <row r="32" spans="1:8" ht="81" customHeight="1">
      <c r="A32" s="62" t="s">
        <v>1381</v>
      </c>
      <c r="B32" s="904">
        <v>8</v>
      </c>
      <c r="C32" s="63">
        <v>18</v>
      </c>
      <c r="D32" s="63">
        <v>144</v>
      </c>
      <c r="E32" s="64" t="s">
        <v>202</v>
      </c>
    </row>
    <row r="33" spans="1:5" ht="81" customHeight="1">
      <c r="A33" s="62" t="s">
        <v>1381</v>
      </c>
      <c r="B33" s="904">
        <v>8</v>
      </c>
      <c r="C33" s="63">
        <v>16</v>
      </c>
      <c r="D33" s="63">
        <v>128</v>
      </c>
      <c r="E33" s="64" t="s">
        <v>696</v>
      </c>
    </row>
    <row r="34" spans="1:5" ht="81" customHeight="1">
      <c r="A34" s="71" t="s">
        <v>1382</v>
      </c>
      <c r="B34" s="904">
        <v>16</v>
      </c>
      <c r="C34" s="72">
        <v>16</v>
      </c>
      <c r="D34" s="63">
        <v>256</v>
      </c>
      <c r="E34" s="64" t="s">
        <v>1352</v>
      </c>
    </row>
    <row r="35" spans="1:5" ht="81" customHeight="1">
      <c r="A35" s="62" t="s">
        <v>1383</v>
      </c>
      <c r="B35" s="904">
        <v>5.25</v>
      </c>
      <c r="C35" s="63">
        <v>16</v>
      </c>
      <c r="D35" s="63">
        <v>84</v>
      </c>
      <c r="E35" s="64" t="s">
        <v>1347</v>
      </c>
    </row>
    <row r="36" spans="1:5" ht="81" customHeight="1">
      <c r="A36" s="62" t="s">
        <v>1384</v>
      </c>
      <c r="B36" s="904">
        <v>42</v>
      </c>
      <c r="C36" s="63">
        <v>16</v>
      </c>
      <c r="D36" s="63">
        <v>672</v>
      </c>
      <c r="E36" s="64" t="s">
        <v>1344</v>
      </c>
    </row>
    <row r="37" spans="1:5" ht="81" customHeight="1">
      <c r="A37" s="68" t="s">
        <v>1385</v>
      </c>
      <c r="B37" s="904">
        <v>4.25</v>
      </c>
      <c r="C37" s="63">
        <v>16</v>
      </c>
      <c r="D37" s="63">
        <v>68</v>
      </c>
      <c r="E37" s="64" t="s">
        <v>1347</v>
      </c>
    </row>
    <row r="38" spans="1:5" ht="81" customHeight="1">
      <c r="A38" s="62" t="s">
        <v>1386</v>
      </c>
      <c r="B38" s="904">
        <v>72</v>
      </c>
      <c r="C38" s="63">
        <v>16</v>
      </c>
      <c r="D38" s="63">
        <v>1221.8399999999999</v>
      </c>
      <c r="E38" s="64" t="s">
        <v>1364</v>
      </c>
    </row>
    <row r="39" spans="1:5" ht="81" customHeight="1">
      <c r="A39" s="70" t="s">
        <v>1160</v>
      </c>
      <c r="B39" s="904">
        <v>18</v>
      </c>
      <c r="C39" s="63">
        <v>16</v>
      </c>
      <c r="D39" s="63">
        <v>288</v>
      </c>
      <c r="E39" s="64" t="s">
        <v>657</v>
      </c>
    </row>
    <row r="40" spans="1:5" ht="81" customHeight="1">
      <c r="A40" s="71" t="s">
        <v>1160</v>
      </c>
      <c r="B40" s="904">
        <v>40</v>
      </c>
      <c r="C40" s="63">
        <v>18</v>
      </c>
      <c r="D40" s="63">
        <v>720</v>
      </c>
      <c r="E40" s="64" t="s">
        <v>667</v>
      </c>
    </row>
    <row r="41" spans="1:5" ht="81" customHeight="1">
      <c r="A41" s="62" t="s">
        <v>1387</v>
      </c>
      <c r="B41" s="904">
        <v>8</v>
      </c>
      <c r="C41" s="63">
        <v>18</v>
      </c>
      <c r="D41" s="63">
        <v>144</v>
      </c>
      <c r="E41" s="64" t="s">
        <v>202</v>
      </c>
    </row>
    <row r="42" spans="1:5" ht="81" customHeight="1">
      <c r="A42" s="62" t="s">
        <v>1387</v>
      </c>
      <c r="B42" s="904">
        <v>7.5</v>
      </c>
      <c r="C42" s="63">
        <v>16</v>
      </c>
      <c r="D42" s="63">
        <v>120</v>
      </c>
      <c r="E42" s="64" t="s">
        <v>1388</v>
      </c>
    </row>
    <row r="43" spans="1:5" ht="81" customHeight="1">
      <c r="A43" s="62" t="s">
        <v>1389</v>
      </c>
      <c r="B43" s="904">
        <v>43.75</v>
      </c>
      <c r="C43" s="63">
        <v>15.5</v>
      </c>
      <c r="D43" s="63">
        <v>678.125</v>
      </c>
      <c r="E43" s="64" t="s">
        <v>1344</v>
      </c>
    </row>
    <row r="44" spans="1:5" ht="81" customHeight="1">
      <c r="A44" s="70" t="s">
        <v>1390</v>
      </c>
      <c r="B44" s="904">
        <v>8</v>
      </c>
      <c r="C44" s="63">
        <v>15.5</v>
      </c>
      <c r="D44" s="63">
        <v>124</v>
      </c>
      <c r="E44" s="64" t="s">
        <v>1355</v>
      </c>
    </row>
    <row r="45" spans="1:5" ht="81" customHeight="1">
      <c r="A45" s="62" t="s">
        <v>1391</v>
      </c>
      <c r="B45" s="904">
        <v>48</v>
      </c>
      <c r="C45" s="63">
        <v>16</v>
      </c>
      <c r="D45" s="63">
        <v>768</v>
      </c>
      <c r="E45" s="64" t="s">
        <v>1347</v>
      </c>
    </row>
    <row r="46" spans="1:5" ht="81" customHeight="1">
      <c r="A46" s="70" t="s">
        <v>1392</v>
      </c>
      <c r="B46" s="904">
        <v>22.5</v>
      </c>
      <c r="C46" s="63">
        <v>16</v>
      </c>
      <c r="D46" s="63">
        <v>360</v>
      </c>
      <c r="E46" s="74" t="s">
        <v>853</v>
      </c>
    </row>
    <row r="47" spans="1:5" ht="81" customHeight="1">
      <c r="A47" s="62" t="s">
        <v>1393</v>
      </c>
      <c r="B47" s="904">
        <v>8</v>
      </c>
      <c r="C47" s="63">
        <v>16</v>
      </c>
      <c r="D47" s="63">
        <v>128</v>
      </c>
      <c r="E47" s="64" t="s">
        <v>1394</v>
      </c>
    </row>
    <row r="48" spans="1:5" ht="81" customHeight="1">
      <c r="A48" s="71" t="s">
        <v>1395</v>
      </c>
      <c r="B48" s="904">
        <v>16</v>
      </c>
      <c r="C48" s="75">
        <v>16</v>
      </c>
      <c r="D48" s="63">
        <v>271.52</v>
      </c>
      <c r="E48" s="64" t="s">
        <v>659</v>
      </c>
    </row>
    <row r="49" spans="1:5" ht="81" customHeight="1">
      <c r="A49" s="70" t="s">
        <v>1396</v>
      </c>
      <c r="B49" s="904">
        <v>16</v>
      </c>
      <c r="C49" s="63">
        <v>16</v>
      </c>
      <c r="D49" s="63">
        <v>256</v>
      </c>
      <c r="E49" s="64" t="s">
        <v>1364</v>
      </c>
    </row>
    <row r="50" spans="1:5" ht="81" customHeight="1">
      <c r="A50" s="62" t="s">
        <v>1396</v>
      </c>
      <c r="B50" s="904">
        <v>37</v>
      </c>
      <c r="C50" s="63">
        <v>16</v>
      </c>
      <c r="D50" s="63">
        <v>592</v>
      </c>
      <c r="E50" s="64" t="s">
        <v>696</v>
      </c>
    </row>
    <row r="51" spans="1:5" ht="81" customHeight="1">
      <c r="A51" s="62" t="s">
        <v>1396</v>
      </c>
      <c r="B51" s="904">
        <v>8</v>
      </c>
      <c r="C51" s="63">
        <v>16</v>
      </c>
      <c r="D51" s="63">
        <v>128</v>
      </c>
      <c r="E51" s="64" t="s">
        <v>1394</v>
      </c>
    </row>
    <row r="52" spans="1:5" ht="81" customHeight="1">
      <c r="A52" s="62" t="s">
        <v>1397</v>
      </c>
      <c r="B52" s="904">
        <v>9.75</v>
      </c>
      <c r="C52" s="63">
        <v>16</v>
      </c>
      <c r="D52" s="63">
        <v>156</v>
      </c>
      <c r="E52" s="64" t="s">
        <v>1344</v>
      </c>
    </row>
    <row r="53" spans="1:5" ht="81" customHeight="1">
      <c r="A53" s="62" t="s">
        <v>1398</v>
      </c>
      <c r="B53" s="904">
        <v>84</v>
      </c>
      <c r="C53" s="63">
        <v>16</v>
      </c>
      <c r="D53" s="63">
        <v>1344</v>
      </c>
      <c r="E53" s="64" t="s">
        <v>181</v>
      </c>
    </row>
    <row r="54" spans="1:5" ht="81" customHeight="1">
      <c r="A54" s="62" t="s">
        <v>1399</v>
      </c>
      <c r="B54" s="904">
        <v>24.25</v>
      </c>
      <c r="C54" s="63">
        <v>16</v>
      </c>
      <c r="D54" s="63">
        <v>388</v>
      </c>
      <c r="E54" s="64" t="s">
        <v>1394</v>
      </c>
    </row>
    <row r="55" spans="1:5" ht="81" customHeight="1">
      <c r="A55" s="71" t="s">
        <v>1400</v>
      </c>
      <c r="B55" s="904">
        <v>7.5</v>
      </c>
      <c r="C55" s="63">
        <v>16</v>
      </c>
      <c r="D55" s="63">
        <v>120</v>
      </c>
      <c r="E55" s="74" t="s">
        <v>853</v>
      </c>
    </row>
    <row r="56" spans="1:5" ht="81" customHeight="1">
      <c r="A56" s="70" t="s">
        <v>1401</v>
      </c>
      <c r="B56" s="904">
        <v>27.75</v>
      </c>
      <c r="C56" s="63">
        <v>16</v>
      </c>
      <c r="D56" s="63">
        <v>444</v>
      </c>
      <c r="E56" s="74" t="s">
        <v>853</v>
      </c>
    </row>
    <row r="57" spans="1:5" ht="81" customHeight="1">
      <c r="A57" s="62" t="s">
        <v>1402</v>
      </c>
      <c r="B57" s="904">
        <v>16.5</v>
      </c>
      <c r="C57" s="63">
        <v>16</v>
      </c>
      <c r="D57" s="63">
        <v>264</v>
      </c>
      <c r="E57" s="64" t="s">
        <v>1394</v>
      </c>
    </row>
    <row r="58" spans="1:5" ht="81" customHeight="1">
      <c r="A58" s="62" t="s">
        <v>1403</v>
      </c>
      <c r="B58" s="904">
        <v>8</v>
      </c>
      <c r="C58" s="63">
        <v>16</v>
      </c>
      <c r="D58" s="63">
        <v>128</v>
      </c>
      <c r="E58" s="64" t="s">
        <v>1364</v>
      </c>
    </row>
    <row r="59" spans="1:5" ht="81" customHeight="1">
      <c r="A59" s="62" t="s">
        <v>1404</v>
      </c>
      <c r="B59" s="904">
        <v>13.5</v>
      </c>
      <c r="C59" s="63">
        <v>16</v>
      </c>
      <c r="D59" s="63">
        <v>216</v>
      </c>
      <c r="E59" s="64" t="s">
        <v>1347</v>
      </c>
    </row>
    <row r="60" spans="1:5" ht="81" customHeight="1">
      <c r="A60" s="68" t="s">
        <v>584</v>
      </c>
      <c r="B60" s="904">
        <v>76</v>
      </c>
      <c r="C60" s="63">
        <v>17</v>
      </c>
      <c r="D60" s="63">
        <v>1292</v>
      </c>
      <c r="E60" s="64" t="s">
        <v>17</v>
      </c>
    </row>
    <row r="61" spans="1:5" ht="81" customHeight="1">
      <c r="A61" s="68" t="s">
        <v>1405</v>
      </c>
      <c r="B61" s="904">
        <v>72</v>
      </c>
      <c r="C61" s="63">
        <v>17</v>
      </c>
      <c r="D61" s="63">
        <v>1224</v>
      </c>
      <c r="E61" s="64" t="s">
        <v>17</v>
      </c>
    </row>
    <row r="62" spans="1:5" ht="81" customHeight="1">
      <c r="A62" s="62" t="s">
        <v>1406</v>
      </c>
      <c r="B62" s="904">
        <v>7.5</v>
      </c>
      <c r="C62" s="63">
        <v>16</v>
      </c>
      <c r="D62" s="63">
        <v>120</v>
      </c>
      <c r="E62" s="64" t="s">
        <v>1344</v>
      </c>
    </row>
    <row r="63" spans="1:5" ht="81" customHeight="1">
      <c r="A63" s="68" t="s">
        <v>1407</v>
      </c>
      <c r="B63" s="904">
        <v>7</v>
      </c>
      <c r="C63" s="63">
        <v>16</v>
      </c>
      <c r="D63" s="63">
        <v>112</v>
      </c>
      <c r="E63" s="64" t="s">
        <v>678</v>
      </c>
    </row>
    <row r="64" spans="1:5" ht="81" customHeight="1">
      <c r="A64" s="62" t="s">
        <v>1408</v>
      </c>
      <c r="B64" s="904">
        <v>56</v>
      </c>
      <c r="C64" s="63">
        <v>16</v>
      </c>
      <c r="D64" s="63">
        <v>950.32</v>
      </c>
      <c r="E64" s="64" t="s">
        <v>1364</v>
      </c>
    </row>
    <row r="65" spans="1:5" ht="81" customHeight="1">
      <c r="A65" s="62" t="s">
        <v>1409</v>
      </c>
      <c r="B65" s="904">
        <v>16.25</v>
      </c>
      <c r="C65" s="63">
        <v>16</v>
      </c>
      <c r="D65" s="63">
        <v>260</v>
      </c>
      <c r="E65" s="64" t="s">
        <v>1347</v>
      </c>
    </row>
    <row r="66" spans="1:5" ht="81" customHeight="1">
      <c r="A66" s="68" t="s">
        <v>1410</v>
      </c>
      <c r="B66" s="904">
        <v>24</v>
      </c>
      <c r="C66" s="63">
        <v>17</v>
      </c>
      <c r="D66" s="63">
        <v>408</v>
      </c>
      <c r="E66" s="64" t="s">
        <v>17</v>
      </c>
    </row>
    <row r="67" spans="1:5" ht="81" customHeight="1">
      <c r="A67" s="62" t="s">
        <v>1411</v>
      </c>
      <c r="B67" s="904">
        <v>16</v>
      </c>
      <c r="C67" s="63">
        <v>16</v>
      </c>
      <c r="D67" s="63">
        <v>271.52</v>
      </c>
      <c r="E67" s="64" t="s">
        <v>1364</v>
      </c>
    </row>
    <row r="68" spans="1:5" ht="81" customHeight="1">
      <c r="A68" s="62" t="s">
        <v>1412</v>
      </c>
      <c r="B68" s="904">
        <v>8</v>
      </c>
      <c r="C68" s="63">
        <v>16</v>
      </c>
      <c r="D68" s="63">
        <v>136.76</v>
      </c>
      <c r="E68" s="64" t="s">
        <v>172</v>
      </c>
    </row>
    <row r="69" spans="1:5" ht="81" customHeight="1">
      <c r="A69" s="70" t="s">
        <v>1413</v>
      </c>
      <c r="B69" s="904">
        <v>8</v>
      </c>
      <c r="C69" s="63">
        <v>16</v>
      </c>
      <c r="D69" s="63">
        <v>128</v>
      </c>
      <c r="E69" s="64" t="s">
        <v>1355</v>
      </c>
    </row>
    <row r="70" spans="1:5" ht="81" customHeight="1">
      <c r="A70" s="62" t="s">
        <v>1413</v>
      </c>
      <c r="B70" s="904">
        <v>4</v>
      </c>
      <c r="C70" s="63">
        <v>16</v>
      </c>
      <c r="D70" s="63">
        <v>64</v>
      </c>
      <c r="E70" s="64" t="s">
        <v>1394</v>
      </c>
    </row>
    <row r="71" spans="1:5" ht="81" customHeight="1">
      <c r="A71" s="71" t="s">
        <v>1414</v>
      </c>
      <c r="B71" s="69">
        <v>67.5</v>
      </c>
      <c r="C71" s="72">
        <v>16</v>
      </c>
      <c r="D71" s="72">
        <v>1080</v>
      </c>
      <c r="E71" s="64" t="s">
        <v>1415</v>
      </c>
    </row>
    <row r="72" spans="1:5" ht="81" customHeight="1">
      <c r="A72" s="68" t="s">
        <v>1416</v>
      </c>
      <c r="B72" s="904">
        <v>63.5</v>
      </c>
      <c r="C72" s="63">
        <v>16</v>
      </c>
      <c r="D72" s="63">
        <v>1016</v>
      </c>
      <c r="E72" s="64" t="s">
        <v>1355</v>
      </c>
    </row>
    <row r="73" spans="1:5" ht="81" customHeight="1">
      <c r="A73" s="62" t="s">
        <v>1417</v>
      </c>
      <c r="B73" s="904">
        <v>76.75</v>
      </c>
      <c r="C73" s="63">
        <v>15.5</v>
      </c>
      <c r="D73" s="63">
        <v>1189.625</v>
      </c>
      <c r="E73" s="64" t="s">
        <v>1380</v>
      </c>
    </row>
    <row r="74" spans="1:5" ht="81" customHeight="1">
      <c r="A74" s="62" t="s">
        <v>1418</v>
      </c>
      <c r="B74" s="904">
        <v>22.25</v>
      </c>
      <c r="C74" s="63">
        <v>16</v>
      </c>
      <c r="D74" s="63">
        <v>356</v>
      </c>
      <c r="E74" s="64" t="s">
        <v>678</v>
      </c>
    </row>
    <row r="75" spans="1:5" ht="81" customHeight="1">
      <c r="A75" s="68" t="s">
        <v>1419</v>
      </c>
      <c r="B75" s="904">
        <v>56.25</v>
      </c>
      <c r="C75" s="63">
        <v>16</v>
      </c>
      <c r="D75" s="63">
        <v>910.25</v>
      </c>
      <c r="E75" s="64" t="s">
        <v>1347</v>
      </c>
    </row>
    <row r="76" spans="1:5" ht="81" customHeight="1">
      <c r="A76" s="70" t="s">
        <v>1420</v>
      </c>
      <c r="B76" s="904">
        <v>8</v>
      </c>
      <c r="C76" s="63">
        <v>15.5</v>
      </c>
      <c r="D76" s="63">
        <v>124</v>
      </c>
      <c r="E76" s="64" t="s">
        <v>1355</v>
      </c>
    </row>
    <row r="77" spans="1:5" ht="81" customHeight="1">
      <c r="A77" s="62" t="s">
        <v>329</v>
      </c>
      <c r="B77" s="904">
        <v>15.5</v>
      </c>
      <c r="C77" s="63">
        <v>16</v>
      </c>
      <c r="D77" s="63">
        <v>248</v>
      </c>
      <c r="E77" s="64" t="s">
        <v>1388</v>
      </c>
    </row>
    <row r="78" spans="1:5" ht="81" customHeight="1">
      <c r="A78" s="71" t="s">
        <v>633</v>
      </c>
      <c r="B78" s="1075" t="s">
        <v>1370</v>
      </c>
      <c r="C78" s="1075"/>
      <c r="D78" s="63">
        <v>750</v>
      </c>
      <c r="E78" s="64" t="s">
        <v>1326</v>
      </c>
    </row>
    <row r="79" spans="1:5" ht="81" customHeight="1">
      <c r="A79" s="70" t="s">
        <v>1421</v>
      </c>
      <c r="B79" s="904">
        <v>56</v>
      </c>
      <c r="C79" s="63">
        <v>16</v>
      </c>
      <c r="D79" s="63">
        <v>957.32</v>
      </c>
      <c r="E79" s="64" t="s">
        <v>172</v>
      </c>
    </row>
    <row r="80" spans="1:5" ht="81" customHeight="1">
      <c r="A80" s="62" t="s">
        <v>1422</v>
      </c>
      <c r="B80" s="904">
        <v>75.5</v>
      </c>
      <c r="C80" s="63">
        <v>18</v>
      </c>
      <c r="D80" s="63">
        <v>1359</v>
      </c>
      <c r="E80" s="64" t="s">
        <v>202</v>
      </c>
    </row>
    <row r="81" spans="1:5" ht="81" customHeight="1">
      <c r="A81" s="70" t="s">
        <v>1423</v>
      </c>
      <c r="B81" s="904">
        <v>14</v>
      </c>
      <c r="C81" s="63">
        <v>16</v>
      </c>
      <c r="D81" s="63">
        <v>224</v>
      </c>
      <c r="E81" s="64" t="s">
        <v>678</v>
      </c>
    </row>
    <row r="82" spans="1:5" ht="81" customHeight="1">
      <c r="A82" s="62" t="s">
        <v>1424</v>
      </c>
      <c r="B82" s="904">
        <v>45</v>
      </c>
      <c r="C82" s="63">
        <v>16</v>
      </c>
      <c r="D82" s="63">
        <v>720</v>
      </c>
      <c r="E82" s="64" t="s">
        <v>1376</v>
      </c>
    </row>
    <row r="83" spans="1:5" ht="81" customHeight="1">
      <c r="A83" s="62" t="s">
        <v>1425</v>
      </c>
      <c r="B83" s="904">
        <v>32.75</v>
      </c>
      <c r="C83" s="63">
        <v>16</v>
      </c>
      <c r="D83" s="63">
        <v>524</v>
      </c>
      <c r="E83" s="64" t="s">
        <v>1344</v>
      </c>
    </row>
    <row r="84" spans="1:5" ht="81" customHeight="1">
      <c r="A84" s="62" t="s">
        <v>1426</v>
      </c>
      <c r="B84" s="904">
        <v>50.5</v>
      </c>
      <c r="C84" s="63">
        <v>16</v>
      </c>
      <c r="D84" s="63">
        <v>808</v>
      </c>
      <c r="E84" s="64" t="s">
        <v>181</v>
      </c>
    </row>
    <row r="85" spans="1:5" ht="81" customHeight="1">
      <c r="A85" s="71" t="s">
        <v>1427</v>
      </c>
      <c r="B85" s="904">
        <v>8</v>
      </c>
      <c r="C85" s="63">
        <v>16</v>
      </c>
      <c r="D85" s="63">
        <v>135.76</v>
      </c>
      <c r="E85" s="64" t="s">
        <v>1364</v>
      </c>
    </row>
    <row r="86" spans="1:5" ht="81" customHeight="1">
      <c r="A86" s="76" t="s">
        <v>1428</v>
      </c>
      <c r="B86" s="904">
        <v>48</v>
      </c>
      <c r="C86" s="63">
        <v>16</v>
      </c>
      <c r="D86" s="63">
        <v>768</v>
      </c>
      <c r="E86" s="64" t="s">
        <v>1429</v>
      </c>
    </row>
    <row r="87" spans="1:5" ht="81" customHeight="1">
      <c r="A87" s="62" t="s">
        <v>1430</v>
      </c>
      <c r="B87" s="904">
        <v>30.37</v>
      </c>
      <c r="C87" s="63">
        <v>16</v>
      </c>
      <c r="D87" s="63">
        <v>485.92</v>
      </c>
      <c r="E87" s="64" t="s">
        <v>670</v>
      </c>
    </row>
    <row r="88" spans="1:5" ht="81" customHeight="1">
      <c r="A88" s="70" t="s">
        <v>1431</v>
      </c>
      <c r="B88" s="904">
        <v>8</v>
      </c>
      <c r="C88" s="63">
        <v>16</v>
      </c>
      <c r="D88" s="63">
        <v>128</v>
      </c>
      <c r="E88" s="64" t="s">
        <v>1364</v>
      </c>
    </row>
    <row r="89" spans="1:5" ht="81" customHeight="1">
      <c r="A89" s="62" t="s">
        <v>1432</v>
      </c>
      <c r="B89" s="904">
        <v>16</v>
      </c>
      <c r="C89" s="63">
        <v>16</v>
      </c>
      <c r="D89" s="63">
        <v>256</v>
      </c>
      <c r="E89" s="64" t="s">
        <v>1344</v>
      </c>
    </row>
    <row r="90" spans="1:5" ht="81" customHeight="1">
      <c r="A90" s="71" t="s">
        <v>1339</v>
      </c>
      <c r="B90" s="69">
        <v>50.75</v>
      </c>
      <c r="C90" s="63">
        <v>16</v>
      </c>
      <c r="D90" s="63">
        <v>812</v>
      </c>
      <c r="E90" s="64" t="s">
        <v>1340</v>
      </c>
    </row>
    <row r="91" spans="1:5" ht="81" customHeight="1">
      <c r="A91" s="62" t="s">
        <v>1433</v>
      </c>
      <c r="B91" s="904">
        <v>51</v>
      </c>
      <c r="C91" s="63">
        <v>16</v>
      </c>
      <c r="D91" s="63">
        <v>816</v>
      </c>
      <c r="E91" s="64" t="s">
        <v>1376</v>
      </c>
    </row>
    <row r="92" spans="1:5" ht="81" customHeight="1">
      <c r="A92" s="62" t="s">
        <v>1433</v>
      </c>
      <c r="B92" s="904">
        <v>8</v>
      </c>
      <c r="C92" s="63">
        <v>16</v>
      </c>
      <c r="D92" s="63">
        <v>128</v>
      </c>
      <c r="E92" s="64" t="s">
        <v>1344</v>
      </c>
    </row>
    <row r="93" spans="1:5" ht="81" customHeight="1">
      <c r="A93" s="70" t="s">
        <v>1434</v>
      </c>
      <c r="B93" s="904">
        <v>41.75</v>
      </c>
      <c r="C93" s="63">
        <v>16</v>
      </c>
      <c r="D93" s="63">
        <v>668</v>
      </c>
      <c r="E93" s="64" t="s">
        <v>1355</v>
      </c>
    </row>
    <row r="94" spans="1:5" ht="81" customHeight="1">
      <c r="A94" s="62" t="s">
        <v>1434</v>
      </c>
      <c r="B94" s="904">
        <v>8</v>
      </c>
      <c r="C94" s="63">
        <v>16</v>
      </c>
      <c r="D94" s="63">
        <v>128</v>
      </c>
      <c r="E94" s="64" t="s">
        <v>1388</v>
      </c>
    </row>
    <row r="95" spans="1:5" ht="81" customHeight="1">
      <c r="A95" s="70" t="s">
        <v>1434</v>
      </c>
      <c r="B95" s="904">
        <v>8.5</v>
      </c>
      <c r="C95" s="63">
        <v>16</v>
      </c>
      <c r="D95" s="63">
        <v>136</v>
      </c>
      <c r="E95" s="64" t="s">
        <v>1394</v>
      </c>
    </row>
    <row r="96" spans="1:5" ht="81" customHeight="1">
      <c r="A96" s="62" t="s">
        <v>1435</v>
      </c>
      <c r="B96" s="904">
        <v>65.5</v>
      </c>
      <c r="C96" s="63">
        <v>15.5</v>
      </c>
      <c r="D96" s="63">
        <v>1015.25</v>
      </c>
      <c r="E96" s="64" t="s">
        <v>1329</v>
      </c>
    </row>
    <row r="97" spans="1:5" ht="81" customHeight="1">
      <c r="A97" s="62" t="s">
        <v>1436</v>
      </c>
      <c r="B97" s="904">
        <v>49</v>
      </c>
      <c r="C97" s="63">
        <v>16</v>
      </c>
      <c r="D97" s="63">
        <v>784</v>
      </c>
      <c r="E97" s="77" t="s">
        <v>654</v>
      </c>
    </row>
    <row r="98" spans="1:5" ht="81" customHeight="1">
      <c r="A98" s="70" t="s">
        <v>1437</v>
      </c>
      <c r="B98" s="904">
        <v>22.5</v>
      </c>
      <c r="C98" s="63">
        <v>16</v>
      </c>
      <c r="D98" s="63">
        <v>360</v>
      </c>
      <c r="E98" s="74" t="s">
        <v>853</v>
      </c>
    </row>
    <row r="99" spans="1:5" ht="81" customHeight="1">
      <c r="A99" s="70" t="s">
        <v>1438</v>
      </c>
      <c r="B99" s="904">
        <v>56</v>
      </c>
      <c r="C99" s="63">
        <v>16</v>
      </c>
      <c r="D99" s="63">
        <v>957.32</v>
      </c>
      <c r="E99" s="64" t="s">
        <v>172</v>
      </c>
    </row>
    <row r="100" spans="1:5" ht="81" customHeight="1">
      <c r="A100" s="62" t="s">
        <v>1439</v>
      </c>
      <c r="B100" s="904">
        <v>8</v>
      </c>
      <c r="C100" s="63">
        <v>16</v>
      </c>
      <c r="D100" s="63">
        <v>128</v>
      </c>
      <c r="E100" s="64" t="s">
        <v>1376</v>
      </c>
    </row>
    <row r="101" spans="1:5" ht="81" customHeight="1">
      <c r="A101" s="62" t="s">
        <v>1439</v>
      </c>
      <c r="B101" s="904">
        <v>8</v>
      </c>
      <c r="C101" s="63">
        <v>16</v>
      </c>
      <c r="D101" s="63">
        <v>128</v>
      </c>
      <c r="E101" s="64" t="s">
        <v>1344</v>
      </c>
    </row>
    <row r="102" spans="1:5" ht="81" customHeight="1">
      <c r="A102" s="62" t="s">
        <v>1440</v>
      </c>
      <c r="B102" s="904">
        <v>8</v>
      </c>
      <c r="C102" s="63">
        <v>16</v>
      </c>
      <c r="D102" s="63">
        <v>128</v>
      </c>
      <c r="E102" s="64" t="s">
        <v>1376</v>
      </c>
    </row>
    <row r="103" spans="1:5" ht="81" customHeight="1">
      <c r="A103" s="62" t="s">
        <v>1440</v>
      </c>
      <c r="B103" s="904">
        <v>10.5</v>
      </c>
      <c r="C103" s="63">
        <v>16</v>
      </c>
      <c r="D103" s="63">
        <v>168</v>
      </c>
      <c r="E103" s="64" t="s">
        <v>1344</v>
      </c>
    </row>
    <row r="104" spans="1:5" ht="81" customHeight="1">
      <c r="A104" s="62" t="s">
        <v>1441</v>
      </c>
      <c r="B104" s="904">
        <v>8</v>
      </c>
      <c r="C104" s="63">
        <v>16</v>
      </c>
      <c r="D104" s="63">
        <v>128</v>
      </c>
      <c r="E104" s="64" t="s">
        <v>181</v>
      </c>
    </row>
    <row r="105" spans="1:5" ht="81" customHeight="1">
      <c r="A105" s="62" t="s">
        <v>1442</v>
      </c>
      <c r="B105" s="904">
        <v>44.25</v>
      </c>
      <c r="C105" s="63">
        <v>16</v>
      </c>
      <c r="D105" s="63">
        <v>708</v>
      </c>
      <c r="E105" s="64" t="s">
        <v>1344</v>
      </c>
    </row>
    <row r="106" spans="1:5" ht="81" customHeight="1">
      <c r="A106" s="62" t="s">
        <v>254</v>
      </c>
      <c r="B106" s="904">
        <v>60</v>
      </c>
      <c r="C106" s="63">
        <v>16</v>
      </c>
      <c r="D106" s="63">
        <v>960</v>
      </c>
      <c r="E106" s="64" t="s">
        <v>181</v>
      </c>
    </row>
    <row r="107" spans="1:5" ht="81" customHeight="1">
      <c r="A107" s="70" t="s">
        <v>1443</v>
      </c>
      <c r="B107" s="904">
        <v>33</v>
      </c>
      <c r="C107" s="63">
        <v>17</v>
      </c>
      <c r="D107" s="63">
        <v>561</v>
      </c>
      <c r="E107" s="64" t="s">
        <v>1380</v>
      </c>
    </row>
    <row r="108" spans="1:5" ht="81" customHeight="1">
      <c r="A108" s="62" t="s">
        <v>1444</v>
      </c>
      <c r="B108" s="904">
        <v>27.25</v>
      </c>
      <c r="C108" s="63">
        <v>15.5</v>
      </c>
      <c r="D108" s="63">
        <v>422.375</v>
      </c>
      <c r="E108" s="64" t="s">
        <v>1344</v>
      </c>
    </row>
    <row r="109" spans="1:5" ht="81" customHeight="1">
      <c r="A109" s="78" t="s">
        <v>1341</v>
      </c>
      <c r="B109" s="69">
        <v>47.25</v>
      </c>
      <c r="C109" s="63">
        <v>16</v>
      </c>
      <c r="D109" s="63">
        <v>756</v>
      </c>
      <c r="E109" s="64" t="s">
        <v>1340</v>
      </c>
    </row>
    <row r="110" spans="1:5" ht="81" customHeight="1">
      <c r="A110" s="62" t="s">
        <v>1445</v>
      </c>
      <c r="B110" s="904">
        <v>20</v>
      </c>
      <c r="C110" s="63">
        <v>15.5</v>
      </c>
      <c r="D110" s="63">
        <v>310</v>
      </c>
      <c r="E110" s="64" t="s">
        <v>1344</v>
      </c>
    </row>
    <row r="111" spans="1:5" ht="81" customHeight="1">
      <c r="A111" s="62" t="s">
        <v>1446</v>
      </c>
      <c r="B111" s="904">
        <v>10.5</v>
      </c>
      <c r="C111" s="63">
        <v>16</v>
      </c>
      <c r="D111" s="63">
        <v>168</v>
      </c>
      <c r="E111" s="64" t="s">
        <v>1344</v>
      </c>
    </row>
    <row r="112" spans="1:5" ht="81" customHeight="1">
      <c r="A112" s="71" t="s">
        <v>1447</v>
      </c>
      <c r="B112" s="1075" t="s">
        <v>1370</v>
      </c>
      <c r="C112" s="1075"/>
      <c r="D112" s="63">
        <v>500</v>
      </c>
      <c r="E112" s="64" t="s">
        <v>1448</v>
      </c>
    </row>
    <row r="113" spans="1:5" ht="81" customHeight="1">
      <c r="A113" s="71" t="s">
        <v>1449</v>
      </c>
      <c r="B113" s="904">
        <v>5.5</v>
      </c>
      <c r="C113" s="63">
        <v>16</v>
      </c>
      <c r="D113" s="63">
        <v>88</v>
      </c>
      <c r="E113" s="74" t="s">
        <v>853</v>
      </c>
    </row>
    <row r="114" spans="1:5" ht="81" customHeight="1">
      <c r="A114" s="79" t="s">
        <v>1450</v>
      </c>
      <c r="B114" s="904">
        <v>56</v>
      </c>
      <c r="C114" s="904" t="s">
        <v>1451</v>
      </c>
      <c r="D114" s="63">
        <v>1107.4000000000001</v>
      </c>
      <c r="E114" s="80" t="s">
        <v>1429</v>
      </c>
    </row>
    <row r="115" spans="1:5" ht="81" customHeight="1">
      <c r="A115" s="79" t="s">
        <v>1452</v>
      </c>
      <c r="B115" s="904">
        <v>70</v>
      </c>
      <c r="C115" s="904" t="s">
        <v>1451</v>
      </c>
      <c r="D115" s="63">
        <v>1384.25</v>
      </c>
      <c r="E115" s="80" t="s">
        <v>1453</v>
      </c>
    </row>
    <row r="116" spans="1:5" ht="81" customHeight="1">
      <c r="A116" s="79" t="s">
        <v>1454</v>
      </c>
      <c r="B116" s="904">
        <v>64</v>
      </c>
      <c r="C116" s="904" t="s">
        <v>1451</v>
      </c>
      <c r="D116" s="63">
        <v>1265.5999999999999</v>
      </c>
      <c r="E116" s="80" t="s">
        <v>1453</v>
      </c>
    </row>
    <row r="117" spans="1:5" ht="81" customHeight="1">
      <c r="A117" s="81" t="s">
        <v>1455</v>
      </c>
      <c r="B117" s="82" t="s">
        <v>1456</v>
      </c>
      <c r="C117" s="82" t="s">
        <v>1457</v>
      </c>
      <c r="D117" s="83">
        <v>3757.25</v>
      </c>
      <c r="E117" s="84"/>
    </row>
  </sheetData>
  <mergeCells count="5">
    <mergeCell ref="B24:C24"/>
    <mergeCell ref="B25:C25"/>
    <mergeCell ref="B27:C27"/>
    <mergeCell ref="B78:C78"/>
    <mergeCell ref="B112:C112"/>
  </mergeCells>
  <pageMargins left="0.23622047244094499" right="0.23622047244094499" top="0.196850393700787" bottom="0.196850393700787" header="0.31496062992126" footer="0.118110236220472"/>
  <pageSetup scale="49" fitToHeight="0" orientation="portrait" r:id="rId1"/>
  <rowBreaks count="1" manualBreakCount="1">
    <brk id="113" max="4" man="1"/>
  </rowBreaks>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A1"/>
  <sheetViews>
    <sheetView workbookViewId="0">
      <selection activeCell="K40" sqref="K40"/>
    </sheetView>
  </sheetViews>
  <sheetFormatPr defaultColWidth="9" defaultRowHeight="1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dimension ref="A1:D5"/>
  <sheetViews>
    <sheetView workbookViewId="0">
      <selection activeCell="D17" sqref="D17"/>
    </sheetView>
  </sheetViews>
  <sheetFormatPr defaultColWidth="9" defaultRowHeight="15"/>
  <cols>
    <col min="1" max="1" width="24.85546875" customWidth="1"/>
    <col min="3" max="3" width="38.5703125" customWidth="1"/>
  </cols>
  <sheetData>
    <row r="1" spans="1:4">
      <c r="A1" s="56" t="s">
        <v>1458</v>
      </c>
      <c r="B1" s="56" t="s">
        <v>781</v>
      </c>
      <c r="C1" s="56" t="s">
        <v>1459</v>
      </c>
      <c r="D1" s="56" t="s">
        <v>1460</v>
      </c>
    </row>
    <row r="2" spans="1:4">
      <c r="A2" s="57"/>
    </row>
    <row r="3" spans="1:4">
      <c r="A3" s="57"/>
    </row>
    <row r="4" spans="1:4">
      <c r="A4" s="57"/>
    </row>
    <row r="5" spans="1:4">
      <c r="A5" s="57"/>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dimension ref="A1:H231"/>
  <sheetViews>
    <sheetView workbookViewId="0">
      <pane xSplit="2" ySplit="1" topLeftCell="C2" activePane="bottomRight" state="frozen"/>
      <selection pane="topRight"/>
      <selection pane="bottomLeft"/>
      <selection pane="bottomRight"/>
    </sheetView>
  </sheetViews>
  <sheetFormatPr defaultColWidth="9" defaultRowHeight="18.75"/>
  <cols>
    <col min="1" max="1" width="4.42578125" customWidth="1"/>
    <col min="2" max="2" width="35.5703125" customWidth="1"/>
    <col min="3" max="3" width="9.5703125" customWidth="1"/>
    <col min="5" max="5" width="14.28515625" style="37" customWidth="1"/>
    <col min="6" max="6" width="92.85546875" customWidth="1"/>
  </cols>
  <sheetData>
    <row r="1" spans="1:8" ht="56.25">
      <c r="A1" s="38" t="s">
        <v>1461</v>
      </c>
      <c r="B1" s="39" t="s">
        <v>1462</v>
      </c>
      <c r="C1" s="40" t="s">
        <v>0</v>
      </c>
      <c r="D1" s="40" t="s">
        <v>2</v>
      </c>
      <c r="E1" s="41" t="s">
        <v>19</v>
      </c>
      <c r="F1" s="41" t="s">
        <v>1463</v>
      </c>
      <c r="G1" s="42"/>
      <c r="H1" s="42"/>
    </row>
    <row r="2" spans="1:8" s="1" customFormat="1">
      <c r="A2" s="10">
        <v>1</v>
      </c>
      <c r="B2" s="10" t="s">
        <v>1464</v>
      </c>
      <c r="C2" s="43"/>
      <c r="D2" s="44"/>
      <c r="E2" s="45">
        <f t="shared" ref="E2:E65" si="0">C2*D2</f>
        <v>0</v>
      </c>
      <c r="F2" s="10" t="s">
        <v>1465</v>
      </c>
    </row>
    <row r="3" spans="1:8" s="1" customFormat="1">
      <c r="A3" s="10">
        <f t="shared" ref="A3:A8" si="1">A2+1</f>
        <v>2</v>
      </c>
      <c r="B3" s="10" t="s">
        <v>1466</v>
      </c>
      <c r="C3" s="43"/>
      <c r="D3" s="44"/>
      <c r="E3" s="45">
        <f t="shared" si="0"/>
        <v>0</v>
      </c>
      <c r="F3" s="10" t="s">
        <v>828</v>
      </c>
    </row>
    <row r="4" spans="1:8">
      <c r="A4" s="46">
        <f t="shared" si="1"/>
        <v>3</v>
      </c>
      <c r="B4" s="46" t="s">
        <v>1467</v>
      </c>
      <c r="C4" s="47"/>
      <c r="D4" s="48">
        <v>16</v>
      </c>
      <c r="E4" s="49">
        <f t="shared" si="0"/>
        <v>0</v>
      </c>
      <c r="F4" s="46" t="s">
        <v>136</v>
      </c>
    </row>
    <row r="5" spans="1:8" s="1" customFormat="1">
      <c r="A5" s="10">
        <f t="shared" si="1"/>
        <v>4</v>
      </c>
      <c r="B5" s="10" t="s">
        <v>1468</v>
      </c>
      <c r="C5" s="43"/>
      <c r="D5" s="44"/>
      <c r="E5" s="45">
        <f t="shared" si="0"/>
        <v>0</v>
      </c>
      <c r="F5" s="10" t="s">
        <v>671</v>
      </c>
    </row>
    <row r="6" spans="1:8" s="1" customFormat="1">
      <c r="A6" s="10">
        <f t="shared" si="1"/>
        <v>5</v>
      </c>
      <c r="B6" s="10" t="s">
        <v>1469</v>
      </c>
      <c r="C6" s="43"/>
      <c r="D6" s="44"/>
      <c r="E6" s="45">
        <f t="shared" si="0"/>
        <v>0</v>
      </c>
      <c r="F6" s="10" t="s">
        <v>848</v>
      </c>
    </row>
    <row r="7" spans="1:8" s="1" customFormat="1">
      <c r="A7" s="10">
        <f t="shared" si="1"/>
        <v>6</v>
      </c>
      <c r="B7" s="10" t="s">
        <v>1470</v>
      </c>
      <c r="C7" s="43"/>
      <c r="D7" s="44"/>
      <c r="E7" s="45">
        <f t="shared" si="0"/>
        <v>0</v>
      </c>
      <c r="F7" s="10" t="s">
        <v>1318</v>
      </c>
    </row>
    <row r="8" spans="1:8">
      <c r="A8" s="46">
        <f t="shared" si="1"/>
        <v>7</v>
      </c>
      <c r="B8" s="46" t="s">
        <v>1471</v>
      </c>
      <c r="C8" s="47"/>
      <c r="D8" s="48"/>
      <c r="E8" s="49">
        <f t="shared" si="0"/>
        <v>0</v>
      </c>
      <c r="F8" s="46" t="s">
        <v>920</v>
      </c>
    </row>
    <row r="9" spans="1:8">
      <c r="A9" s="46"/>
      <c r="B9" s="46" t="s">
        <v>1471</v>
      </c>
      <c r="C9" s="47"/>
      <c r="D9" s="48"/>
      <c r="E9" s="49">
        <f t="shared" si="0"/>
        <v>0</v>
      </c>
      <c r="F9" s="46" t="s">
        <v>1314</v>
      </c>
    </row>
    <row r="10" spans="1:8" s="1" customFormat="1">
      <c r="A10" s="10">
        <f>A8+1</f>
        <v>8</v>
      </c>
      <c r="B10" s="10" t="s">
        <v>1472</v>
      </c>
      <c r="C10" s="43"/>
      <c r="D10" s="44"/>
      <c r="E10" s="45">
        <f t="shared" si="0"/>
        <v>0</v>
      </c>
      <c r="F10" s="10" t="s">
        <v>1312</v>
      </c>
    </row>
    <row r="11" spans="1:8">
      <c r="A11" s="46">
        <f t="shared" ref="A11:A19" si="2">A10+1</f>
        <v>9</v>
      </c>
      <c r="B11" s="46" t="s">
        <v>1473</v>
      </c>
      <c r="C11" s="47"/>
      <c r="D11" s="48"/>
      <c r="E11" s="49">
        <f t="shared" si="0"/>
        <v>0</v>
      </c>
      <c r="F11" s="46" t="s">
        <v>1474</v>
      </c>
    </row>
    <row r="12" spans="1:8" s="1" customFormat="1">
      <c r="A12" s="10">
        <f t="shared" si="2"/>
        <v>10</v>
      </c>
      <c r="B12" s="10" t="s">
        <v>1475</v>
      </c>
      <c r="C12" s="43"/>
      <c r="D12" s="44"/>
      <c r="E12" s="45">
        <f t="shared" si="0"/>
        <v>0</v>
      </c>
      <c r="F12" s="10" t="s">
        <v>1317</v>
      </c>
    </row>
    <row r="13" spans="1:8" s="1" customFormat="1">
      <c r="A13" s="10">
        <f t="shared" si="2"/>
        <v>11</v>
      </c>
      <c r="B13" s="10" t="s">
        <v>1476</v>
      </c>
      <c r="C13" s="43"/>
      <c r="D13" s="44"/>
      <c r="E13" s="45">
        <f t="shared" si="0"/>
        <v>0</v>
      </c>
      <c r="F13" s="10" t="s">
        <v>1318</v>
      </c>
    </row>
    <row r="14" spans="1:8">
      <c r="A14" s="46">
        <f t="shared" si="2"/>
        <v>12</v>
      </c>
      <c r="B14" s="46" t="s">
        <v>1477</v>
      </c>
      <c r="C14" s="47"/>
      <c r="D14" s="48">
        <v>16</v>
      </c>
      <c r="E14" s="49">
        <f t="shared" si="0"/>
        <v>0</v>
      </c>
      <c r="F14" s="46" t="s">
        <v>136</v>
      </c>
    </row>
    <row r="15" spans="1:8" s="1" customFormat="1">
      <c r="A15" s="10">
        <f t="shared" si="2"/>
        <v>13</v>
      </c>
      <c r="B15" s="10" t="s">
        <v>1478</v>
      </c>
      <c r="C15" s="43"/>
      <c r="D15" s="44"/>
      <c r="E15" s="45">
        <f t="shared" si="0"/>
        <v>0</v>
      </c>
      <c r="F15" s="10" t="s">
        <v>1315</v>
      </c>
    </row>
    <row r="16" spans="1:8">
      <c r="A16" s="46">
        <f t="shared" si="2"/>
        <v>14</v>
      </c>
      <c r="B16" s="46" t="s">
        <v>1479</v>
      </c>
      <c r="C16" s="47"/>
      <c r="D16" s="48"/>
      <c r="E16" s="49">
        <f t="shared" si="0"/>
        <v>0</v>
      </c>
      <c r="F16" s="46" t="s">
        <v>1480</v>
      </c>
    </row>
    <row r="17" spans="1:6" s="1" customFormat="1">
      <c r="A17" s="10">
        <f t="shared" si="2"/>
        <v>15</v>
      </c>
      <c r="B17" s="10" t="s">
        <v>1481</v>
      </c>
      <c r="C17" s="43"/>
      <c r="D17" s="44"/>
      <c r="E17" s="45">
        <f t="shared" si="0"/>
        <v>0</v>
      </c>
      <c r="F17" s="10" t="s">
        <v>1482</v>
      </c>
    </row>
    <row r="18" spans="1:6" s="1" customFormat="1">
      <c r="A18" s="10">
        <f t="shared" si="2"/>
        <v>16</v>
      </c>
      <c r="B18" s="10" t="s">
        <v>1483</v>
      </c>
      <c r="C18" s="43"/>
      <c r="D18" s="44"/>
      <c r="E18" s="45">
        <f t="shared" si="0"/>
        <v>0</v>
      </c>
      <c r="F18" s="10" t="s">
        <v>1318</v>
      </c>
    </row>
    <row r="19" spans="1:6" s="1" customFormat="1">
      <c r="A19" s="10">
        <f t="shared" si="2"/>
        <v>17</v>
      </c>
      <c r="B19" s="10" t="s">
        <v>1484</v>
      </c>
      <c r="C19" s="43"/>
      <c r="D19" s="44"/>
      <c r="E19" s="45">
        <f t="shared" si="0"/>
        <v>0</v>
      </c>
      <c r="F19" s="10" t="s">
        <v>873</v>
      </c>
    </row>
    <row r="20" spans="1:6" s="1" customFormat="1">
      <c r="A20" s="10"/>
      <c r="B20" s="10" t="s">
        <v>1484</v>
      </c>
      <c r="C20" s="43"/>
      <c r="D20" s="44"/>
      <c r="E20" s="45">
        <f t="shared" si="0"/>
        <v>0</v>
      </c>
      <c r="F20" s="10" t="s">
        <v>828</v>
      </c>
    </row>
    <row r="21" spans="1:6" s="1" customFormat="1">
      <c r="A21" s="10">
        <f>A19+1</f>
        <v>18</v>
      </c>
      <c r="B21" s="10" t="s">
        <v>1485</v>
      </c>
      <c r="C21" s="43"/>
      <c r="D21" s="44">
        <v>16</v>
      </c>
      <c r="E21" s="45">
        <f t="shared" si="0"/>
        <v>0</v>
      </c>
      <c r="F21" s="10" t="s">
        <v>136</v>
      </c>
    </row>
    <row r="22" spans="1:6">
      <c r="A22" s="46">
        <f t="shared" ref="A22:A29" si="3">A21+1</f>
        <v>19</v>
      </c>
      <c r="B22" s="46" t="s">
        <v>1486</v>
      </c>
      <c r="C22" s="47"/>
      <c r="D22" s="48"/>
      <c r="E22" s="49">
        <f t="shared" si="0"/>
        <v>0</v>
      </c>
      <c r="F22" s="46" t="s">
        <v>1482</v>
      </c>
    </row>
    <row r="23" spans="1:6">
      <c r="A23" s="46">
        <f t="shared" si="3"/>
        <v>20</v>
      </c>
      <c r="B23" s="46" t="s">
        <v>1487</v>
      </c>
      <c r="C23" s="47"/>
      <c r="D23" s="48"/>
      <c r="E23" s="49">
        <f t="shared" si="0"/>
        <v>0</v>
      </c>
      <c r="F23" s="46" t="s">
        <v>1482</v>
      </c>
    </row>
    <row r="24" spans="1:6" s="1" customFormat="1">
      <c r="A24" s="10">
        <f t="shared" si="3"/>
        <v>21</v>
      </c>
      <c r="B24" s="10" t="s">
        <v>1488</v>
      </c>
      <c r="C24" s="43"/>
      <c r="D24" s="44"/>
      <c r="E24" s="45">
        <f t="shared" si="0"/>
        <v>0</v>
      </c>
      <c r="F24" s="10" t="s">
        <v>1465</v>
      </c>
    </row>
    <row r="25" spans="1:6">
      <c r="A25" s="46">
        <f t="shared" si="3"/>
        <v>22</v>
      </c>
      <c r="B25" s="46" t="s">
        <v>1489</v>
      </c>
      <c r="C25" s="47"/>
      <c r="D25" s="48"/>
      <c r="E25" s="49">
        <f t="shared" si="0"/>
        <v>0</v>
      </c>
      <c r="F25" s="46" t="s">
        <v>671</v>
      </c>
    </row>
    <row r="26" spans="1:6" s="1" customFormat="1">
      <c r="A26" s="10">
        <f t="shared" si="3"/>
        <v>23</v>
      </c>
      <c r="B26" s="10" t="s">
        <v>1490</v>
      </c>
      <c r="C26" s="43"/>
      <c r="D26" s="44">
        <v>16</v>
      </c>
      <c r="E26" s="45">
        <f t="shared" si="0"/>
        <v>0</v>
      </c>
      <c r="F26" s="10" t="s">
        <v>136</v>
      </c>
    </row>
    <row r="27" spans="1:6">
      <c r="A27" s="46">
        <f t="shared" si="3"/>
        <v>24</v>
      </c>
      <c r="B27" s="46" t="s">
        <v>1491</v>
      </c>
      <c r="C27" s="47"/>
      <c r="D27" s="48">
        <v>16</v>
      </c>
      <c r="E27" s="49">
        <f t="shared" si="0"/>
        <v>0</v>
      </c>
      <c r="F27" s="46" t="s">
        <v>136</v>
      </c>
    </row>
    <row r="28" spans="1:6">
      <c r="A28" s="46">
        <f t="shared" si="3"/>
        <v>25</v>
      </c>
      <c r="B28" s="46" t="s">
        <v>1492</v>
      </c>
      <c r="C28" s="47"/>
      <c r="D28" s="48"/>
      <c r="E28" s="49">
        <f t="shared" si="0"/>
        <v>0</v>
      </c>
      <c r="F28" s="46" t="s">
        <v>692</v>
      </c>
    </row>
    <row r="29" spans="1:6">
      <c r="A29" s="46">
        <f t="shared" si="3"/>
        <v>26</v>
      </c>
      <c r="B29" s="46" t="s">
        <v>1493</v>
      </c>
      <c r="C29" s="47"/>
      <c r="D29" s="48"/>
      <c r="E29" s="49">
        <f t="shared" si="0"/>
        <v>0</v>
      </c>
      <c r="F29" s="46" t="s">
        <v>922</v>
      </c>
    </row>
    <row r="30" spans="1:6">
      <c r="A30" s="46"/>
      <c r="B30" s="46" t="s">
        <v>1493</v>
      </c>
      <c r="C30" s="47"/>
      <c r="D30" s="48"/>
      <c r="E30" s="49">
        <f t="shared" si="0"/>
        <v>0</v>
      </c>
      <c r="F30" s="46" t="s">
        <v>853</v>
      </c>
    </row>
    <row r="31" spans="1:6">
      <c r="A31" s="46">
        <f>A29+1</f>
        <v>27</v>
      </c>
      <c r="B31" s="46" t="s">
        <v>1494</v>
      </c>
      <c r="C31" s="47"/>
      <c r="D31" s="48">
        <v>16</v>
      </c>
      <c r="E31" s="49">
        <f t="shared" si="0"/>
        <v>0</v>
      </c>
      <c r="F31" s="46" t="s">
        <v>902</v>
      </c>
    </row>
    <row r="32" spans="1:6">
      <c r="A32" s="46"/>
      <c r="B32" s="46" t="s">
        <v>1494</v>
      </c>
      <c r="C32" s="47"/>
      <c r="D32" s="48"/>
      <c r="E32" s="49">
        <f t="shared" si="0"/>
        <v>0</v>
      </c>
      <c r="F32" s="46" t="s">
        <v>1317</v>
      </c>
    </row>
    <row r="33" spans="1:6" s="1" customFormat="1">
      <c r="A33" s="10">
        <f>A31+1</f>
        <v>28</v>
      </c>
      <c r="B33" s="10" t="s">
        <v>1495</v>
      </c>
      <c r="C33" s="43"/>
      <c r="D33" s="44"/>
      <c r="E33" s="45">
        <f t="shared" si="0"/>
        <v>0</v>
      </c>
      <c r="F33" s="10" t="s">
        <v>1496</v>
      </c>
    </row>
    <row r="34" spans="1:6" s="1" customFormat="1">
      <c r="A34" s="10">
        <f>A33+1</f>
        <v>29</v>
      </c>
      <c r="B34" s="10" t="s">
        <v>1497</v>
      </c>
      <c r="C34" s="43"/>
      <c r="D34" s="44"/>
      <c r="E34" s="45">
        <f t="shared" si="0"/>
        <v>0</v>
      </c>
      <c r="F34" s="10" t="s">
        <v>1465</v>
      </c>
    </row>
    <row r="35" spans="1:6" s="1" customFormat="1">
      <c r="A35" s="10">
        <f>A34+1</f>
        <v>30</v>
      </c>
      <c r="B35" s="10" t="s">
        <v>1498</v>
      </c>
      <c r="C35" s="43"/>
      <c r="D35" s="44"/>
      <c r="E35" s="45">
        <f t="shared" si="0"/>
        <v>0</v>
      </c>
      <c r="F35" s="10" t="s">
        <v>1465</v>
      </c>
    </row>
    <row r="36" spans="1:6" s="1" customFormat="1">
      <c r="A36" s="10"/>
      <c r="B36" s="10" t="s">
        <v>1498</v>
      </c>
      <c r="C36" s="43"/>
      <c r="D36" s="44"/>
      <c r="E36" s="45">
        <f t="shared" si="0"/>
        <v>0</v>
      </c>
      <c r="F36" s="10" t="s">
        <v>998</v>
      </c>
    </row>
    <row r="37" spans="1:6" s="1" customFormat="1">
      <c r="A37" s="10">
        <f>A35+1</f>
        <v>31</v>
      </c>
      <c r="B37" s="10" t="s">
        <v>1499</v>
      </c>
      <c r="C37" s="43"/>
      <c r="D37" s="44"/>
      <c r="E37" s="45">
        <f t="shared" si="0"/>
        <v>0</v>
      </c>
      <c r="F37" s="10" t="s">
        <v>920</v>
      </c>
    </row>
    <row r="38" spans="1:6" s="1" customFormat="1">
      <c r="A38" s="10">
        <f t="shared" ref="A38:A48" si="4">A37+1</f>
        <v>32</v>
      </c>
      <c r="B38" s="10" t="s">
        <v>1500</v>
      </c>
      <c r="C38" s="43"/>
      <c r="D38" s="44">
        <v>16</v>
      </c>
      <c r="E38" s="45">
        <f t="shared" si="0"/>
        <v>0</v>
      </c>
      <c r="F38" s="10" t="s">
        <v>136</v>
      </c>
    </row>
    <row r="39" spans="1:6" s="1" customFormat="1">
      <c r="A39" s="10">
        <f t="shared" si="4"/>
        <v>33</v>
      </c>
      <c r="B39" s="10" t="s">
        <v>1501</v>
      </c>
      <c r="C39" s="43"/>
      <c r="D39" s="44"/>
      <c r="E39" s="45">
        <f t="shared" si="0"/>
        <v>0</v>
      </c>
      <c r="F39" s="10" t="s">
        <v>848</v>
      </c>
    </row>
    <row r="40" spans="1:6" s="2" customFormat="1">
      <c r="A40" s="20">
        <f t="shared" si="4"/>
        <v>34</v>
      </c>
      <c r="B40" s="20" t="s">
        <v>1502</v>
      </c>
      <c r="C40" s="50"/>
      <c r="D40" s="51"/>
      <c r="E40" s="52">
        <f t="shared" si="0"/>
        <v>0</v>
      </c>
      <c r="F40" s="20" t="s">
        <v>1503</v>
      </c>
    </row>
    <row r="41" spans="1:6">
      <c r="A41" s="46">
        <f t="shared" si="4"/>
        <v>35</v>
      </c>
      <c r="B41" s="46" t="s">
        <v>1504</v>
      </c>
      <c r="C41" s="47"/>
      <c r="D41" s="48"/>
      <c r="E41" s="49">
        <f t="shared" si="0"/>
        <v>0</v>
      </c>
      <c r="F41" s="46" t="s">
        <v>671</v>
      </c>
    </row>
    <row r="42" spans="1:6" s="1" customFormat="1">
      <c r="A42" s="10">
        <f t="shared" si="4"/>
        <v>36</v>
      </c>
      <c r="B42" s="10" t="s">
        <v>1505</v>
      </c>
      <c r="C42" s="43"/>
      <c r="D42" s="44"/>
      <c r="E42" s="45">
        <f t="shared" si="0"/>
        <v>0</v>
      </c>
      <c r="F42" s="10" t="s">
        <v>1465</v>
      </c>
    </row>
    <row r="43" spans="1:6">
      <c r="A43" s="46">
        <f t="shared" si="4"/>
        <v>37</v>
      </c>
      <c r="B43" s="46" t="s">
        <v>1506</v>
      </c>
      <c r="C43" s="47"/>
      <c r="D43" s="48">
        <v>16</v>
      </c>
      <c r="E43" s="49">
        <f t="shared" si="0"/>
        <v>0</v>
      </c>
      <c r="F43" s="46" t="s">
        <v>136</v>
      </c>
    </row>
    <row r="44" spans="1:6" s="1" customFormat="1">
      <c r="A44" s="10">
        <f t="shared" si="4"/>
        <v>38</v>
      </c>
      <c r="B44" s="10" t="s">
        <v>1507</v>
      </c>
      <c r="C44" s="43"/>
      <c r="D44" s="44"/>
      <c r="E44" s="45">
        <f t="shared" si="0"/>
        <v>0</v>
      </c>
      <c r="F44" s="10" t="s">
        <v>1369</v>
      </c>
    </row>
    <row r="45" spans="1:6">
      <c r="A45" s="46">
        <f t="shared" si="4"/>
        <v>39</v>
      </c>
      <c r="B45" s="46" t="s">
        <v>1508</v>
      </c>
      <c r="C45" s="47"/>
      <c r="D45" s="48">
        <v>16</v>
      </c>
      <c r="E45" s="49">
        <f t="shared" si="0"/>
        <v>0</v>
      </c>
      <c r="F45" s="46" t="s">
        <v>136</v>
      </c>
    </row>
    <row r="46" spans="1:6" s="1" customFormat="1">
      <c r="A46" s="10">
        <f t="shared" si="4"/>
        <v>40</v>
      </c>
      <c r="B46" s="10" t="s">
        <v>1509</v>
      </c>
      <c r="C46" s="43"/>
      <c r="D46" s="44"/>
      <c r="E46" s="45">
        <f t="shared" si="0"/>
        <v>0</v>
      </c>
      <c r="F46" s="10" t="s">
        <v>144</v>
      </c>
    </row>
    <row r="47" spans="1:6">
      <c r="A47" s="46">
        <f t="shared" si="4"/>
        <v>41</v>
      </c>
      <c r="B47" s="46" t="s">
        <v>1510</v>
      </c>
      <c r="C47" s="47"/>
      <c r="D47" s="48"/>
      <c r="E47" s="49">
        <f t="shared" si="0"/>
        <v>0</v>
      </c>
      <c r="F47" s="46" t="s">
        <v>1465</v>
      </c>
    </row>
    <row r="48" spans="1:6" s="1" customFormat="1">
      <c r="A48" s="10">
        <f t="shared" si="4"/>
        <v>42</v>
      </c>
      <c r="B48" s="10" t="s">
        <v>1511</v>
      </c>
      <c r="C48" s="43"/>
      <c r="D48" s="44"/>
      <c r="E48" s="45">
        <f t="shared" si="0"/>
        <v>0</v>
      </c>
      <c r="F48" s="10" t="s">
        <v>1512</v>
      </c>
    </row>
    <row r="49" spans="1:6" s="1" customFormat="1">
      <c r="A49" s="10"/>
      <c r="B49" s="10" t="s">
        <v>1511</v>
      </c>
      <c r="C49" s="43"/>
      <c r="D49" s="44"/>
      <c r="E49" s="45">
        <f t="shared" si="0"/>
        <v>0</v>
      </c>
      <c r="F49" s="10" t="s">
        <v>1513</v>
      </c>
    </row>
    <row r="50" spans="1:6" s="1" customFormat="1">
      <c r="A50" s="10">
        <f>A48+1</f>
        <v>43</v>
      </c>
      <c r="B50" s="10" t="s">
        <v>1514</v>
      </c>
      <c r="C50" s="43"/>
      <c r="D50" s="44"/>
      <c r="E50" s="45">
        <f t="shared" si="0"/>
        <v>0</v>
      </c>
      <c r="F50" s="10" t="s">
        <v>1515</v>
      </c>
    </row>
    <row r="51" spans="1:6" s="1" customFormat="1">
      <c r="A51" s="10">
        <f>A50+1</f>
        <v>44</v>
      </c>
      <c r="B51" s="10" t="s">
        <v>1516</v>
      </c>
      <c r="C51" s="43"/>
      <c r="D51" s="44"/>
      <c r="E51" s="45">
        <f t="shared" si="0"/>
        <v>0</v>
      </c>
      <c r="F51" s="10" t="s">
        <v>920</v>
      </c>
    </row>
    <row r="52" spans="1:6" s="1" customFormat="1">
      <c r="A52" s="10">
        <f>A51+1</f>
        <v>45</v>
      </c>
      <c r="B52" s="10" t="s">
        <v>1517</v>
      </c>
      <c r="C52" s="43"/>
      <c r="D52" s="44"/>
      <c r="E52" s="45">
        <f t="shared" si="0"/>
        <v>0</v>
      </c>
      <c r="F52" s="10" t="s">
        <v>920</v>
      </c>
    </row>
    <row r="53" spans="1:6" s="1" customFormat="1">
      <c r="A53" s="10"/>
      <c r="B53" s="10" t="s">
        <v>1517</v>
      </c>
      <c r="C53" s="43"/>
      <c r="D53" s="44"/>
      <c r="E53" s="45">
        <f t="shared" si="0"/>
        <v>0</v>
      </c>
      <c r="F53" s="10" t="s">
        <v>1314</v>
      </c>
    </row>
    <row r="54" spans="1:6" s="1" customFormat="1">
      <c r="A54" s="10">
        <f>A52+1</f>
        <v>46</v>
      </c>
      <c r="B54" s="10" t="s">
        <v>1518</v>
      </c>
      <c r="C54" s="43"/>
      <c r="D54" s="44"/>
      <c r="E54" s="45">
        <f t="shared" si="0"/>
        <v>0</v>
      </c>
      <c r="F54" s="10" t="s">
        <v>1482</v>
      </c>
    </row>
    <row r="55" spans="1:6" s="1" customFormat="1">
      <c r="A55" s="10">
        <f>A54+1</f>
        <v>47</v>
      </c>
      <c r="B55" s="10" t="s">
        <v>1519</v>
      </c>
      <c r="C55" s="43"/>
      <c r="D55" s="44"/>
      <c r="E55" s="45">
        <f t="shared" si="0"/>
        <v>0</v>
      </c>
      <c r="F55" s="10" t="s">
        <v>1515</v>
      </c>
    </row>
    <row r="56" spans="1:6" s="1" customFormat="1">
      <c r="A56" s="10"/>
      <c r="B56" s="10" t="s">
        <v>1519</v>
      </c>
      <c r="C56" s="43"/>
      <c r="D56" s="44">
        <v>16</v>
      </c>
      <c r="E56" s="45">
        <f t="shared" si="0"/>
        <v>0</v>
      </c>
      <c r="F56" s="10" t="s">
        <v>136</v>
      </c>
    </row>
    <row r="57" spans="1:6" s="1" customFormat="1">
      <c r="A57" s="10">
        <f>A55+1</f>
        <v>48</v>
      </c>
      <c r="B57" s="10" t="s">
        <v>1520</v>
      </c>
      <c r="C57" s="43"/>
      <c r="D57" s="44">
        <v>16</v>
      </c>
      <c r="E57" s="45">
        <f t="shared" si="0"/>
        <v>0</v>
      </c>
      <c r="F57" s="10" t="s">
        <v>671</v>
      </c>
    </row>
    <row r="58" spans="1:6" s="1" customFormat="1">
      <c r="A58" s="10">
        <f>A57+1</f>
        <v>49</v>
      </c>
      <c r="B58" s="10" t="s">
        <v>1521</v>
      </c>
      <c r="C58" s="43"/>
      <c r="D58" s="44"/>
      <c r="E58" s="45">
        <f t="shared" si="0"/>
        <v>0</v>
      </c>
      <c r="F58" s="10" t="s">
        <v>1480</v>
      </c>
    </row>
    <row r="59" spans="1:6" s="1" customFormat="1">
      <c r="A59" s="10">
        <f>A58+1</f>
        <v>50</v>
      </c>
      <c r="B59" s="10" t="s">
        <v>1522</v>
      </c>
      <c r="C59" s="43"/>
      <c r="D59" s="44"/>
      <c r="E59" s="45">
        <f t="shared" si="0"/>
        <v>0</v>
      </c>
      <c r="F59" s="10" t="s">
        <v>923</v>
      </c>
    </row>
    <row r="60" spans="1:6" s="1" customFormat="1">
      <c r="A60" s="10">
        <f>A59+1</f>
        <v>51</v>
      </c>
      <c r="B60" s="10" t="s">
        <v>1523</v>
      </c>
      <c r="C60" s="43"/>
      <c r="D60" s="44"/>
      <c r="E60" s="45">
        <f t="shared" si="0"/>
        <v>0</v>
      </c>
      <c r="F60" s="10" t="s">
        <v>1316</v>
      </c>
    </row>
    <row r="61" spans="1:6" s="1" customFormat="1">
      <c r="A61" s="10"/>
      <c r="B61" s="10" t="s">
        <v>1523</v>
      </c>
      <c r="C61" s="43"/>
      <c r="D61" s="44">
        <v>16</v>
      </c>
      <c r="E61" s="45">
        <f t="shared" si="0"/>
        <v>0</v>
      </c>
      <c r="F61" s="10" t="s">
        <v>902</v>
      </c>
    </row>
    <row r="62" spans="1:6">
      <c r="A62" s="46">
        <f>A60+1</f>
        <v>52</v>
      </c>
      <c r="B62" s="46" t="s">
        <v>1524</v>
      </c>
      <c r="C62" s="47"/>
      <c r="D62" s="48"/>
      <c r="E62" s="49">
        <f t="shared" si="0"/>
        <v>0</v>
      </c>
      <c r="F62" s="46" t="s">
        <v>671</v>
      </c>
    </row>
    <row r="63" spans="1:6">
      <c r="A63" s="46">
        <f>A62+1</f>
        <v>53</v>
      </c>
      <c r="B63" s="46" t="s">
        <v>1525</v>
      </c>
      <c r="C63" s="47"/>
      <c r="D63" s="48">
        <v>16</v>
      </c>
      <c r="E63" s="49">
        <f t="shared" si="0"/>
        <v>0</v>
      </c>
      <c r="F63" s="46" t="s">
        <v>902</v>
      </c>
    </row>
    <row r="64" spans="1:6">
      <c r="A64" s="46"/>
      <c r="B64" s="46" t="s">
        <v>1525</v>
      </c>
      <c r="C64" s="47"/>
      <c r="D64" s="48"/>
      <c r="E64" s="49">
        <f t="shared" si="0"/>
        <v>0</v>
      </c>
      <c r="F64" s="46" t="s">
        <v>1317</v>
      </c>
    </row>
    <row r="65" spans="1:6">
      <c r="A65" s="46">
        <f>A63+1</f>
        <v>54</v>
      </c>
      <c r="B65" s="46" t="s">
        <v>1526</v>
      </c>
      <c r="C65" s="47"/>
      <c r="D65" s="48">
        <v>16</v>
      </c>
      <c r="E65" s="49">
        <f t="shared" si="0"/>
        <v>0</v>
      </c>
      <c r="F65" s="46" t="s">
        <v>136</v>
      </c>
    </row>
    <row r="66" spans="1:6" s="1" customFormat="1">
      <c r="A66" s="10">
        <f>A65+1</f>
        <v>55</v>
      </c>
      <c r="B66" s="10" t="s">
        <v>1527</v>
      </c>
      <c r="C66" s="43"/>
      <c r="D66" s="44"/>
      <c r="E66" s="45">
        <f t="shared" ref="E66:E129" si="5">C66*D66</f>
        <v>0</v>
      </c>
      <c r="F66" s="10" t="s">
        <v>1103</v>
      </c>
    </row>
    <row r="67" spans="1:6" s="1" customFormat="1">
      <c r="A67" s="10"/>
      <c r="B67" s="10" t="s">
        <v>1527</v>
      </c>
      <c r="C67" s="43"/>
      <c r="D67" s="44"/>
      <c r="E67" s="45">
        <f t="shared" si="5"/>
        <v>0</v>
      </c>
      <c r="F67" s="10" t="s">
        <v>654</v>
      </c>
    </row>
    <row r="68" spans="1:6" s="1" customFormat="1">
      <c r="A68" s="10"/>
      <c r="B68" s="10" t="s">
        <v>1527</v>
      </c>
      <c r="C68" s="43"/>
      <c r="D68" s="44"/>
      <c r="E68" s="45">
        <f t="shared" si="5"/>
        <v>0</v>
      </c>
      <c r="F68" s="10" t="s">
        <v>1315</v>
      </c>
    </row>
    <row r="69" spans="1:6" s="1" customFormat="1">
      <c r="A69" s="10"/>
      <c r="B69" s="10" t="s">
        <v>1527</v>
      </c>
      <c r="C69" s="43"/>
      <c r="D69" s="44"/>
      <c r="E69" s="45">
        <f t="shared" si="5"/>
        <v>0</v>
      </c>
      <c r="F69" s="10" t="s">
        <v>1318</v>
      </c>
    </row>
    <row r="70" spans="1:6">
      <c r="A70" s="46">
        <f>A66+1</f>
        <v>56</v>
      </c>
      <c r="B70" s="46" t="s">
        <v>1528</v>
      </c>
      <c r="C70" s="47"/>
      <c r="D70" s="48"/>
      <c r="E70" s="49">
        <f t="shared" si="5"/>
        <v>0</v>
      </c>
      <c r="F70" s="46" t="s">
        <v>1318</v>
      </c>
    </row>
    <row r="71" spans="1:6" s="1" customFormat="1">
      <c r="A71" s="10">
        <f>A70+1</f>
        <v>57</v>
      </c>
      <c r="B71" s="10" t="s">
        <v>1529</v>
      </c>
      <c r="C71" s="43"/>
      <c r="D71" s="44"/>
      <c r="E71" s="45">
        <f t="shared" si="5"/>
        <v>0</v>
      </c>
      <c r="F71" s="10" t="s">
        <v>1530</v>
      </c>
    </row>
    <row r="72" spans="1:6" s="1" customFormat="1">
      <c r="A72" s="10"/>
      <c r="B72" s="10" t="s">
        <v>1529</v>
      </c>
      <c r="C72" s="43"/>
      <c r="D72" s="44"/>
      <c r="E72" s="45">
        <f t="shared" si="5"/>
        <v>0</v>
      </c>
      <c r="F72" s="10" t="s">
        <v>853</v>
      </c>
    </row>
    <row r="73" spans="1:6" s="1" customFormat="1">
      <c r="A73" s="10"/>
      <c r="B73" s="10" t="s">
        <v>1529</v>
      </c>
      <c r="C73" s="43"/>
      <c r="D73" s="44"/>
      <c r="E73" s="45">
        <f t="shared" si="5"/>
        <v>0</v>
      </c>
      <c r="F73" s="10" t="s">
        <v>1314</v>
      </c>
    </row>
    <row r="74" spans="1:6">
      <c r="A74" s="46">
        <f>A71+1</f>
        <v>58</v>
      </c>
      <c r="B74" s="46" t="s">
        <v>1531</v>
      </c>
      <c r="C74" s="47"/>
      <c r="D74" s="48"/>
      <c r="E74" s="49">
        <f t="shared" si="5"/>
        <v>0</v>
      </c>
      <c r="F74" s="46" t="s">
        <v>1480</v>
      </c>
    </row>
    <row r="75" spans="1:6" s="1" customFormat="1">
      <c r="A75" s="10">
        <f>A74+1</f>
        <v>59</v>
      </c>
      <c r="B75" s="10" t="s">
        <v>1532</v>
      </c>
      <c r="C75" s="43"/>
      <c r="D75" s="44"/>
      <c r="E75" s="45">
        <f t="shared" si="5"/>
        <v>0</v>
      </c>
      <c r="F75" s="10" t="s">
        <v>659</v>
      </c>
    </row>
    <row r="76" spans="1:6" s="1" customFormat="1">
      <c r="A76" s="10"/>
      <c r="B76" s="10" t="s">
        <v>1532</v>
      </c>
      <c r="C76" s="43"/>
      <c r="D76" s="44"/>
      <c r="E76" s="45">
        <f t="shared" si="5"/>
        <v>0</v>
      </c>
      <c r="F76" s="10" t="s">
        <v>1482</v>
      </c>
    </row>
    <row r="77" spans="1:6" s="1" customFormat="1">
      <c r="A77" s="10">
        <f>A75+1</f>
        <v>60</v>
      </c>
      <c r="B77" s="10" t="s">
        <v>1533</v>
      </c>
      <c r="C77" s="43"/>
      <c r="D77" s="44"/>
      <c r="E77" s="45">
        <f t="shared" si="5"/>
        <v>0</v>
      </c>
      <c r="F77" s="10" t="s">
        <v>1496</v>
      </c>
    </row>
    <row r="78" spans="1:6" s="1" customFormat="1">
      <c r="A78" s="10">
        <f t="shared" ref="A78:A83" si="6">A77+1</f>
        <v>61</v>
      </c>
      <c r="B78" s="10" t="s">
        <v>1534</v>
      </c>
      <c r="C78" s="43"/>
      <c r="D78" s="44">
        <v>16</v>
      </c>
      <c r="E78" s="45">
        <f t="shared" si="5"/>
        <v>0</v>
      </c>
      <c r="F78" s="10" t="s">
        <v>136</v>
      </c>
    </row>
    <row r="79" spans="1:6" s="1" customFormat="1">
      <c r="A79" s="10">
        <f t="shared" si="6"/>
        <v>62</v>
      </c>
      <c r="B79" s="10" t="s">
        <v>1535</v>
      </c>
      <c r="C79" s="43"/>
      <c r="D79" s="44"/>
      <c r="E79" s="45">
        <f t="shared" si="5"/>
        <v>0</v>
      </c>
      <c r="F79" s="10" t="s">
        <v>1515</v>
      </c>
    </row>
    <row r="80" spans="1:6" s="1" customFormat="1">
      <c r="A80" s="10">
        <f t="shared" si="6"/>
        <v>63</v>
      </c>
      <c r="B80" s="10" t="s">
        <v>1536</v>
      </c>
      <c r="C80" s="43"/>
      <c r="D80" s="44">
        <v>16</v>
      </c>
      <c r="E80" s="45">
        <f t="shared" si="5"/>
        <v>0</v>
      </c>
      <c r="F80" s="10" t="s">
        <v>136</v>
      </c>
    </row>
    <row r="81" spans="1:6" s="1" customFormat="1">
      <c r="A81" s="10">
        <f t="shared" si="6"/>
        <v>64</v>
      </c>
      <c r="B81" s="10" t="s">
        <v>1537</v>
      </c>
      <c r="C81" s="43"/>
      <c r="D81" s="44"/>
      <c r="E81" s="45">
        <f t="shared" si="5"/>
        <v>0</v>
      </c>
      <c r="F81" s="10" t="s">
        <v>1482</v>
      </c>
    </row>
    <row r="82" spans="1:6" s="1" customFormat="1">
      <c r="A82" s="10">
        <f t="shared" si="6"/>
        <v>65</v>
      </c>
      <c r="B82" s="10" t="s">
        <v>1538</v>
      </c>
      <c r="C82" s="43"/>
      <c r="D82" s="44">
        <v>16</v>
      </c>
      <c r="E82" s="45">
        <f t="shared" si="5"/>
        <v>0</v>
      </c>
      <c r="F82" s="10" t="s">
        <v>902</v>
      </c>
    </row>
    <row r="83" spans="1:6" s="1" customFormat="1">
      <c r="A83" s="10">
        <f t="shared" si="6"/>
        <v>66</v>
      </c>
      <c r="B83" s="10" t="s">
        <v>1539</v>
      </c>
      <c r="C83" s="43"/>
      <c r="D83" s="44"/>
      <c r="E83" s="45">
        <f t="shared" si="5"/>
        <v>0</v>
      </c>
      <c r="F83" s="10" t="s">
        <v>1512</v>
      </c>
    </row>
    <row r="84" spans="1:6" s="1" customFormat="1">
      <c r="A84" s="10"/>
      <c r="B84" s="10" t="s">
        <v>1539</v>
      </c>
      <c r="C84" s="43"/>
      <c r="D84" s="44"/>
      <c r="E84" s="45">
        <f t="shared" si="5"/>
        <v>0</v>
      </c>
      <c r="F84" s="10" t="s">
        <v>1513</v>
      </c>
    </row>
    <row r="85" spans="1:6" s="1" customFormat="1">
      <c r="A85" s="10">
        <f>A83+1</f>
        <v>67</v>
      </c>
      <c r="B85" s="10" t="s">
        <v>1540</v>
      </c>
      <c r="C85" s="43"/>
      <c r="D85" s="44"/>
      <c r="E85" s="45">
        <f t="shared" si="5"/>
        <v>0</v>
      </c>
      <c r="F85" s="10" t="s">
        <v>1465</v>
      </c>
    </row>
    <row r="86" spans="1:6" s="1" customFormat="1">
      <c r="A86" s="10">
        <f>A85+1</f>
        <v>68</v>
      </c>
      <c r="B86" s="10" t="s">
        <v>1541</v>
      </c>
      <c r="C86" s="43"/>
      <c r="D86" s="44"/>
      <c r="E86" s="45">
        <f t="shared" si="5"/>
        <v>0</v>
      </c>
      <c r="F86" s="10" t="s">
        <v>1496</v>
      </c>
    </row>
    <row r="87" spans="1:6">
      <c r="A87" s="46">
        <f>A86+1</f>
        <v>69</v>
      </c>
      <c r="B87" s="46" t="s">
        <v>1542</v>
      </c>
      <c r="C87" s="47"/>
      <c r="D87" s="48"/>
      <c r="E87" s="49">
        <f t="shared" si="5"/>
        <v>0</v>
      </c>
      <c r="F87" s="46" t="s">
        <v>1465</v>
      </c>
    </row>
    <row r="88" spans="1:6" s="1" customFormat="1">
      <c r="A88" s="10">
        <f>A87+1</f>
        <v>70</v>
      </c>
      <c r="B88" s="10" t="s">
        <v>1543</v>
      </c>
      <c r="C88" s="43"/>
      <c r="D88" s="44"/>
      <c r="E88" s="45">
        <f t="shared" si="5"/>
        <v>0</v>
      </c>
      <c r="F88" s="10" t="s">
        <v>1515</v>
      </c>
    </row>
    <row r="89" spans="1:6" s="1" customFormat="1">
      <c r="A89" s="10">
        <f>A88+1</f>
        <v>71</v>
      </c>
      <c r="B89" s="10" t="s">
        <v>1544</v>
      </c>
      <c r="C89" s="43"/>
      <c r="D89" s="44"/>
      <c r="E89" s="45">
        <f t="shared" si="5"/>
        <v>0</v>
      </c>
      <c r="F89" s="10" t="s">
        <v>1515</v>
      </c>
    </row>
    <row r="90" spans="1:6" s="1" customFormat="1">
      <c r="A90" s="10"/>
      <c r="B90" s="10" t="s">
        <v>1544</v>
      </c>
      <c r="C90" s="43"/>
      <c r="D90" s="44">
        <v>16</v>
      </c>
      <c r="E90" s="45">
        <f t="shared" si="5"/>
        <v>0</v>
      </c>
      <c r="F90" s="10" t="s">
        <v>136</v>
      </c>
    </row>
    <row r="91" spans="1:6" s="1" customFormat="1">
      <c r="A91" s="10">
        <f>A89+1</f>
        <v>72</v>
      </c>
      <c r="B91" s="10" t="s">
        <v>1545</v>
      </c>
      <c r="C91" s="43"/>
      <c r="D91" s="44"/>
      <c r="E91" s="45">
        <f t="shared" si="5"/>
        <v>0</v>
      </c>
      <c r="F91" s="10" t="s">
        <v>1515</v>
      </c>
    </row>
    <row r="92" spans="1:6" s="1" customFormat="1">
      <c r="A92" s="10">
        <f t="shared" ref="A92:A99" si="7">A91+1</f>
        <v>73</v>
      </c>
      <c r="B92" s="10" t="s">
        <v>1546</v>
      </c>
      <c r="C92" s="43"/>
      <c r="D92" s="44"/>
      <c r="E92" s="45">
        <f t="shared" si="5"/>
        <v>0</v>
      </c>
      <c r="F92" s="10" t="s">
        <v>1313</v>
      </c>
    </row>
    <row r="93" spans="1:6">
      <c r="A93" s="46">
        <f t="shared" si="7"/>
        <v>74</v>
      </c>
      <c r="B93" s="46" t="s">
        <v>1547</v>
      </c>
      <c r="C93" s="47"/>
      <c r="D93" s="48"/>
      <c r="E93" s="49">
        <f t="shared" si="5"/>
        <v>0</v>
      </c>
      <c r="F93" s="46" t="s">
        <v>1318</v>
      </c>
    </row>
    <row r="94" spans="1:6" s="1" customFormat="1">
      <c r="A94" s="10">
        <f t="shared" si="7"/>
        <v>75</v>
      </c>
      <c r="B94" s="10" t="s">
        <v>1548</v>
      </c>
      <c r="C94" s="43"/>
      <c r="D94" s="44"/>
      <c r="E94" s="45">
        <f t="shared" si="5"/>
        <v>0</v>
      </c>
      <c r="F94" s="10" t="s">
        <v>1482</v>
      </c>
    </row>
    <row r="95" spans="1:6" s="1" customFormat="1">
      <c r="A95" s="10">
        <f t="shared" si="7"/>
        <v>76</v>
      </c>
      <c r="B95" s="10" t="s">
        <v>1549</v>
      </c>
      <c r="C95" s="43"/>
      <c r="D95" s="44"/>
      <c r="E95" s="45">
        <f t="shared" si="5"/>
        <v>0</v>
      </c>
      <c r="F95" s="10" t="s">
        <v>202</v>
      </c>
    </row>
    <row r="96" spans="1:6" s="1" customFormat="1">
      <c r="A96" s="10">
        <f t="shared" si="7"/>
        <v>77</v>
      </c>
      <c r="B96" s="10" t="s">
        <v>1550</v>
      </c>
      <c r="C96" s="43"/>
      <c r="D96" s="44">
        <v>16</v>
      </c>
      <c r="E96" s="45">
        <f t="shared" si="5"/>
        <v>0</v>
      </c>
      <c r="F96" s="10" t="s">
        <v>136</v>
      </c>
    </row>
    <row r="97" spans="1:6">
      <c r="A97" s="46">
        <f t="shared" si="7"/>
        <v>78</v>
      </c>
      <c r="B97" s="46" t="s">
        <v>1551</v>
      </c>
      <c r="C97" s="47"/>
      <c r="D97" s="48">
        <v>16</v>
      </c>
      <c r="E97" s="49">
        <f t="shared" si="5"/>
        <v>0</v>
      </c>
      <c r="F97" s="46" t="s">
        <v>136</v>
      </c>
    </row>
    <row r="98" spans="1:6">
      <c r="A98" s="46">
        <f t="shared" si="7"/>
        <v>79</v>
      </c>
      <c r="B98" s="46" t="s">
        <v>1552</v>
      </c>
      <c r="C98" s="47"/>
      <c r="D98" s="48"/>
      <c r="E98" s="49">
        <f t="shared" si="5"/>
        <v>0</v>
      </c>
      <c r="F98" s="46" t="s">
        <v>692</v>
      </c>
    </row>
    <row r="99" spans="1:6" s="1" customFormat="1">
      <c r="A99" s="10">
        <f t="shared" si="7"/>
        <v>80</v>
      </c>
      <c r="B99" s="10" t="s">
        <v>1553</v>
      </c>
      <c r="C99" s="43"/>
      <c r="D99" s="44"/>
      <c r="E99" s="45">
        <f t="shared" si="5"/>
        <v>0</v>
      </c>
      <c r="F99" s="10" t="s">
        <v>873</v>
      </c>
    </row>
    <row r="100" spans="1:6" s="1" customFormat="1">
      <c r="A100" s="10"/>
      <c r="B100" s="10" t="s">
        <v>1553</v>
      </c>
      <c r="C100" s="43"/>
      <c r="D100" s="44"/>
      <c r="E100" s="45">
        <f t="shared" si="5"/>
        <v>0</v>
      </c>
      <c r="F100" s="10" t="s">
        <v>1482</v>
      </c>
    </row>
    <row r="101" spans="1:6">
      <c r="A101" s="46">
        <f>A99+1</f>
        <v>81</v>
      </c>
      <c r="B101" s="46" t="s">
        <v>1554</v>
      </c>
      <c r="C101" s="47"/>
      <c r="D101" s="48"/>
      <c r="E101" s="49">
        <f t="shared" si="5"/>
        <v>0</v>
      </c>
      <c r="F101" s="46" t="s">
        <v>654</v>
      </c>
    </row>
    <row r="102" spans="1:6">
      <c r="A102" s="46">
        <f>A101+1</f>
        <v>82</v>
      </c>
      <c r="B102" s="46" t="s">
        <v>1555</v>
      </c>
      <c r="C102" s="47"/>
      <c r="D102" s="48">
        <v>16</v>
      </c>
      <c r="E102" s="49">
        <f t="shared" si="5"/>
        <v>0</v>
      </c>
      <c r="F102" s="46" t="s">
        <v>136</v>
      </c>
    </row>
    <row r="103" spans="1:6" s="1" customFormat="1">
      <c r="A103" s="10">
        <f>A102+1</f>
        <v>83</v>
      </c>
      <c r="B103" s="10" t="s">
        <v>1556</v>
      </c>
      <c r="C103" s="43"/>
      <c r="D103" s="44"/>
      <c r="E103" s="45">
        <f t="shared" si="5"/>
        <v>0</v>
      </c>
      <c r="F103" s="10" t="s">
        <v>920</v>
      </c>
    </row>
    <row r="104" spans="1:6" s="1" customFormat="1">
      <c r="A104" s="10">
        <f>A103+1</f>
        <v>84</v>
      </c>
      <c r="B104" s="10" t="s">
        <v>1557</v>
      </c>
      <c r="C104" s="43"/>
      <c r="D104" s="44"/>
      <c r="E104" s="45">
        <f t="shared" si="5"/>
        <v>0</v>
      </c>
      <c r="F104" s="10" t="s">
        <v>1482</v>
      </c>
    </row>
    <row r="105" spans="1:6" s="1" customFormat="1">
      <c r="A105" s="10">
        <f>A104+1</f>
        <v>85</v>
      </c>
      <c r="B105" s="10" t="s">
        <v>1558</v>
      </c>
      <c r="C105" s="43"/>
      <c r="D105" s="44"/>
      <c r="E105" s="45">
        <f t="shared" si="5"/>
        <v>0</v>
      </c>
      <c r="F105" s="10" t="s">
        <v>828</v>
      </c>
    </row>
    <row r="106" spans="1:6" s="1" customFormat="1">
      <c r="A106" s="10"/>
      <c r="B106" s="10" t="s">
        <v>1558</v>
      </c>
      <c r="C106" s="43"/>
      <c r="D106" s="44"/>
      <c r="E106" s="45">
        <f t="shared" si="5"/>
        <v>0</v>
      </c>
      <c r="F106" s="10" t="s">
        <v>1482</v>
      </c>
    </row>
    <row r="107" spans="1:6" s="1" customFormat="1">
      <c r="A107" s="10"/>
      <c r="B107" s="10" t="s">
        <v>1558</v>
      </c>
      <c r="C107" s="43"/>
      <c r="D107" s="44"/>
      <c r="E107" s="45">
        <f t="shared" si="5"/>
        <v>0</v>
      </c>
      <c r="F107" s="10" t="s">
        <v>1317</v>
      </c>
    </row>
    <row r="108" spans="1:6" s="1" customFormat="1">
      <c r="A108" s="10">
        <f>A105+1</f>
        <v>86</v>
      </c>
      <c r="B108" s="10" t="s">
        <v>1559</v>
      </c>
      <c r="C108" s="43"/>
      <c r="D108" s="44"/>
      <c r="E108" s="45">
        <f t="shared" si="5"/>
        <v>0</v>
      </c>
      <c r="F108" s="10" t="s">
        <v>1512</v>
      </c>
    </row>
    <row r="109" spans="1:6" s="1" customFormat="1">
      <c r="A109" s="10"/>
      <c r="B109" s="10" t="s">
        <v>1559</v>
      </c>
      <c r="C109" s="43"/>
      <c r="D109" s="44"/>
      <c r="E109" s="45">
        <f t="shared" si="5"/>
        <v>0</v>
      </c>
      <c r="F109" s="10" t="s">
        <v>1513</v>
      </c>
    </row>
    <row r="110" spans="1:6" s="1" customFormat="1">
      <c r="A110" s="10">
        <f>A108+1</f>
        <v>87</v>
      </c>
      <c r="B110" s="10" t="s">
        <v>1560</v>
      </c>
      <c r="C110" s="43"/>
      <c r="D110" s="44"/>
      <c r="E110" s="45">
        <f t="shared" si="5"/>
        <v>0</v>
      </c>
      <c r="F110" s="10" t="s">
        <v>920</v>
      </c>
    </row>
    <row r="111" spans="1:6" s="1" customFormat="1">
      <c r="A111" s="10"/>
      <c r="B111" s="10" t="s">
        <v>1560</v>
      </c>
      <c r="C111" s="43"/>
      <c r="D111" s="44"/>
      <c r="E111" s="45">
        <f t="shared" si="5"/>
        <v>0</v>
      </c>
      <c r="F111" s="10" t="s">
        <v>1318</v>
      </c>
    </row>
    <row r="112" spans="1:6" s="1" customFormat="1">
      <c r="A112" s="10">
        <f>A110+1</f>
        <v>88</v>
      </c>
      <c r="B112" s="10" t="s">
        <v>1561</v>
      </c>
      <c r="C112" s="43"/>
      <c r="D112" s="44"/>
      <c r="E112" s="45">
        <f t="shared" si="5"/>
        <v>0</v>
      </c>
      <c r="F112" s="10" t="s">
        <v>1530</v>
      </c>
    </row>
    <row r="113" spans="1:6">
      <c r="A113" s="46">
        <f t="shared" ref="A113:A128" si="8">A112+1</f>
        <v>89</v>
      </c>
      <c r="B113" s="46" t="s">
        <v>1562</v>
      </c>
      <c r="C113" s="47"/>
      <c r="D113" s="48"/>
      <c r="E113" s="49">
        <f t="shared" si="5"/>
        <v>0</v>
      </c>
      <c r="F113" s="46" t="s">
        <v>1318</v>
      </c>
    </row>
    <row r="114" spans="1:6" s="1" customFormat="1">
      <c r="A114" s="10">
        <f t="shared" si="8"/>
        <v>90</v>
      </c>
      <c r="B114" s="10" t="s">
        <v>1563</v>
      </c>
      <c r="C114" s="43"/>
      <c r="D114" s="44"/>
      <c r="E114" s="45">
        <f t="shared" si="5"/>
        <v>0</v>
      </c>
      <c r="F114" s="10" t="s">
        <v>1482</v>
      </c>
    </row>
    <row r="115" spans="1:6" s="1" customFormat="1">
      <c r="A115" s="10">
        <f t="shared" si="8"/>
        <v>91</v>
      </c>
      <c r="B115" s="10" t="s">
        <v>1564</v>
      </c>
      <c r="C115" s="43"/>
      <c r="D115" s="44">
        <v>16</v>
      </c>
      <c r="E115" s="45">
        <f t="shared" si="5"/>
        <v>0</v>
      </c>
      <c r="F115" s="10" t="s">
        <v>136</v>
      </c>
    </row>
    <row r="116" spans="1:6" s="1" customFormat="1">
      <c r="A116" s="10">
        <f t="shared" si="8"/>
        <v>92</v>
      </c>
      <c r="B116" s="10" t="s">
        <v>1565</v>
      </c>
      <c r="C116" s="43"/>
      <c r="D116" s="44"/>
      <c r="E116" s="45">
        <f t="shared" si="5"/>
        <v>0</v>
      </c>
      <c r="F116" s="10" t="s">
        <v>671</v>
      </c>
    </row>
    <row r="117" spans="1:6">
      <c r="A117" s="46">
        <f t="shared" si="8"/>
        <v>93</v>
      </c>
      <c r="B117" s="46" t="s">
        <v>1566</v>
      </c>
      <c r="C117" s="47"/>
      <c r="D117" s="48">
        <v>16</v>
      </c>
      <c r="E117" s="49">
        <f t="shared" si="5"/>
        <v>0</v>
      </c>
      <c r="F117" s="46" t="s">
        <v>136</v>
      </c>
    </row>
    <row r="118" spans="1:6" s="1" customFormat="1">
      <c r="A118" s="10">
        <f t="shared" si="8"/>
        <v>94</v>
      </c>
      <c r="B118" s="10" t="s">
        <v>1567</v>
      </c>
      <c r="C118" s="43"/>
      <c r="D118" s="44"/>
      <c r="E118" s="45">
        <f t="shared" si="5"/>
        <v>0</v>
      </c>
      <c r="F118" s="10" t="s">
        <v>1315</v>
      </c>
    </row>
    <row r="119" spans="1:6">
      <c r="A119" s="46">
        <f t="shared" si="8"/>
        <v>95</v>
      </c>
      <c r="B119" s="46" t="s">
        <v>1568</v>
      </c>
      <c r="C119" s="47"/>
      <c r="D119" s="48"/>
      <c r="E119" s="49">
        <f t="shared" si="5"/>
        <v>0</v>
      </c>
      <c r="F119" s="46" t="s">
        <v>1515</v>
      </c>
    </row>
    <row r="120" spans="1:6" s="1" customFormat="1">
      <c r="A120" s="10">
        <f t="shared" si="8"/>
        <v>96</v>
      </c>
      <c r="B120" s="10" t="s">
        <v>1569</v>
      </c>
      <c r="C120" s="43"/>
      <c r="D120" s="44"/>
      <c r="E120" s="45">
        <f t="shared" si="5"/>
        <v>0</v>
      </c>
      <c r="F120" s="10" t="s">
        <v>920</v>
      </c>
    </row>
    <row r="121" spans="1:6" s="1" customFormat="1">
      <c r="A121" s="10">
        <f t="shared" si="8"/>
        <v>97</v>
      </c>
      <c r="B121" s="10" t="s">
        <v>1570</v>
      </c>
      <c r="C121" s="43"/>
      <c r="D121" s="44"/>
      <c r="E121" s="45">
        <f t="shared" si="5"/>
        <v>0</v>
      </c>
      <c r="F121" s="22" t="s">
        <v>1314</v>
      </c>
    </row>
    <row r="122" spans="1:6" s="3" customFormat="1">
      <c r="A122" s="22">
        <f t="shared" si="8"/>
        <v>98</v>
      </c>
      <c r="B122" s="22" t="s">
        <v>1571</v>
      </c>
      <c r="C122" s="53"/>
      <c r="D122" s="54"/>
      <c r="E122" s="55">
        <f t="shared" si="5"/>
        <v>0</v>
      </c>
      <c r="F122" s="22" t="s">
        <v>920</v>
      </c>
    </row>
    <row r="123" spans="1:6" s="3" customFormat="1">
      <c r="A123" s="22">
        <f t="shared" si="8"/>
        <v>99</v>
      </c>
      <c r="B123" s="22" t="s">
        <v>1571</v>
      </c>
      <c r="C123" s="53"/>
      <c r="D123" s="54"/>
      <c r="E123" s="55">
        <f t="shared" si="5"/>
        <v>0</v>
      </c>
      <c r="F123" s="22" t="s">
        <v>1314</v>
      </c>
    </row>
    <row r="124" spans="1:6" s="1" customFormat="1">
      <c r="A124" s="10">
        <f t="shared" si="8"/>
        <v>100</v>
      </c>
      <c r="B124" s="10" t="s">
        <v>1572</v>
      </c>
      <c r="C124" s="43"/>
      <c r="D124" s="44"/>
      <c r="E124" s="45">
        <f t="shared" si="5"/>
        <v>0</v>
      </c>
      <c r="F124" s="10" t="s">
        <v>671</v>
      </c>
    </row>
    <row r="125" spans="1:6">
      <c r="A125" s="46">
        <f t="shared" si="8"/>
        <v>101</v>
      </c>
      <c r="B125" s="46" t="s">
        <v>1573</v>
      </c>
      <c r="C125" s="47"/>
      <c r="D125" s="48"/>
      <c r="E125" s="49">
        <f t="shared" si="5"/>
        <v>0</v>
      </c>
      <c r="F125" s="46" t="s">
        <v>1318</v>
      </c>
    </row>
    <row r="126" spans="1:6">
      <c r="A126" s="46">
        <f t="shared" si="8"/>
        <v>102</v>
      </c>
      <c r="B126" s="46" t="s">
        <v>1574</v>
      </c>
      <c r="C126" s="47"/>
      <c r="D126" s="48"/>
      <c r="E126" s="49">
        <f t="shared" si="5"/>
        <v>0</v>
      </c>
      <c r="F126" s="46" t="s">
        <v>1482</v>
      </c>
    </row>
    <row r="127" spans="1:6" s="1" customFormat="1">
      <c r="A127" s="10">
        <f t="shared" si="8"/>
        <v>103</v>
      </c>
      <c r="B127" s="10" t="s">
        <v>1575</v>
      </c>
      <c r="C127" s="43"/>
      <c r="D127" s="44"/>
      <c r="E127" s="45">
        <f t="shared" si="5"/>
        <v>0</v>
      </c>
      <c r="F127" s="10" t="s">
        <v>1512</v>
      </c>
    </row>
    <row r="128" spans="1:6" s="1" customFormat="1">
      <c r="A128" s="10">
        <f t="shared" si="8"/>
        <v>104</v>
      </c>
      <c r="B128" s="10" t="s">
        <v>1576</v>
      </c>
      <c r="C128" s="43"/>
      <c r="D128" s="44"/>
      <c r="E128" s="45">
        <f t="shared" si="5"/>
        <v>0</v>
      </c>
      <c r="F128" s="10" t="s">
        <v>1314</v>
      </c>
    </row>
    <row r="129" spans="1:6" s="1" customFormat="1">
      <c r="A129" s="10"/>
      <c r="B129" s="10" t="s">
        <v>1576</v>
      </c>
      <c r="C129" s="43"/>
      <c r="D129" s="44"/>
      <c r="E129" s="45">
        <f t="shared" si="5"/>
        <v>0</v>
      </c>
      <c r="F129" s="10" t="s">
        <v>1315</v>
      </c>
    </row>
    <row r="130" spans="1:6" s="1" customFormat="1">
      <c r="A130" s="10">
        <f>A128+1</f>
        <v>105</v>
      </c>
      <c r="B130" s="10" t="s">
        <v>1577</v>
      </c>
      <c r="C130" s="43"/>
      <c r="D130" s="44"/>
      <c r="E130" s="45">
        <f t="shared" ref="E130:E193" si="9">C130*D130</f>
        <v>0</v>
      </c>
      <c r="F130" s="10" t="s">
        <v>1515</v>
      </c>
    </row>
    <row r="131" spans="1:6">
      <c r="A131" s="46">
        <f t="shared" ref="A131:A136" si="10">A130+1</f>
        <v>106</v>
      </c>
      <c r="B131" s="46" t="s">
        <v>1578</v>
      </c>
      <c r="C131" s="47"/>
      <c r="D131" s="48">
        <v>16</v>
      </c>
      <c r="E131" s="49">
        <f t="shared" si="9"/>
        <v>0</v>
      </c>
      <c r="F131" s="46" t="s">
        <v>136</v>
      </c>
    </row>
    <row r="132" spans="1:6" s="1" customFormat="1">
      <c r="A132" s="10">
        <f t="shared" si="10"/>
        <v>107</v>
      </c>
      <c r="B132" s="10" t="s">
        <v>1579</v>
      </c>
      <c r="C132" s="43"/>
      <c r="D132" s="44">
        <v>16</v>
      </c>
      <c r="E132" s="45">
        <f t="shared" si="9"/>
        <v>0</v>
      </c>
      <c r="F132" s="10" t="s">
        <v>136</v>
      </c>
    </row>
    <row r="133" spans="1:6" s="1" customFormat="1">
      <c r="A133" s="10">
        <f t="shared" si="10"/>
        <v>108</v>
      </c>
      <c r="B133" s="10" t="s">
        <v>1580</v>
      </c>
      <c r="C133" s="43"/>
      <c r="D133" s="44"/>
      <c r="E133" s="45">
        <f t="shared" si="9"/>
        <v>0</v>
      </c>
      <c r="F133" s="10" t="s">
        <v>920</v>
      </c>
    </row>
    <row r="134" spans="1:6" s="1" customFormat="1">
      <c r="A134" s="10">
        <f t="shared" si="10"/>
        <v>109</v>
      </c>
      <c r="B134" s="10" t="s">
        <v>1581</v>
      </c>
      <c r="C134" s="43"/>
      <c r="D134" s="44">
        <v>16</v>
      </c>
      <c r="E134" s="45">
        <f t="shared" si="9"/>
        <v>0</v>
      </c>
      <c r="F134" s="10" t="s">
        <v>671</v>
      </c>
    </row>
    <row r="135" spans="1:6" s="1" customFormat="1">
      <c r="A135" s="10">
        <f t="shared" si="10"/>
        <v>110</v>
      </c>
      <c r="B135" s="10" t="s">
        <v>1582</v>
      </c>
      <c r="C135" s="43"/>
      <c r="D135" s="44"/>
      <c r="E135" s="45">
        <f t="shared" si="9"/>
        <v>0</v>
      </c>
      <c r="F135" s="10" t="s">
        <v>1583</v>
      </c>
    </row>
    <row r="136" spans="1:6" s="1" customFormat="1">
      <c r="A136" s="10">
        <f t="shared" si="10"/>
        <v>111</v>
      </c>
      <c r="B136" s="10" t="s">
        <v>1584</v>
      </c>
      <c r="C136" s="43"/>
      <c r="D136" s="44"/>
      <c r="E136" s="45">
        <f t="shared" si="9"/>
        <v>0</v>
      </c>
      <c r="F136" s="10" t="s">
        <v>1512</v>
      </c>
    </row>
    <row r="137" spans="1:6" s="1" customFormat="1">
      <c r="A137" s="10"/>
      <c r="B137" s="10" t="s">
        <v>1584</v>
      </c>
      <c r="C137" s="43"/>
      <c r="D137" s="44"/>
      <c r="E137" s="45">
        <f t="shared" si="9"/>
        <v>0</v>
      </c>
      <c r="F137" s="10" t="s">
        <v>1513</v>
      </c>
    </row>
    <row r="138" spans="1:6" s="1" customFormat="1">
      <c r="A138" s="10">
        <f>A136+1</f>
        <v>112</v>
      </c>
      <c r="B138" s="10" t="s">
        <v>1585</v>
      </c>
      <c r="C138" s="43"/>
      <c r="D138" s="44"/>
      <c r="E138" s="45">
        <f t="shared" si="9"/>
        <v>0</v>
      </c>
      <c r="F138" s="10" t="s">
        <v>1482</v>
      </c>
    </row>
    <row r="139" spans="1:6" s="1" customFormat="1">
      <c r="A139" s="10"/>
      <c r="B139" s="10" t="s">
        <v>1585</v>
      </c>
      <c r="C139" s="43"/>
      <c r="D139" s="44"/>
      <c r="E139" s="45">
        <f t="shared" si="9"/>
        <v>0</v>
      </c>
      <c r="F139" s="10" t="s">
        <v>202</v>
      </c>
    </row>
    <row r="140" spans="1:6" s="1" customFormat="1">
      <c r="A140" s="10">
        <f>A138+1</f>
        <v>113</v>
      </c>
      <c r="B140" s="10" t="s">
        <v>1586</v>
      </c>
      <c r="C140" s="43"/>
      <c r="D140" s="44"/>
      <c r="E140" s="45">
        <f t="shared" si="9"/>
        <v>0</v>
      </c>
      <c r="F140" s="10" t="s">
        <v>920</v>
      </c>
    </row>
    <row r="141" spans="1:6" s="1" customFormat="1">
      <c r="A141" s="10"/>
      <c r="B141" s="10" t="s">
        <v>1586</v>
      </c>
      <c r="C141" s="43"/>
      <c r="D141" s="44"/>
      <c r="E141" s="45">
        <f t="shared" si="9"/>
        <v>0</v>
      </c>
      <c r="F141" s="10" t="s">
        <v>1512</v>
      </c>
    </row>
    <row r="142" spans="1:6" s="1" customFormat="1">
      <c r="A142" s="10"/>
      <c r="B142" s="10" t="s">
        <v>1586</v>
      </c>
      <c r="C142" s="43"/>
      <c r="D142" s="44"/>
      <c r="E142" s="45">
        <f t="shared" si="9"/>
        <v>0</v>
      </c>
      <c r="F142" s="10" t="s">
        <v>1513</v>
      </c>
    </row>
    <row r="143" spans="1:6" s="1" customFormat="1">
      <c r="A143" s="10">
        <f>A140+1</f>
        <v>114</v>
      </c>
      <c r="B143" s="10" t="s">
        <v>1587</v>
      </c>
      <c r="C143" s="43"/>
      <c r="D143" s="44"/>
      <c r="E143" s="45">
        <f t="shared" si="9"/>
        <v>0</v>
      </c>
      <c r="F143" s="10" t="s">
        <v>671</v>
      </c>
    </row>
    <row r="144" spans="1:6">
      <c r="A144" s="46">
        <f t="shared" ref="A144:A149" si="11">A143+1</f>
        <v>115</v>
      </c>
      <c r="B144" s="46" t="s">
        <v>1588</v>
      </c>
      <c r="C144" s="47"/>
      <c r="D144" s="48">
        <v>16</v>
      </c>
      <c r="E144" s="49">
        <f t="shared" si="9"/>
        <v>0</v>
      </c>
      <c r="F144" s="46" t="s">
        <v>136</v>
      </c>
    </row>
    <row r="145" spans="1:6" s="1" customFormat="1">
      <c r="A145" s="10">
        <f t="shared" si="11"/>
        <v>116</v>
      </c>
      <c r="B145" s="10" t="s">
        <v>1589</v>
      </c>
      <c r="C145" s="43"/>
      <c r="D145" s="44"/>
      <c r="E145" s="45">
        <f t="shared" si="9"/>
        <v>0</v>
      </c>
      <c r="F145" s="10" t="s">
        <v>1482</v>
      </c>
    </row>
    <row r="146" spans="1:6" s="1" customFormat="1">
      <c r="A146" s="10">
        <f t="shared" si="11"/>
        <v>117</v>
      </c>
      <c r="B146" s="10" t="s">
        <v>1590</v>
      </c>
      <c r="C146" s="43"/>
      <c r="D146" s="44">
        <v>16</v>
      </c>
      <c r="E146" s="45">
        <f t="shared" si="9"/>
        <v>0</v>
      </c>
      <c r="F146" s="10" t="s">
        <v>902</v>
      </c>
    </row>
    <row r="147" spans="1:6" s="1" customFormat="1">
      <c r="A147" s="10">
        <f t="shared" si="11"/>
        <v>118</v>
      </c>
      <c r="B147" s="10" t="s">
        <v>1591</v>
      </c>
      <c r="C147" s="43"/>
      <c r="D147" s="44"/>
      <c r="E147" s="45">
        <f t="shared" si="9"/>
        <v>0</v>
      </c>
      <c r="F147" s="10" t="s">
        <v>1474</v>
      </c>
    </row>
    <row r="148" spans="1:6" s="1" customFormat="1">
      <c r="A148" s="10">
        <f t="shared" si="11"/>
        <v>119</v>
      </c>
      <c r="B148" s="10" t="s">
        <v>1592</v>
      </c>
      <c r="C148" s="43"/>
      <c r="D148" s="44"/>
      <c r="E148" s="45">
        <f t="shared" si="9"/>
        <v>0</v>
      </c>
      <c r="F148" s="10" t="s">
        <v>1318</v>
      </c>
    </row>
    <row r="149" spans="1:6" s="1" customFormat="1">
      <c r="A149" s="10">
        <f t="shared" si="11"/>
        <v>120</v>
      </c>
      <c r="B149" s="10" t="s">
        <v>1592</v>
      </c>
      <c r="C149" s="43"/>
      <c r="D149" s="44"/>
      <c r="E149" s="45">
        <f t="shared" si="9"/>
        <v>0</v>
      </c>
      <c r="F149" s="10" t="s">
        <v>1593</v>
      </c>
    </row>
    <row r="150" spans="1:6" s="1" customFormat="1">
      <c r="A150" s="10"/>
      <c r="B150" s="10" t="s">
        <v>1592</v>
      </c>
      <c r="C150" s="43"/>
      <c r="D150" s="44"/>
      <c r="E150" s="45">
        <f t="shared" si="9"/>
        <v>0</v>
      </c>
      <c r="F150" s="10" t="s">
        <v>1594</v>
      </c>
    </row>
    <row r="151" spans="1:6" s="1" customFormat="1">
      <c r="A151" s="10"/>
      <c r="B151" s="10" t="s">
        <v>1592</v>
      </c>
      <c r="C151" s="43"/>
      <c r="D151" s="44"/>
      <c r="E151" s="45">
        <f t="shared" si="9"/>
        <v>0</v>
      </c>
      <c r="F151" s="10" t="s">
        <v>1315</v>
      </c>
    </row>
    <row r="152" spans="1:6" s="1" customFormat="1">
      <c r="A152" s="10">
        <f>A149+1</f>
        <v>121</v>
      </c>
      <c r="B152" s="10" t="s">
        <v>1595</v>
      </c>
      <c r="C152" s="43"/>
      <c r="D152" s="44"/>
      <c r="E152" s="45">
        <f t="shared" si="9"/>
        <v>0</v>
      </c>
      <c r="F152" s="10" t="s">
        <v>1482</v>
      </c>
    </row>
    <row r="153" spans="1:6" s="1" customFormat="1">
      <c r="A153" s="10">
        <f>A152+1</f>
        <v>122</v>
      </c>
      <c r="B153" s="10" t="s">
        <v>1596</v>
      </c>
      <c r="C153" s="43"/>
      <c r="D153" s="44"/>
      <c r="E153" s="45">
        <f t="shared" si="9"/>
        <v>0</v>
      </c>
      <c r="F153" s="10" t="s">
        <v>1318</v>
      </c>
    </row>
    <row r="154" spans="1:6" s="1" customFormat="1">
      <c r="A154" s="10">
        <f>A153+1</f>
        <v>123</v>
      </c>
      <c r="B154" s="10" t="s">
        <v>1597</v>
      </c>
      <c r="C154" s="43"/>
      <c r="D154" s="44"/>
      <c r="E154" s="45">
        <f t="shared" si="9"/>
        <v>0</v>
      </c>
      <c r="F154" s="10" t="s">
        <v>1465</v>
      </c>
    </row>
    <row r="155" spans="1:6" s="1" customFormat="1">
      <c r="A155" s="10"/>
      <c r="B155" s="10" t="s">
        <v>1597</v>
      </c>
      <c r="C155" s="43"/>
      <c r="D155" s="44"/>
      <c r="E155" s="45">
        <f t="shared" si="9"/>
        <v>0</v>
      </c>
      <c r="F155" s="10" t="s">
        <v>998</v>
      </c>
    </row>
    <row r="156" spans="1:6">
      <c r="A156" s="46">
        <f>A154+1</f>
        <v>124</v>
      </c>
      <c r="B156" s="46" t="s">
        <v>1598</v>
      </c>
      <c r="C156" s="47"/>
      <c r="D156" s="48"/>
      <c r="E156" s="49">
        <f t="shared" si="9"/>
        <v>0</v>
      </c>
      <c r="F156" s="46" t="s">
        <v>1482</v>
      </c>
    </row>
    <row r="157" spans="1:6">
      <c r="A157" s="46">
        <f>A156+1</f>
        <v>125</v>
      </c>
      <c r="B157" s="46" t="s">
        <v>1599</v>
      </c>
      <c r="C157" s="47"/>
      <c r="D157" s="48"/>
      <c r="E157" s="49">
        <f t="shared" si="9"/>
        <v>0</v>
      </c>
      <c r="F157" s="46" t="s">
        <v>1318</v>
      </c>
    </row>
    <row r="158" spans="1:6">
      <c r="A158" s="46">
        <f>A157+1</f>
        <v>126</v>
      </c>
      <c r="B158" s="46" t="s">
        <v>1600</v>
      </c>
      <c r="C158" s="47"/>
      <c r="D158" s="48"/>
      <c r="E158" s="49">
        <f t="shared" si="9"/>
        <v>0</v>
      </c>
      <c r="F158" s="46" t="s">
        <v>998</v>
      </c>
    </row>
    <row r="159" spans="1:6" s="1" customFormat="1">
      <c r="A159" s="10">
        <f>A158+1</f>
        <v>127</v>
      </c>
      <c r="B159" s="10" t="s">
        <v>1601</v>
      </c>
      <c r="C159" s="43"/>
      <c r="D159" s="44">
        <v>16</v>
      </c>
      <c r="E159" s="45">
        <f t="shared" si="9"/>
        <v>0</v>
      </c>
      <c r="F159" s="10" t="s">
        <v>1006</v>
      </c>
    </row>
    <row r="160" spans="1:6" s="1" customFormat="1">
      <c r="A160" s="10"/>
      <c r="B160" s="10" t="s">
        <v>1601</v>
      </c>
      <c r="C160" s="43"/>
      <c r="D160" s="44"/>
      <c r="E160" s="45">
        <f t="shared" si="9"/>
        <v>0</v>
      </c>
      <c r="F160" s="10" t="s">
        <v>1515</v>
      </c>
    </row>
    <row r="161" spans="1:6">
      <c r="A161" s="46">
        <f>A159+1</f>
        <v>128</v>
      </c>
      <c r="B161" s="46" t="s">
        <v>1602</v>
      </c>
      <c r="C161" s="47"/>
      <c r="D161" s="48"/>
      <c r="E161" s="49">
        <f t="shared" si="9"/>
        <v>0</v>
      </c>
      <c r="F161" s="46" t="s">
        <v>1515</v>
      </c>
    </row>
    <row r="162" spans="1:6">
      <c r="A162" s="46"/>
      <c r="B162" s="46" t="s">
        <v>1602</v>
      </c>
      <c r="C162" s="47"/>
      <c r="D162" s="48">
        <v>16</v>
      </c>
      <c r="E162" s="49">
        <f t="shared" si="9"/>
        <v>0</v>
      </c>
      <c r="F162" s="46" t="s">
        <v>136</v>
      </c>
    </row>
    <row r="163" spans="1:6" s="1" customFormat="1">
      <c r="A163" s="10">
        <f>A161+1</f>
        <v>129</v>
      </c>
      <c r="B163" s="10" t="s">
        <v>1603</v>
      </c>
      <c r="C163" s="43"/>
      <c r="D163" s="44">
        <v>16</v>
      </c>
      <c r="E163" s="45">
        <f t="shared" si="9"/>
        <v>0</v>
      </c>
      <c r="F163" s="10" t="s">
        <v>902</v>
      </c>
    </row>
    <row r="164" spans="1:6" s="1" customFormat="1">
      <c r="A164" s="10">
        <f>A163+1</f>
        <v>130</v>
      </c>
      <c r="B164" s="10" t="s">
        <v>1604</v>
      </c>
      <c r="C164" s="43"/>
      <c r="D164" s="44"/>
      <c r="E164" s="45">
        <f t="shared" si="9"/>
        <v>0</v>
      </c>
      <c r="F164" s="10" t="s">
        <v>654</v>
      </c>
    </row>
    <row r="165" spans="1:6" s="1" customFormat="1">
      <c r="A165" s="10"/>
      <c r="B165" s="10" t="s">
        <v>1604</v>
      </c>
      <c r="C165" s="43"/>
      <c r="D165" s="44"/>
      <c r="E165" s="45">
        <f t="shared" si="9"/>
        <v>0</v>
      </c>
      <c r="F165" s="10" t="s">
        <v>1312</v>
      </c>
    </row>
    <row r="166" spans="1:6" s="1" customFormat="1">
      <c r="A166" s="10"/>
      <c r="B166" s="10" t="s">
        <v>1604</v>
      </c>
      <c r="C166" s="43"/>
      <c r="D166" s="44"/>
      <c r="E166" s="45">
        <f t="shared" si="9"/>
        <v>0</v>
      </c>
      <c r="F166" s="10" t="s">
        <v>1314</v>
      </c>
    </row>
    <row r="167" spans="1:6" s="1" customFormat="1">
      <c r="A167" s="10"/>
      <c r="B167" s="10" t="s">
        <v>1604</v>
      </c>
      <c r="C167" s="43"/>
      <c r="D167" s="44"/>
      <c r="E167" s="45">
        <f t="shared" si="9"/>
        <v>0</v>
      </c>
      <c r="F167" s="10" t="s">
        <v>1315</v>
      </c>
    </row>
    <row r="168" spans="1:6" s="1" customFormat="1">
      <c r="A168" s="10">
        <f>A164+1</f>
        <v>131</v>
      </c>
      <c r="B168" s="10" t="s">
        <v>1605</v>
      </c>
      <c r="C168" s="43"/>
      <c r="D168" s="44"/>
      <c r="E168" s="45">
        <f t="shared" si="9"/>
        <v>0</v>
      </c>
      <c r="F168" s="10" t="s">
        <v>1314</v>
      </c>
    </row>
    <row r="169" spans="1:6" s="1" customFormat="1">
      <c r="A169" s="10">
        <f>A168+1</f>
        <v>132</v>
      </c>
      <c r="B169" s="10" t="s">
        <v>1606</v>
      </c>
      <c r="C169" s="43"/>
      <c r="D169" s="44">
        <v>16</v>
      </c>
      <c r="E169" s="45">
        <f t="shared" si="9"/>
        <v>0</v>
      </c>
      <c r="F169" s="10" t="s">
        <v>136</v>
      </c>
    </row>
    <row r="170" spans="1:6" s="1" customFormat="1">
      <c r="A170" s="10">
        <f>A169+1</f>
        <v>133</v>
      </c>
      <c r="B170" s="10" t="s">
        <v>1607</v>
      </c>
      <c r="C170" s="43"/>
      <c r="D170" s="44"/>
      <c r="E170" s="45">
        <f t="shared" si="9"/>
        <v>0</v>
      </c>
      <c r="F170" s="10" t="s">
        <v>1482</v>
      </c>
    </row>
    <row r="171" spans="1:6" s="1" customFormat="1">
      <c r="A171" s="10">
        <f>A170+1</f>
        <v>134</v>
      </c>
      <c r="B171" s="10" t="s">
        <v>1608</v>
      </c>
      <c r="C171" s="43"/>
      <c r="D171" s="44"/>
      <c r="E171" s="45">
        <f t="shared" si="9"/>
        <v>0</v>
      </c>
      <c r="F171" s="10" t="s">
        <v>659</v>
      </c>
    </row>
    <row r="172" spans="1:6" s="1" customFormat="1">
      <c r="A172" s="10"/>
      <c r="B172" s="10" t="s">
        <v>1608</v>
      </c>
      <c r="C172" s="43"/>
      <c r="D172" s="44"/>
      <c r="E172" s="45">
        <f t="shared" si="9"/>
        <v>0</v>
      </c>
      <c r="F172" s="10" t="s">
        <v>828</v>
      </c>
    </row>
    <row r="173" spans="1:6" s="1" customFormat="1">
      <c r="A173" s="10"/>
      <c r="B173" s="10" t="s">
        <v>1608</v>
      </c>
      <c r="C173" s="43"/>
      <c r="D173" s="44"/>
      <c r="E173" s="45">
        <f t="shared" si="9"/>
        <v>0</v>
      </c>
      <c r="F173" s="10" t="s">
        <v>1482</v>
      </c>
    </row>
    <row r="174" spans="1:6">
      <c r="A174" s="46">
        <f>A171+1</f>
        <v>135</v>
      </c>
      <c r="B174" s="46" t="s">
        <v>1609</v>
      </c>
      <c r="C174" s="47"/>
      <c r="D174" s="48"/>
      <c r="E174" s="49">
        <f t="shared" si="9"/>
        <v>0</v>
      </c>
      <c r="F174" s="46" t="s">
        <v>853</v>
      </c>
    </row>
    <row r="175" spans="1:6">
      <c r="A175" s="46">
        <f t="shared" ref="A175:A182" si="12">A174+1</f>
        <v>136</v>
      </c>
      <c r="B175" s="46" t="s">
        <v>1610</v>
      </c>
      <c r="C175" s="47"/>
      <c r="D175" s="48"/>
      <c r="E175" s="49">
        <f t="shared" si="9"/>
        <v>0</v>
      </c>
      <c r="F175" s="46" t="s">
        <v>1318</v>
      </c>
    </row>
    <row r="176" spans="1:6" s="1" customFormat="1">
      <c r="A176" s="10">
        <f t="shared" si="12"/>
        <v>137</v>
      </c>
      <c r="B176" s="10" t="s">
        <v>1611</v>
      </c>
      <c r="C176" s="43"/>
      <c r="D176" s="44"/>
      <c r="E176" s="45">
        <f t="shared" si="9"/>
        <v>0</v>
      </c>
      <c r="F176" s="10" t="s">
        <v>1612</v>
      </c>
    </row>
    <row r="177" spans="1:6">
      <c r="A177" s="46">
        <f t="shared" si="12"/>
        <v>138</v>
      </c>
      <c r="B177" s="46" t="s">
        <v>1613</v>
      </c>
      <c r="C177" s="47"/>
      <c r="D177" s="48"/>
      <c r="E177" s="49">
        <f t="shared" si="9"/>
        <v>0</v>
      </c>
      <c r="F177" s="46" t="s">
        <v>1465</v>
      </c>
    </row>
    <row r="178" spans="1:6">
      <c r="A178" s="46">
        <f t="shared" si="12"/>
        <v>139</v>
      </c>
      <c r="B178" s="46" t="s">
        <v>1614</v>
      </c>
      <c r="C178" s="47"/>
      <c r="D178" s="48"/>
      <c r="E178" s="49">
        <f t="shared" si="9"/>
        <v>0</v>
      </c>
      <c r="F178" s="46" t="s">
        <v>692</v>
      </c>
    </row>
    <row r="179" spans="1:6" s="1" customFormat="1">
      <c r="A179" s="10">
        <f t="shared" si="12"/>
        <v>140</v>
      </c>
      <c r="B179" s="10" t="s">
        <v>1615</v>
      </c>
      <c r="C179" s="43"/>
      <c r="D179" s="44">
        <v>16</v>
      </c>
      <c r="E179" s="45">
        <f t="shared" si="9"/>
        <v>0</v>
      </c>
      <c r="F179" s="10" t="s">
        <v>902</v>
      </c>
    </row>
    <row r="180" spans="1:6" s="1" customFormat="1">
      <c r="A180" s="10">
        <f t="shared" si="12"/>
        <v>141</v>
      </c>
      <c r="B180" s="10" t="s">
        <v>1616</v>
      </c>
      <c r="C180" s="43"/>
      <c r="D180" s="44"/>
      <c r="E180" s="45">
        <f t="shared" si="9"/>
        <v>0</v>
      </c>
      <c r="F180" s="10" t="s">
        <v>1496</v>
      </c>
    </row>
    <row r="181" spans="1:6">
      <c r="A181" s="46">
        <f t="shared" si="12"/>
        <v>142</v>
      </c>
      <c r="B181" s="46" t="s">
        <v>1617</v>
      </c>
      <c r="C181" s="47"/>
      <c r="D181" s="48">
        <v>16</v>
      </c>
      <c r="E181" s="49">
        <f t="shared" si="9"/>
        <v>0</v>
      </c>
      <c r="F181" s="46" t="s">
        <v>136</v>
      </c>
    </row>
    <row r="182" spans="1:6" s="1" customFormat="1">
      <c r="A182" s="10">
        <f t="shared" si="12"/>
        <v>143</v>
      </c>
      <c r="B182" s="10" t="s">
        <v>1618</v>
      </c>
      <c r="C182" s="43"/>
      <c r="D182" s="44"/>
      <c r="E182" s="45">
        <f t="shared" si="9"/>
        <v>0</v>
      </c>
      <c r="F182" s="10" t="s">
        <v>873</v>
      </c>
    </row>
    <row r="183" spans="1:6" s="1" customFormat="1">
      <c r="A183" s="10"/>
      <c r="B183" s="10" t="s">
        <v>1618</v>
      </c>
      <c r="C183" s="43"/>
      <c r="D183" s="44"/>
      <c r="E183" s="45">
        <f t="shared" si="9"/>
        <v>0</v>
      </c>
      <c r="F183" s="10" t="s">
        <v>1482</v>
      </c>
    </row>
    <row r="184" spans="1:6" s="1" customFormat="1">
      <c r="A184" s="10"/>
      <c r="B184" s="10" t="s">
        <v>1618</v>
      </c>
      <c r="C184" s="43"/>
      <c r="D184" s="44"/>
      <c r="E184" s="45">
        <f t="shared" si="9"/>
        <v>0</v>
      </c>
      <c r="F184" s="10" t="s">
        <v>1317</v>
      </c>
    </row>
    <row r="185" spans="1:6" s="1" customFormat="1">
      <c r="A185" s="10">
        <f>A182+1</f>
        <v>144</v>
      </c>
      <c r="B185" s="10" t="s">
        <v>1619</v>
      </c>
      <c r="C185" s="43"/>
      <c r="D185" s="44"/>
      <c r="E185" s="45">
        <f t="shared" si="9"/>
        <v>0</v>
      </c>
      <c r="F185" s="10" t="s">
        <v>828</v>
      </c>
    </row>
    <row r="186" spans="1:6" s="1" customFormat="1">
      <c r="A186" s="10">
        <f>A185+1</f>
        <v>145</v>
      </c>
      <c r="B186" s="10" t="s">
        <v>1620</v>
      </c>
      <c r="C186" s="43"/>
      <c r="D186" s="44"/>
      <c r="E186" s="45">
        <f t="shared" si="9"/>
        <v>0</v>
      </c>
      <c r="F186" s="10" t="s">
        <v>920</v>
      </c>
    </row>
    <row r="187" spans="1:6" s="1" customFormat="1">
      <c r="A187" s="10"/>
      <c r="B187" s="10" t="s">
        <v>1620</v>
      </c>
      <c r="C187" s="43"/>
      <c r="D187" s="44"/>
      <c r="E187" s="45">
        <f t="shared" si="9"/>
        <v>0</v>
      </c>
      <c r="F187" s="10" t="s">
        <v>1314</v>
      </c>
    </row>
    <row r="188" spans="1:6">
      <c r="A188" s="46">
        <f>A186+1</f>
        <v>146</v>
      </c>
      <c r="B188" s="46" t="s">
        <v>1621</v>
      </c>
      <c r="C188" s="47"/>
      <c r="D188" s="48">
        <v>16</v>
      </c>
      <c r="E188" s="49">
        <f t="shared" si="9"/>
        <v>0</v>
      </c>
      <c r="F188" s="46" t="s">
        <v>136</v>
      </c>
    </row>
    <row r="189" spans="1:6">
      <c r="A189" s="46">
        <f t="shared" ref="A189:A197" si="13">A188+1</f>
        <v>147</v>
      </c>
      <c r="B189" s="46" t="s">
        <v>1622</v>
      </c>
      <c r="C189" s="47"/>
      <c r="D189" s="48">
        <v>16</v>
      </c>
      <c r="E189" s="49">
        <f t="shared" si="9"/>
        <v>0</v>
      </c>
      <c r="F189" s="46" t="s">
        <v>136</v>
      </c>
    </row>
    <row r="190" spans="1:6">
      <c r="A190" s="46">
        <f t="shared" si="13"/>
        <v>148</v>
      </c>
      <c r="B190" s="46" t="s">
        <v>1623</v>
      </c>
      <c r="C190" s="47"/>
      <c r="D190" s="48">
        <v>16</v>
      </c>
      <c r="E190" s="49">
        <f t="shared" si="9"/>
        <v>0</v>
      </c>
      <c r="F190" s="46" t="s">
        <v>136</v>
      </c>
    </row>
    <row r="191" spans="1:6" s="1" customFormat="1">
      <c r="A191" s="10">
        <f t="shared" si="13"/>
        <v>149</v>
      </c>
      <c r="B191" s="10" t="s">
        <v>1624</v>
      </c>
      <c r="C191" s="43"/>
      <c r="D191" s="44"/>
      <c r="E191" s="45">
        <f t="shared" si="9"/>
        <v>0</v>
      </c>
      <c r="F191" s="10" t="s">
        <v>1465</v>
      </c>
    </row>
    <row r="192" spans="1:6" s="1" customFormat="1">
      <c r="A192" s="10">
        <f t="shared" si="13"/>
        <v>150</v>
      </c>
      <c r="B192" s="10" t="s">
        <v>1625</v>
      </c>
      <c r="C192" s="43"/>
      <c r="D192" s="44"/>
      <c r="E192" s="45">
        <f t="shared" si="9"/>
        <v>0</v>
      </c>
      <c r="F192" s="10" t="s">
        <v>1515</v>
      </c>
    </row>
    <row r="193" spans="1:6" s="1" customFormat="1">
      <c r="A193" s="10">
        <f t="shared" si="13"/>
        <v>151</v>
      </c>
      <c r="B193" s="10" t="s">
        <v>1626</v>
      </c>
      <c r="C193" s="43"/>
      <c r="D193" s="44">
        <v>16</v>
      </c>
      <c r="E193" s="45">
        <f t="shared" si="9"/>
        <v>0</v>
      </c>
      <c r="F193" s="10" t="s">
        <v>902</v>
      </c>
    </row>
    <row r="194" spans="1:6">
      <c r="A194" s="46">
        <f t="shared" si="13"/>
        <v>152</v>
      </c>
      <c r="B194" s="46" t="s">
        <v>1627</v>
      </c>
      <c r="C194" s="47"/>
      <c r="D194" s="48"/>
      <c r="E194" s="49">
        <f t="shared" ref="E194:E231" si="14">C194*D194</f>
        <v>0</v>
      </c>
      <c r="F194" s="46" t="s">
        <v>996</v>
      </c>
    </row>
    <row r="195" spans="1:6">
      <c r="A195" s="46">
        <f t="shared" si="13"/>
        <v>153</v>
      </c>
      <c r="B195" s="46" t="s">
        <v>1628</v>
      </c>
      <c r="C195" s="47"/>
      <c r="D195" s="48"/>
      <c r="E195" s="49">
        <f t="shared" si="14"/>
        <v>0</v>
      </c>
      <c r="F195" s="46" t="s">
        <v>1315</v>
      </c>
    </row>
    <row r="196" spans="1:6" s="1" customFormat="1">
      <c r="A196" s="10">
        <f t="shared" si="13"/>
        <v>154</v>
      </c>
      <c r="B196" s="10" t="s">
        <v>1629</v>
      </c>
      <c r="C196" s="43"/>
      <c r="D196" s="44"/>
      <c r="E196" s="45">
        <f t="shared" si="14"/>
        <v>0</v>
      </c>
      <c r="F196" s="10" t="s">
        <v>1480</v>
      </c>
    </row>
    <row r="197" spans="1:6" s="1" customFormat="1">
      <c r="A197" s="10">
        <f t="shared" si="13"/>
        <v>155</v>
      </c>
      <c r="B197" s="10" t="s">
        <v>1630</v>
      </c>
      <c r="C197" s="43"/>
      <c r="D197" s="44"/>
      <c r="E197" s="45">
        <f t="shared" si="14"/>
        <v>0</v>
      </c>
      <c r="F197" s="10" t="s">
        <v>1314</v>
      </c>
    </row>
    <row r="198" spans="1:6" s="1" customFormat="1">
      <c r="A198" s="10"/>
      <c r="B198" s="10" t="s">
        <v>1630</v>
      </c>
      <c r="C198" s="43"/>
      <c r="D198" s="44"/>
      <c r="E198" s="45">
        <f t="shared" si="14"/>
        <v>0</v>
      </c>
      <c r="F198" s="10" t="s">
        <v>1315</v>
      </c>
    </row>
    <row r="199" spans="1:6" s="1" customFormat="1">
      <c r="A199" s="10">
        <f>A197+1</f>
        <v>156</v>
      </c>
      <c r="B199" s="10" t="s">
        <v>1631</v>
      </c>
      <c r="C199" s="43"/>
      <c r="D199" s="44"/>
      <c r="E199" s="45">
        <f t="shared" si="14"/>
        <v>0</v>
      </c>
      <c r="F199" s="10" t="s">
        <v>1314</v>
      </c>
    </row>
    <row r="200" spans="1:6" s="1" customFormat="1">
      <c r="A200" s="10"/>
      <c r="B200" s="10" t="s">
        <v>1631</v>
      </c>
      <c r="C200" s="43"/>
      <c r="D200" s="44"/>
      <c r="E200" s="45">
        <f t="shared" si="14"/>
        <v>0</v>
      </c>
      <c r="F200" s="10" t="s">
        <v>1315</v>
      </c>
    </row>
    <row r="201" spans="1:6" s="1" customFormat="1">
      <c r="A201" s="10"/>
      <c r="B201" s="10" t="s">
        <v>1631</v>
      </c>
      <c r="C201" s="43"/>
      <c r="D201" s="44"/>
      <c r="E201" s="45">
        <f t="shared" si="14"/>
        <v>0</v>
      </c>
      <c r="F201" s="10" t="s">
        <v>1318</v>
      </c>
    </row>
    <row r="202" spans="1:6" s="1" customFormat="1">
      <c r="A202" s="10">
        <f>A199+1</f>
        <v>157</v>
      </c>
      <c r="B202" s="10" t="s">
        <v>1632</v>
      </c>
      <c r="C202" s="43"/>
      <c r="D202" s="44"/>
      <c r="E202" s="45">
        <f t="shared" si="14"/>
        <v>0</v>
      </c>
      <c r="F202" s="10" t="s">
        <v>656</v>
      </c>
    </row>
    <row r="203" spans="1:6" s="1" customFormat="1">
      <c r="A203" s="10"/>
      <c r="B203" s="10" t="s">
        <v>1632</v>
      </c>
      <c r="C203" s="43"/>
      <c r="D203" s="44"/>
      <c r="E203" s="45">
        <f t="shared" si="14"/>
        <v>0</v>
      </c>
      <c r="F203" s="10" t="s">
        <v>922</v>
      </c>
    </row>
    <row r="204" spans="1:6" s="1" customFormat="1">
      <c r="A204" s="10">
        <f>A202+1</f>
        <v>158</v>
      </c>
      <c r="B204" s="10" t="s">
        <v>1633</v>
      </c>
      <c r="C204" s="43"/>
      <c r="D204" s="44"/>
      <c r="E204" s="45">
        <f t="shared" si="14"/>
        <v>0</v>
      </c>
      <c r="F204" s="10" t="s">
        <v>922</v>
      </c>
    </row>
    <row r="205" spans="1:6" s="1" customFormat="1">
      <c r="A205" s="10"/>
      <c r="B205" s="10" t="s">
        <v>1633</v>
      </c>
      <c r="C205" s="43"/>
      <c r="D205" s="44"/>
      <c r="E205" s="45">
        <f t="shared" si="14"/>
        <v>0</v>
      </c>
      <c r="F205" s="10" t="s">
        <v>920</v>
      </c>
    </row>
    <row r="206" spans="1:6">
      <c r="A206" s="46">
        <f>A204+1</f>
        <v>159</v>
      </c>
      <c r="B206" s="46" t="s">
        <v>1634</v>
      </c>
      <c r="C206" s="47"/>
      <c r="D206" s="48"/>
      <c r="E206" s="49">
        <f t="shared" si="14"/>
        <v>0</v>
      </c>
      <c r="F206" s="46" t="s">
        <v>1318</v>
      </c>
    </row>
    <row r="207" spans="1:6" s="1" customFormat="1">
      <c r="A207" s="10">
        <f>A206+1</f>
        <v>160</v>
      </c>
      <c r="B207" s="10" t="s">
        <v>1635</v>
      </c>
      <c r="C207" s="43"/>
      <c r="D207" s="44"/>
      <c r="E207" s="45">
        <f t="shared" si="14"/>
        <v>0</v>
      </c>
      <c r="F207" s="10" t="s">
        <v>920</v>
      </c>
    </row>
    <row r="208" spans="1:6" s="1" customFormat="1">
      <c r="A208" s="10"/>
      <c r="B208" s="10" t="s">
        <v>1635</v>
      </c>
      <c r="C208" s="43"/>
      <c r="D208" s="44"/>
      <c r="E208" s="45">
        <f t="shared" si="14"/>
        <v>0</v>
      </c>
      <c r="F208" s="10" t="s">
        <v>1318</v>
      </c>
    </row>
    <row r="209" spans="1:6" s="1" customFormat="1">
      <c r="A209" s="10">
        <f>A207+1</f>
        <v>161</v>
      </c>
      <c r="B209" s="10" t="s">
        <v>1636</v>
      </c>
      <c r="C209" s="43"/>
      <c r="D209" s="44"/>
      <c r="E209" s="45">
        <f t="shared" si="14"/>
        <v>0</v>
      </c>
      <c r="F209" s="10" t="s">
        <v>920</v>
      </c>
    </row>
    <row r="210" spans="1:6" s="1" customFormat="1">
      <c r="A210" s="10">
        <f>A209+1</f>
        <v>162</v>
      </c>
      <c r="B210" s="10" t="s">
        <v>1637</v>
      </c>
      <c r="C210" s="43"/>
      <c r="D210" s="44">
        <v>16</v>
      </c>
      <c r="E210" s="45">
        <f t="shared" si="14"/>
        <v>0</v>
      </c>
      <c r="F210" s="10" t="s">
        <v>136</v>
      </c>
    </row>
    <row r="211" spans="1:6">
      <c r="A211" s="46">
        <f>A210+1</f>
        <v>163</v>
      </c>
      <c r="B211" s="46" t="s">
        <v>1638</v>
      </c>
      <c r="C211" s="47"/>
      <c r="D211" s="48"/>
      <c r="E211" s="49">
        <f t="shared" si="14"/>
        <v>0</v>
      </c>
      <c r="F211" s="46" t="s">
        <v>671</v>
      </c>
    </row>
    <row r="212" spans="1:6">
      <c r="A212" s="46">
        <f>A211+1</f>
        <v>164</v>
      </c>
      <c r="B212" s="46" t="s">
        <v>1639</v>
      </c>
      <c r="C212" s="47"/>
      <c r="D212" s="48"/>
      <c r="E212" s="49">
        <f t="shared" si="14"/>
        <v>0</v>
      </c>
      <c r="F212" s="46" t="s">
        <v>667</v>
      </c>
    </row>
    <row r="213" spans="1:6" s="1" customFormat="1">
      <c r="A213" s="10">
        <f>A212+1</f>
        <v>165</v>
      </c>
      <c r="B213" s="10" t="s">
        <v>1640</v>
      </c>
      <c r="C213" s="43"/>
      <c r="D213" s="44"/>
      <c r="E213" s="45">
        <f t="shared" si="14"/>
        <v>0</v>
      </c>
      <c r="F213" s="10" t="s">
        <v>656</v>
      </c>
    </row>
    <row r="214" spans="1:6" s="1" customFormat="1">
      <c r="A214" s="10">
        <f>A213+1</f>
        <v>166</v>
      </c>
      <c r="B214" s="13" t="s">
        <v>1641</v>
      </c>
      <c r="C214" s="43"/>
      <c r="D214" s="44"/>
      <c r="E214" s="45">
        <f t="shared" si="14"/>
        <v>0</v>
      </c>
      <c r="F214" s="10" t="s">
        <v>1496</v>
      </c>
    </row>
    <row r="215" spans="1:6" s="1" customFormat="1">
      <c r="A215" s="10"/>
      <c r="B215" s="13" t="s">
        <v>1641</v>
      </c>
      <c r="C215" s="43"/>
      <c r="D215" s="44"/>
      <c r="E215" s="45">
        <f t="shared" si="14"/>
        <v>0</v>
      </c>
      <c r="F215" s="10" t="s">
        <v>920</v>
      </c>
    </row>
    <row r="216" spans="1:6" s="1" customFormat="1">
      <c r="A216" s="10">
        <f>A214+1</f>
        <v>167</v>
      </c>
      <c r="B216" s="10" t="s">
        <v>1642</v>
      </c>
      <c r="C216" s="43"/>
      <c r="D216" s="44"/>
      <c r="E216" s="45">
        <f t="shared" si="14"/>
        <v>0</v>
      </c>
      <c r="F216" s="10" t="s">
        <v>996</v>
      </c>
    </row>
    <row r="217" spans="1:6" s="1" customFormat="1">
      <c r="A217" s="10">
        <f>A216+1</f>
        <v>168</v>
      </c>
      <c r="B217" s="10" t="s">
        <v>1643</v>
      </c>
      <c r="C217" s="43"/>
      <c r="D217" s="44">
        <v>16</v>
      </c>
      <c r="E217" s="45">
        <f t="shared" si="14"/>
        <v>0</v>
      </c>
      <c r="F217" s="10" t="s">
        <v>902</v>
      </c>
    </row>
    <row r="218" spans="1:6" s="1" customFormat="1">
      <c r="A218" s="10">
        <f>A217+1</f>
        <v>169</v>
      </c>
      <c r="B218" s="10" t="s">
        <v>1644</v>
      </c>
      <c r="C218" s="43"/>
      <c r="D218" s="44"/>
      <c r="E218" s="45">
        <f t="shared" si="14"/>
        <v>0</v>
      </c>
      <c r="F218" s="10" t="s">
        <v>1312</v>
      </c>
    </row>
    <row r="219" spans="1:6" s="1" customFormat="1">
      <c r="A219" s="10"/>
      <c r="B219" s="10" t="s">
        <v>1644</v>
      </c>
      <c r="C219" s="43"/>
      <c r="D219" s="44"/>
      <c r="E219" s="45">
        <f t="shared" si="14"/>
        <v>0</v>
      </c>
      <c r="F219" s="10" t="s">
        <v>1318</v>
      </c>
    </row>
    <row r="220" spans="1:6">
      <c r="A220" s="46">
        <f>A218+1</f>
        <v>170</v>
      </c>
      <c r="B220" s="46" t="s">
        <v>1645</v>
      </c>
      <c r="C220" s="47"/>
      <c r="D220" s="48">
        <v>16</v>
      </c>
      <c r="E220" s="49">
        <f t="shared" si="14"/>
        <v>0</v>
      </c>
      <c r="F220" s="46" t="s">
        <v>136</v>
      </c>
    </row>
    <row r="221" spans="1:6" s="1" customFormat="1">
      <c r="A221" s="10">
        <f>A220+1</f>
        <v>171</v>
      </c>
      <c r="B221" s="10" t="s">
        <v>1646</v>
      </c>
      <c r="C221" s="43"/>
      <c r="D221" s="44"/>
      <c r="E221" s="45">
        <f t="shared" si="14"/>
        <v>0</v>
      </c>
      <c r="F221" s="10" t="s">
        <v>1318</v>
      </c>
    </row>
    <row r="222" spans="1:6" s="1" customFormat="1">
      <c r="A222" s="10">
        <f>A221+1</f>
        <v>172</v>
      </c>
      <c r="B222" s="10" t="s">
        <v>1647</v>
      </c>
      <c r="C222" s="43"/>
      <c r="D222" s="44"/>
      <c r="E222" s="45">
        <f t="shared" si="14"/>
        <v>0</v>
      </c>
      <c r="F222" s="10" t="s">
        <v>1648</v>
      </c>
    </row>
    <row r="223" spans="1:6" s="1" customFormat="1">
      <c r="A223" s="10">
        <f>A222+1</f>
        <v>173</v>
      </c>
      <c r="B223" s="10" t="s">
        <v>1649</v>
      </c>
      <c r="C223" s="43"/>
      <c r="D223" s="44"/>
      <c r="E223" s="45">
        <f t="shared" si="14"/>
        <v>0</v>
      </c>
      <c r="F223" s="10" t="s">
        <v>922</v>
      </c>
    </row>
    <row r="224" spans="1:6" s="1" customFormat="1">
      <c r="A224" s="10">
        <f>A223+1</f>
        <v>174</v>
      </c>
      <c r="B224" s="10" t="s">
        <v>1650</v>
      </c>
      <c r="C224" s="43"/>
      <c r="D224" s="44"/>
      <c r="E224" s="45">
        <f t="shared" si="14"/>
        <v>0</v>
      </c>
      <c r="F224" s="10" t="s">
        <v>828</v>
      </c>
    </row>
    <row r="225" spans="1:6" s="1" customFormat="1">
      <c r="A225" s="10"/>
      <c r="B225" s="10" t="s">
        <v>1650</v>
      </c>
      <c r="C225" s="43"/>
      <c r="D225" s="44"/>
      <c r="E225" s="45">
        <f t="shared" si="14"/>
        <v>0</v>
      </c>
      <c r="F225" s="10" t="s">
        <v>1318</v>
      </c>
    </row>
    <row r="226" spans="1:6" s="1" customFormat="1">
      <c r="A226" s="10">
        <f>A224+1</f>
        <v>175</v>
      </c>
      <c r="B226" s="10" t="s">
        <v>1651</v>
      </c>
      <c r="C226" s="43"/>
      <c r="D226" s="44"/>
      <c r="E226" s="45">
        <f t="shared" si="14"/>
        <v>0</v>
      </c>
      <c r="F226" s="10" t="s">
        <v>920</v>
      </c>
    </row>
    <row r="227" spans="1:6" s="1" customFormat="1">
      <c r="A227" s="10">
        <f>A226+1</f>
        <v>176</v>
      </c>
      <c r="B227" s="10" t="s">
        <v>1652</v>
      </c>
      <c r="C227" s="43"/>
      <c r="D227" s="44"/>
      <c r="E227" s="45">
        <f t="shared" si="14"/>
        <v>0</v>
      </c>
      <c r="F227" s="10" t="s">
        <v>1314</v>
      </c>
    </row>
    <row r="228" spans="1:6" s="1" customFormat="1">
      <c r="A228" s="10"/>
      <c r="B228" s="10" t="s">
        <v>1652</v>
      </c>
      <c r="C228" s="43"/>
      <c r="D228" s="44"/>
      <c r="E228" s="45">
        <f t="shared" si="14"/>
        <v>0</v>
      </c>
      <c r="F228" s="10" t="s">
        <v>1318</v>
      </c>
    </row>
    <row r="229" spans="1:6">
      <c r="A229" s="46">
        <f>A227+1</f>
        <v>177</v>
      </c>
      <c r="B229" s="46" t="s">
        <v>1653</v>
      </c>
      <c r="C229" s="47"/>
      <c r="D229" s="48">
        <v>16</v>
      </c>
      <c r="E229" s="49">
        <f t="shared" si="14"/>
        <v>0</v>
      </c>
      <c r="F229" s="46" t="s">
        <v>136</v>
      </c>
    </row>
    <row r="230" spans="1:6" s="1" customFormat="1">
      <c r="A230" s="10">
        <f>A229+1</f>
        <v>178</v>
      </c>
      <c r="B230" s="10" t="s">
        <v>1654</v>
      </c>
      <c r="C230" s="43"/>
      <c r="D230" s="44"/>
      <c r="E230" s="45">
        <f t="shared" si="14"/>
        <v>0</v>
      </c>
      <c r="F230" s="10" t="s">
        <v>1515</v>
      </c>
    </row>
    <row r="231" spans="1:6" s="1" customFormat="1">
      <c r="A231" s="10"/>
      <c r="B231" s="10" t="s">
        <v>1654</v>
      </c>
      <c r="C231" s="43"/>
      <c r="D231" s="44">
        <v>16</v>
      </c>
      <c r="E231" s="45">
        <f t="shared" si="14"/>
        <v>0</v>
      </c>
      <c r="F231" s="10" t="s">
        <v>136</v>
      </c>
    </row>
  </sheetData>
  <autoFilter ref="A1:F231" xr:uid="{00000000-0009-0000-0000-00000C000000}"/>
  <sortState xmlns:xlrd2="http://schemas.microsoft.com/office/spreadsheetml/2017/richdata2" ref="B2:C231">
    <sortCondition ref="B2:B231"/>
  </sortState>
  <conditionalFormatting sqref="B2:B231">
    <cfRule type="duplicateValues" dxfId="4" priority="111"/>
  </conditionalFormatting>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dimension ref="A1:E169"/>
  <sheetViews>
    <sheetView topLeftCell="A113" workbookViewId="0">
      <selection activeCell="C75" sqref="C75"/>
    </sheetView>
  </sheetViews>
  <sheetFormatPr defaultColWidth="9" defaultRowHeight="15"/>
  <cols>
    <col min="1" max="1" width="41.5703125" customWidth="1"/>
    <col min="2" max="2" width="16.85546875" customWidth="1"/>
    <col min="4" max="4" width="13.28515625" customWidth="1"/>
    <col min="5" max="5" width="13.42578125" customWidth="1"/>
  </cols>
  <sheetData>
    <row r="1" spans="1:5">
      <c r="A1" s="28" t="s">
        <v>1655</v>
      </c>
      <c r="B1" s="28" t="s">
        <v>1656</v>
      </c>
      <c r="D1" s="29" t="s">
        <v>1657</v>
      </c>
      <c r="E1" s="30" t="s">
        <v>1658</v>
      </c>
    </row>
    <row r="2" spans="1:5">
      <c r="A2" s="31" t="s">
        <v>1659</v>
      </c>
      <c r="B2" t="s">
        <v>794</v>
      </c>
    </row>
    <row r="3" spans="1:5">
      <c r="A3" s="31" t="s">
        <v>1660</v>
      </c>
    </row>
    <row r="4" spans="1:5">
      <c r="A4" s="31" t="s">
        <v>1321</v>
      </c>
      <c r="B4" t="s">
        <v>794</v>
      </c>
    </row>
    <row r="5" spans="1:5">
      <c r="A5" s="31" t="s">
        <v>484</v>
      </c>
    </row>
    <row r="6" spans="1:5">
      <c r="A6" s="32" t="s">
        <v>1661</v>
      </c>
    </row>
    <row r="7" spans="1:5">
      <c r="A7" s="31" t="s">
        <v>1662</v>
      </c>
    </row>
    <row r="8" spans="1:5">
      <c r="A8" s="32" t="s">
        <v>1663</v>
      </c>
    </row>
    <row r="9" spans="1:5">
      <c r="A9" s="33" t="s">
        <v>1664</v>
      </c>
      <c r="B9" t="s">
        <v>1665</v>
      </c>
    </row>
    <row r="10" spans="1:5">
      <c r="A10" s="31" t="s">
        <v>1666</v>
      </c>
    </row>
    <row r="11" spans="1:5">
      <c r="A11" s="31" t="s">
        <v>441</v>
      </c>
    </row>
    <row r="12" spans="1:5">
      <c r="A12" s="31" t="s">
        <v>1667</v>
      </c>
    </row>
    <row r="13" spans="1:5">
      <c r="A13" t="s">
        <v>1668</v>
      </c>
    </row>
    <row r="14" spans="1:5">
      <c r="A14" t="s">
        <v>1669</v>
      </c>
    </row>
    <row r="15" spans="1:5">
      <c r="A15" s="31" t="s">
        <v>1670</v>
      </c>
    </row>
    <row r="16" spans="1:5">
      <c r="A16" s="31" t="s">
        <v>1671</v>
      </c>
    </row>
    <row r="17" spans="1:2">
      <c r="A17" s="32" t="s">
        <v>1672</v>
      </c>
    </row>
    <row r="18" spans="1:2">
      <c r="A18" s="31" t="s">
        <v>1673</v>
      </c>
    </row>
    <row r="19" spans="1:2">
      <c r="A19" s="31" t="s">
        <v>1674</v>
      </c>
    </row>
    <row r="20" spans="1:2">
      <c r="A20" s="31" t="s">
        <v>1675</v>
      </c>
    </row>
    <row r="21" spans="1:2">
      <c r="A21" s="29" t="s">
        <v>1676</v>
      </c>
      <c r="B21" t="s">
        <v>794</v>
      </c>
    </row>
    <row r="22" spans="1:2">
      <c r="A22" s="32" t="s">
        <v>1677</v>
      </c>
    </row>
    <row r="23" spans="1:2">
      <c r="A23" s="31" t="s">
        <v>1678</v>
      </c>
    </row>
    <row r="24" spans="1:2">
      <c r="A24" s="30" t="s">
        <v>1679</v>
      </c>
    </row>
    <row r="25" spans="1:2">
      <c r="A25" s="34" t="s">
        <v>1680</v>
      </c>
      <c r="B25" t="s">
        <v>794</v>
      </c>
    </row>
    <row r="26" spans="1:2">
      <c r="A26" s="30" t="s">
        <v>1681</v>
      </c>
    </row>
    <row r="27" spans="1:2">
      <c r="A27" s="32" t="s">
        <v>619</v>
      </c>
    </row>
    <row r="28" spans="1:2">
      <c r="A28" s="30" t="s">
        <v>1682</v>
      </c>
    </row>
    <row r="29" spans="1:2">
      <c r="A29" s="31" t="s">
        <v>1683</v>
      </c>
    </row>
    <row r="30" spans="1:2">
      <c r="A30" s="30" t="s">
        <v>1684</v>
      </c>
    </row>
    <row r="31" spans="1:2">
      <c r="A31" s="35" t="s">
        <v>1685</v>
      </c>
    </row>
    <row r="32" spans="1:2">
      <c r="A32" s="31" t="s">
        <v>1686</v>
      </c>
    </row>
    <row r="33" spans="1:2">
      <c r="A33" s="31" t="s">
        <v>1687</v>
      </c>
    </row>
    <row r="34" spans="1:2">
      <c r="A34" s="30" t="s">
        <v>1688</v>
      </c>
    </row>
    <row r="35" spans="1:2">
      <c r="A35" s="31" t="s">
        <v>1689</v>
      </c>
    </row>
    <row r="36" spans="1:2">
      <c r="A36" s="31" t="s">
        <v>1690</v>
      </c>
    </row>
    <row r="37" spans="1:2">
      <c r="A37" s="31" t="s">
        <v>1691</v>
      </c>
    </row>
    <row r="38" spans="1:2">
      <c r="A38" s="33" t="s">
        <v>1367</v>
      </c>
    </row>
    <row r="39" spans="1:2">
      <c r="A39" s="30" t="s">
        <v>1692</v>
      </c>
    </row>
    <row r="40" spans="1:2">
      <c r="A40" s="30" t="s">
        <v>1693</v>
      </c>
    </row>
    <row r="41" spans="1:2">
      <c r="A41" s="31" t="s">
        <v>61</v>
      </c>
    </row>
    <row r="42" spans="1:2">
      <c r="A42" s="36" t="s">
        <v>1694</v>
      </c>
      <c r="B42" t="s">
        <v>1695</v>
      </c>
    </row>
    <row r="43" spans="1:2">
      <c r="A43" s="31" t="s">
        <v>1696</v>
      </c>
    </row>
    <row r="44" spans="1:2">
      <c r="A44" s="30" t="s">
        <v>1697</v>
      </c>
    </row>
    <row r="45" spans="1:2">
      <c r="A45" s="31" t="s">
        <v>1698</v>
      </c>
    </row>
    <row r="46" spans="1:2">
      <c r="A46" s="32" t="s">
        <v>1699</v>
      </c>
    </row>
    <row r="47" spans="1:2">
      <c r="A47" s="31" t="s">
        <v>467</v>
      </c>
    </row>
    <row r="48" spans="1:2">
      <c r="A48" s="29" t="s">
        <v>1700</v>
      </c>
      <c r="B48" t="s">
        <v>794</v>
      </c>
    </row>
    <row r="49" spans="1:1">
      <c r="A49" s="31" t="s">
        <v>1701</v>
      </c>
    </row>
    <row r="50" spans="1:1">
      <c r="A50" s="32" t="s">
        <v>1702</v>
      </c>
    </row>
    <row r="51" spans="1:1">
      <c r="A51" s="31" t="s">
        <v>222</v>
      </c>
    </row>
    <row r="52" spans="1:1">
      <c r="A52" s="30" t="s">
        <v>603</v>
      </c>
    </row>
    <row r="53" spans="1:1">
      <c r="A53" s="30" t="s">
        <v>1703</v>
      </c>
    </row>
    <row r="54" spans="1:1">
      <c r="A54" s="31" t="s">
        <v>1704</v>
      </c>
    </row>
    <row r="55" spans="1:1">
      <c r="A55" s="31" t="s">
        <v>1705</v>
      </c>
    </row>
    <row r="56" spans="1:1">
      <c r="A56" t="s">
        <v>1706</v>
      </c>
    </row>
    <row r="57" spans="1:1">
      <c r="A57" s="31" t="s">
        <v>1707</v>
      </c>
    </row>
    <row r="58" spans="1:1">
      <c r="A58" s="30" t="s">
        <v>1708</v>
      </c>
    </row>
    <row r="59" spans="1:1">
      <c r="A59" s="31" t="s">
        <v>1709</v>
      </c>
    </row>
    <row r="60" spans="1:1">
      <c r="A60" s="32" t="s">
        <v>1710</v>
      </c>
    </row>
    <row r="61" spans="1:1">
      <c r="A61" t="s">
        <v>1711</v>
      </c>
    </row>
    <row r="62" spans="1:1">
      <c r="A62" s="31" t="s">
        <v>1712</v>
      </c>
    </row>
    <row r="63" spans="1:1">
      <c r="A63" s="30" t="s">
        <v>958</v>
      </c>
    </row>
    <row r="64" spans="1:1">
      <c r="A64" s="30" t="s">
        <v>709</v>
      </c>
    </row>
    <row r="65" spans="1:2">
      <c r="A65" s="30" t="s">
        <v>1713</v>
      </c>
    </row>
    <row r="66" spans="1:2">
      <c r="A66" s="32" t="s">
        <v>1714</v>
      </c>
    </row>
    <row r="67" spans="1:2">
      <c r="A67" s="31" t="s">
        <v>1715</v>
      </c>
    </row>
    <row r="68" spans="1:2">
      <c r="A68" s="31" t="s">
        <v>1398</v>
      </c>
    </row>
    <row r="69" spans="1:2">
      <c r="A69" s="31" t="s">
        <v>1716</v>
      </c>
    </row>
    <row r="70" spans="1:2">
      <c r="A70" t="s">
        <v>1717</v>
      </c>
    </row>
    <row r="71" spans="1:2">
      <c r="A71" s="29" t="s">
        <v>1718</v>
      </c>
      <c r="B71" t="s">
        <v>794</v>
      </c>
    </row>
    <row r="72" spans="1:2">
      <c r="A72" s="31" t="s">
        <v>1719</v>
      </c>
    </row>
    <row r="73" spans="1:2">
      <c r="A73" s="30" t="s">
        <v>1720</v>
      </c>
    </row>
    <row r="74" spans="1:2">
      <c r="A74" s="30" t="s">
        <v>1721</v>
      </c>
    </row>
    <row r="75" spans="1:2">
      <c r="A75" s="30" t="s">
        <v>1722</v>
      </c>
    </row>
    <row r="76" spans="1:2">
      <c r="A76" s="31" t="s">
        <v>1723</v>
      </c>
    </row>
    <row r="77" spans="1:2">
      <c r="A77" s="31" t="s">
        <v>1724</v>
      </c>
    </row>
    <row r="78" spans="1:2">
      <c r="A78" s="30" t="s">
        <v>1725</v>
      </c>
    </row>
    <row r="79" spans="1:2">
      <c r="A79" s="35" t="s">
        <v>1726</v>
      </c>
    </row>
    <row r="80" spans="1:2">
      <c r="A80" s="30" t="s">
        <v>1727</v>
      </c>
    </row>
    <row r="81" spans="1:1">
      <c r="A81" s="31" t="s">
        <v>1728</v>
      </c>
    </row>
    <row r="82" spans="1:1">
      <c r="A82" s="32" t="s">
        <v>1729</v>
      </c>
    </row>
    <row r="83" spans="1:1">
      <c r="A83" s="31" t="s">
        <v>1730</v>
      </c>
    </row>
    <row r="84" spans="1:1">
      <c r="A84" s="32" t="s">
        <v>1731</v>
      </c>
    </row>
    <row r="85" spans="1:1">
      <c r="A85" t="s">
        <v>1732</v>
      </c>
    </row>
    <row r="86" spans="1:1">
      <c r="A86" s="31" t="s">
        <v>1733</v>
      </c>
    </row>
    <row r="87" spans="1:1">
      <c r="A87" s="32" t="s">
        <v>1734</v>
      </c>
    </row>
    <row r="88" spans="1:1">
      <c r="A88" s="31" t="s">
        <v>1413</v>
      </c>
    </row>
    <row r="89" spans="1:1">
      <c r="A89" s="31" t="s">
        <v>1414</v>
      </c>
    </row>
    <row r="90" spans="1:1">
      <c r="A90" s="32" t="s">
        <v>1735</v>
      </c>
    </row>
    <row r="91" spans="1:1">
      <c r="A91" s="31" t="s">
        <v>1736</v>
      </c>
    </row>
    <row r="92" spans="1:1">
      <c r="A92" s="30" t="s">
        <v>1737</v>
      </c>
    </row>
    <row r="93" spans="1:1">
      <c r="A93" s="31" t="s">
        <v>1738</v>
      </c>
    </row>
    <row r="94" spans="1:1">
      <c r="A94" s="30" t="s">
        <v>1739</v>
      </c>
    </row>
    <row r="95" spans="1:1">
      <c r="A95" s="31" t="s">
        <v>1740</v>
      </c>
    </row>
    <row r="96" spans="1:1">
      <c r="A96" s="31" t="s">
        <v>1741</v>
      </c>
    </row>
    <row r="97" spans="1:1">
      <c r="A97" s="31" t="s">
        <v>1420</v>
      </c>
    </row>
    <row r="98" spans="1:1">
      <c r="A98" s="33" t="s">
        <v>1742</v>
      </c>
    </row>
    <row r="99" spans="1:1">
      <c r="A99" t="s">
        <v>1743</v>
      </c>
    </row>
    <row r="100" spans="1:1">
      <c r="A100" s="31" t="s">
        <v>1744</v>
      </c>
    </row>
    <row r="101" spans="1:1">
      <c r="A101" s="30" t="s">
        <v>1745</v>
      </c>
    </row>
    <row r="102" spans="1:1">
      <c r="A102" s="30" t="s">
        <v>1746</v>
      </c>
    </row>
    <row r="103" spans="1:1">
      <c r="A103" s="34" t="s">
        <v>1747</v>
      </c>
    </row>
    <row r="104" spans="1:1">
      <c r="A104" s="31" t="s">
        <v>1748</v>
      </c>
    </row>
    <row r="105" spans="1:1">
      <c r="A105" s="31" t="s">
        <v>1749</v>
      </c>
    </row>
    <row r="106" spans="1:1">
      <c r="A106" s="32" t="s">
        <v>1750</v>
      </c>
    </row>
    <row r="107" spans="1:1">
      <c r="A107" s="31" t="s">
        <v>1751</v>
      </c>
    </row>
    <row r="108" spans="1:1">
      <c r="A108" s="30" t="s">
        <v>1752</v>
      </c>
    </row>
    <row r="109" spans="1:1">
      <c r="A109" s="31" t="s">
        <v>1753</v>
      </c>
    </row>
    <row r="110" spans="1:1">
      <c r="A110" s="32" t="s">
        <v>1754</v>
      </c>
    </row>
    <row r="111" spans="1:1">
      <c r="A111" s="31" t="s">
        <v>1755</v>
      </c>
    </row>
    <row r="112" spans="1:1">
      <c r="A112" s="31" t="s">
        <v>1756</v>
      </c>
    </row>
    <row r="113" spans="1:2">
      <c r="A113" s="36" t="s">
        <v>1337</v>
      </c>
      <c r="B113" t="s">
        <v>1695</v>
      </c>
    </row>
    <row r="114" spans="1:2">
      <c r="A114" s="31" t="s">
        <v>1757</v>
      </c>
    </row>
    <row r="115" spans="1:2">
      <c r="A115" s="30" t="s">
        <v>1758</v>
      </c>
    </row>
    <row r="116" spans="1:2">
      <c r="A116" s="31" t="s">
        <v>1759</v>
      </c>
    </row>
    <row r="117" spans="1:2">
      <c r="A117" s="30" t="s">
        <v>1760</v>
      </c>
    </row>
    <row r="118" spans="1:2">
      <c r="A118" s="30" t="s">
        <v>1761</v>
      </c>
    </row>
    <row r="119" spans="1:2">
      <c r="A119" s="31" t="s">
        <v>1762</v>
      </c>
    </row>
    <row r="120" spans="1:2">
      <c r="A120" s="31" t="s">
        <v>1763</v>
      </c>
    </row>
    <row r="121" spans="1:2">
      <c r="A121" s="31" t="s">
        <v>1764</v>
      </c>
    </row>
    <row r="122" spans="1:2">
      <c r="A122" s="32" t="s">
        <v>1765</v>
      </c>
    </row>
    <row r="123" spans="1:2">
      <c r="A123" s="29" t="s">
        <v>1766</v>
      </c>
      <c r="B123" t="s">
        <v>794</v>
      </c>
    </row>
    <row r="124" spans="1:2">
      <c r="A124" s="36" t="s">
        <v>1767</v>
      </c>
      <c r="B124" t="s">
        <v>1695</v>
      </c>
    </row>
    <row r="125" spans="1:2">
      <c r="A125" s="31" t="s">
        <v>1768</v>
      </c>
    </row>
    <row r="126" spans="1:2">
      <c r="A126" s="29" t="s">
        <v>1769</v>
      </c>
      <c r="B126" t="s">
        <v>794</v>
      </c>
    </row>
    <row r="127" spans="1:2">
      <c r="A127" s="31" t="s">
        <v>1770</v>
      </c>
    </row>
    <row r="128" spans="1:2">
      <c r="A128" t="s">
        <v>1771</v>
      </c>
    </row>
    <row r="129" spans="1:1">
      <c r="A129" s="31" t="s">
        <v>1772</v>
      </c>
    </row>
    <row r="130" spans="1:1">
      <c r="A130" s="31" t="s">
        <v>1773</v>
      </c>
    </row>
    <row r="131" spans="1:1">
      <c r="A131" s="32" t="s">
        <v>1774</v>
      </c>
    </row>
    <row r="132" spans="1:1">
      <c r="A132" s="31" t="s">
        <v>1775</v>
      </c>
    </row>
    <row r="133" spans="1:1">
      <c r="A133" s="30" t="s">
        <v>1776</v>
      </c>
    </row>
    <row r="134" spans="1:1">
      <c r="A134" s="31" t="s">
        <v>1777</v>
      </c>
    </row>
    <row r="135" spans="1:1">
      <c r="A135" s="32" t="s">
        <v>1778</v>
      </c>
    </row>
    <row r="136" spans="1:1">
      <c r="A136" s="30" t="s">
        <v>1779</v>
      </c>
    </row>
    <row r="137" spans="1:1">
      <c r="A137" s="31" t="s">
        <v>1443</v>
      </c>
    </row>
    <row r="138" spans="1:1">
      <c r="A138" s="32" t="s">
        <v>1780</v>
      </c>
    </row>
    <row r="139" spans="1:1">
      <c r="A139" s="32" t="s">
        <v>1781</v>
      </c>
    </row>
    <row r="140" spans="1:1">
      <c r="A140" s="31" t="s">
        <v>1782</v>
      </c>
    </row>
    <row r="141" spans="1:1">
      <c r="A141" s="30" t="s">
        <v>1783</v>
      </c>
    </row>
    <row r="142" spans="1:1">
      <c r="A142" s="30" t="s">
        <v>1784</v>
      </c>
    </row>
    <row r="143" spans="1:1">
      <c r="A143" s="31" t="s">
        <v>1785</v>
      </c>
    </row>
    <row r="144" spans="1:1">
      <c r="A144" s="31" t="s">
        <v>1786</v>
      </c>
    </row>
    <row r="145" spans="1:1">
      <c r="A145" s="32" t="s">
        <v>1787</v>
      </c>
    </row>
    <row r="146" spans="1:1">
      <c r="A146" s="30" t="s">
        <v>1788</v>
      </c>
    </row>
    <row r="147" spans="1:1">
      <c r="A147" s="30" t="s">
        <v>1789</v>
      </c>
    </row>
    <row r="148" spans="1:1">
      <c r="A148" s="33" t="s">
        <v>1790</v>
      </c>
    </row>
    <row r="149" spans="1:1">
      <c r="A149" s="31" t="s">
        <v>1791</v>
      </c>
    </row>
    <row r="150" spans="1:1">
      <c r="A150" s="32" t="s">
        <v>1792</v>
      </c>
    </row>
    <row r="151" spans="1:1">
      <c r="A151" s="31" t="s">
        <v>1793</v>
      </c>
    </row>
    <row r="152" spans="1:1">
      <c r="A152" s="30" t="s">
        <v>1794</v>
      </c>
    </row>
    <row r="153" spans="1:1">
      <c r="A153" s="30" t="s">
        <v>1795</v>
      </c>
    </row>
    <row r="154" spans="1:1">
      <c r="A154" s="31" t="s">
        <v>1796</v>
      </c>
    </row>
    <row r="155" spans="1:1">
      <c r="A155" s="32" t="s">
        <v>1797</v>
      </c>
    </row>
    <row r="156" spans="1:1">
      <c r="A156" s="31" t="s">
        <v>1798</v>
      </c>
    </row>
    <row r="157" spans="1:1">
      <c r="A157" s="30" t="s">
        <v>1799</v>
      </c>
    </row>
    <row r="158" spans="1:1">
      <c r="A158" s="33" t="s">
        <v>911</v>
      </c>
    </row>
    <row r="159" spans="1:1">
      <c r="A159" s="30" t="s">
        <v>1800</v>
      </c>
    </row>
    <row r="160" spans="1:1">
      <c r="A160" s="31" t="s">
        <v>1446</v>
      </c>
    </row>
    <row r="161" spans="1:1">
      <c r="A161" s="31" t="s">
        <v>1801</v>
      </c>
    </row>
    <row r="162" spans="1:1">
      <c r="A162" s="31" t="s">
        <v>1802</v>
      </c>
    </row>
    <row r="163" spans="1:1">
      <c r="A163" s="31" t="s">
        <v>1803</v>
      </c>
    </row>
    <row r="164" spans="1:1">
      <c r="A164" s="34" t="s">
        <v>1804</v>
      </c>
    </row>
    <row r="165" spans="1:1">
      <c r="A165" s="32" t="s">
        <v>1805</v>
      </c>
    </row>
    <row r="166" spans="1:1">
      <c r="A166" s="31" t="s">
        <v>1806</v>
      </c>
    </row>
    <row r="167" spans="1:1">
      <c r="A167" s="31" t="s">
        <v>1807</v>
      </c>
    </row>
    <row r="168" spans="1:1">
      <c r="A168" s="31" t="s">
        <v>1808</v>
      </c>
    </row>
    <row r="169" spans="1:1">
      <c r="A169" s="30" t="s">
        <v>1809</v>
      </c>
    </row>
  </sheetData>
  <sortState xmlns:xlrd2="http://schemas.microsoft.com/office/spreadsheetml/2017/richdata2" ref="A2:A1048565">
    <sortCondition ref="A2:A1048565"/>
  </sortState>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dimension ref="B1:L150"/>
  <sheetViews>
    <sheetView view="pageBreakPreview" zoomScale="115" zoomScaleNormal="100" workbookViewId="0">
      <selection activeCell="C75" sqref="C75"/>
    </sheetView>
  </sheetViews>
  <sheetFormatPr defaultColWidth="9" defaultRowHeight="15"/>
  <cols>
    <col min="1" max="1" width="3.7109375" customWidth="1"/>
    <col min="2" max="2" width="4.7109375" customWidth="1"/>
    <col min="3" max="3" width="42.42578125" customWidth="1"/>
    <col min="4" max="4" width="9.85546875" style="4" customWidth="1"/>
    <col min="5" max="5" width="2.85546875" customWidth="1"/>
    <col min="6" max="6" width="4.140625" customWidth="1"/>
    <col min="7" max="7" width="10.28515625" customWidth="1"/>
  </cols>
  <sheetData>
    <row r="1" spans="2:10" ht="15.75">
      <c r="B1" s="5"/>
      <c r="C1" s="6" t="s">
        <v>1810</v>
      </c>
      <c r="D1" s="7" t="s">
        <v>1459</v>
      </c>
      <c r="E1" s="8"/>
    </row>
    <row r="2" spans="2:10" ht="15.75">
      <c r="B2" s="9">
        <v>1</v>
      </c>
      <c r="C2" s="10" t="s">
        <v>1464</v>
      </c>
      <c r="D2" s="11"/>
      <c r="E2" s="8"/>
    </row>
    <row r="3" spans="2:10" s="1" customFormat="1" ht="15.75">
      <c r="B3" s="12">
        <v>1</v>
      </c>
      <c r="C3" s="13" t="s">
        <v>1467</v>
      </c>
      <c r="D3" s="14" t="s">
        <v>1811</v>
      </c>
      <c r="E3" s="15"/>
      <c r="G3" s="1" t="s">
        <v>1467</v>
      </c>
      <c r="J3" s="1" t="s">
        <v>1812</v>
      </c>
    </row>
    <row r="4" spans="2:10" ht="15.75">
      <c r="B4" s="9">
        <f t="shared" ref="B4:B64" si="0">B3+1</f>
        <v>2</v>
      </c>
      <c r="C4" s="13" t="s">
        <v>1469</v>
      </c>
      <c r="D4" s="11"/>
      <c r="E4" s="8"/>
    </row>
    <row r="5" spans="2:10" ht="15.75">
      <c r="B5" s="9">
        <f t="shared" si="0"/>
        <v>3</v>
      </c>
      <c r="C5" s="13" t="s">
        <v>1470</v>
      </c>
      <c r="D5" s="16"/>
      <c r="E5" s="8"/>
    </row>
    <row r="6" spans="2:10" s="1" customFormat="1" ht="15.75">
      <c r="B6" s="12">
        <f t="shared" si="0"/>
        <v>4</v>
      </c>
      <c r="C6" s="13" t="s">
        <v>1471</v>
      </c>
      <c r="D6" s="14" t="s">
        <v>1811</v>
      </c>
      <c r="E6" s="15"/>
      <c r="G6" s="1" t="s">
        <v>1813</v>
      </c>
    </row>
    <row r="7" spans="2:10" ht="15.75">
      <c r="B7" s="9">
        <f t="shared" si="0"/>
        <v>5</v>
      </c>
      <c r="C7" s="13" t="s">
        <v>1472</v>
      </c>
      <c r="D7" s="11"/>
      <c r="E7" s="8"/>
      <c r="F7" s="8"/>
      <c r="G7" s="8"/>
    </row>
    <row r="8" spans="2:10" s="1" customFormat="1" ht="15.75">
      <c r="B8" s="12">
        <f t="shared" si="0"/>
        <v>6</v>
      </c>
      <c r="C8" s="13" t="s">
        <v>1473</v>
      </c>
      <c r="D8" s="14" t="s">
        <v>1811</v>
      </c>
      <c r="E8" s="15"/>
      <c r="F8" s="15"/>
      <c r="G8" s="15" t="s">
        <v>1814</v>
      </c>
      <c r="J8" s="1" t="s">
        <v>1815</v>
      </c>
    </row>
    <row r="9" spans="2:10" ht="15.75">
      <c r="B9" s="9">
        <f t="shared" si="0"/>
        <v>7</v>
      </c>
      <c r="C9" s="13" t="s">
        <v>1475</v>
      </c>
      <c r="D9" s="11"/>
      <c r="E9" s="8"/>
      <c r="F9" s="8"/>
      <c r="G9" s="8"/>
    </row>
    <row r="10" spans="2:10" ht="15.75">
      <c r="B10" s="9">
        <f t="shared" si="0"/>
        <v>8</v>
      </c>
      <c r="C10" s="13" t="s">
        <v>1476</v>
      </c>
      <c r="D10" s="11"/>
      <c r="E10" s="8"/>
      <c r="F10" s="8"/>
      <c r="G10" s="8"/>
    </row>
    <row r="11" spans="2:10" s="1" customFormat="1" ht="15.75">
      <c r="B11" s="12">
        <f t="shared" si="0"/>
        <v>9</v>
      </c>
      <c r="C11" s="13" t="s">
        <v>1477</v>
      </c>
      <c r="D11" s="14" t="s">
        <v>1811</v>
      </c>
      <c r="E11" s="15"/>
      <c r="F11" s="15"/>
      <c r="G11" s="15" t="s">
        <v>1816</v>
      </c>
      <c r="J11" s="1" t="s">
        <v>1817</v>
      </c>
    </row>
    <row r="12" spans="2:10" ht="15.75">
      <c r="B12" s="9">
        <f t="shared" si="0"/>
        <v>10</v>
      </c>
      <c r="C12" s="13" t="s">
        <v>1478</v>
      </c>
      <c r="D12" s="11"/>
      <c r="E12" s="8"/>
      <c r="F12" s="8"/>
      <c r="G12" s="8"/>
    </row>
    <row r="13" spans="2:10" s="1" customFormat="1" ht="15.75">
      <c r="B13" s="12">
        <f t="shared" si="0"/>
        <v>11</v>
      </c>
      <c r="C13" s="13" t="s">
        <v>1479</v>
      </c>
      <c r="D13" s="14" t="s">
        <v>1811</v>
      </c>
      <c r="E13" s="15"/>
      <c r="F13" s="15"/>
      <c r="G13" s="15" t="s">
        <v>1818</v>
      </c>
      <c r="J13" s="1" t="s">
        <v>1819</v>
      </c>
    </row>
    <row r="14" spans="2:10" ht="15.75">
      <c r="B14" s="9">
        <f t="shared" si="0"/>
        <v>12</v>
      </c>
      <c r="C14" s="13" t="s">
        <v>1481</v>
      </c>
      <c r="D14" s="11"/>
      <c r="E14" s="8"/>
      <c r="F14" s="8"/>
      <c r="G14" s="8"/>
    </row>
    <row r="15" spans="2:10" ht="15.75">
      <c r="B15" s="9">
        <f t="shared" si="0"/>
        <v>13</v>
      </c>
      <c r="C15" s="10" t="s">
        <v>1483</v>
      </c>
      <c r="D15" s="11"/>
      <c r="E15" s="8"/>
      <c r="F15" s="8"/>
      <c r="G15" s="8"/>
    </row>
    <row r="16" spans="2:10" ht="15.75">
      <c r="B16" s="9">
        <f t="shared" si="0"/>
        <v>14</v>
      </c>
      <c r="C16" s="10" t="s">
        <v>1484</v>
      </c>
      <c r="D16" s="11"/>
      <c r="E16" s="8"/>
      <c r="F16" s="8"/>
      <c r="G16" s="8"/>
    </row>
    <row r="17" spans="2:10" ht="15.75">
      <c r="B17" s="9">
        <f t="shared" si="0"/>
        <v>15</v>
      </c>
      <c r="C17" s="10" t="s">
        <v>1485</v>
      </c>
      <c r="D17" s="17"/>
      <c r="E17" s="8"/>
      <c r="F17" s="8"/>
      <c r="G17" s="8"/>
    </row>
    <row r="18" spans="2:10" s="1" customFormat="1" ht="15.75">
      <c r="B18" s="12">
        <f t="shared" si="0"/>
        <v>16</v>
      </c>
      <c r="C18" s="10" t="s">
        <v>1486</v>
      </c>
      <c r="D18" s="18" t="s">
        <v>1811</v>
      </c>
      <c r="E18" s="15"/>
      <c r="F18" s="15"/>
      <c r="G18" s="15" t="s">
        <v>1820</v>
      </c>
      <c r="J18" s="1" t="s">
        <v>1821</v>
      </c>
    </row>
    <row r="19" spans="2:10" s="1" customFormat="1" ht="15.75">
      <c r="B19" s="12">
        <f t="shared" si="0"/>
        <v>17</v>
      </c>
      <c r="C19" s="10" t="s">
        <v>1487</v>
      </c>
      <c r="D19" s="18" t="s">
        <v>1811</v>
      </c>
      <c r="E19" s="15"/>
      <c r="F19" s="15"/>
      <c r="G19" s="15" t="s">
        <v>1822</v>
      </c>
      <c r="J19" s="1" t="s">
        <v>1823</v>
      </c>
    </row>
    <row r="20" spans="2:10" ht="15.75">
      <c r="B20" s="9">
        <f t="shared" si="0"/>
        <v>18</v>
      </c>
      <c r="C20" s="10" t="s">
        <v>1488</v>
      </c>
      <c r="D20" s="17"/>
      <c r="E20" s="8"/>
      <c r="F20" s="8"/>
      <c r="G20" s="8"/>
    </row>
    <row r="21" spans="2:10" ht="15.75">
      <c r="B21" s="9">
        <f t="shared" si="0"/>
        <v>19</v>
      </c>
      <c r="C21" s="10" t="s">
        <v>1490</v>
      </c>
      <c r="D21" s="17"/>
      <c r="E21" s="8"/>
      <c r="F21" s="8"/>
      <c r="G21" s="8"/>
    </row>
    <row r="22" spans="2:10" s="1" customFormat="1" ht="15.75">
      <c r="B22" s="12">
        <f t="shared" si="0"/>
        <v>20</v>
      </c>
      <c r="C22" s="10" t="s">
        <v>1491</v>
      </c>
      <c r="D22" s="18" t="s">
        <v>1811</v>
      </c>
      <c r="E22" s="15"/>
      <c r="F22" s="15"/>
      <c r="G22" s="15" t="s">
        <v>1824</v>
      </c>
      <c r="J22" s="1" t="s">
        <v>1825</v>
      </c>
    </row>
    <row r="23" spans="2:10" s="1" customFormat="1" ht="15.75">
      <c r="B23" s="12">
        <f t="shared" si="0"/>
        <v>21</v>
      </c>
      <c r="C23" s="10" t="s">
        <v>1492</v>
      </c>
      <c r="D23" s="18" t="s">
        <v>1811</v>
      </c>
      <c r="E23" s="15"/>
      <c r="F23" s="15"/>
      <c r="G23" s="15" t="s">
        <v>1826</v>
      </c>
      <c r="J23" s="1" t="s">
        <v>1827</v>
      </c>
    </row>
    <row r="24" spans="2:10" s="1" customFormat="1" ht="15.75">
      <c r="B24" s="12">
        <f t="shared" si="0"/>
        <v>22</v>
      </c>
      <c r="C24" s="10" t="s">
        <v>1493</v>
      </c>
      <c r="D24" s="18" t="s">
        <v>1811</v>
      </c>
      <c r="E24" s="15"/>
      <c r="F24" s="15"/>
      <c r="G24" s="15" t="s">
        <v>1828</v>
      </c>
    </row>
    <row r="25" spans="2:10" ht="15.75">
      <c r="B25" s="9">
        <f t="shared" si="0"/>
        <v>23</v>
      </c>
      <c r="C25" s="10" t="s">
        <v>1498</v>
      </c>
      <c r="D25" s="17"/>
      <c r="E25" s="8"/>
      <c r="F25" s="8"/>
      <c r="G25" s="8"/>
    </row>
    <row r="26" spans="2:10" s="1" customFormat="1" ht="15.75">
      <c r="B26" s="12">
        <f t="shared" si="0"/>
        <v>24</v>
      </c>
      <c r="C26" s="10" t="s">
        <v>1494</v>
      </c>
      <c r="D26" s="18" t="s">
        <v>1811</v>
      </c>
      <c r="E26" s="15"/>
      <c r="F26" s="15"/>
      <c r="G26" s="15" t="s">
        <v>1829</v>
      </c>
    </row>
    <row r="27" spans="2:10" ht="15.75">
      <c r="B27" s="9">
        <f t="shared" si="0"/>
        <v>25</v>
      </c>
      <c r="C27" s="10" t="s">
        <v>1497</v>
      </c>
      <c r="D27" s="17"/>
      <c r="E27" s="8"/>
      <c r="F27" s="8"/>
      <c r="G27" s="8"/>
    </row>
    <row r="28" spans="2:10" ht="15.75">
      <c r="B28" s="9">
        <f t="shared" si="0"/>
        <v>26</v>
      </c>
      <c r="C28" s="10" t="s">
        <v>1499</v>
      </c>
      <c r="D28" s="17"/>
    </row>
    <row r="29" spans="2:10" ht="15.75">
      <c r="B29" s="9">
        <f t="shared" si="0"/>
        <v>27</v>
      </c>
      <c r="C29" s="10" t="s">
        <v>1500</v>
      </c>
      <c r="D29" s="17"/>
    </row>
    <row r="30" spans="2:10" ht="15.75">
      <c r="B30" s="9">
        <f t="shared" si="0"/>
        <v>28</v>
      </c>
      <c r="C30" s="10" t="s">
        <v>1501</v>
      </c>
      <c r="D30" s="17"/>
    </row>
    <row r="31" spans="2:10" ht="15.75">
      <c r="B31" s="9">
        <f t="shared" si="0"/>
        <v>29</v>
      </c>
      <c r="C31" s="10" t="s">
        <v>1505</v>
      </c>
      <c r="D31" s="17"/>
    </row>
    <row r="32" spans="2:10" s="1" customFormat="1" ht="15.75">
      <c r="B32" s="12">
        <f t="shared" si="0"/>
        <v>30</v>
      </c>
      <c r="C32" s="10" t="s">
        <v>1506</v>
      </c>
      <c r="D32" s="18" t="s">
        <v>1811</v>
      </c>
      <c r="G32" s="1" t="s">
        <v>1830</v>
      </c>
      <c r="J32" s="1" t="s">
        <v>1831</v>
      </c>
    </row>
    <row r="33" spans="2:10" ht="15.75">
      <c r="B33" s="9">
        <f t="shared" si="0"/>
        <v>31</v>
      </c>
      <c r="C33" s="10" t="s">
        <v>1507</v>
      </c>
      <c r="D33" s="17"/>
    </row>
    <row r="34" spans="2:10" s="1" customFormat="1" ht="15.75">
      <c r="B34" s="12">
        <f t="shared" si="0"/>
        <v>32</v>
      </c>
      <c r="C34" s="10" t="s">
        <v>1508</v>
      </c>
      <c r="D34" s="18" t="s">
        <v>1811</v>
      </c>
      <c r="G34" s="1" t="s">
        <v>1832</v>
      </c>
      <c r="J34" s="1" t="s">
        <v>1833</v>
      </c>
    </row>
    <row r="35" spans="2:10" ht="15.75">
      <c r="B35" s="9">
        <f t="shared" si="0"/>
        <v>33</v>
      </c>
      <c r="C35" s="10" t="s">
        <v>1509</v>
      </c>
      <c r="D35" s="17"/>
    </row>
    <row r="36" spans="2:10" s="1" customFormat="1" ht="15.75">
      <c r="B36" s="12">
        <f t="shared" si="0"/>
        <v>34</v>
      </c>
      <c r="C36" s="10" t="s">
        <v>1510</v>
      </c>
      <c r="D36" s="18" t="s">
        <v>1811</v>
      </c>
      <c r="G36" s="1" t="s">
        <v>1834</v>
      </c>
      <c r="J36" s="1" t="s">
        <v>1835</v>
      </c>
    </row>
    <row r="37" spans="2:10" ht="15.75">
      <c r="B37" s="9">
        <f t="shared" si="0"/>
        <v>35</v>
      </c>
      <c r="C37" s="10" t="s">
        <v>1511</v>
      </c>
      <c r="D37" s="17"/>
    </row>
    <row r="38" spans="2:10" ht="15.75">
      <c r="B38" s="9">
        <f t="shared" si="0"/>
        <v>36</v>
      </c>
      <c r="C38" s="10" t="s">
        <v>1516</v>
      </c>
      <c r="D38" s="17"/>
    </row>
    <row r="39" spans="2:10" ht="15.75">
      <c r="B39" s="9">
        <f t="shared" si="0"/>
        <v>37</v>
      </c>
      <c r="C39" s="10" t="s">
        <v>1517</v>
      </c>
      <c r="D39" s="17"/>
    </row>
    <row r="40" spans="2:10" ht="15.75">
      <c r="B40" s="9">
        <f t="shared" si="0"/>
        <v>38</v>
      </c>
      <c r="C40" s="10" t="s">
        <v>1519</v>
      </c>
      <c r="D40" s="17"/>
    </row>
    <row r="41" spans="2:10" ht="15.75">
      <c r="B41" s="9">
        <f t="shared" si="0"/>
        <v>39</v>
      </c>
      <c r="C41" s="10" t="s">
        <v>1521</v>
      </c>
      <c r="D41" s="17"/>
    </row>
    <row r="42" spans="2:10" ht="15.75">
      <c r="B42" s="9">
        <f t="shared" si="0"/>
        <v>40</v>
      </c>
      <c r="C42" s="10" t="s">
        <v>1522</v>
      </c>
      <c r="D42" s="17"/>
    </row>
    <row r="43" spans="2:10" ht="15.75">
      <c r="B43" s="9">
        <f t="shared" si="0"/>
        <v>41</v>
      </c>
      <c r="C43" s="10" t="s">
        <v>1523</v>
      </c>
      <c r="D43" s="17"/>
    </row>
    <row r="44" spans="2:10" s="1" customFormat="1" ht="15.75">
      <c r="B44" s="12">
        <f t="shared" si="0"/>
        <v>42</v>
      </c>
      <c r="C44" s="10" t="s">
        <v>1525</v>
      </c>
      <c r="D44" s="18" t="s">
        <v>1811</v>
      </c>
      <c r="G44" s="1" t="s">
        <v>1836</v>
      </c>
      <c r="J44" s="1" t="s">
        <v>1837</v>
      </c>
    </row>
    <row r="45" spans="2:10" s="1" customFormat="1" ht="15.75">
      <c r="B45" s="12">
        <f t="shared" si="0"/>
        <v>43</v>
      </c>
      <c r="C45" s="10" t="s">
        <v>1526</v>
      </c>
      <c r="D45" s="18" t="s">
        <v>1811</v>
      </c>
      <c r="G45" s="1" t="s">
        <v>1838</v>
      </c>
      <c r="J45" s="1" t="s">
        <v>1839</v>
      </c>
    </row>
    <row r="46" spans="2:10" ht="15.75">
      <c r="B46" s="9">
        <f t="shared" si="0"/>
        <v>44</v>
      </c>
      <c r="C46" s="10" t="s">
        <v>1527</v>
      </c>
      <c r="D46" s="17"/>
    </row>
    <row r="47" spans="2:10" s="1" customFormat="1" ht="15.75">
      <c r="B47" s="12">
        <f t="shared" si="0"/>
        <v>45</v>
      </c>
      <c r="C47" s="10" t="s">
        <v>1528</v>
      </c>
      <c r="D47" s="18" t="s">
        <v>1811</v>
      </c>
      <c r="G47" s="1" t="s">
        <v>1840</v>
      </c>
      <c r="J47" s="1" t="s">
        <v>1841</v>
      </c>
    </row>
    <row r="48" spans="2:10" ht="15.75">
      <c r="B48" s="9">
        <f t="shared" si="0"/>
        <v>46</v>
      </c>
      <c r="C48" s="10" t="s">
        <v>1529</v>
      </c>
      <c r="D48" s="17"/>
    </row>
    <row r="49" spans="2:10" s="1" customFormat="1" ht="15.75">
      <c r="B49" s="12">
        <f t="shared" si="0"/>
        <v>47</v>
      </c>
      <c r="C49" s="10" t="s">
        <v>1531</v>
      </c>
      <c r="D49" s="18" t="s">
        <v>1811</v>
      </c>
      <c r="G49" s="1" t="s">
        <v>1842</v>
      </c>
      <c r="J49" s="1" t="s">
        <v>1843</v>
      </c>
    </row>
    <row r="50" spans="2:10" ht="15.75">
      <c r="B50" s="9">
        <f t="shared" si="0"/>
        <v>48</v>
      </c>
      <c r="C50" s="10" t="s">
        <v>1532</v>
      </c>
      <c r="D50" s="17"/>
    </row>
    <row r="51" spans="2:10" ht="15.75">
      <c r="B51" s="9">
        <f t="shared" si="0"/>
        <v>49</v>
      </c>
      <c r="C51" s="10" t="s">
        <v>1534</v>
      </c>
      <c r="D51" s="17"/>
    </row>
    <row r="52" spans="2:10" s="1" customFormat="1" ht="15.75">
      <c r="B52" s="12">
        <f t="shared" si="0"/>
        <v>50</v>
      </c>
      <c r="C52" s="10" t="s">
        <v>1536</v>
      </c>
      <c r="D52" s="18"/>
      <c r="G52" s="1" t="s">
        <v>1536</v>
      </c>
      <c r="J52" s="1" t="s">
        <v>1844</v>
      </c>
    </row>
    <row r="53" spans="2:10" ht="15.75">
      <c r="B53" s="9">
        <f t="shared" si="0"/>
        <v>51</v>
      </c>
      <c r="C53" s="10" t="s">
        <v>1537</v>
      </c>
      <c r="D53" s="17"/>
    </row>
    <row r="54" spans="2:10" ht="15.75">
      <c r="B54" s="9">
        <f t="shared" si="0"/>
        <v>52</v>
      </c>
      <c r="C54" s="10" t="s">
        <v>1538</v>
      </c>
      <c r="D54" s="17"/>
    </row>
    <row r="55" spans="2:10" ht="15.75">
      <c r="B55" s="9">
        <f t="shared" si="0"/>
        <v>53</v>
      </c>
      <c r="C55" s="10" t="s">
        <v>1539</v>
      </c>
      <c r="D55" s="17"/>
    </row>
    <row r="56" spans="2:10" ht="15.75">
      <c r="B56" s="9">
        <f t="shared" si="0"/>
        <v>54</v>
      </c>
      <c r="C56" s="10" t="s">
        <v>1543</v>
      </c>
      <c r="D56" s="17"/>
    </row>
    <row r="57" spans="2:10" ht="15.75">
      <c r="B57" s="9">
        <f t="shared" si="0"/>
        <v>55</v>
      </c>
      <c r="C57" s="10" t="s">
        <v>1544</v>
      </c>
      <c r="D57" s="17"/>
    </row>
    <row r="58" spans="2:10" ht="15.75">
      <c r="B58" s="9">
        <f t="shared" si="0"/>
        <v>56</v>
      </c>
      <c r="C58" s="10" t="s">
        <v>1545</v>
      </c>
      <c r="D58" s="17"/>
    </row>
    <row r="59" spans="2:10" ht="15.75">
      <c r="B59" s="9">
        <f t="shared" si="0"/>
        <v>57</v>
      </c>
      <c r="C59" s="10" t="s">
        <v>1546</v>
      </c>
      <c r="D59" s="17"/>
    </row>
    <row r="60" spans="2:10" s="1" customFormat="1" ht="15.75">
      <c r="B60" s="12">
        <f t="shared" si="0"/>
        <v>58</v>
      </c>
      <c r="C60" s="10" t="s">
        <v>1547</v>
      </c>
      <c r="D60" s="18" t="s">
        <v>1811</v>
      </c>
      <c r="G60" s="1" t="s">
        <v>1845</v>
      </c>
      <c r="J60" s="1" t="s">
        <v>1846</v>
      </c>
    </row>
    <row r="61" spans="2:10" ht="15.75">
      <c r="B61" s="9">
        <f t="shared" si="0"/>
        <v>59</v>
      </c>
      <c r="C61" s="10" t="s">
        <v>1548</v>
      </c>
      <c r="D61" s="17"/>
    </row>
    <row r="62" spans="2:10" ht="15.75">
      <c r="B62" s="9">
        <f t="shared" si="0"/>
        <v>60</v>
      </c>
      <c r="C62" s="10" t="s">
        <v>1549</v>
      </c>
      <c r="D62" s="17"/>
    </row>
    <row r="63" spans="2:10" ht="15.75">
      <c r="B63" s="9">
        <f t="shared" si="0"/>
        <v>61</v>
      </c>
      <c r="C63" s="10" t="s">
        <v>1550</v>
      </c>
      <c r="D63" s="17"/>
    </row>
    <row r="64" spans="2:10" s="1" customFormat="1" ht="15.75">
      <c r="B64" s="12">
        <f t="shared" si="0"/>
        <v>62</v>
      </c>
      <c r="C64" s="10" t="s">
        <v>1551</v>
      </c>
      <c r="D64" s="18" t="s">
        <v>1811</v>
      </c>
      <c r="G64" s="1" t="s">
        <v>1830</v>
      </c>
      <c r="J64" s="1" t="s">
        <v>1831</v>
      </c>
    </row>
    <row r="65" spans="2:11" s="1" customFormat="1" ht="15.75">
      <c r="B65" s="12">
        <f t="shared" ref="B65:B126" si="1">B64+1</f>
        <v>63</v>
      </c>
      <c r="C65" s="10" t="s">
        <v>1552</v>
      </c>
      <c r="D65" s="18" t="s">
        <v>1811</v>
      </c>
      <c r="G65" s="1" t="s">
        <v>1847</v>
      </c>
      <c r="J65" s="1" t="s">
        <v>1827</v>
      </c>
    </row>
    <row r="66" spans="2:11" ht="15.75">
      <c r="B66" s="9">
        <f t="shared" si="1"/>
        <v>64</v>
      </c>
      <c r="C66" s="10" t="s">
        <v>1553</v>
      </c>
      <c r="D66" s="17"/>
    </row>
    <row r="67" spans="2:11" s="1" customFormat="1" ht="15.75">
      <c r="B67" s="12">
        <f t="shared" si="1"/>
        <v>65</v>
      </c>
      <c r="C67" s="10" t="s">
        <v>1554</v>
      </c>
      <c r="D67" s="18" t="s">
        <v>1811</v>
      </c>
      <c r="G67" s="1" t="s">
        <v>1848</v>
      </c>
      <c r="J67" s="1" t="s">
        <v>1849</v>
      </c>
    </row>
    <row r="68" spans="2:11" s="2" customFormat="1" ht="15.75">
      <c r="B68" s="19">
        <f t="shared" si="1"/>
        <v>66</v>
      </c>
      <c r="C68" s="20" t="s">
        <v>1555</v>
      </c>
      <c r="D68" s="21" t="s">
        <v>1811</v>
      </c>
      <c r="G68" s="2" t="s">
        <v>1850</v>
      </c>
      <c r="J68" s="2" t="s">
        <v>1851</v>
      </c>
    </row>
    <row r="69" spans="2:11" ht="15.75">
      <c r="B69" s="9">
        <f t="shared" si="1"/>
        <v>67</v>
      </c>
      <c r="C69" s="10" t="s">
        <v>1556</v>
      </c>
      <c r="D69" s="17"/>
    </row>
    <row r="70" spans="2:11" ht="15.75">
      <c r="B70" s="9">
        <f t="shared" si="1"/>
        <v>68</v>
      </c>
      <c r="C70" s="10" t="s">
        <v>1557</v>
      </c>
      <c r="D70" s="17"/>
    </row>
    <row r="71" spans="2:11" ht="15.75">
      <c r="B71" s="9">
        <f t="shared" si="1"/>
        <v>69</v>
      </c>
      <c r="C71" s="10" t="s">
        <v>1558</v>
      </c>
      <c r="D71" s="17"/>
    </row>
    <row r="72" spans="2:11" ht="15.75">
      <c r="B72" s="9">
        <f t="shared" si="1"/>
        <v>70</v>
      </c>
      <c r="C72" s="10" t="s">
        <v>1559</v>
      </c>
      <c r="D72" s="17"/>
    </row>
    <row r="73" spans="2:11" ht="15.75">
      <c r="B73" s="9">
        <f t="shared" si="1"/>
        <v>71</v>
      </c>
      <c r="C73" s="10" t="s">
        <v>1560</v>
      </c>
      <c r="D73" s="17"/>
    </row>
    <row r="74" spans="2:11" ht="15.75">
      <c r="B74" s="9">
        <f t="shared" si="1"/>
        <v>72</v>
      </c>
      <c r="C74" s="10" t="s">
        <v>1561</v>
      </c>
      <c r="D74" s="17"/>
    </row>
    <row r="75" spans="2:11" s="1" customFormat="1" ht="15.75">
      <c r="B75" s="12">
        <f t="shared" si="1"/>
        <v>73</v>
      </c>
      <c r="C75" s="10" t="s">
        <v>1562</v>
      </c>
      <c r="D75" s="18" t="s">
        <v>1811</v>
      </c>
      <c r="G75" s="1" t="s">
        <v>1852</v>
      </c>
      <c r="J75" s="1" t="s">
        <v>1853</v>
      </c>
    </row>
    <row r="76" spans="2:11" ht="15.75">
      <c r="B76" s="9">
        <f t="shared" si="1"/>
        <v>74</v>
      </c>
      <c r="C76" s="10" t="s">
        <v>1563</v>
      </c>
      <c r="D76" s="17"/>
    </row>
    <row r="77" spans="2:11" ht="15.75">
      <c r="B77" s="9">
        <f t="shared" si="1"/>
        <v>75</v>
      </c>
      <c r="C77" s="10" t="s">
        <v>1564</v>
      </c>
      <c r="D77" s="17"/>
    </row>
    <row r="78" spans="2:11" s="1" customFormat="1" ht="15.75">
      <c r="B78" s="12">
        <f t="shared" si="1"/>
        <v>76</v>
      </c>
      <c r="C78" s="10" t="s">
        <v>1566</v>
      </c>
      <c r="D78" s="18" t="s">
        <v>1811</v>
      </c>
      <c r="G78" s="1" t="s">
        <v>1854</v>
      </c>
      <c r="K78" s="1" t="s">
        <v>1839</v>
      </c>
    </row>
    <row r="79" spans="2:11" ht="15.75">
      <c r="B79" s="9">
        <f t="shared" si="1"/>
        <v>77</v>
      </c>
      <c r="C79" s="10" t="s">
        <v>1567</v>
      </c>
      <c r="D79" s="17"/>
    </row>
    <row r="80" spans="2:11" s="1" customFormat="1" ht="15.75">
      <c r="B80" s="12">
        <f t="shared" si="1"/>
        <v>78</v>
      </c>
      <c r="C80" s="10" t="s">
        <v>1568</v>
      </c>
      <c r="D80" s="18" t="s">
        <v>1811</v>
      </c>
      <c r="G80" s="1" t="s">
        <v>1855</v>
      </c>
      <c r="K80" s="1" t="s">
        <v>1856</v>
      </c>
    </row>
    <row r="81" spans="2:11" ht="15.75">
      <c r="B81" s="9">
        <f t="shared" si="1"/>
        <v>79</v>
      </c>
      <c r="C81" s="10" t="s">
        <v>1569</v>
      </c>
      <c r="D81" s="17"/>
    </row>
    <row r="82" spans="2:11" ht="15.75">
      <c r="B82" s="9">
        <f t="shared" si="1"/>
        <v>80</v>
      </c>
      <c r="C82" s="22" t="s">
        <v>1571</v>
      </c>
      <c r="D82" s="17"/>
    </row>
    <row r="83" spans="2:11" s="1" customFormat="1" ht="15.75">
      <c r="B83" s="12">
        <f t="shared" si="1"/>
        <v>81</v>
      </c>
      <c r="C83" s="10" t="s">
        <v>1573</v>
      </c>
      <c r="D83" s="18" t="s">
        <v>1811</v>
      </c>
      <c r="G83" s="1" t="s">
        <v>1857</v>
      </c>
      <c r="K83" s="1" t="s">
        <v>1841</v>
      </c>
    </row>
    <row r="84" spans="2:11" s="1" customFormat="1" ht="15.75">
      <c r="B84" s="12">
        <f t="shared" si="1"/>
        <v>82</v>
      </c>
      <c r="C84" s="10" t="s">
        <v>1574</v>
      </c>
      <c r="D84" s="18" t="s">
        <v>1811</v>
      </c>
      <c r="G84" s="1" t="s">
        <v>1858</v>
      </c>
      <c r="K84" s="1" t="s">
        <v>1859</v>
      </c>
    </row>
    <row r="85" spans="2:11" ht="15.75">
      <c r="B85" s="9">
        <f t="shared" si="1"/>
        <v>83</v>
      </c>
      <c r="C85" s="10" t="s">
        <v>1575</v>
      </c>
      <c r="D85" s="17"/>
    </row>
    <row r="86" spans="2:11" ht="15.75">
      <c r="B86" s="9">
        <f t="shared" si="1"/>
        <v>84</v>
      </c>
      <c r="C86" s="10" t="s">
        <v>1576</v>
      </c>
      <c r="D86" s="17"/>
    </row>
    <row r="87" spans="2:11" ht="15.75">
      <c r="B87" s="9">
        <f t="shared" si="1"/>
        <v>85</v>
      </c>
      <c r="C87" s="10" t="s">
        <v>1577</v>
      </c>
      <c r="D87" s="17"/>
    </row>
    <row r="88" spans="2:11" s="1" customFormat="1" ht="15.75">
      <c r="B88" s="12">
        <f t="shared" si="1"/>
        <v>86</v>
      </c>
      <c r="C88" s="10" t="s">
        <v>1578</v>
      </c>
      <c r="D88" s="18" t="s">
        <v>1811</v>
      </c>
      <c r="G88" s="1" t="s">
        <v>1536</v>
      </c>
      <c r="J88" s="1" t="s">
        <v>1844</v>
      </c>
    </row>
    <row r="89" spans="2:11" ht="15.75">
      <c r="B89" s="9">
        <f t="shared" si="1"/>
        <v>87</v>
      </c>
      <c r="C89" s="10" t="s">
        <v>1579</v>
      </c>
      <c r="D89" s="17"/>
    </row>
    <row r="90" spans="2:11" ht="15.75">
      <c r="B90" s="9">
        <f t="shared" si="1"/>
        <v>88</v>
      </c>
      <c r="C90" s="10" t="s">
        <v>1860</v>
      </c>
      <c r="D90" s="17"/>
    </row>
    <row r="91" spans="2:11" ht="15.75">
      <c r="B91" s="9">
        <f t="shared" si="1"/>
        <v>89</v>
      </c>
      <c r="C91" s="10" t="s">
        <v>1582</v>
      </c>
      <c r="D91" s="17"/>
    </row>
    <row r="92" spans="2:11" ht="15.75">
      <c r="B92" s="9">
        <f t="shared" si="1"/>
        <v>90</v>
      </c>
      <c r="C92" s="10" t="s">
        <v>1585</v>
      </c>
      <c r="D92" s="17"/>
    </row>
    <row r="93" spans="2:11" s="1" customFormat="1" ht="15.75">
      <c r="B93" s="12">
        <f t="shared" si="1"/>
        <v>91</v>
      </c>
      <c r="C93" s="10" t="s">
        <v>1588</v>
      </c>
      <c r="D93" s="18" t="s">
        <v>1811</v>
      </c>
      <c r="G93" s="1" t="s">
        <v>1861</v>
      </c>
      <c r="J93" s="1" t="s">
        <v>1862</v>
      </c>
    </row>
    <row r="94" spans="2:11" ht="15.75">
      <c r="B94" s="9">
        <f t="shared" si="1"/>
        <v>92</v>
      </c>
      <c r="C94" s="10" t="s">
        <v>1589</v>
      </c>
      <c r="D94" s="17"/>
    </row>
    <row r="95" spans="2:11" ht="15.75">
      <c r="B95" s="9">
        <f t="shared" si="1"/>
        <v>93</v>
      </c>
      <c r="C95" s="10" t="s">
        <v>1590</v>
      </c>
      <c r="D95" s="17"/>
    </row>
    <row r="96" spans="2:11" ht="15.75">
      <c r="B96" s="9">
        <f t="shared" si="1"/>
        <v>94</v>
      </c>
      <c r="C96" s="10" t="s">
        <v>1591</v>
      </c>
      <c r="D96" s="17"/>
    </row>
    <row r="97" spans="2:12" ht="15.75">
      <c r="B97" s="9">
        <f t="shared" si="1"/>
        <v>95</v>
      </c>
      <c r="C97" s="10" t="s">
        <v>1592</v>
      </c>
      <c r="D97" s="17"/>
    </row>
    <row r="98" spans="2:12" ht="15.75">
      <c r="B98" s="9">
        <f t="shared" si="1"/>
        <v>96</v>
      </c>
      <c r="C98" s="10" t="s">
        <v>1595</v>
      </c>
      <c r="D98" s="17"/>
    </row>
    <row r="99" spans="2:12" ht="15.75">
      <c r="B99" s="9">
        <f t="shared" si="1"/>
        <v>97</v>
      </c>
      <c r="C99" s="10" t="s">
        <v>1597</v>
      </c>
      <c r="D99" s="17"/>
    </row>
    <row r="100" spans="2:12" s="1" customFormat="1" ht="15.75">
      <c r="B100" s="12">
        <f t="shared" si="1"/>
        <v>98</v>
      </c>
      <c r="C100" s="10" t="s">
        <v>1598</v>
      </c>
      <c r="D100" s="23" t="s">
        <v>1863</v>
      </c>
      <c r="G100" s="1" t="s">
        <v>1864</v>
      </c>
      <c r="J100" s="1" t="s">
        <v>1865</v>
      </c>
    </row>
    <row r="101" spans="2:12" s="1" customFormat="1" ht="15.75">
      <c r="B101" s="12">
        <f t="shared" si="1"/>
        <v>99</v>
      </c>
      <c r="C101" s="10" t="s">
        <v>1599</v>
      </c>
      <c r="D101" s="18" t="s">
        <v>1811</v>
      </c>
      <c r="G101" s="1" t="s">
        <v>1866</v>
      </c>
      <c r="J101" s="1" t="s">
        <v>1867</v>
      </c>
    </row>
    <row r="102" spans="2:12" s="1" customFormat="1" ht="15.75">
      <c r="B102" s="12">
        <f t="shared" si="1"/>
        <v>100</v>
      </c>
      <c r="C102" s="10" t="s">
        <v>1600</v>
      </c>
      <c r="D102" s="18" t="s">
        <v>1811</v>
      </c>
      <c r="G102" s="1" t="s">
        <v>1868</v>
      </c>
      <c r="J102" s="1" t="s">
        <v>1869</v>
      </c>
    </row>
    <row r="103" spans="2:12" ht="15.75">
      <c r="B103" s="9">
        <f t="shared" si="1"/>
        <v>101</v>
      </c>
      <c r="C103" s="10" t="s">
        <v>1601</v>
      </c>
      <c r="D103" s="17"/>
    </row>
    <row r="104" spans="2:12" s="1" customFormat="1" ht="15.75">
      <c r="B104" s="12">
        <f t="shared" si="1"/>
        <v>102</v>
      </c>
      <c r="C104" s="10" t="s">
        <v>1602</v>
      </c>
      <c r="D104" s="18" t="s">
        <v>1811</v>
      </c>
      <c r="G104" s="1" t="s">
        <v>1870</v>
      </c>
      <c r="J104" s="1" t="s">
        <v>1871</v>
      </c>
    </row>
    <row r="105" spans="2:12" ht="15.75">
      <c r="B105" s="9">
        <f t="shared" si="1"/>
        <v>103</v>
      </c>
      <c r="C105" s="10" t="s">
        <v>1603</v>
      </c>
      <c r="D105" s="17"/>
    </row>
    <row r="106" spans="2:12" ht="15.75">
      <c r="B106" s="9">
        <f t="shared" si="1"/>
        <v>104</v>
      </c>
      <c r="C106" s="10" t="s">
        <v>1604</v>
      </c>
      <c r="D106" s="17"/>
    </row>
    <row r="107" spans="2:12" ht="15.75">
      <c r="B107" s="9">
        <f t="shared" si="1"/>
        <v>105</v>
      </c>
      <c r="C107" s="10" t="s">
        <v>1605</v>
      </c>
      <c r="D107" s="17"/>
    </row>
    <row r="108" spans="2:12" ht="15.75">
      <c r="B108" s="9">
        <f t="shared" si="1"/>
        <v>106</v>
      </c>
      <c r="C108" s="10" t="s">
        <v>1606</v>
      </c>
      <c r="D108" s="17"/>
    </row>
    <row r="109" spans="2:12" ht="15.75">
      <c r="B109" s="9">
        <f t="shared" si="1"/>
        <v>107</v>
      </c>
      <c r="C109" s="10" t="s">
        <v>1608</v>
      </c>
      <c r="D109" s="17"/>
    </row>
    <row r="110" spans="2:12" s="3" customFormat="1" ht="15.75">
      <c r="B110" s="24">
        <f t="shared" si="1"/>
        <v>108</v>
      </c>
      <c r="C110" s="22" t="s">
        <v>1609</v>
      </c>
      <c r="D110" s="25" t="s">
        <v>1811</v>
      </c>
      <c r="G110" s="3" t="s">
        <v>1872</v>
      </c>
      <c r="J110" s="3" t="s">
        <v>1873</v>
      </c>
      <c r="L110" s="3" t="s">
        <v>1874</v>
      </c>
    </row>
    <row r="111" spans="2:12" s="3" customFormat="1" ht="15.75">
      <c r="B111" s="24">
        <f t="shared" si="1"/>
        <v>109</v>
      </c>
      <c r="C111" s="22" t="s">
        <v>1610</v>
      </c>
      <c r="D111" s="26" t="s">
        <v>1875</v>
      </c>
    </row>
    <row r="112" spans="2:12" ht="15.75">
      <c r="B112" s="9">
        <f t="shared" si="1"/>
        <v>110</v>
      </c>
      <c r="C112" s="10" t="s">
        <v>1611</v>
      </c>
      <c r="D112" s="17"/>
    </row>
    <row r="113" spans="2:11" s="1" customFormat="1" ht="15.75">
      <c r="B113" s="12">
        <f t="shared" si="1"/>
        <v>111</v>
      </c>
      <c r="C113" s="10" t="s">
        <v>1614</v>
      </c>
      <c r="D113" s="18" t="s">
        <v>1811</v>
      </c>
      <c r="H113" s="1" t="s">
        <v>1876</v>
      </c>
      <c r="K113" s="1" t="s">
        <v>1877</v>
      </c>
    </row>
    <row r="114" spans="2:11" ht="15.75">
      <c r="B114" s="9">
        <f t="shared" si="1"/>
        <v>112</v>
      </c>
      <c r="C114" s="10" t="s">
        <v>1615</v>
      </c>
      <c r="D114" s="17"/>
    </row>
    <row r="115" spans="2:11" s="1" customFormat="1" ht="15.75">
      <c r="B115" s="12">
        <f t="shared" si="1"/>
        <v>113</v>
      </c>
      <c r="C115" s="10" t="s">
        <v>1617</v>
      </c>
      <c r="D115" s="18" t="s">
        <v>1811</v>
      </c>
      <c r="H115" s="1" t="s">
        <v>1878</v>
      </c>
      <c r="K115" s="1" t="s">
        <v>1879</v>
      </c>
    </row>
    <row r="116" spans="2:11" ht="15.75">
      <c r="B116" s="9">
        <f t="shared" si="1"/>
        <v>114</v>
      </c>
      <c r="C116" s="10" t="s">
        <v>1618</v>
      </c>
      <c r="D116" s="17"/>
    </row>
    <row r="117" spans="2:11" ht="15.75">
      <c r="B117" s="9">
        <f t="shared" si="1"/>
        <v>115</v>
      </c>
      <c r="C117" s="10" t="s">
        <v>1619</v>
      </c>
      <c r="D117" s="17"/>
    </row>
    <row r="118" spans="2:11" ht="15.75">
      <c r="B118" s="9">
        <f t="shared" si="1"/>
        <v>116</v>
      </c>
      <c r="C118" s="10" t="s">
        <v>1620</v>
      </c>
      <c r="D118" s="17"/>
    </row>
    <row r="119" spans="2:11" s="1" customFormat="1" ht="15.75">
      <c r="B119" s="12">
        <f t="shared" si="1"/>
        <v>117</v>
      </c>
      <c r="C119" s="10" t="s">
        <v>1621</v>
      </c>
      <c r="D119" s="18" t="s">
        <v>1811</v>
      </c>
      <c r="H119" s="1" t="s">
        <v>1880</v>
      </c>
      <c r="K119" s="1" t="s">
        <v>1881</v>
      </c>
    </row>
    <row r="120" spans="2:11" s="1" customFormat="1" ht="15.75">
      <c r="B120" s="12">
        <f t="shared" si="1"/>
        <v>118</v>
      </c>
      <c r="C120" s="10" t="s">
        <v>1622</v>
      </c>
      <c r="D120" s="18" t="s">
        <v>1811</v>
      </c>
      <c r="H120" s="1" t="s">
        <v>1882</v>
      </c>
      <c r="K120" s="1" t="s">
        <v>1883</v>
      </c>
    </row>
    <row r="121" spans="2:11" s="1" customFormat="1" ht="15.75">
      <c r="B121" s="12">
        <f t="shared" si="1"/>
        <v>119</v>
      </c>
      <c r="C121" s="10" t="s">
        <v>1623</v>
      </c>
      <c r="D121" s="18" t="s">
        <v>1811</v>
      </c>
      <c r="H121" s="1" t="s">
        <v>1884</v>
      </c>
      <c r="K121" s="1" t="s">
        <v>1885</v>
      </c>
    </row>
    <row r="122" spans="2:11" ht="15.75">
      <c r="B122" s="9">
        <f t="shared" si="1"/>
        <v>120</v>
      </c>
      <c r="C122" s="10" t="s">
        <v>1624</v>
      </c>
      <c r="D122" s="17"/>
    </row>
    <row r="123" spans="2:11" ht="15.75">
      <c r="B123" s="9">
        <f t="shared" si="1"/>
        <v>121</v>
      </c>
      <c r="C123" s="10" t="s">
        <v>1625</v>
      </c>
      <c r="D123" s="17"/>
    </row>
    <row r="124" spans="2:11" ht="15.75">
      <c r="B124" s="9">
        <f t="shared" si="1"/>
        <v>122</v>
      </c>
      <c r="C124" s="10" t="s">
        <v>1626</v>
      </c>
      <c r="D124" s="17"/>
    </row>
    <row r="125" spans="2:11" s="1" customFormat="1" ht="15.75">
      <c r="B125" s="12">
        <f t="shared" si="1"/>
        <v>123</v>
      </c>
      <c r="C125" s="10" t="s">
        <v>1627</v>
      </c>
      <c r="D125" s="18" t="s">
        <v>1811</v>
      </c>
      <c r="H125" s="1" t="s">
        <v>1886</v>
      </c>
      <c r="K125" s="1" t="s">
        <v>1887</v>
      </c>
    </row>
    <row r="126" spans="2:11" s="1" customFormat="1" ht="15.75">
      <c r="B126" s="12">
        <f t="shared" si="1"/>
        <v>124</v>
      </c>
      <c r="C126" s="10" t="s">
        <v>1628</v>
      </c>
      <c r="D126" s="18" t="s">
        <v>1811</v>
      </c>
      <c r="H126" s="27" t="s">
        <v>1628</v>
      </c>
      <c r="K126" s="1" t="s">
        <v>1888</v>
      </c>
    </row>
    <row r="127" spans="2:11" ht="15.75">
      <c r="B127" s="9">
        <f t="shared" ref="B127:B150" si="2">B126+1</f>
        <v>125</v>
      </c>
      <c r="C127" s="10" t="s">
        <v>1629</v>
      </c>
      <c r="D127" s="17"/>
    </row>
    <row r="128" spans="2:11" ht="15.75">
      <c r="B128" s="9">
        <f t="shared" si="2"/>
        <v>126</v>
      </c>
      <c r="C128" s="10" t="s">
        <v>1630</v>
      </c>
      <c r="D128" s="17"/>
    </row>
    <row r="129" spans="2:11" ht="15.75">
      <c r="B129" s="9">
        <f t="shared" si="2"/>
        <v>127</v>
      </c>
      <c r="C129" s="10" t="s">
        <v>1631</v>
      </c>
      <c r="D129" s="17"/>
    </row>
    <row r="130" spans="2:11" ht="15.75">
      <c r="B130" s="9">
        <f t="shared" si="2"/>
        <v>128</v>
      </c>
      <c r="C130" s="10" t="s">
        <v>1632</v>
      </c>
      <c r="D130" s="17"/>
    </row>
    <row r="131" spans="2:11" ht="15.75">
      <c r="B131" s="9">
        <f t="shared" si="2"/>
        <v>129</v>
      </c>
      <c r="C131" s="10" t="s">
        <v>1633</v>
      </c>
      <c r="D131" s="17"/>
    </row>
    <row r="132" spans="2:11" s="1" customFormat="1" ht="15.75">
      <c r="B132" s="12">
        <f t="shared" si="2"/>
        <v>130</v>
      </c>
      <c r="C132" s="10" t="s">
        <v>1634</v>
      </c>
      <c r="D132" s="18" t="s">
        <v>1811</v>
      </c>
      <c r="H132" s="1" t="s">
        <v>1889</v>
      </c>
      <c r="K132" s="1" t="s">
        <v>1853</v>
      </c>
    </row>
    <row r="133" spans="2:11" ht="15.75">
      <c r="B133" s="9">
        <f t="shared" si="2"/>
        <v>131</v>
      </c>
      <c r="C133" s="10" t="s">
        <v>1635</v>
      </c>
      <c r="D133" s="17"/>
    </row>
    <row r="134" spans="2:11" ht="15.75">
      <c r="B134" s="9">
        <f t="shared" si="2"/>
        <v>132</v>
      </c>
      <c r="C134" s="10" t="s">
        <v>1636</v>
      </c>
      <c r="D134" s="17"/>
    </row>
    <row r="135" spans="2:11" ht="15.75">
      <c r="B135" s="9">
        <f t="shared" si="2"/>
        <v>133</v>
      </c>
      <c r="C135" s="10" t="s">
        <v>1637</v>
      </c>
      <c r="D135" s="17"/>
    </row>
    <row r="136" spans="2:11" s="1" customFormat="1" ht="15.75">
      <c r="B136" s="12">
        <f t="shared" si="2"/>
        <v>134</v>
      </c>
      <c r="C136" s="10" t="s">
        <v>1639</v>
      </c>
      <c r="D136" s="18" t="s">
        <v>1811</v>
      </c>
      <c r="H136" s="1" t="s">
        <v>1890</v>
      </c>
      <c r="K136" s="1" t="s">
        <v>1853</v>
      </c>
    </row>
    <row r="137" spans="2:11" ht="15.75">
      <c r="B137" s="9">
        <f t="shared" si="2"/>
        <v>135</v>
      </c>
      <c r="C137" s="10" t="s">
        <v>1640</v>
      </c>
      <c r="D137" s="17"/>
    </row>
    <row r="138" spans="2:11" ht="15.75">
      <c r="B138" s="9">
        <f t="shared" si="2"/>
        <v>136</v>
      </c>
      <c r="C138" s="10" t="s">
        <v>1641</v>
      </c>
      <c r="D138" s="17"/>
    </row>
    <row r="139" spans="2:11" ht="15.75">
      <c r="B139" s="9">
        <f t="shared" si="2"/>
        <v>137</v>
      </c>
      <c r="C139" s="10" t="s">
        <v>1642</v>
      </c>
      <c r="D139" s="17"/>
    </row>
    <row r="140" spans="2:11" ht="15.75">
      <c r="B140" s="9">
        <f t="shared" si="2"/>
        <v>138</v>
      </c>
      <c r="C140" s="10" t="s">
        <v>1643</v>
      </c>
      <c r="D140" s="17"/>
    </row>
    <row r="141" spans="2:11" ht="15.75">
      <c r="B141" s="9">
        <f t="shared" si="2"/>
        <v>139</v>
      </c>
      <c r="C141" s="10" t="s">
        <v>1644</v>
      </c>
      <c r="D141" s="17"/>
    </row>
    <row r="142" spans="2:11" s="1" customFormat="1" ht="15.75">
      <c r="B142" s="12">
        <f t="shared" si="2"/>
        <v>140</v>
      </c>
      <c r="C142" s="10" t="s">
        <v>1645</v>
      </c>
      <c r="D142" s="18" t="s">
        <v>1811</v>
      </c>
      <c r="H142" s="1" t="s">
        <v>1645</v>
      </c>
      <c r="K142" s="1" t="s">
        <v>1891</v>
      </c>
    </row>
    <row r="143" spans="2:11" ht="15.75">
      <c r="B143" s="9">
        <f t="shared" si="2"/>
        <v>141</v>
      </c>
      <c r="C143" s="10" t="s">
        <v>1646</v>
      </c>
      <c r="D143" s="17"/>
    </row>
    <row r="144" spans="2:11" ht="15.75">
      <c r="B144" s="9">
        <f t="shared" si="2"/>
        <v>142</v>
      </c>
      <c r="C144" s="10" t="s">
        <v>1647</v>
      </c>
      <c r="D144" s="17"/>
    </row>
    <row r="145" spans="2:11" ht="15.75">
      <c r="B145" s="9">
        <f t="shared" si="2"/>
        <v>143</v>
      </c>
      <c r="C145" s="10" t="s">
        <v>1649</v>
      </c>
      <c r="D145" s="17"/>
    </row>
    <row r="146" spans="2:11" ht="15.75">
      <c r="B146" s="9">
        <f t="shared" si="2"/>
        <v>144</v>
      </c>
      <c r="C146" s="10" t="s">
        <v>1650</v>
      </c>
      <c r="D146" s="17"/>
    </row>
    <row r="147" spans="2:11" ht="15.75">
      <c r="B147" s="9">
        <f t="shared" si="2"/>
        <v>145</v>
      </c>
      <c r="C147" s="10" t="s">
        <v>1651</v>
      </c>
      <c r="D147" s="17"/>
    </row>
    <row r="148" spans="2:11" ht="15.75">
      <c r="B148" s="9">
        <f t="shared" si="2"/>
        <v>146</v>
      </c>
      <c r="C148" s="10" t="s">
        <v>1652</v>
      </c>
      <c r="D148" s="17"/>
    </row>
    <row r="149" spans="2:11" s="1" customFormat="1" ht="15.75">
      <c r="B149" s="12">
        <f t="shared" si="2"/>
        <v>147</v>
      </c>
      <c r="C149" s="10" t="s">
        <v>1653</v>
      </c>
      <c r="D149" s="18" t="s">
        <v>1811</v>
      </c>
      <c r="H149" s="1" t="s">
        <v>1892</v>
      </c>
      <c r="K149" s="1" t="s">
        <v>1853</v>
      </c>
    </row>
    <row r="150" spans="2:11" ht="15.75">
      <c r="B150" s="9">
        <f t="shared" si="2"/>
        <v>148</v>
      </c>
      <c r="C150" s="10" t="s">
        <v>1654</v>
      </c>
      <c r="D150" s="17"/>
    </row>
  </sheetData>
  <autoFilter ref="B1:D150" xr:uid="{00000000-0009-0000-0000-00000E000000}"/>
  <conditionalFormatting sqref="C1:C20 C22:C137 C139:C1048576">
    <cfRule type="duplicateValues" dxfId="3" priority="3"/>
  </conditionalFormatting>
  <conditionalFormatting sqref="C2:C20 C22:C137 C139:C150">
    <cfRule type="duplicateValues" dxfId="2" priority="109"/>
  </conditionalFormatting>
  <conditionalFormatting sqref="C21">
    <cfRule type="duplicateValues" dxfId="1" priority="2"/>
  </conditionalFormatting>
  <conditionalFormatting sqref="C138">
    <cfRule type="duplicateValues" dxfId="0" priority="1"/>
  </conditionalFormatting>
  <pageMargins left="0.25" right="0.25" top="0.75" bottom="0.75" header="0.3" footer="0.3"/>
  <pageSetup orientation="portrait" r:id="rId1"/>
  <headerFooter>
    <oddHeader>&amp;C&amp;"-,Bold"&amp;13PAY PERIOD:
MARCH 26-APRIL 8 (SUBCON) / APRIL 1-15(CONTRACT)</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67">
    <comment s:ref="E231" rgbClr="0FC880"/>
  </commentList>
  <commentList sheetStid="64"/>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DRAFT</vt:lpstr>
      <vt:lpstr>MMJ</vt:lpstr>
      <vt:lpstr>SUBCON</vt:lpstr>
      <vt:lpstr>SUBCON (2)</vt:lpstr>
      <vt:lpstr>Tally</vt:lpstr>
      <vt:lpstr>Master List</vt:lpstr>
      <vt:lpstr>SUMMARY A-Z</vt:lpstr>
      <vt:lpstr>SUBCON (4)</vt:lpstr>
      <vt:lpstr>Summary Hotel</vt:lpstr>
      <vt:lpstr>SUBCON (3)</vt:lpstr>
      <vt:lpstr>Subcontractors</vt:lpstr>
      <vt:lpstr>GTA</vt:lpstr>
      <vt:lpstr>OUTSIDE GTA</vt:lpstr>
      <vt:lpstr>OTTAWA</vt:lpstr>
      <vt:lpstr>SUBCON - BC</vt:lpstr>
      <vt:lpstr>British Columbia</vt:lpstr>
      <vt:lpstr>COUNTER</vt:lpstr>
      <vt:lpstr>Interac Details</vt:lpstr>
      <vt:lpstr>PRINT (2)</vt:lpstr>
      <vt:lpstr>PRINT (3)</vt:lpstr>
      <vt:lpstr>Sheet1</vt:lpstr>
      <vt:lpstr>Payroll Instructions</vt:lpstr>
      <vt:lpstr>DRAFT SUM</vt:lpstr>
      <vt:lpstr>FOR CHEQUE</vt:lpstr>
      <vt:lpstr>NAMES</vt:lpstr>
      <vt:lpstr>Subcontractors!ID</vt:lpstr>
      <vt:lpstr>Subcontractors!Name</vt:lpstr>
      <vt:lpstr>Subcontractors!PhoneNumber</vt:lpstr>
      <vt:lpstr>Subcontractors!PhysicalAddress</vt:lpstr>
      <vt:lpstr>'Master List'!Print_Area</vt:lpstr>
      <vt:lpstr>MMJ!Print_Area</vt:lpstr>
      <vt:lpstr>'PRINT (2)'!Print_Area</vt:lpstr>
      <vt:lpstr>'PRINT (3)'!Print_Area</vt:lpstr>
      <vt:lpstr>SUBCON!Print_Area</vt:lpstr>
      <vt:lpstr>'SUBCON - BC'!Print_Area</vt:lpstr>
      <vt:lpstr>'SUBCON (2)'!Print_Area</vt:lpstr>
      <vt:lpstr>'SUBCON (3)'!Print_Area</vt:lpstr>
      <vt:lpstr>'SUBCON (4)'!Print_Area</vt:lpstr>
      <vt:lpstr>'SUMMARY A-Z'!Print_Area</vt:lpstr>
      <vt:lpstr>'Summary Hotel'!Print_Area</vt:lpstr>
      <vt:lpstr>Subcontractors!Worker_Name</vt:lpstr>
      <vt:lpstr>Subcontractors!WorkerAlias</vt:lpstr>
      <vt:lpstr>Subcontractors!WorkerComment</vt:lpstr>
      <vt:lpstr>Subcontractors!WorkerName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Bergel Sarenas</dc:creator>
  <cp:keywords/>
  <dc:description/>
  <cp:lastModifiedBy>Kirsten MMJ</cp:lastModifiedBy>
  <cp:revision/>
  <cp:lastPrinted>2026-02-05T18:33:03Z</cp:lastPrinted>
  <dcterms:created xsi:type="dcterms:W3CDTF">2021-08-02T14:01:00Z</dcterms:created>
  <dcterms:modified xsi:type="dcterms:W3CDTF">2026-02-05T19:33:35Z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C5EC03283B784C6D9AFB26C779B5556A</vt:lpwstr>
  </property>
  <property fmtid="{D5CDD505-2E9C-101B-9397-08002B2CF9AE}" pid="3" name="KSOProductBuildVer">
    <vt:lpwstr>1033-11.2.0.11516</vt:lpwstr>
  </property>
</Properties>
</file>